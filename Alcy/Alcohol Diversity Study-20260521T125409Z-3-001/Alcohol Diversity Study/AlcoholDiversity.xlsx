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3.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tempfix\Desktop\Alcohol Diversity\Alcohol Diversity Study\"/>
    </mc:Choice>
  </mc:AlternateContent>
  <xr:revisionPtr revIDLastSave="0" documentId="13_ncr:1_{C1E78DCF-C080-400C-BCF2-1313FE420440}" xr6:coauthVersionLast="47" xr6:coauthVersionMax="47" xr10:uidLastSave="{00000000-0000-0000-0000-000000000000}"/>
  <bookViews>
    <workbookView xWindow="-120" yWindow="-120" windowWidth="29040" windowHeight="15840" tabRatio="804" firstSheet="1" activeTab="6" xr2:uid="{84D390A1-24EC-4391-9684-A5CB243488DD}"/>
  </bookViews>
  <sheets>
    <sheet name="ChartsDataSheet" sheetId="30" state="hidden" r:id="rId1"/>
    <sheet name="For SanKey Base" sheetId="22" r:id="rId2"/>
    <sheet name="Wmoen Creatives" sheetId="21" r:id="rId3"/>
    <sheet name="RevWomCreat" sheetId="25" r:id="rId4"/>
    <sheet name="New Sankey" sheetId="23" r:id="rId5"/>
    <sheet name="Sheet8" sheetId="24" r:id="rId6"/>
    <sheet name="Sheet10" sheetId="29" r:id="rId7"/>
    <sheet name="RevWomCreat (2)" sheetId="26" r:id="rId8"/>
    <sheet name="Sheet9" sheetId="27" r:id="rId9"/>
    <sheet name="BeverageData" sheetId="2" r:id="rId10"/>
    <sheet name="AvgBidPrice LUT" sheetId="7" r:id="rId11"/>
    <sheet name="Phase per Agency (2)" sheetId="6" r:id="rId12"/>
    <sheet name="Sheet1" sheetId="1" r:id="rId13"/>
    <sheet name="Sheet3" sheetId="15" r:id="rId14"/>
    <sheet name="Sheet4" sheetId="16" r:id="rId15"/>
    <sheet name="Sheet5" sheetId="17" r:id="rId16"/>
    <sheet name="Sheet6" sheetId="19" r:id="rId17"/>
    <sheet name="Take Me" sheetId="20" r:id="rId18"/>
    <sheet name="Sheet2" sheetId="18" r:id="rId19"/>
  </sheets>
  <definedNames>
    <definedName name="_xlnm._FilterDatabase" localSheetId="4" hidden="1">'New Sankey'!$K$1:$M$8</definedName>
    <definedName name="_xlchart.v2.0" hidden="1">'New Sankey'!$H$18:$H$20</definedName>
    <definedName name="_xlchart.v2.1" hidden="1">'New Sankey'!$I$18:$I$20</definedName>
    <definedName name="Customer_ID">#REF!</definedName>
    <definedName name="EV__LASTREFTIME__" hidden="1">42241.5638078704</definedName>
    <definedName name="ExternalData_1" localSheetId="9" hidden="1">BeverageData!$A$1:$BW$553</definedName>
    <definedName name="ExternalData_1" localSheetId="3" hidden="1">'RevWomCreat'!$A$1:$Y$553</definedName>
    <definedName name="ExternalData_1" localSheetId="7" hidden="1">'RevWomCreat (2)'!$A$1:$Y$553</definedName>
    <definedName name="ExternalData_1" localSheetId="13" hidden="1">Sheet3!$A$1:$U$553</definedName>
    <definedName name="ExternalData_2" localSheetId="2" hidden="1">'Wmoen Creatives'!$A$1:$D$115</definedName>
    <definedName name="ExternalData_3" localSheetId="1" hidden="1">'For SanKey Base'!$A$1:$W$553</definedName>
    <definedName name="ExternalData_3" localSheetId="11" hidden="1">'Phase per Agency (2)'!$A$1:$AV$553</definedName>
    <definedName name="ExternalData_4" localSheetId="10" hidden="1">'AvgBidPrice LUT'!$A$1:$D$203</definedName>
    <definedName name="Month">#REF!</definedName>
    <definedName name="raphic5">#REF!</definedName>
    <definedName name="Slicer_AGENCY">#N/A</definedName>
    <definedName name="Slicer_PROJECT_NAME">#N/A</definedName>
  </definedNames>
  <calcPr calcId="191029"/>
  <pivotCaches>
    <pivotCache cacheId="0" r:id="rId20"/>
    <pivotCache cacheId="1" r:id="rId21"/>
    <pivotCache cacheId="2" r:id="rId22"/>
  </pivotCaches>
  <extLs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gencyGrid Awarded_a322b366-fde0-4ef2-b380-41d13f4b1775" name="AgencyGrid Awarded" connection="Query - AgencyGrid Award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NR15" i="30" l="1"/>
  <c r="CNQ15" i="30"/>
  <c r="CNP14" i="30"/>
  <c r="CNO14" i="30"/>
  <c r="CNP13" i="30"/>
  <c r="CNO13" i="30"/>
  <c r="CNP12" i="30"/>
  <c r="CNO12" i="30"/>
  <c r="CNM15" i="30"/>
  <c r="CNK15" i="30"/>
  <c r="CNM14" i="30"/>
  <c r="CNK14" i="30"/>
  <c r="CNM13" i="30"/>
  <c r="CNK13" i="30"/>
  <c r="CNM12" i="30"/>
  <c r="CNK12" i="30"/>
  <c r="CNQ13" i="30"/>
  <c r="CNV14" i="30" s="1"/>
  <c r="CNV12" i="30"/>
  <c r="CNS12" i="30"/>
  <c r="CNR12" i="30"/>
  <c r="CNQ12" i="30"/>
  <c r="CNV13" i="30" s="1"/>
  <c r="CNS11" i="30"/>
  <c r="CNS15" i="30" s="1"/>
  <c r="CNM11" i="30"/>
  <c r="CNK11" i="30"/>
  <c r="CNO3" i="30"/>
  <c r="CNM10" i="30"/>
  <c r="CNK10" i="30"/>
  <c r="CNM9" i="30"/>
  <c r="CNK9" i="30"/>
  <c r="CNM8" i="30"/>
  <c r="CNK8" i="30"/>
  <c r="CNM7" i="30"/>
  <c r="CNK7" i="30"/>
  <c r="CNM6" i="30"/>
  <c r="CNK6" i="30"/>
  <c r="CNM5" i="30"/>
  <c r="CNK5" i="30"/>
  <c r="CNM4" i="30"/>
  <c r="CNK4" i="30"/>
  <c r="CNM3" i="30"/>
  <c r="CNK3" i="30"/>
  <c r="CNV4" i="30"/>
  <c r="CNV3" i="30"/>
  <c r="CNQ3" i="30"/>
  <c r="CNQ4" i="30" s="1"/>
  <c r="CNV5" i="30" s="1"/>
  <c r="CNM2" i="30"/>
  <c r="CNK2" i="30"/>
  <c r="K3" i="23"/>
  <c r="CNO4" i="30" s="1"/>
  <c r="L3" i="23"/>
  <c r="CNP4" i="30" s="1"/>
  <c r="M3" i="23"/>
  <c r="K7" i="23"/>
  <c r="CNO8" i="30" s="1"/>
  <c r="L7" i="23"/>
  <c r="CNP8" i="30" s="1"/>
  <c r="M7" i="23"/>
  <c r="K4" i="23"/>
  <c r="CNO5" i="30" s="1"/>
  <c r="L4" i="23"/>
  <c r="CNP5" i="30" s="1"/>
  <c r="M4" i="23"/>
  <c r="K5" i="23"/>
  <c r="CNO6" i="30" s="1"/>
  <c r="L5" i="23"/>
  <c r="CNP6" i="30" s="1"/>
  <c r="M5" i="23"/>
  <c r="K8" i="23"/>
  <c r="CNO9" i="30" s="1"/>
  <c r="L8" i="23"/>
  <c r="CNP9" i="30" s="1"/>
  <c r="M8" i="23"/>
  <c r="K2" i="23"/>
  <c r="L2" i="23"/>
  <c r="CNP3" i="30" s="1"/>
  <c r="M2" i="23"/>
  <c r="L6" i="23"/>
  <c r="CNP7" i="30" s="1"/>
  <c r="M6" i="23"/>
  <c r="K6" i="23"/>
  <c r="CNO7" i="30" s="1"/>
  <c r="H2" i="24"/>
  <c r="CNJ13" i="30"/>
  <c r="CNJ11" i="30"/>
  <c r="CNJ3" i="30"/>
  <c r="CNJ10" i="30"/>
  <c r="CNJ4" i="30"/>
  <c r="CNJ9" i="30"/>
  <c r="CNJ6" i="30"/>
  <c r="CNJ2" i="30"/>
  <c r="CNJ14" i="30"/>
  <c r="CNJ12" i="30"/>
  <c r="CNJ15" i="30"/>
  <c r="CNJ5" i="30"/>
  <c r="CNJ7" i="30"/>
  <c r="CNJ8" i="30"/>
  <c r="CNU11" i="30" l="1"/>
  <c r="CNX11" i="30" s="1"/>
  <c r="CNX12" i="30" s="1"/>
  <c r="CNX13" i="30" s="1"/>
  <c r="CNX14" i="30" s="1"/>
  <c r="CNS14" i="30"/>
  <c r="CNY14" i="30" s="1"/>
  <c r="CNR14" i="30"/>
  <c r="CNR13" i="30"/>
  <c r="CNS13" i="30"/>
  <c r="CNY13" i="30" s="1"/>
  <c r="CNT13" i="30"/>
  <c r="CNY12" i="30"/>
  <c r="CNT12" i="30"/>
  <c r="CNU12" i="30"/>
  <c r="CNQ14" i="30"/>
  <c r="CNW11" i="30"/>
  <c r="CNW12" i="30" s="1"/>
  <c r="CNW13" i="30" s="1"/>
  <c r="CNW14" i="30" s="1"/>
  <c r="CNT14" i="30"/>
  <c r="CNU14" i="30"/>
  <c r="CNS3" i="30"/>
  <c r="CNS2" i="30"/>
  <c r="CNS10" i="30" s="1"/>
  <c r="CNR3" i="30"/>
  <c r="CNS4" i="30"/>
  <c r="CNR4" i="30"/>
  <c r="CNQ5" i="30"/>
  <c r="H3" i="24"/>
  <c r="C50" i="24"/>
  <c r="C49" i="24"/>
  <c r="C48" i="24"/>
  <c r="C47" i="24"/>
  <c r="C46" i="24"/>
  <c r="C45" i="24"/>
  <c r="C44" i="24"/>
  <c r="C43" i="24"/>
  <c r="C42" i="24"/>
  <c r="C41" i="24"/>
  <c r="C40" i="24"/>
  <c r="C39" i="24"/>
  <c r="H11" i="24"/>
  <c r="H10" i="24"/>
  <c r="N29" i="24"/>
  <c r="N28" i="24"/>
  <c r="C38" i="24"/>
  <c r="C37" i="24"/>
  <c r="C36" i="24"/>
  <c r="C35" i="24"/>
  <c r="C34" i="24"/>
  <c r="C33" i="24"/>
  <c r="C25" i="24"/>
  <c r="C27" i="24"/>
  <c r="C18" i="24"/>
  <c r="C32" i="24"/>
  <c r="C24" i="24"/>
  <c r="C23" i="24"/>
  <c r="C26" i="24"/>
  <c r="C31" i="24"/>
  <c r="C30" i="24"/>
  <c r="C22" i="24"/>
  <c r="C20" i="24"/>
  <c r="C19" i="24"/>
  <c r="C29" i="24"/>
  <c r="C21" i="24"/>
  <c r="C28" i="24"/>
  <c r="C17" i="24"/>
  <c r="C16" i="24"/>
  <c r="C15" i="24"/>
  <c r="C14" i="24"/>
  <c r="C13" i="24"/>
  <c r="C12" i="24"/>
  <c r="C11" i="24"/>
  <c r="C10" i="24"/>
  <c r="C9" i="24"/>
  <c r="C8" i="24"/>
  <c r="C2" i="24"/>
  <c r="C7" i="24"/>
  <c r="C6" i="24"/>
  <c r="C5" i="24"/>
  <c r="C4" i="24"/>
  <c r="C3" i="24"/>
  <c r="CNU13" i="30" l="1"/>
  <c r="CNY3" i="30"/>
  <c r="CNY4" i="30"/>
  <c r="CNU4" i="30"/>
  <c r="CNT4" i="30"/>
  <c r="CNU2" i="30"/>
  <c r="CNX2" i="30" s="1"/>
  <c r="CNX3" i="30" s="1"/>
  <c r="CNX4" i="30" s="1"/>
  <c r="CNX5" i="30" s="1"/>
  <c r="CNX6" i="30" s="1"/>
  <c r="CNX7" i="30" s="1"/>
  <c r="CNX8" i="30" s="1"/>
  <c r="CNX9" i="30" s="1"/>
  <c r="CNU3" i="30"/>
  <c r="CNT3" i="30"/>
  <c r="CNS5" i="30"/>
  <c r="CNR5" i="30"/>
  <c r="CNQ6" i="30"/>
  <c r="CNV6" i="30"/>
  <c r="H33" i="24"/>
  <c r="H34" i="24"/>
  <c r="H5" i="24"/>
  <c r="N31" i="24"/>
  <c r="N30" i="24"/>
  <c r="H4" i="24"/>
  <c r="H27" i="24" s="1"/>
  <c r="H6" i="24"/>
  <c r="N32" i="24"/>
  <c r="H7" i="24"/>
  <c r="N33" i="24"/>
  <c r="H8" i="24"/>
  <c r="N34" i="24"/>
  <c r="H9" i="24"/>
  <c r="N35" i="24"/>
  <c r="H12" i="24"/>
  <c r="H35" i="24" s="1"/>
  <c r="H30" i="24" s="1"/>
  <c r="H13" i="24"/>
  <c r="H36" i="24" s="1"/>
  <c r="H14" i="24"/>
  <c r="H37" i="24" s="1"/>
  <c r="H15" i="24"/>
  <c r="H38" i="24" s="1"/>
  <c r="H16" i="24"/>
  <c r="H39" i="24" s="1"/>
  <c r="H17" i="24"/>
  <c r="H40" i="24" s="1"/>
  <c r="CNW2" i="30" l="1"/>
  <c r="CNW3" i="30" s="1"/>
  <c r="CNW4" i="30" s="1"/>
  <c r="CNW5" i="30" s="1"/>
  <c r="CNW6" i="30" s="1"/>
  <c r="CNW7" i="30" s="1"/>
  <c r="CNW8" i="30" s="1"/>
  <c r="CNW9" i="30" s="1"/>
  <c r="CNT5" i="30"/>
  <c r="CNU5" i="30"/>
  <c r="CNY5" i="30"/>
  <c r="CNS6" i="30"/>
  <c r="CNR6" i="30"/>
  <c r="CNQ7" i="30"/>
  <c r="CNV7" i="30"/>
  <c r="H32" i="24"/>
  <c r="H31" i="24"/>
  <c r="H29" i="24"/>
  <c r="N41" i="24"/>
  <c r="N42" i="24"/>
  <c r="CNR7" i="30" l="1"/>
  <c r="CNS7" i="30"/>
  <c r="CNY6" i="30"/>
  <c r="CNU6" i="30"/>
  <c r="CNT6" i="30"/>
  <c r="CNV8" i="30"/>
  <c r="CNQ8" i="30"/>
  <c r="H28" i="24"/>
  <c r="CNY7" i="30" l="1"/>
  <c r="CNT7" i="30"/>
  <c r="CNU7" i="30"/>
  <c r="CNS8" i="30"/>
  <c r="CNR8" i="30"/>
  <c r="CNV9" i="30"/>
  <c r="CNQ9" i="30"/>
  <c r="CNQ10" i="30" s="1"/>
  <c r="CNS9" i="30" l="1"/>
  <c r="CNR10" i="30" s="1"/>
  <c r="CNR9" i="30"/>
  <c r="CNY8" i="30"/>
  <c r="CNU8" i="30"/>
  <c r="CNT8" i="30"/>
  <c r="CNU9" i="30" l="1"/>
  <c r="CNY9" i="30"/>
  <c r="CNT9"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A1688-DCE2-4FDE-A1F9-31B9C7C8A815}" keepAlive="1" name="ModelConnection_ExternalData_1" description="Data Model" type="5" refreshedVersion="8" minRefreshableVersion="5" saveData="1">
    <dbPr connection="Data Model Connection" command="AgencyGrid Awarded" commandType="3"/>
    <extLst>
      <ext xmlns:x15="http://schemas.microsoft.com/office/spreadsheetml/2010/11/main" uri="{DE250136-89BD-433C-8126-D09CA5730AF9}">
        <x15:connection id="" model="1"/>
      </ext>
    </extLst>
  </connection>
  <connection id="2" xr16:uid="{83026CD8-690D-4803-828A-35CD6C2A82A7}" name="Query - AgencyGrid Awarded" description="Connection to the 'AgencyGrid Awarded' query in the workbook." type="100" refreshedVersion="8" minRefreshableVersion="5" saveData="1">
    <extLst>
      <ext xmlns:x15="http://schemas.microsoft.com/office/spreadsheetml/2010/11/main" uri="{DE250136-89BD-433C-8126-D09CA5730AF9}">
        <x15:connection id="c7517801-5144-4e95-bc3d-3624daaa3a28"/>
      </ext>
    </extLst>
  </connection>
  <connection id="3" xr16:uid="{74780748-CB32-4AEB-862E-076694EF6606}" keepAlive="1" name="Query - AgencyGrid(1)" description="Connection to the 'AgencyGrid' query in the workbook." type="5" refreshedVersion="8" background="1" saveData="1">
    <dbPr connection="Provider=Microsoft.Mashup.OleDb.1;Data Source=$Workbook$;Location=AgencyGrid;Extended Properties=&quot;&quot;" command="SELECT * FROM [AgencyGrid]"/>
  </connection>
  <connection id="4" xr16:uid="{4722849B-FB14-4CAF-BC7D-EF7D7B8A3381}" keepAlive="1" name="Query - AvgBidPrice LUT" description="Connection to the 'AvgBidPrice LUT' query in the workbook." type="5" refreshedVersion="8" background="1" saveData="1">
    <dbPr connection="Provider=Microsoft.Mashup.OleDb.1;Data Source=$Workbook$;Location=&quot;AvgBidPrice LUT&quot;;Extended Properties=&quot;&quot;" command="SELECT * FROM [AvgBidPrice LUT]"/>
  </connection>
  <connection id="5" xr16:uid="{07E11C65-6986-4591-8015-3490640E9237}" keepAlive="1" name="Query - BeverageData" description="Connection to the 'BeverageData' query in the workbook." type="5" refreshedVersion="8" background="1" saveData="1">
    <dbPr connection="Provider=Microsoft.Mashup.OleDb.1;Data Source=$Workbook$;Location=BeverageData;Extended Properties=&quot;&quot;" command="SELECT * FROM [BeverageData]"/>
  </connection>
  <connection id="6" xr16:uid="{320A90AC-E935-4EE7-9DF6-F4ADF9CEADEB}" keepAlive="1" name="Query - BeverageData (2)" description="Connection to the 'BeverageData (2)' query in the workbook." type="5" refreshedVersion="0" background="1">
    <dbPr connection="Provider=Microsoft.Mashup.OleDb.1;Data Source=$Workbook$;Location=&quot;BeverageData (2)&quot;;Extended Properties=&quot;&quot;" command="SELECT * FROM [BeverageData (2)]"/>
  </connection>
  <connection id="7" xr16:uid="{72050288-88CA-4E01-B4A5-DAC48E45C704}" keepAlive="1" name="Query - BeverageData (2)1" description="Connection to the 'BeverageData (2)' query in the workbook." type="5" refreshedVersion="8" background="1" saveData="1">
    <dbPr connection="Provider=Microsoft.Mashup.OleDb.1;Data Source=$Workbook$;Location=&quot;BeverageData (2)&quot;;Extended Properties=&quot;&quot;" command="SELECT * FROM [BeverageData (2)]"/>
  </connection>
  <connection id="8" xr16:uid="{38EC806D-7FC3-4356-9787-9A75E37654F3}" keepAlive="1" name="Query - For SanKey Base" description="Connection to the 'For SanKey Base' query in the workbook." type="5" refreshedVersion="8" background="1" saveData="1">
    <dbPr connection="Provider=Microsoft.Mashup.OleDb.1;Data Source=$Workbook$;Location=&quot;For SanKey Base&quot;;Extended Properties=&quot;&quot;" command="SELECT * FROM [For SanKey Base]"/>
  </connection>
  <connection id="9" xr16:uid="{7DD8A5A2-C704-4880-9DC6-D8687D29CF47}" keepAlive="1" name="Query - Phase per Agency" description="Connection to the 'Phase per Agency' query in the workbook." type="5" refreshedVersion="0" background="1">
    <dbPr connection="Provider=Microsoft.Mashup.OleDb.1;Data Source=$Workbook$;Location=&quot;Phase per Agency&quot;;Extended Properties=&quot;&quot;" command="SELECT * FROM [Phase per Agency]"/>
  </connection>
  <connection id="10" xr16:uid="{49119EA5-4A04-45BE-8833-092D2886EF4E}" keepAlive="1" name="Query - Phase per Agency1" description="Connection to the 'Phase per Agency' query in the workbook." type="5" refreshedVersion="8" background="1" saveData="1">
    <dbPr connection="Provider=Microsoft.Mashup.OleDb.1;Data Source=$Workbook$;Location=&quot;Phase per Agency&quot;;Extended Properties=&quot;&quot;" command="SELECT * FROM [Phase per Agency]"/>
  </connection>
  <connection id="11" xr16:uid="{3F01EC76-952D-40BB-B5E0-3C61FC7AE956}" keepAlive="1" name="Query - RevWomCreat" description="Connection to the 'RevWomCreat' query in the workbook." type="5" refreshedVersion="8" background="1" saveData="1">
    <dbPr connection="Provider=Microsoft.Mashup.OleDb.1;Data Source=$Workbook$;Location=RevWomCreat;Extended Properties=&quot;&quot;" command="SELECT * FROM [RevWomCreat]"/>
  </connection>
  <connection id="12" xr16:uid="{B25E1212-1B26-43D0-9E8C-019C1EDEF79D}" keepAlive="1" name="Query - RevWomCreat1" description="Connection to the 'RevWomCreat' query in the workbook." type="5" refreshedVersion="8" background="1" saveData="1">
    <dbPr connection="Provider=Microsoft.Mashup.OleDb.1;Data Source=$Workbook$;Location=RevWomCreat;Extended Properties=&quot;&quot;" command="SELECT * FROM [RevWomCreat]"/>
  </connection>
  <connection id="13" xr16:uid="{2C2AAF31-74C8-475C-A2DC-7319C64FC86B}" keepAlive="1" name="Query - Winners" description="Connection to the 'Winners' query in the workbook." type="5" refreshedVersion="0" background="1">
    <dbPr connection="Provider=Microsoft.Mashup.OleDb.1;Data Source=$Workbook$;Location=Winners;Extended Properties=&quot;&quot;" command="SELECT * FROM [Winners]"/>
  </connection>
  <connection id="14" xr16:uid="{2A230364-1E64-4B5D-8334-39683A7B8C68}" keepAlive="1" name="Query - Winners(1)" description="Connection to the 'Winners' query in the workbook." type="5" refreshedVersion="8" background="1" saveData="1">
    <dbPr connection="Provider=Microsoft.Mashup.OleDb.1;Data Source=$Workbook$;Location=Winners;Extended Properties=&quot;&quot;" command="SELECT * FROM [Winners]"/>
  </connection>
  <connection id="15" xr16:uid="{F4B064B0-03BE-4167-A233-F58C3FA5EC55}" keepAlive="1" name="Query - Wmoen Creatives" description="Connection to the 'Wmoen Creatives' query in the workbook." type="5" refreshedVersion="8" background="1" saveData="1">
    <dbPr connection="Provider=Microsoft.Mashup.OleDb.1;Data Source=$Workbook$;Location=&quot;Wmoen Creatives&quot;;Extended Properties=&quot;&quot;" command="SELECT * FROM [Wmoen Creatives]"/>
  </connection>
  <connection id="16" xr16:uid="{D08CA693-B39E-46E7-9DDC-CE6CB6B61281}" keepAlive="1" name="Query - Women Directors By Agency" description="Connection to the 'Women Directors By Agency' query in the workbook." type="5" refreshedVersion="0" background="1">
    <dbPr connection="Provider=Microsoft.Mashup.OleDb.1;Data Source=$Workbook$;Location=&quot;Women Directors By Agency&quot;;Extended Properties=&quot;&quot;" command="SELECT * FROM [Women Directors By Agency]"/>
  </connection>
  <connection id="17" xr16:uid="{93AC74F4-9731-4F71-A8C9-03C8B4728F4E}" keepAlive="1" name="Query - Women Directors By Agency1" description="Connection to the 'Women Directors By Agency' query in the workbook." type="5" refreshedVersion="8" background="1" saveData="1">
    <dbPr connection="Provider=Microsoft.Mashup.OleDb.1;Data Source=$Workbook$;Location=&quot;Women Directors By Agency&quot;;Extended Properties=&quot;&quot;" command="SELECT * FROM [Women Directors By Agency]"/>
  </connection>
  <connection id="18" xr16:uid="{2EF9F3E4-9F99-4A9E-8AFE-B69D8947B5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<sst xmlns="http://schemas.openxmlformats.org/spreadsheetml/2006/main" count="49334" uniqueCount="1367">
  <si>
    <t>PROJECT ID</t>
  </si>
  <si>
    <t>ORIGINAL SUBMISSION DATE</t>
  </si>
  <si>
    <t>PROJECT NAME</t>
  </si>
  <si>
    <t>WORKSPACE</t>
  </si>
  <si>
    <t>PROJECT GROUP</t>
  </si>
  <si>
    <t>AWARDED</t>
  </si>
  <si>
    <t>BRAND</t>
  </si>
  <si>
    <t>PRODUCT</t>
  </si>
  <si>
    <t>AGENCY</t>
  </si>
  <si>
    <t>CAMPAIGN</t>
  </si>
  <si>
    <t>VENDOR</t>
  </si>
  <si>
    <t>PHASE</t>
  </si>
  <si>
    <t>SUBMISSION</t>
  </si>
  <si>
    <t>BID NAME</t>
  </si>
  <si>
    <t>BIDFILE TYPE</t>
  </si>
  <si>
    <t>BID TOTAL</t>
  </si>
  <si>
    <t>BID TYPE</t>
  </si>
  <si>
    <t>AVERAGE BID</t>
  </si>
  <si>
    <t>DIVERSITY:: WOMAN DIRECTOR</t>
  </si>
  <si>
    <t>DIVERSITY:: MIINORITY DIRECTOR</t>
  </si>
  <si>
    <t>DIVERSITY:: WOMAN EDITOR</t>
  </si>
  <si>
    <t>DIVERSITY:: MIINORITY EDITOR</t>
  </si>
  <si>
    <t>DIVERSITY:: WOMAN OWNED</t>
  </si>
  <si>
    <t>DIVERSITY:: MINORITY OWNED</t>
  </si>
  <si>
    <t>SPEND:: ANIMATION</t>
  </si>
  <si>
    <t>SPEND:: ART DEPARTMENT LABOR</t>
  </si>
  <si>
    <t>SPEND:: ART DEPARTMENT MATERIALS</t>
  </si>
  <si>
    <t>SPEND:: AUDIO POST</t>
  </si>
  <si>
    <t>SPEND:: BEHIND THE SCENES</t>
  </si>
  <si>
    <t>SPEND:: CATERING / CRAFT SERVICE</t>
  </si>
  <si>
    <t>SPEND:: COLOR GRADING</t>
  </si>
  <si>
    <t>SPEND:: COVID LABOR</t>
  </si>
  <si>
    <t>SPEND:: CUSTOM</t>
  </si>
  <si>
    <t>SPEND:: DESIGN</t>
  </si>
  <si>
    <t>SPEND:: DIRECTOR/ CREATIVE FEES</t>
  </si>
  <si>
    <t>SPEND:: DO NOT USE</t>
  </si>
  <si>
    <t>SPEND:: EDITORIAL GRAPHICS</t>
  </si>
  <si>
    <t>SPEND:: EDITORIAL LABOR</t>
  </si>
  <si>
    <t>SPEND:: EDITORIAL MISC</t>
  </si>
  <si>
    <t>SPEND:: EDITORIAL OFFLINE</t>
  </si>
  <si>
    <t>SPEND:: EDITORIAL PREP</t>
  </si>
  <si>
    <t>SPEND:: EQUIPMENT COSTS</t>
  </si>
  <si>
    <t>SPEND:: EXPENDABLES</t>
  </si>
  <si>
    <t>SPEND:: FILM STOCK &amp; DIGITAL MEDIA</t>
  </si>
  <si>
    <t>SPEND:: FINISHING</t>
  </si>
  <si>
    <t>SPEND:: FOREIGN PRODUCTION SERVICES</t>
  </si>
  <si>
    <t>SPEND:: HAIR &amp; MAKEUP</t>
  </si>
  <si>
    <t>SPEND:: INTERACTIVE</t>
  </si>
  <si>
    <t>SPEND:: LOCATION &amp; TRAVEL EXPENSES</t>
  </si>
  <si>
    <t>SPEND:: MEALS</t>
  </si>
  <si>
    <t>SPEND:: MISCELLANEOUS</t>
  </si>
  <si>
    <t>SPEND:: MUSIC</t>
  </si>
  <si>
    <t>SPEND:: OTHER LABOR</t>
  </si>
  <si>
    <t>SPEND:: PHOTO RETOUCHING</t>
  </si>
  <si>
    <t>SPEND:: PRE-PRODUCTION EXPENSES</t>
  </si>
  <si>
    <t>SPEND:: PRE-PRODUCTION LABOR</t>
  </si>
  <si>
    <t>SPEND:: PRODUCTION COVID 19 COSTS</t>
  </si>
  <si>
    <t>SPEND:: PRODUCTION STAFF</t>
  </si>
  <si>
    <t>SPEND:: PRODUCTION SUSTAINABILITY</t>
  </si>
  <si>
    <t>SPEND:: PROPS, WARDROBE, ANIMALS</t>
  </si>
  <si>
    <t>SPEND:: SHOOTING CREW LABOR</t>
  </si>
  <si>
    <t>SPEND:: SOCIAL MEDIA</t>
  </si>
  <si>
    <t>SPEND:: SPECIAL INSURANCE</t>
  </si>
  <si>
    <t>SPEND:: STILL PHOTOGRAPHER FEES</t>
  </si>
  <si>
    <t>SPEND:: STILL PHOTOGRAPHY PRODUCTION</t>
  </si>
  <si>
    <t>SPEND:: STILLS POST PRODUCTION</t>
  </si>
  <si>
    <t>SPEND:: STUDIO &amp; LOCATIONS COMBINED</t>
  </si>
  <si>
    <t>SPEND:: STUDIO RENTAL &amp; STAGE EXPENSES</t>
  </si>
  <si>
    <t>SPEND:: TALENT</t>
  </si>
  <si>
    <t>SPEND:: TALENT EXPENSES</t>
  </si>
  <si>
    <t>SPEND:: VFX</t>
  </si>
  <si>
    <t>SPEND:: WARDROBE</t>
  </si>
  <si>
    <t>Summer Fun</t>
  </si>
  <si>
    <t>Alcoholic Beverages</t>
  </si>
  <si>
    <t>APAC</t>
  </si>
  <si>
    <t>Kelly Hard Cider</t>
  </si>
  <si>
    <t>Kelly Summer Spritzer</t>
  </si>
  <si>
    <t>Korea SMB</t>
  </si>
  <si>
    <t>Q2 Summer Blitz</t>
  </si>
  <si>
    <t>Petulant Pictures</t>
  </si>
  <si>
    <t>Film &amp; Video Production</t>
  </si>
  <si>
    <t>Petulant_SummerFun_LiveAction</t>
  </si>
  <si>
    <t>Original</t>
  </si>
  <si>
    <t>firm-bid</t>
  </si>
  <si>
    <t/>
  </si>
  <si>
    <t>OpenFrameworks_SummerFun_LiveAction</t>
  </si>
  <si>
    <t>Club101_SummerFun_LiveAction</t>
  </si>
  <si>
    <t>Editorial</t>
  </si>
  <si>
    <t>ToTo_SummerFun_Edit</t>
  </si>
  <si>
    <t>MyrtleRow_SummerFun_Edit</t>
  </si>
  <si>
    <t>Saks Street Edit</t>
  </si>
  <si>
    <t>SaksStreetEdit_SummerFun_Edit</t>
  </si>
  <si>
    <t>Audio Post</t>
  </si>
  <si>
    <t>Audio Bid</t>
  </si>
  <si>
    <t>My Audio Fantasy</t>
  </si>
  <si>
    <t>AudioFantasybBid</t>
  </si>
  <si>
    <t>Love Language"Summer Fun"</t>
  </si>
  <si>
    <t>Love124</t>
  </si>
  <si>
    <t>Finishing</t>
  </si>
  <si>
    <t>colorMaven for Summer Fun v1</t>
  </si>
  <si>
    <t>ColorMaven_SummerFun_Finishing</t>
  </si>
  <si>
    <t>Andiamo for "Summer Fun"</t>
  </si>
  <si>
    <t>AndiamoImages_SummerFun_Finishing</t>
  </si>
  <si>
    <t>Evan Bander LLC</t>
  </si>
  <si>
    <t>EB "Summer Fun"</t>
  </si>
  <si>
    <t>EvanBanderLLC_SummerFun_Finishing</t>
  </si>
  <si>
    <t>Sanitary Production Costs</t>
  </si>
  <si>
    <t>Petulant_SummerFun_Covid</t>
  </si>
  <si>
    <t>OpenFrameworks_SummerFun_Covid</t>
  </si>
  <si>
    <t>Club101_SummerFun_Covid</t>
  </si>
  <si>
    <t>Green Production Costs</t>
  </si>
  <si>
    <t>Petulant_SummerFun_Green</t>
  </si>
  <si>
    <t>OpenFrameworks_SummerFun_Green</t>
  </si>
  <si>
    <t>Club101_SummerFun_Green</t>
  </si>
  <si>
    <t>Photo Retouching &amp; Post</t>
  </si>
  <si>
    <t>Kent Wilson Studio Estimate for "Summer Fun" #1</t>
  </si>
  <si>
    <t>KentWilsonStudio_SummerFun_Retouching</t>
  </si>
  <si>
    <t>Interstate_SummerFun_Retouching</t>
  </si>
  <si>
    <t>Buck &amp; Archie</t>
  </si>
  <si>
    <t>Buck &amp; Archie "Kelly Hard Cider:Summer Fun" v2</t>
  </si>
  <si>
    <t>BuckandArchie_SummerFun_Retouching</t>
  </si>
  <si>
    <t>Still Photography Production</t>
  </si>
  <si>
    <t>KentWilsonStudio_SummerFun_Stills</t>
  </si>
  <si>
    <t>Interstate_SummerFun_Stills</t>
  </si>
  <si>
    <t>BuckandArchie_SummerFun_Stills</t>
  </si>
  <si>
    <t>Music</t>
  </si>
  <si>
    <t>AEM "Kelly Summer Spritzer || Q2 Summer Blitz"</t>
  </si>
  <si>
    <t>ArnoldEstherMusic_SummerFun_Music</t>
  </si>
  <si>
    <t>"Summer Fun" - Special Oaks Music</t>
  </si>
  <si>
    <t>SpecialOaks_SummerFun_Music</t>
  </si>
  <si>
    <t>Tone &amp; Logic</t>
  </si>
  <si>
    <t>T+L for "Kelly's Summer Fun"</t>
  </si>
  <si>
    <t>ToneandLogic_SummerFun_Music</t>
  </si>
  <si>
    <t>The Traveller UK</t>
  </si>
  <si>
    <t>Europe</t>
  </si>
  <si>
    <t>Dewey North</t>
  </si>
  <si>
    <t>Dewey North 107º</t>
  </si>
  <si>
    <t>Last Station Group</t>
  </si>
  <si>
    <t>The Sophisticated Traveller</t>
  </si>
  <si>
    <t>Special Oaks"The Traveller UK"</t>
  </si>
  <si>
    <t>Special Oaks</t>
  </si>
  <si>
    <t>Love Language</t>
  </si>
  <si>
    <t>Love Language "The Traveller UK"</t>
  </si>
  <si>
    <t>Love126</t>
  </si>
  <si>
    <t>Love Language "The Traveller UK" - MUSIC ONLY</t>
  </si>
  <si>
    <t>LoveLanguage_TheTravellerUK_Music</t>
  </si>
  <si>
    <t>Frequency Presentation for "The Traveller UK"</t>
  </si>
  <si>
    <t>Frequency_TheTravellerUK_Music</t>
  </si>
  <si>
    <t>AEM "Dewey North || The Sophisticated Traveller (UK)"</t>
  </si>
  <si>
    <t>ArnoldEstherMusic_TheTravellerUK_Music</t>
  </si>
  <si>
    <t>EFX VFX</t>
  </si>
  <si>
    <t>VFX</t>
  </si>
  <si>
    <t>EFXvfx \\ "The Traveller UK" \\ v3</t>
  </si>
  <si>
    <t>EFXVFX_TheTravellerUK_VFX</t>
  </si>
  <si>
    <t>v2 - "The Traveller UK" //SORCERY</t>
  </si>
  <si>
    <t>Sorcery_TheTravellerUK_VFX</t>
  </si>
  <si>
    <t>colorMaven for "The Traveller UK" v3</t>
  </si>
  <si>
    <t>ColorMaven_TheTravellerUK_Finishing</t>
  </si>
  <si>
    <t>Andiamo Images</t>
  </si>
  <si>
    <t>Andiamo for "The Traveller" (UK Version)</t>
  </si>
  <si>
    <t>AndiamoImages_TheTravellerUK_Finishing</t>
  </si>
  <si>
    <t>‚ÄúThe Traveller UK‚Äù - POI</t>
  </si>
  <si>
    <t>PersonsofInterest_TheTravellerUK_Finishing</t>
  </si>
  <si>
    <t>Myrtle Row Editorial</t>
  </si>
  <si>
    <t>MyrtleRow_TheTravellerUK_Edit</t>
  </si>
  <si>
    <t>TotalCuts_TheTravellerUK_Edit</t>
  </si>
  <si>
    <t>Fightclub_TheTravellerUK_Edit</t>
  </si>
  <si>
    <t>Harmony &amp; Light</t>
  </si>
  <si>
    <t>harmony_and_Light_TheTravellerUK_Green</t>
  </si>
  <si>
    <t>Level12_TheTravellerUK_Green</t>
  </si>
  <si>
    <t>OpenFrameworks_TheTravellerUK_Green</t>
  </si>
  <si>
    <t>harmony_and_Light_TheTravellerUK_Covid</t>
  </si>
  <si>
    <t>Level12_TheTravellerUK_Covid</t>
  </si>
  <si>
    <t>OpenFrameworks_TheTravellerUK_Covid</t>
  </si>
  <si>
    <t>harmony_and_Light_TheTravellerUK_LiveAction</t>
  </si>
  <si>
    <t>Level12_TheTravellerUK_LiveAction</t>
  </si>
  <si>
    <t>OpenFrameworks_TheTravellerUK_LiveAction</t>
  </si>
  <si>
    <t>The Traveller US</t>
  </si>
  <si>
    <t>North America</t>
  </si>
  <si>
    <t>Top Notch Creative</t>
  </si>
  <si>
    <t>Earwax "The Traveller US"</t>
  </si>
  <si>
    <t>Earwax</t>
  </si>
  <si>
    <t>Audio Lab Technologies</t>
  </si>
  <si>
    <t>Audio Lab"The Traveller US"</t>
  </si>
  <si>
    <t>Audio_85</t>
  </si>
  <si>
    <t>Behind The Scenes (BTS)</t>
  </si>
  <si>
    <t>The Traveller (US Version)</t>
  </si>
  <si>
    <t>Club101_SummerFun_BTS</t>
  </si>
  <si>
    <t>Test Flight Productions</t>
  </si>
  <si>
    <t>The Traveller (for US)</t>
  </si>
  <si>
    <t>TestFlight_TheTravellerUS_BTS</t>
  </si>
  <si>
    <t>The Traveller US V2</t>
  </si>
  <si>
    <t>CHAW_TheTravellerUS_BTSv2</t>
  </si>
  <si>
    <t>T+L for "Dewey North - The Traveller (US)"</t>
  </si>
  <si>
    <t>ToneandLogic_TheTravellerUS_Music</t>
  </si>
  <si>
    <t>Love Language "The Traveller US" v2</t>
  </si>
  <si>
    <t>LoveLanguage_TheTravellerUS_Music</t>
  </si>
  <si>
    <t>Frequency Presentation for "The Traveller US "</t>
  </si>
  <si>
    <t>Frequency_TheTravellerUS_Music</t>
  </si>
  <si>
    <t>‚ÄúThe Traveller US ‚Äù - POI</t>
  </si>
  <si>
    <t>PersonsofInterest_TheTravellerUS_Finishing</t>
  </si>
  <si>
    <t>EB "The Traveller US"</t>
  </si>
  <si>
    <t>EvanBanderLLC_TheTravellerUS_Finishing</t>
  </si>
  <si>
    <t>The Dub House</t>
  </si>
  <si>
    <t>‚ÄúThe Traveller US‚Äù | Dub House</t>
  </si>
  <si>
    <t>TheDubHouse_TheTravellerUS_Finishing</t>
  </si>
  <si>
    <t>TotalCuts_TheTravellerUS_Edit</t>
  </si>
  <si>
    <t>The Closet</t>
  </si>
  <si>
    <t>TheCloset_TheTravellerUS_Edit</t>
  </si>
  <si>
    <t>SaksStreetEdit_TheTravellerUS_Edit</t>
  </si>
  <si>
    <t>TestFlight_TheTravellerUS_Green</t>
  </si>
  <si>
    <t>CHAW_TheTravellersFriend_Green</t>
  </si>
  <si>
    <t>Club101_TheTravellerUS_Covid</t>
  </si>
  <si>
    <t>TestFlight_TheTravellerUS_Covid</t>
  </si>
  <si>
    <t>CHAW_TheTravellerUS_Covid</t>
  </si>
  <si>
    <t>Club101_TheTravellerUS_LiveAction</t>
  </si>
  <si>
    <t>TestFlight_TheTravellerUS_LiveAction</t>
  </si>
  <si>
    <t>CHAW_TheTravellerUS_LiveAction</t>
  </si>
  <si>
    <t>The Traveller Settles Down</t>
  </si>
  <si>
    <t>Dewey North 80¬∫</t>
  </si>
  <si>
    <t>Earwax "The Traveller Settles Down"</t>
  </si>
  <si>
    <t>Sound Monster</t>
  </si>
  <si>
    <t>Sound Monster"The Traveller Settles Down"</t>
  </si>
  <si>
    <t>"The Traveller Settles Down" v2</t>
  </si>
  <si>
    <t>M52_TheTravellerSettlesDown_Music</t>
  </si>
  <si>
    <t>Love Language "The Traveller Settles Down" v2</t>
  </si>
  <si>
    <t>LoveLanguage_TheTravellerSettlesDown_Music</t>
  </si>
  <si>
    <t>T+L for "Dewey North - The Traveller Settles Down"</t>
  </si>
  <si>
    <t>ToneandLogic_TheTravellerSettlesDown_Music</t>
  </si>
  <si>
    <t>Sorcery</t>
  </si>
  <si>
    <t>v5 - "The Traveller Settles Down" //SORCERY</t>
  </si>
  <si>
    <t>Sorcery_TheTravellerSettlesDown_VFX</t>
  </si>
  <si>
    <t>"The Traveller Settles Down" JOB #4001</t>
  </si>
  <si>
    <t>TerminalOutput_TheTravellerSettlesDown_VFX</t>
  </si>
  <si>
    <t>"The Traveller Settles Down" by CJ #4</t>
  </si>
  <si>
    <t>CalamityJane_TheTravellerSettlesDown_VFX</t>
  </si>
  <si>
    <t>The Traveller Settles Down Burnish</t>
  </si>
  <si>
    <t>Burnish_TheTravellerSettlesDown_Finishing</t>
  </si>
  <si>
    <t>Witness</t>
  </si>
  <si>
    <t>WITNESS:: The Traveller Settles Down	V2</t>
  </si>
  <si>
    <t>Witness_TheTravellerSettlesDown_Finishing</t>
  </si>
  <si>
    <t>colorMaven "The Traveller Settles Down"</t>
  </si>
  <si>
    <t>ToTo_TheTravellerSettlesDown_Edit</t>
  </si>
  <si>
    <t>Armistice Edit</t>
  </si>
  <si>
    <t>Armistace_TheTravellerSettlesDown_Edit</t>
  </si>
  <si>
    <t>MyrtleRow_TheTravellerSettlesDown_Edit</t>
  </si>
  <si>
    <t>TTSD</t>
  </si>
  <si>
    <t>Interstate_TheTravellerSettlesDown_Green</t>
  </si>
  <si>
    <t>Open Frameworks Image Creation</t>
  </si>
  <si>
    <t>OpenFrameworks_TheTravellerSettlesDown_Green</t>
  </si>
  <si>
    <t>Petulant_TheTravellerSettlesDown_Green</t>
  </si>
  <si>
    <t>Interstate_TheTravellerSettlesDown_Covid</t>
  </si>
  <si>
    <t>OpenFrameworks_TheTravellerSettlesDown_Covid</t>
  </si>
  <si>
    <t>Petulant_TheTravellerSettlesDown_Covid</t>
  </si>
  <si>
    <t>Interstate_TheTravellerSettlesDown_LiveAction</t>
  </si>
  <si>
    <t>OpenFrameworks_TheTravellerSettlesDown_LiveAction</t>
  </si>
  <si>
    <t>Petulant_TheTravellerSettlesDown_LiveAction</t>
  </si>
  <si>
    <t>Designated Dad</t>
  </si>
  <si>
    <t>Walker's</t>
  </si>
  <si>
    <t>Walker's N/A</t>
  </si>
  <si>
    <t>Aster PPK</t>
  </si>
  <si>
    <t>Party Light</t>
  </si>
  <si>
    <t>Sound Monster "Designated Dad"</t>
  </si>
  <si>
    <t>Funny Rabbit "Designated Dad"</t>
  </si>
  <si>
    <t>Funny Rabbit</t>
  </si>
  <si>
    <t>DesDad</t>
  </si>
  <si>
    <t>Interstate_DesignatedDad_Retouching</t>
  </si>
  <si>
    <t>Furrier</t>
  </si>
  <si>
    <t>"Designated Dad" Stills - Furrier</t>
  </si>
  <si>
    <t>Furrier_DesignatedDad_Retouching</t>
  </si>
  <si>
    <t>Buck &amp; Archie "Walker's:Designated Dad" v1</t>
  </si>
  <si>
    <t>BuckandArchie_DesignatedDad_Retouching</t>
  </si>
  <si>
    <t>Interstate_DesignatedDad_Stills</t>
  </si>
  <si>
    <t>Furrier_DesignatedDad_Stills</t>
  </si>
  <si>
    <t>BuckandArchie_DesignatedDad_Stills</t>
  </si>
  <si>
    <t>CHAW_DesignatedDad_LiveAction</t>
  </si>
  <si>
    <t>Club 101</t>
  </si>
  <si>
    <t>Club101_DesignatedDad_LiveAction</t>
  </si>
  <si>
    <t>Petulant_DesignatedDad_LiveAction</t>
  </si>
  <si>
    <t>CHAW_DesignatedDad_Covid</t>
  </si>
  <si>
    <t>Club101_DesignatedDad_Covid</t>
  </si>
  <si>
    <t>Petulant_DesignatedDad_Covid</t>
  </si>
  <si>
    <t>CHAW_DesignatedDad_Green</t>
  </si>
  <si>
    <t>Club101_DesignatedDad_Green</t>
  </si>
  <si>
    <t>Petulant_DesignatedDad_Green</t>
  </si>
  <si>
    <t>TBLLC - Designated Dad v1</t>
  </si>
  <si>
    <t>TimeBomb_DesignatedDad_Edit</t>
  </si>
  <si>
    <t>TheCloset_DesignatedDad_Edit</t>
  </si>
  <si>
    <t>ToTo_DesignatedDad_Edit</t>
  </si>
  <si>
    <t>Here &amp; Now</t>
  </si>
  <si>
    <t>Here &amp; Now for "Designated Dad"</t>
  </si>
  <si>
    <t>HereandNow_DesignatedDad_Finishing</t>
  </si>
  <si>
    <t>"Designated Dad" RSD #452002</t>
  </si>
  <si>
    <t>RackspaceDigital_DesignatedDad_Finishing</t>
  </si>
  <si>
    <t>‚ÄúDesignated Dad‚Äù | Dub House</t>
  </si>
  <si>
    <t>TheDubHouse_DesignatedDad_Finishing</t>
  </si>
  <si>
    <t>Sunday Night Lights</t>
  </si>
  <si>
    <t>Walker's IPA</t>
  </si>
  <si>
    <t>Walker's Brand Films</t>
  </si>
  <si>
    <t>Love Language  "Sunday Night Lights"</t>
  </si>
  <si>
    <t>Love131</t>
  </si>
  <si>
    <t>Arsonist Post</t>
  </si>
  <si>
    <t>Arsonist"Sunday Night Lights"</t>
  </si>
  <si>
    <t>Arsonist</t>
  </si>
  <si>
    <t>Earwax "Sunday Night Lights"</t>
  </si>
  <si>
    <t>Interstate_SundayNightLights_LiveAction</t>
  </si>
  <si>
    <t>SunNightLights</t>
  </si>
  <si>
    <t>Petulant_SundayNightLights_LiveAction</t>
  </si>
  <si>
    <t>OpenFrameworks_SundayNightLights_LiveAction</t>
  </si>
  <si>
    <t>Interstate_SundayNightLights_Covid</t>
  </si>
  <si>
    <t>Petulant_SundayNightLights_Covid</t>
  </si>
  <si>
    <t>OpenFrameworks_SundayNightLights_Covid</t>
  </si>
  <si>
    <t>Interstate_SundayNightLights_Green</t>
  </si>
  <si>
    <t>Petulant_SundayNightLights_Green</t>
  </si>
  <si>
    <t>OpenFrameworks_SundayNightLights_Green</t>
  </si>
  <si>
    <t>TotalCuts_SundayNightLights_Edit</t>
  </si>
  <si>
    <t>Toto</t>
  </si>
  <si>
    <t>ToTo_SundayNightLights_Edit</t>
  </si>
  <si>
    <t>TheCloset_SundayNightLights_Edit</t>
  </si>
  <si>
    <t>‚ÄúSunday Night Lights ‚Äù - POI</t>
  </si>
  <si>
    <t>PersonsofInterest_SundayNightLights_Finishing</t>
  </si>
  <si>
    <t>"Sunday Night Lights" Andiamo</t>
  </si>
  <si>
    <t>AndiamoImages_SundayNightLights_Finishing</t>
  </si>
  <si>
    <t>"Sunday Night Lights" RSD #45299</t>
  </si>
  <si>
    <t>RackspaceDigital_SundayNightLights_Finishing</t>
  </si>
  <si>
    <t>Interstate_SundayNightLights_Stills</t>
  </si>
  <si>
    <t>CHAW Creative</t>
  </si>
  <si>
    <t>SNL</t>
  </si>
  <si>
    <t>CHAW_SundayNightLights_Stills</t>
  </si>
  <si>
    <t>Kent Wilson Studio Estimate for "Sunday Night Lights" #1</t>
  </si>
  <si>
    <t>KentWilsonStudio_SundayNightLights_Stills</t>
  </si>
  <si>
    <t>Interstate_SundayNightLights_Retouching</t>
  </si>
  <si>
    <t>CHAW_SundayNightLights_Retouching</t>
  </si>
  <si>
    <t>KentWilsonStudio_SundayNightLights_Retouching</t>
  </si>
  <si>
    <t>Interstate_SundayNightLights_BTS</t>
  </si>
  <si>
    <t>Petulant_SundayNightLights_BTS</t>
  </si>
  <si>
    <t>OpenFrameworks_SundayNightLights_BTS</t>
  </si>
  <si>
    <t>On the Moors</t>
  </si>
  <si>
    <t>Cantor Asia Media</t>
  </si>
  <si>
    <t>Special Oaks "On the Moors"</t>
  </si>
  <si>
    <t>Audio Lab"On the Moors"</t>
  </si>
  <si>
    <t>Audio_87</t>
  </si>
  <si>
    <t>AudioFantasy"OnTheMoors"</t>
  </si>
  <si>
    <t>AudioFantasyBid</t>
  </si>
  <si>
    <t>Level12_OntheMoors_LiveAction</t>
  </si>
  <si>
    <t>Moors</t>
  </si>
  <si>
    <t>Petulant_OntheMoors_LiveAction</t>
  </si>
  <si>
    <t>OpenFrameworks_OntheMoors_LiveAction</t>
  </si>
  <si>
    <t>Level12_OntheMoors_Covid</t>
  </si>
  <si>
    <t>Petulant_OntheMoors_Covid</t>
  </si>
  <si>
    <t>OpenFrameworks_OntheMoors_Covid</t>
  </si>
  <si>
    <t>Level12_OntheMoors_Green</t>
  </si>
  <si>
    <t>Petulant_OntheMoors_Green</t>
  </si>
  <si>
    <t>OpenFrameworks_OntheMoors_Green</t>
  </si>
  <si>
    <t>TBLLC - On the Moors 4/6/23 v3</t>
  </si>
  <si>
    <t>TimeBomb_OntheMoors_Edit</t>
  </si>
  <si>
    <t>Armistace_OntheMoors_Edit</t>
  </si>
  <si>
    <t>Here &amp; Now for "On the Moors"</t>
  </si>
  <si>
    <t>HereandNow_OntheMoors_Finishing</t>
  </si>
  <si>
    <t>EB "On the Moors"</t>
  </si>
  <si>
    <t>EvanBanderLLC_OntheMoors_Finishing</t>
  </si>
  <si>
    <t>"On the Moors" RSD #452078</t>
  </si>
  <si>
    <t>RackspaceDigital_OntheMoors_Finishing</t>
  </si>
  <si>
    <t>Level12_OntheMoors_BTS</t>
  </si>
  <si>
    <t>Petulant_OntheMoors_BTS</t>
  </si>
  <si>
    <t>OpenFrameworks_OntheMoors_BTS</t>
  </si>
  <si>
    <t>Trapeze</t>
  </si>
  <si>
    <t>Walker Lives!</t>
  </si>
  <si>
    <t>AudioFantasy"Trapeze"</t>
  </si>
  <si>
    <t>Arsonist"Trapeze"</t>
  </si>
  <si>
    <t>Audio Labs "Trapeze"</t>
  </si>
  <si>
    <t>Audio_88</t>
  </si>
  <si>
    <t>CHAW_Trapeze_LiveAction</t>
  </si>
  <si>
    <t>TestFlight_Trapeze_LiveAction</t>
  </si>
  <si>
    <t>Petulant_Trapeze_LiveAction</t>
  </si>
  <si>
    <t>CHAW_Trapeze_Covid</t>
  </si>
  <si>
    <t>TestFlight_Trapeze_Covid</t>
  </si>
  <si>
    <t>Petulant_Trapeze_Covid</t>
  </si>
  <si>
    <t>CHAW_Trapeze_Green</t>
  </si>
  <si>
    <t>TestFlight_Trapeze_Green</t>
  </si>
  <si>
    <t>Petulant_Trapeze_Green</t>
  </si>
  <si>
    <t>TheCloset_Trapeze_Edit</t>
  </si>
  <si>
    <t>TBLLC - Trapeze 11/12</t>
  </si>
  <si>
    <t>TimeBomb_Trapeze_Edit</t>
  </si>
  <si>
    <t>Total Cuts Post</t>
  </si>
  <si>
    <t>TotalCuts_Trapeze_Edit</t>
  </si>
  <si>
    <t>"Trapeze" RSD #452045</t>
  </si>
  <si>
    <t>RackspaceDigital_Trapeze_Finishing</t>
  </si>
  <si>
    <t>EB "Trapeze"</t>
  </si>
  <si>
    <t>EvanBanderLLC_Trapeze_Finishing</t>
  </si>
  <si>
    <t>‚ÄúTrapeze‚Äù | Dub House</t>
  </si>
  <si>
    <t>TheDubHouse_Trapeze_Finishing</t>
  </si>
  <si>
    <t>"Trapeze" - Special Oaks Music</t>
  </si>
  <si>
    <t>SpecialOaks_Trapeze_Music</t>
  </si>
  <si>
    <t>Arnold Esther Music</t>
  </si>
  <si>
    <t>AEM "Walker's || Walker Lives! (Trapeze)"</t>
  </si>
  <si>
    <t>ArnoldEstherMusic_Trapeze_Music</t>
  </si>
  <si>
    <t>CHAW_Trapeze_BTS</t>
  </si>
  <si>
    <t>TestFlight_Trapeze_BTS</t>
  </si>
  <si>
    <t>Petulant_Trapeze_BTS</t>
  </si>
  <si>
    <t>New Parachute</t>
  </si>
  <si>
    <t>SOUND MONSTER</t>
  </si>
  <si>
    <t>AudioFantasy"NewParachute"</t>
  </si>
  <si>
    <t>audio lab "New Parachute"</t>
  </si>
  <si>
    <t>Audio_90</t>
  </si>
  <si>
    <t>OpenFrameworks_NewParachute_LiveAction</t>
  </si>
  <si>
    <t>NP</t>
  </si>
  <si>
    <t>CHAW_NewParachute_LiveAction</t>
  </si>
  <si>
    <t>OpenFrameworks_NewParachute_Covid</t>
  </si>
  <si>
    <t>CHAW_NewParachute_Covid</t>
  </si>
  <si>
    <t>OpenFrameworks_NewParachute_Green</t>
  </si>
  <si>
    <t>CHAW_NewParachute_Green</t>
  </si>
  <si>
    <t>Armistace_NewParachute_Edit</t>
  </si>
  <si>
    <t>Time Bomb LLC</t>
  </si>
  <si>
    <t>New Parachute / TBLLC v5</t>
  </si>
  <si>
    <t>TimeBomb_NewParachute_Edit</t>
  </si>
  <si>
    <t>‚ÄúNew Parachute‚Äù | Dub House</t>
  </si>
  <si>
    <t>TheDubHouse_NewParachute_Finishing</t>
  </si>
  <si>
    <t>WITNESS:: New Parachute</t>
  </si>
  <si>
    <t>Witness_NewParachute_Finishing</t>
  </si>
  <si>
    <t>colorMaven "New Parachute"</t>
  </si>
  <si>
    <t>ColorMaven_NewParachute_Finishing</t>
  </si>
  <si>
    <t>The Big Guy</t>
  </si>
  <si>
    <t>Tread Lightly by Walker</t>
  </si>
  <si>
    <t>FunnyRabbit"The Big Guy"</t>
  </si>
  <si>
    <t>Audio_32</t>
  </si>
  <si>
    <t>Arsonist"The Big Guy"</t>
  </si>
  <si>
    <t>AudioFantasy"TheBigGuy"</t>
  </si>
  <si>
    <t>Frequency Presentation for "The Big Guy"</t>
  </si>
  <si>
    <t>Frequency_TheBigGuy_Music</t>
  </si>
  <si>
    <t>"The Big Guy" - Special Oaks Music</t>
  </si>
  <si>
    <t>SpecialOaks_TheBigGuy_Music</t>
  </si>
  <si>
    <t>"The Big Guy" Stills - Furrier</t>
  </si>
  <si>
    <t>Furrier_TheBigGuy_Stills</t>
  </si>
  <si>
    <t>Buck &amp; Archie "Walker's:The Big Guy" v3</t>
  </si>
  <si>
    <t>BuckandArchie_TheBigGuy_Stills</t>
  </si>
  <si>
    <t>Kent Wilson Studio</t>
  </si>
  <si>
    <t>Kent Wilson Studio Estimate for "The Big Guy" #1 v2 (2 days)</t>
  </si>
  <si>
    <t>KentWilsonStudio_TheBigGuy_Stills</t>
  </si>
  <si>
    <t>Edith Mayer ‚ÄúParty Light/The Big Guy‚Äù V1</t>
  </si>
  <si>
    <t>EdithMayerCo_TheBigGuy_VFX</t>
  </si>
  <si>
    <t>The Alliance</t>
  </si>
  <si>
    <t>TheAlliance_TheBigGuy_VFX</t>
  </si>
  <si>
    <t>TestFlight_TheBigGuy_LiveAction</t>
  </si>
  <si>
    <t>TBG</t>
  </si>
  <si>
    <t>OpenFrameworks_TheBigGuy_LiveAction</t>
  </si>
  <si>
    <t>CHAW_TheBigGuy_LiveAction</t>
  </si>
  <si>
    <t>TestFlight_TheBigGuy_Covid</t>
  </si>
  <si>
    <t>OpenFrameworks_TheBigGuy_Covid</t>
  </si>
  <si>
    <t>CHAW_TheBigGuy_Covid</t>
  </si>
  <si>
    <t>TestFlight_TheBigGuy_Green</t>
  </si>
  <si>
    <t>OpenFrameworks_TheBigGuy_Green</t>
  </si>
  <si>
    <t>CHAW_TheBigGuy_Green</t>
  </si>
  <si>
    <t>Furrier_TheBigGuy_Retouching</t>
  </si>
  <si>
    <t>BuckandArchie_TheBigGuy_Retouching</t>
  </si>
  <si>
    <t>KentWilsonStudio_TheBigGuy_Retouching</t>
  </si>
  <si>
    <t>A Better Birthday</t>
  </si>
  <si>
    <t>Audio_70</t>
  </si>
  <si>
    <t>Earwax "A Better Birthday"</t>
  </si>
  <si>
    <t>audio Labs "A Better Birthday"</t>
  </si>
  <si>
    <t>Audio_92</t>
  </si>
  <si>
    <t>TestFlight_ABetterBirthday_LiveAction</t>
  </si>
  <si>
    <t>harmony_and_Light_ABetterBirthday_LiveAction</t>
  </si>
  <si>
    <t>Interstate_ABetterBirthday_LiveAction</t>
  </si>
  <si>
    <t>TestFlight_ABetterBirthday_Covid</t>
  </si>
  <si>
    <t>harmony_and_Light_ABetterBirthday_Covid</t>
  </si>
  <si>
    <t>Interstate_ABetterBirthday_Covid</t>
  </si>
  <si>
    <t>TestFlight_ABetterBirthday_Green</t>
  </si>
  <si>
    <t>harmony_and_Light_ABetterBirthday_Green</t>
  </si>
  <si>
    <t>Interstate_ABetterBirthday_Green</t>
  </si>
  <si>
    <t>MyrtleRow_ABetterBirthday_Edit</t>
  </si>
  <si>
    <t>ToTo_ABetterBirthday_Edit</t>
  </si>
  <si>
    <t>Idea Manufacturing</t>
  </si>
  <si>
    <t>TIme Bomb - A Better Birthday</t>
  </si>
  <si>
    <t>TimeBomb_ABetterBirthday_Edit</t>
  </si>
  <si>
    <t>Here &amp; Now for¬†"A Better Birthday"</t>
  </si>
  <si>
    <t>HereandNow_ABetterBirthday_Finishing</t>
  </si>
  <si>
    <t>WITNESS:: A Better Birthday</t>
  </si>
  <si>
    <t>Witness_ABetterBirthday_Finishing</t>
  </si>
  <si>
    <t>A Better Birthday - Burnish</t>
  </si>
  <si>
    <t>Burnish_ABetterBirthday_Finishing</t>
  </si>
  <si>
    <t>The Reunion Gig</t>
  </si>
  <si>
    <t>OpenFrameworks_TheReunionGig_LiveAction</t>
  </si>
  <si>
    <t>harmony_and_Light_TheReunionGig_LiveAction</t>
  </si>
  <si>
    <t>TRG</t>
  </si>
  <si>
    <t>Petulant_TheReunionGig_LiveAction</t>
  </si>
  <si>
    <t>AUdio Labs  "The Reunion Gig"</t>
  </si>
  <si>
    <t>Audio_93</t>
  </si>
  <si>
    <t>Arsonist"The Reunion Gig"</t>
  </si>
  <si>
    <t>OpenFrameworks_TheReunionGig_Covid</t>
  </si>
  <si>
    <t>harmony_and_Light_TheReunionGig_Covid</t>
  </si>
  <si>
    <t>Petulant_TheReunionGig_Covid</t>
  </si>
  <si>
    <t>OpenFrameworks_TheReunionGig_Green</t>
  </si>
  <si>
    <t>harmony_and_Light_TheReunionGig_Green</t>
  </si>
  <si>
    <t>Petulant_TheReunionGig_Green</t>
  </si>
  <si>
    <t>Fight Club</t>
  </si>
  <si>
    <t>Fightclub_TheReunionGig_Edit</t>
  </si>
  <si>
    <t>TRG v4</t>
  </si>
  <si>
    <t>TotalCuts_TheReunionGig_Edit</t>
  </si>
  <si>
    <t>‚ÄúThe Reunion Gig‚Äù | Dub House</t>
  </si>
  <si>
    <t>TheDubHouse_TheReunionGig_Finishing</t>
  </si>
  <si>
    <t>"The Reunion Gig" Andiamo</t>
  </si>
  <si>
    <t>AndiamoImages_TheReunionGig_Finishing</t>
  </si>
  <si>
    <t>EB  "The Reunion Gig"</t>
  </si>
  <si>
    <t>EvanBanderLLC_TheReunionGig_Finishing</t>
  </si>
  <si>
    <t>Ethically Tarnished</t>
  </si>
  <si>
    <t>Cleaning Products</t>
  </si>
  <si>
    <t>Color Guard</t>
  </si>
  <si>
    <t>Color Guard Finishers</t>
  </si>
  <si>
    <t>Dirty John</t>
  </si>
  <si>
    <t>Armistace_EthicallyTarnished_Edit</t>
  </si>
  <si>
    <t>TotalCuts_EthicallyTarnished_Edit</t>
  </si>
  <si>
    <t>Margin Five</t>
  </si>
  <si>
    <t>Margin5_EthicallyTarnished_Edit</t>
  </si>
  <si>
    <t>Moral Stains</t>
  </si>
  <si>
    <t>Arosnist"Moral Stains"</t>
  </si>
  <si>
    <t>Love Language "Moral Stains"</t>
  </si>
  <si>
    <t>Love133</t>
  </si>
  <si>
    <t>TestFlight_MoralStains_LiveAction</t>
  </si>
  <si>
    <t>OpenFrameworks_MoralStains_LiveAction</t>
  </si>
  <si>
    <t>CHAW_MoralStains_LiveAction</t>
  </si>
  <si>
    <t>TestFlight_MoralStains_Covid</t>
  </si>
  <si>
    <t>OpenFrameworks_MoralStains_Covid</t>
  </si>
  <si>
    <t>CHAW_MoralStains_Covid</t>
  </si>
  <si>
    <t>SAKS for Moral Stains</t>
  </si>
  <si>
    <t>SaksStreetEdit_MoralStains_Edit</t>
  </si>
  <si>
    <t>TheCloset_MoralStains_Edit</t>
  </si>
  <si>
    <t>Armistace_MoralStains_Edit</t>
  </si>
  <si>
    <t>Rackspace Digital</t>
  </si>
  <si>
    <t>"Moral Stains" RSD #452034</t>
  </si>
  <si>
    <t>RackspaceDigital_MoralStains_Finishing</t>
  </si>
  <si>
    <t>EB "Moral Stains"</t>
  </si>
  <si>
    <t>EvanBanderLLC_MoralStains_Finishing</t>
  </si>
  <si>
    <t>A Horse of a Different Color</t>
  </si>
  <si>
    <t>Margin5_AHorseofaDifferentColor_Edit</t>
  </si>
  <si>
    <t>TimeBomb - A Horse of a Different Color</t>
  </si>
  <si>
    <t>TimeBomb_AHorseofaDifferentColor_Edit</t>
  </si>
  <si>
    <t>Fightclub_AHorseofaDifferentColor_Edit</t>
  </si>
  <si>
    <t>Stay Colorful</t>
  </si>
  <si>
    <t>Color Guard Vivid</t>
  </si>
  <si>
    <t>Audio Labs "Stay Colorful"</t>
  </si>
  <si>
    <t>Audio_94</t>
  </si>
  <si>
    <t>FunnyRabbit"Stay Colorful"</t>
  </si>
  <si>
    <t>FunnyRabbit</t>
  </si>
  <si>
    <t>Earwax "Stay Colorful"</t>
  </si>
  <si>
    <t>Here &amp; Now for¬†"Stay Colorful"</t>
  </si>
  <si>
    <t>HereandNow_StayColorful_Finishing</t>
  </si>
  <si>
    <t>"Stay Colorful" RSD #452099</t>
  </si>
  <si>
    <t>RackspaceDigital_StayColorful_Finishing</t>
  </si>
  <si>
    <t>Fightclub_StayColorful_Edit</t>
  </si>
  <si>
    <t>MyrtleRow_StayColorful_Edit</t>
  </si>
  <si>
    <t>Petulant_StayColorful_Covid</t>
  </si>
  <si>
    <t>Geoffrey Monty Allen</t>
  </si>
  <si>
    <t>Interstate_StayColorful_Covid</t>
  </si>
  <si>
    <t>Petulant_StayColorful_LiveAction</t>
  </si>
  <si>
    <t>Interstate_StayColorful_LiveAction</t>
  </si>
  <si>
    <t>Not My Baby</t>
  </si>
  <si>
    <t>Tinkerbell</t>
  </si>
  <si>
    <t>Tinkerbell Cling-Free Dryer Sheets</t>
  </si>
  <si>
    <t>The Mom Show</t>
  </si>
  <si>
    <t>FunnyRabbit "Not My Baby"</t>
  </si>
  <si>
    <t>Audio Labs "Not My Baby"</t>
  </si>
  <si>
    <t>Audio_95</t>
  </si>
  <si>
    <t>Arsonist"Not My Baby"</t>
  </si>
  <si>
    <t>Mighty_NotMyBaby_BTS</t>
  </si>
  <si>
    <t>Petulant_NotMyBaby_BTS</t>
  </si>
  <si>
    <t>harmony_and_Light_NotMyBaby_BTS</t>
  </si>
  <si>
    <t>‚ÄúNot My Baby‚Äù | Dub House</t>
  </si>
  <si>
    <t>TheDubHouse_NotMyBaby_Finishing</t>
  </si>
  <si>
    <t>Not My Baby - Burnish</t>
  </si>
  <si>
    <t>Burnish_NotMyBaby_Finishing</t>
  </si>
  <si>
    <t>colorMaven "Not My Baby" v3</t>
  </si>
  <si>
    <t>ColorMaven_NotMyBaby_Finishing</t>
  </si>
  <si>
    <t>TotalCuts_NotMyBaby_Edit</t>
  </si>
  <si>
    <t>Armistace_NotMyBaby_Edit</t>
  </si>
  <si>
    <t>Mighty_NotMyBaby_Green</t>
  </si>
  <si>
    <t>Petulant_NotMyBaby_Green</t>
  </si>
  <si>
    <t>harmony_and_Light_NotMyBaby_Green</t>
  </si>
  <si>
    <t>Mighty_NotMyBaby_Covid</t>
  </si>
  <si>
    <t>Petulant_NotMyBaby_Covid</t>
  </si>
  <si>
    <t>harmony_and_Light_NotMyBaby_Covid</t>
  </si>
  <si>
    <t>Mighty_NotMyBaby_LiveAction</t>
  </si>
  <si>
    <t>Petulant_NotMyBaby_LiveAction</t>
  </si>
  <si>
    <t>harmony_and_Light_NotMyBaby_LiveAction</t>
  </si>
  <si>
    <t>Hold the Ketchup!</t>
  </si>
  <si>
    <t>Tinkerbell Crystal Clear</t>
  </si>
  <si>
    <t>Love Language "Hold the Ketchup!"</t>
  </si>
  <si>
    <t>Love135</t>
  </si>
  <si>
    <t>TestFlight_HoldtheKetchup_LiveAction</t>
  </si>
  <si>
    <t>Ketchup</t>
  </si>
  <si>
    <t>OpenFrameworks_HoldtheKetchup_LiveAction</t>
  </si>
  <si>
    <t>Margin5_HoldtheKetchup_Edit</t>
  </si>
  <si>
    <t>Fightclub_HoldtheKetchup_Edit</t>
  </si>
  <si>
    <t>SAKS - Hold the Ketchup! 5/12 v3</t>
  </si>
  <si>
    <t>SaksStreetEdit_HoldtheKetchup_Edit</t>
  </si>
  <si>
    <t>‚ÄúHold the Ketchup!‚Äù | Dub House</t>
  </si>
  <si>
    <t>TheDubHouse_HoldtheKetchup_Finishing</t>
  </si>
  <si>
    <t>"Hold the Ketchup!"  RSD #452088</t>
  </si>
  <si>
    <t>RackspaceDigital_HoldtheKetchup_Finishing</t>
  </si>
  <si>
    <t>Hold the Ketchup Finishing -  Burnish</t>
  </si>
  <si>
    <t>Burnish_HoldtheKetchup_Finishing</t>
  </si>
  <si>
    <t>TestFlight_HoldtheKetchup_Covid</t>
  </si>
  <si>
    <t>OpenFrameworks_HoldtheKetchup_Covid</t>
  </si>
  <si>
    <t>TestFlight_HoldtheKetchup_Green</t>
  </si>
  <si>
    <t>OpenFrameworks_HoldtheKetchup_Green</t>
  </si>
  <si>
    <t>TestFlight_HoldtheKetchup_BTS</t>
  </si>
  <si>
    <t>OpenFrameworks_HoldtheKetchup_BTS</t>
  </si>
  <si>
    <t>I'll Take Your Word For It</t>
  </si>
  <si>
    <t>Ultra White</t>
  </si>
  <si>
    <t>Ultra White Plus</t>
  </si>
  <si>
    <t>Blindingly Bright</t>
  </si>
  <si>
    <t>Audio Labs "I'll Take Your Word For It"</t>
  </si>
  <si>
    <t>Audio_97</t>
  </si>
  <si>
    <t>Sound Monster "I'll Take Your Word For It"</t>
  </si>
  <si>
    <t>‚ÄúI'll Take Your Word For It‚Äù | Dub House</t>
  </si>
  <si>
    <t>TheDubHouse_IllTakeYourWordForIt_Finishing</t>
  </si>
  <si>
    <t>colorMaven "I'll Take Your Word For It"</t>
  </si>
  <si>
    <t>ColorMaven_IllTakeYourWordForIt_Finishing</t>
  </si>
  <si>
    <t>EB "I'll Take Your Word For It"</t>
  </si>
  <si>
    <t>EvanBanderLLC_IllTakeYourWordForIt_Finishing</t>
  </si>
  <si>
    <t>"I'll Take Your Word For It" V2</t>
  </si>
  <si>
    <t>Margin5_IllTakeYourWordForIt_Edit</t>
  </si>
  <si>
    <t>ITYWFI - TimeBomb</t>
  </si>
  <si>
    <t>TimeBomb_IllTakeYourWordForIt_Edit</t>
  </si>
  <si>
    <t>"I'll Take Your Word For It" Rev 3</t>
  </si>
  <si>
    <t>Fightclub_IllTakeYourWordForIt_Edit</t>
  </si>
  <si>
    <t>Mighty Industry</t>
  </si>
  <si>
    <t>Mighty_IllTakeYourWordForIt_LiveAction</t>
  </si>
  <si>
    <t>ITYWFI</t>
  </si>
  <si>
    <t>Petulant_IllTakeYourWordForIt_LiveAction</t>
  </si>
  <si>
    <t>Crash</t>
  </si>
  <si>
    <t>Earwax"Crash"</t>
  </si>
  <si>
    <t>Love language "Crash"</t>
  </si>
  <si>
    <t>Love136</t>
  </si>
  <si>
    <t>Crash - Burnish</t>
  </si>
  <si>
    <t>Burnish_Crash_Finishing</t>
  </si>
  <si>
    <t>Here &amp; Now for¬†"Crash"</t>
  </si>
  <si>
    <t>HereandNow_Crash_Finishing</t>
  </si>
  <si>
    <t>"Crash" RSD #452077</t>
  </si>
  <si>
    <t>RackspaceDigital_Crash_Finishing</t>
  </si>
  <si>
    <t>TheCloset_Crash_Edit</t>
  </si>
  <si>
    <t>Fightclub_Crash_Edit</t>
  </si>
  <si>
    <t>Crash/SAKS</t>
  </si>
  <si>
    <t>SaksStreetEdit_Crash_Edit</t>
  </si>
  <si>
    <t>Mighty_Crash_LiveAction</t>
  </si>
  <si>
    <t>Level12_Crash_LiveAction</t>
  </si>
  <si>
    <t>harmony_and_Light_Crash_LiveAction</t>
  </si>
  <si>
    <t>One Time Hero</t>
  </si>
  <si>
    <t>Ultra White Singles</t>
  </si>
  <si>
    <t>Earwax"One Time Hero"</t>
  </si>
  <si>
    <t>Arsonist"One Time Hero"</t>
  </si>
  <si>
    <t>WITNESS:: OTH</t>
  </si>
  <si>
    <t>Witness_OneTimeHero_Finishing</t>
  </si>
  <si>
    <t>colorMaven "One Time Hero"</t>
  </si>
  <si>
    <t>ColorMaven_OneTimeHero_Finishing</t>
  </si>
  <si>
    <t>Here &amp; Now for¬†"One Time Hero"</t>
  </si>
  <si>
    <t>HereandNow_OneTimeHero_Finishing</t>
  </si>
  <si>
    <t>One Time Hero TBLLC</t>
  </si>
  <si>
    <t>TimeBomb_OneTimeHero_Edit</t>
  </si>
  <si>
    <t>Armistace_OneTimeHero_Edit</t>
  </si>
  <si>
    <t>O.T.H.</t>
  </si>
  <si>
    <t>OpenFrameworks_OneTimeHero_LiveAction</t>
  </si>
  <si>
    <t>One TIme Hero</t>
  </si>
  <si>
    <t>Interstate_OneTimeHero_LiveAction</t>
  </si>
  <si>
    <t>OTH</t>
  </si>
  <si>
    <t>CHAW_OneTimeHero_LiveAction</t>
  </si>
  <si>
    <t>Never Say Never (ever)</t>
  </si>
  <si>
    <t>FunnyRabbit"Never Say Never (ever)"</t>
  </si>
  <si>
    <t>Audio Fantasy "Never Say Never (ever)"</t>
  </si>
  <si>
    <t>EB "Never Say Never (ever)"</t>
  </si>
  <si>
    <t>EvanBanderLLC_NeverSayNever(ever)_Finishing</t>
  </si>
  <si>
    <t>Here &amp; Now for¬†"Never Say Never (ever)"</t>
  </si>
  <si>
    <t>HereandNow_NeverSayNever(ever)_Finishing</t>
  </si>
  <si>
    <t>‚ÄúNever Say Never (ever) ‚Äù - POI</t>
  </si>
  <si>
    <t>PersonsofInterest_NeverSayNever(ever)_Finishing</t>
  </si>
  <si>
    <t>ToTo_NeverSayNever(ever)_Edit</t>
  </si>
  <si>
    <t>Never Say Never</t>
  </si>
  <si>
    <t>TotalCuts_NeverSayNever(ever)_Edit</t>
  </si>
  <si>
    <t>MyrtleRow_NeverSayNever(ever)_Edit</t>
  </si>
  <si>
    <t>harmony_and_Light_NeverSayNeverever_LiveAction</t>
  </si>
  <si>
    <t>Level 12 Shooters Inc</t>
  </si>
  <si>
    <t>NSN(e)</t>
  </si>
  <si>
    <t>Level12_NeverSayNeverever_LiveAction</t>
  </si>
  <si>
    <t>NSNe</t>
  </si>
  <si>
    <t>OpenFrameworks_NeverSayNeverever_LiveAction</t>
  </si>
  <si>
    <t>I Slipped</t>
  </si>
  <si>
    <t>Ultra White Tile &amp; Tub</t>
  </si>
  <si>
    <t>Arsonist"I Slipped"</t>
  </si>
  <si>
    <t>Earwax "I Slipped"</t>
  </si>
  <si>
    <t>"I Slipped"</t>
  </si>
  <si>
    <t>AndiamoImages_ISlipped_Finishing</t>
  </si>
  <si>
    <t>WITNESS::  Slipped</t>
  </si>
  <si>
    <t>Witness_ISlipped_Finishing</t>
  </si>
  <si>
    <t>ColorMaven</t>
  </si>
  <si>
    <t>colorMaven "I Slipped"</t>
  </si>
  <si>
    <t>ColorMaven_ISlipped_Finishing</t>
  </si>
  <si>
    <t>Margin5_ISlipped_Edit</t>
  </si>
  <si>
    <t>TBLLC I Slipped</t>
  </si>
  <si>
    <t>TimeBomb_ISlipped_Edit</t>
  </si>
  <si>
    <t>ToTo_ISlipped_Edit</t>
  </si>
  <si>
    <t>Interstate</t>
  </si>
  <si>
    <t>Interstate_ISlipped_LiveAction</t>
  </si>
  <si>
    <t>Petulant_ISlipped_LiveAction</t>
  </si>
  <si>
    <t>Level12_ISlipped_LiveAction</t>
  </si>
  <si>
    <t>Interstate_ISlipped_Covid</t>
  </si>
  <si>
    <t>Petulant_ISlipped_Covid</t>
  </si>
  <si>
    <t>Level12_ISlipped_Covid</t>
  </si>
  <si>
    <t>Interstate_ISlipped_Green</t>
  </si>
  <si>
    <t>Petulant_ISlipped_Green</t>
  </si>
  <si>
    <t>Level12_ISlipped_Green</t>
  </si>
  <si>
    <t>As Cold as it Gets</t>
  </si>
  <si>
    <t>Special Oaks"As Cold as it Gets"</t>
  </si>
  <si>
    <t>Audio Labs "As Cold as it Gets"</t>
  </si>
  <si>
    <t>Audio_99</t>
  </si>
  <si>
    <t>Sound Monster"As Cold as it Gets"</t>
  </si>
  <si>
    <t>"As Cold as it Gets"</t>
  </si>
  <si>
    <t>AndiamoImages_AsColdasitGets_Finishing</t>
  </si>
  <si>
    <t>WITNESS:: As Cold as it Gets</t>
  </si>
  <si>
    <t>Witness_AsColdasitGets_Finishing</t>
  </si>
  <si>
    <t>SAKS As Cold as it Gets V1</t>
  </si>
  <si>
    <t>SaksStreetEdit_AsColdasitGets_Edit</t>
  </si>
  <si>
    <t>TimeBombe - As Cold as it Gets v2 1/12/22</t>
  </si>
  <si>
    <t>TimeBomb_AsColdasitGets_Edit</t>
  </si>
  <si>
    <t>TheCloset_AsColdasitGets_Edit</t>
  </si>
  <si>
    <t>As Cold As It Gets</t>
  </si>
  <si>
    <t>CHAW_AsColdasitGets_Green</t>
  </si>
  <si>
    <t>TestFlight_AsColdasitGets_Green</t>
  </si>
  <si>
    <t>CHAW_AsColdasitGets_Covid</t>
  </si>
  <si>
    <t>TestFlight_AsColdasitGets_Covid</t>
  </si>
  <si>
    <t>Interstate_AsColdasitGets_Covid</t>
  </si>
  <si>
    <t>CHAW_AsColdasitGets_LiveAction</t>
  </si>
  <si>
    <t>TestFlight_AsColdasitGets_LiveAction</t>
  </si>
  <si>
    <t>Interstate_AsColdasitGets_LiveAction</t>
  </si>
  <si>
    <t>ENVY</t>
  </si>
  <si>
    <t>Snack Foods</t>
  </si>
  <si>
    <t>Big Chew</t>
  </si>
  <si>
    <t>Big Chew Sugarless</t>
  </si>
  <si>
    <t>The Seven Deadly Sins</t>
  </si>
  <si>
    <t>Earwax "ENVY"</t>
  </si>
  <si>
    <t>SOund Monster</t>
  </si>
  <si>
    <t>Interstate_ENVY_Retouching</t>
  </si>
  <si>
    <t>"ENVY" Stills - Furrier</t>
  </si>
  <si>
    <t>Furrier_ENVY_Retouching</t>
  </si>
  <si>
    <t>CHAW_ENVY_Retouching</t>
  </si>
  <si>
    <t>Interstate_ENVY_Stills</t>
  </si>
  <si>
    <t>Furrier_ENVY_Stills</t>
  </si>
  <si>
    <t>CHAW_ENVY_Stills</t>
  </si>
  <si>
    <t>EFXvfx \\ "ENVY" \\ v1.1</t>
  </si>
  <si>
    <t>EFXVFX_ENVY_VFX</t>
  </si>
  <si>
    <t>v1 - "ENVY" //SORCERY</t>
  </si>
  <si>
    <t>Sorcery_ENVY_VFX</t>
  </si>
  <si>
    <t>‚ÄúENVY‚Äù | Dub House</t>
  </si>
  <si>
    <t>TheDubHouse_ENVY_Finishing</t>
  </si>
  <si>
    <t>WITNESS:: ENVY</t>
  </si>
  <si>
    <t>Witness_ENVY_Finishing</t>
  </si>
  <si>
    <t>Armistace_ENVY_Edit</t>
  </si>
  <si>
    <t>ToTo_ENVY_Edit</t>
  </si>
  <si>
    <t>TBomb ENVY</t>
  </si>
  <si>
    <t>TimeBomb_ENVY_Edit</t>
  </si>
  <si>
    <t>TestFlight_ENVY_Green</t>
  </si>
  <si>
    <t>Petulant_ENVY_Green</t>
  </si>
  <si>
    <t>Level12_ENVY_Green</t>
  </si>
  <si>
    <t>TestFlight_ENVY_Covid</t>
  </si>
  <si>
    <t>Petulant_ENVY_Covid</t>
  </si>
  <si>
    <t>Level12_ENVY_Covid</t>
  </si>
  <si>
    <t>TestFlight_ENVY_LiveAction</t>
  </si>
  <si>
    <t>Petulant_ENVY_LiveAction</t>
  </si>
  <si>
    <t>Level12_ENVY_LiveAction</t>
  </si>
  <si>
    <t>GLUTTONY</t>
  </si>
  <si>
    <t>Love Language "GLUTTONY"</t>
  </si>
  <si>
    <t>Love127</t>
  </si>
  <si>
    <t>Club101_GLUTTONY_BTS</t>
  </si>
  <si>
    <t>Gluttony</t>
  </si>
  <si>
    <t>Petulant_GLUTTONY_BTS</t>
  </si>
  <si>
    <t>Interstate_GLUTTONY_Stills</t>
  </si>
  <si>
    <t>"GLUTTONY" Stills - Furrier</t>
  </si>
  <si>
    <t>Furrier_GLUTTONY_Stills</t>
  </si>
  <si>
    <t>TheAlliance_GLUTTONY_VFX</t>
  </si>
  <si>
    <t>"GLUTTONY" JOB #3987</t>
  </si>
  <si>
    <t>TerminalOutput_GLUTTONY_VFX</t>
  </si>
  <si>
    <t>"GLUTTONY" RSD #452021</t>
  </si>
  <si>
    <t>RackspaceDigital_GLUTTONY_Finishing</t>
  </si>
  <si>
    <t>"Gluttony"</t>
  </si>
  <si>
    <t>AndiamoImages_GLUTTONY_Finishing</t>
  </si>
  <si>
    <t>‚ÄúGLUTTONY‚Äù | Dub House</t>
  </si>
  <si>
    <t>TheDubHouse_GLUTTONY_Finishing</t>
  </si>
  <si>
    <t>MyrtleRow_GLUTTONY_Edit</t>
  </si>
  <si>
    <t>TheCloset_GLUTTONY_Edit</t>
  </si>
  <si>
    <t>Club101_GLUTTONY_LiveAction</t>
  </si>
  <si>
    <t>Petulant_GLUTTONY_LiveAction</t>
  </si>
  <si>
    <t>Club101_GLUTTONY_Covid</t>
  </si>
  <si>
    <t>Petulant_GLUTTONY_Covid</t>
  </si>
  <si>
    <t>Club101_GLUTTONY_Green</t>
  </si>
  <si>
    <t>Petulant_GLUTTONY_Green</t>
  </si>
  <si>
    <t>Interstate_GLUTTONY_Retouching</t>
  </si>
  <si>
    <t>Furrier_GLUTTONY_Retouching</t>
  </si>
  <si>
    <t>Suspicion</t>
  </si>
  <si>
    <t>Giggles</t>
  </si>
  <si>
    <t>Poppers</t>
  </si>
  <si>
    <t>Cry Fighters</t>
  </si>
  <si>
    <t>Audio Labs "Suspicion"</t>
  </si>
  <si>
    <t>Audio_103</t>
  </si>
  <si>
    <t>"Suspicion" by CJ #2</t>
  </si>
  <si>
    <t>CalamityJane_Suspicion_VFX</t>
  </si>
  <si>
    <t>TheAlliance_Suspicion_VFX</t>
  </si>
  <si>
    <t>Edith Mayer Co</t>
  </si>
  <si>
    <t>Edith Mayer ‚ÄúCRY FIGHTERS/Suspicion‚Äù v2</t>
  </si>
  <si>
    <t>EdithMayerCo_Suspicion_VFX</t>
  </si>
  <si>
    <t>‚ÄúSuspicion‚Äù - POI</t>
  </si>
  <si>
    <t>PersonsofInterest_Suspicion_Finishing</t>
  </si>
  <si>
    <t>"Suspicion"</t>
  </si>
  <si>
    <t>AndiamoImages_Suspicion_Finishing</t>
  </si>
  <si>
    <t>EB "Suspicion"</t>
  </si>
  <si>
    <t>EvanBanderLLC_Suspicion_Finishing</t>
  </si>
  <si>
    <t>Fightclub_Suspicion_Edit</t>
  </si>
  <si>
    <t>MyrtleRow_Suspicion_Edit</t>
  </si>
  <si>
    <t>ToTo_Suspicion_Edit</t>
  </si>
  <si>
    <t>Petulant_Suspicion_Green</t>
  </si>
  <si>
    <t>Level12_Suspicion_Green</t>
  </si>
  <si>
    <t>harmony_and_Light_Suspicion_Green</t>
  </si>
  <si>
    <t>Petulant_Suspicion_Covid</t>
  </si>
  <si>
    <t>Level12_Suspicion_Covid</t>
  </si>
  <si>
    <t>harmony_and_Light_Suspicion_Covid</t>
  </si>
  <si>
    <t>Petulant_Suspicion_LiveAction</t>
  </si>
  <si>
    <t>Level12_Suspicion_LiveAction</t>
  </si>
  <si>
    <t>harmony_and_Light_Suspicion_LiveAction</t>
  </si>
  <si>
    <t>You Suck!</t>
  </si>
  <si>
    <t>Sour Giggles</t>
  </si>
  <si>
    <t>Kidding (not kidding)</t>
  </si>
  <si>
    <t>Arsonist"You Suck!"</t>
  </si>
  <si>
    <t>Special Oaks"You Suck!"</t>
  </si>
  <si>
    <t>TestFlight_YouSuck_LiveAction</t>
  </si>
  <si>
    <t>Level12_YouSuck_LiveAction</t>
  </si>
  <si>
    <t>Club101_YouSuck_LiveAction</t>
  </si>
  <si>
    <t>TestFlight_YouSuck_Covid</t>
  </si>
  <si>
    <t>Level12_YouSuck_Covid</t>
  </si>
  <si>
    <t>Club101_YouSuck_Covid</t>
  </si>
  <si>
    <t>TestFlight_YouSuck_Green</t>
  </si>
  <si>
    <t>Level12_YouSuck_Green</t>
  </si>
  <si>
    <t>Club101_YouSuck_Green</t>
  </si>
  <si>
    <t>You Suck</t>
  </si>
  <si>
    <t>ToTo_YouSuck_Edit</t>
  </si>
  <si>
    <t>TheCloset_YouSuck_Edit</t>
  </si>
  <si>
    <t>Sour Giggles / You Suck sse</t>
  </si>
  <si>
    <t>SaksStreetEdit_YouSuck_Edit</t>
  </si>
  <si>
    <t>"YS"</t>
  </si>
  <si>
    <t>AndiamoImages_YouSuck_Finishing</t>
  </si>
  <si>
    <t>‚ÄúYou Suck!‚Äù | Dub House</t>
  </si>
  <si>
    <t>TheDubHouse_YouSuck_Finishing</t>
  </si>
  <si>
    <t>"You Suck!" Stills - Furrier¬†</t>
  </si>
  <si>
    <t>Furrier_YouSuck_Stills</t>
  </si>
  <si>
    <t>Interstate_YouSuck_Stills</t>
  </si>
  <si>
    <t>Furrier_YouSuck_Retouching</t>
  </si>
  <si>
    <t>Interstate_YouSuck_Retouching</t>
  </si>
  <si>
    <t>Funeral</t>
  </si>
  <si>
    <t>Huffman's</t>
  </si>
  <si>
    <t>Waffle Chips</t>
  </si>
  <si>
    <t>Louder</t>
  </si>
  <si>
    <t>Arsonist"Funeral"</t>
  </si>
  <si>
    <t>Special Oaks "Funeral"</t>
  </si>
  <si>
    <t>Earwax"Funeral"</t>
  </si>
  <si>
    <t>FUNERAL</t>
  </si>
  <si>
    <t>CHAW_Funeral_Retouching</t>
  </si>
  <si>
    <t>Interstate_Funeral_Retouching</t>
  </si>
  <si>
    <t>CHAW_Funeral_Stills</t>
  </si>
  <si>
    <t>Interstate_Funeral_Stills</t>
  </si>
  <si>
    <t>T+L for ‚ÄúHuffman's - The Funeral"</t>
  </si>
  <si>
    <t>ToneandLogic_Funeral_Music</t>
  </si>
  <si>
    <t>Love Language "Funeral"</t>
  </si>
  <si>
    <t>LoveLanguage_Funeral_Music</t>
  </si>
  <si>
    <t>Frequency Presentation for "The Funeral" (Bluesy Version)</t>
  </si>
  <si>
    <t>Frequency_Funeral_Music</t>
  </si>
  <si>
    <t>‚ÄúFuneral ‚Äù | Dub House</t>
  </si>
  <si>
    <t>TheDubHouse_Funeral_Finishing</t>
  </si>
  <si>
    <t>colorMaven "Funeral" v4</t>
  </si>
  <si>
    <t>ColorMaven_Funeral_Finishing</t>
  </si>
  <si>
    <t>TotalCuts_Funeral_Edit</t>
  </si>
  <si>
    <t>MyrtleRow_Funeral_Edit</t>
  </si>
  <si>
    <t>Petulant_Funeral_Green</t>
  </si>
  <si>
    <t>TestFlight_Funeral_Green</t>
  </si>
  <si>
    <t>harmony_and_Light_Funeral_Green</t>
  </si>
  <si>
    <t>Petulant_Funeral_Covid</t>
  </si>
  <si>
    <t>TestFlight_Funeral_Covid</t>
  </si>
  <si>
    <t>harmony_and_Light_Funeral_Covid</t>
  </si>
  <si>
    <t>Petulant_Funeral_LiveAction</t>
  </si>
  <si>
    <t>TestFlight_Funeral_LiveAction</t>
  </si>
  <si>
    <t>harmony_and_Light_Funeral_LiveAction</t>
  </si>
  <si>
    <t>GOAL!</t>
  </si>
  <si>
    <t>Dipping Dust</t>
  </si>
  <si>
    <t>Messy Messi</t>
  </si>
  <si>
    <t>Audio Labs "GOAL!"</t>
  </si>
  <si>
    <t>Audio_105</t>
  </si>
  <si>
    <t>Love Language "GOAL!"</t>
  </si>
  <si>
    <t>Love138</t>
  </si>
  <si>
    <t>OpenFrameworks_GOAL_LiveAction</t>
  </si>
  <si>
    <t>Petulant_GOAL_LiveAction</t>
  </si>
  <si>
    <t>Level12_GOAL_LiveAction</t>
  </si>
  <si>
    <t>OpenFrameworks_GOAL_Covid</t>
  </si>
  <si>
    <t>Petulant_GOAL_Covid</t>
  </si>
  <si>
    <t>Level12_GOAL_Covid</t>
  </si>
  <si>
    <t>OpenFrameworks_GOAL_Green</t>
  </si>
  <si>
    <t>Petulant_GOAL_Green</t>
  </si>
  <si>
    <t>Level12_GOAL_Green</t>
  </si>
  <si>
    <t>TBLLC - GOAL</t>
  </si>
  <si>
    <t>TimeBomb_GOAL_Edit</t>
  </si>
  <si>
    <t>Armistace_GOAL_Edit</t>
  </si>
  <si>
    <t>ToTo_GOAL_Edit</t>
  </si>
  <si>
    <t>Here &amp; Now for ‚ÄúGOAL!‚Äù</t>
  </si>
  <si>
    <t>HereandNow_GOAL_Finishing</t>
  </si>
  <si>
    <t>Persons of Interest</t>
  </si>
  <si>
    <t>‚ÄúGOAL!‚Äù - POI</t>
  </si>
  <si>
    <t>PersonsofInterest_GOAL_Finishing</t>
  </si>
  <si>
    <t>Alerts</t>
  </si>
  <si>
    <t>ZingNuts</t>
  </si>
  <si>
    <t>Emergency Response System</t>
  </si>
  <si>
    <t>Sound Monster"Wedding"</t>
  </si>
  <si>
    <t>Special Oaks "Alerts"</t>
  </si>
  <si>
    <t>CHAW_Alerts_LiveAction</t>
  </si>
  <si>
    <t>harmony_and_Light_Alerts_LiveAction</t>
  </si>
  <si>
    <t>Club101_Alerts_LiveAction</t>
  </si>
  <si>
    <t>CHAW_Alerts_Covid</t>
  </si>
  <si>
    <t>harmony_and_Light_Alerts_Covid</t>
  </si>
  <si>
    <t>Club101_Alerts_Covid</t>
  </si>
  <si>
    <t>CHAW_Alerts_Green</t>
  </si>
  <si>
    <t>harmony_and_Light_Alerts_Green</t>
  </si>
  <si>
    <t>Club101_Alerts_Green</t>
  </si>
  <si>
    <t>Armistace_Alerts_Edit</t>
  </si>
  <si>
    <t>TotalCuts_Alerts_Edit</t>
  </si>
  <si>
    <t>MyrtleRow_Alerts_Edit</t>
  </si>
  <si>
    <t>colorMaven "Alerts"</t>
  </si>
  <si>
    <t>ColorMaven_Alerts_Finishing</t>
  </si>
  <si>
    <t>"Alerts"</t>
  </si>
  <si>
    <t>AndiamoImages_Alerts_Finishing</t>
  </si>
  <si>
    <t>CHAW_Alerts_Stills</t>
  </si>
  <si>
    <t>Kent Wilson Studio Estimate for "Alerts" #2</t>
  </si>
  <si>
    <t>KentWilsonStudio_Alerts_Stills</t>
  </si>
  <si>
    <t>"Alerts" Stills - Furrier¬†</t>
  </si>
  <si>
    <t>Furrier_Alerts_Stills</t>
  </si>
  <si>
    <t>CHAW_Alerts_Retouching</t>
  </si>
  <si>
    <t>KentWilsonStudio_Alerts_Retouching</t>
  </si>
  <si>
    <t>Furrier_Alerts_Retouching</t>
  </si>
  <si>
    <t>Row Labels</t>
  </si>
  <si>
    <t>Grand Total</t>
  </si>
  <si>
    <t>Count of PHASE</t>
  </si>
  <si>
    <t>Women Work Pitched</t>
  </si>
  <si>
    <t>Women Work Awarded</t>
  </si>
  <si>
    <t>960207.0528</t>
  </si>
  <si>
    <t>0</t>
  </si>
  <si>
    <t>662457.1842</t>
  </si>
  <si>
    <t>21040</t>
  </si>
  <si>
    <t>4805.275</t>
  </si>
  <si>
    <t>10043.8125</t>
  </si>
  <si>
    <t>18176</t>
  </si>
  <si>
    <t>14364</t>
  </si>
  <si>
    <t>24800</t>
  </si>
  <si>
    <t>49250</t>
  </si>
  <si>
    <t>8568</t>
  </si>
  <si>
    <t>10000</t>
  </si>
  <si>
    <t>12958.4875</t>
  </si>
  <si>
    <t>9271.8175</t>
  </si>
  <si>
    <t>673878.4375</t>
  </si>
  <si>
    <t>589302.0928</t>
  </si>
  <si>
    <t>24500</t>
  </si>
  <si>
    <t>8600</t>
  </si>
  <si>
    <t>8928</t>
  </si>
  <si>
    <t>10496</t>
  </si>
  <si>
    <t>6664.365</t>
  </si>
  <si>
    <t>4726.5</t>
  </si>
  <si>
    <t>621332.4288</t>
  </si>
  <si>
    <t>646373.56</t>
  </si>
  <si>
    <t>18410</t>
  </si>
  <si>
    <t>12500</t>
  </si>
  <si>
    <t>674709.73</t>
  </si>
  <si>
    <t>9027.615</t>
  </si>
  <si>
    <t>1488</t>
  </si>
  <si>
    <t>746158.2976</t>
  </si>
  <si>
    <t>931821.875</t>
  </si>
  <si>
    <t>5537.8825</t>
  </si>
  <si>
    <t>5939.635</t>
  </si>
  <si>
    <t>11214</t>
  </si>
  <si>
    <t>17286</t>
  </si>
  <si>
    <t>18827.225</t>
  </si>
  <si>
    <t>18354.575</t>
  </si>
  <si>
    <t>20890</t>
  </si>
  <si>
    <t>850434.7609</t>
  </si>
  <si>
    <t>799298.01</t>
  </si>
  <si>
    <t>8783.4125</t>
  </si>
  <si>
    <t>4017.525</t>
  </si>
  <si>
    <t>11844</t>
  </si>
  <si>
    <t>13208</t>
  </si>
  <si>
    <t>20166.4</t>
  </si>
  <si>
    <t>17409.275</t>
  </si>
  <si>
    <t>20690</t>
  </si>
  <si>
    <t>30170</t>
  </si>
  <si>
    <t>58490</t>
  </si>
  <si>
    <t>55620</t>
  </si>
  <si>
    <t>39180</t>
  </si>
  <si>
    <t>41010</t>
  </si>
  <si>
    <t>672271.3242</t>
  </si>
  <si>
    <t>8948.84</t>
  </si>
  <si>
    <t>14880</t>
  </si>
  <si>
    <t>23200</t>
  </si>
  <si>
    <t>170725.9783</t>
  </si>
  <si>
    <t>157061.664</t>
  </si>
  <si>
    <t>46600</t>
  </si>
  <si>
    <t>18740</t>
  </si>
  <si>
    <t>187823.6317</t>
  </si>
  <si>
    <t>61340</t>
  </si>
  <si>
    <t>145023.2808</t>
  </si>
  <si>
    <t>31950</t>
  </si>
  <si>
    <t>AvgBidPrice LUT.Average Bid Price</t>
  </si>
  <si>
    <t>Average Bid Price</t>
  </si>
  <si>
    <t>Awarded Total</t>
  </si>
  <si>
    <t>Variance</t>
  </si>
  <si>
    <t>Variance Perc</t>
  </si>
  <si>
    <t>Max of Variance Perc</t>
  </si>
  <si>
    <t>AVG ADJUSTED</t>
  </si>
  <si>
    <t>`</t>
  </si>
  <si>
    <t>Income statement example (simple)</t>
  </si>
  <si>
    <t>Income statement example (complex)</t>
  </si>
  <si>
    <t>Balance sheet example</t>
  </si>
  <si>
    <t>Tokens  &amp; Color controls (Type column)</t>
  </si>
  <si>
    <t>Source</t>
  </si>
  <si>
    <t>Target</t>
  </si>
  <si>
    <t>Value</t>
  </si>
  <si>
    <t>Type</t>
  </si>
  <si>
    <t>Iphone</t>
  </si>
  <si>
    <t>Products</t>
  </si>
  <si>
    <t>INPUT</t>
  </si>
  <si>
    <t>Product 1</t>
  </si>
  <si>
    <t>Net Sales</t>
  </si>
  <si>
    <t>Cash &amp; equivalents</t>
  </si>
  <si>
    <t>Current assets</t>
  </si>
  <si>
    <t>PROFIT</t>
  </si>
  <si>
    <t>Total Budget</t>
  </si>
  <si>
    <t>Personnel</t>
  </si>
  <si>
    <t>INCOME</t>
  </si>
  <si>
    <t>MacBook</t>
  </si>
  <si>
    <t>Product 2</t>
  </si>
  <si>
    <t>Available-for-sale securities</t>
  </si>
  <si>
    <t>Development</t>
  </si>
  <si>
    <t>Ipad</t>
  </si>
  <si>
    <t>Product 3</t>
  </si>
  <si>
    <t>Accounts receivable</t>
  </si>
  <si>
    <t>Infrastructure</t>
  </si>
  <si>
    <t>Watch</t>
  </si>
  <si>
    <t>Product 4</t>
  </si>
  <si>
    <t>Inventories</t>
  </si>
  <si>
    <t>Operations</t>
  </si>
  <si>
    <t>Revenue</t>
  </si>
  <si>
    <t>Product 5</t>
  </si>
  <si>
    <t>Assets</t>
  </si>
  <si>
    <t>Software Engineers</t>
  </si>
  <si>
    <t>TAX, RIGHT2</t>
  </si>
  <si>
    <t>Services</t>
  </si>
  <si>
    <t>Product 6</t>
  </si>
  <si>
    <t>Held-to-maturity securities</t>
  </si>
  <si>
    <t>Non-current assets</t>
  </si>
  <si>
    <t>Hardware Engineers</t>
  </si>
  <si>
    <t>Gross Profit</t>
  </si>
  <si>
    <t>Product 7</t>
  </si>
  <si>
    <t>Property, plant &amp; equipment</t>
  </si>
  <si>
    <t>Project Managers</t>
  </si>
  <si>
    <t>Cost of. Rev.</t>
  </si>
  <si>
    <t>COST</t>
  </si>
  <si>
    <t>Product 8</t>
  </si>
  <si>
    <t>Other non-current assets</t>
  </si>
  <si>
    <t>Prototype Testing</t>
  </si>
  <si>
    <t>EQUITY, RIGHT2</t>
  </si>
  <si>
    <t>Operating Profit</t>
  </si>
  <si>
    <t>UX Research</t>
  </si>
  <si>
    <t>Operating Exp.</t>
  </si>
  <si>
    <t>COGS</t>
  </si>
  <si>
    <t>Liabilities</t>
  </si>
  <si>
    <t>HIDE, LEFT</t>
  </si>
  <si>
    <t>AI Modeling</t>
  </si>
  <si>
    <t>Net Profit</t>
  </si>
  <si>
    <t>4wall EBITDA</t>
  </si>
  <si>
    <t>Current liabilities</t>
  </si>
  <si>
    <t>Server Deployment</t>
  </si>
  <si>
    <t>INVESTMENT, RIGHT2</t>
  </si>
  <si>
    <t>Tax</t>
  </si>
  <si>
    <t>EBITDA</t>
  </si>
  <si>
    <t>Net Income</t>
  </si>
  <si>
    <t>Accounts payable</t>
  </si>
  <si>
    <t>Cloud Services</t>
  </si>
  <si>
    <t>Product Cost</t>
  </si>
  <si>
    <t>Non Op. Exp. (Revenue)</t>
  </si>
  <si>
    <t>Other current liabilities</t>
  </si>
  <si>
    <t>Network Equipment</t>
  </si>
  <si>
    <t>Service Cost</t>
  </si>
  <si>
    <t>Income Tax</t>
  </si>
  <si>
    <t>Deferred revenue</t>
  </si>
  <si>
    <t>Cybersecurity Tools</t>
  </si>
  <si>
    <t>R&amp;D</t>
  </si>
  <si>
    <t>Overhead Charges</t>
  </si>
  <si>
    <t>Short-term debt</t>
  </si>
  <si>
    <t>Storage Systems</t>
  </si>
  <si>
    <t>S &amp; M</t>
  </si>
  <si>
    <t>Operating Expenses</t>
  </si>
  <si>
    <t>Non-current liabilities</t>
  </si>
  <si>
    <t>Miscellaneous</t>
  </si>
  <si>
    <t>Backoffice EC Cost</t>
  </si>
  <si>
    <t>Long-term debt</t>
  </si>
  <si>
    <t>Training &amp; Workshops</t>
  </si>
  <si>
    <t>COST, RIGHT2</t>
  </si>
  <si>
    <t>Other BO Charges</t>
  </si>
  <si>
    <t>Other non-current liablities</t>
  </si>
  <si>
    <t>Internal Communication</t>
  </si>
  <si>
    <t>Management Fees</t>
  </si>
  <si>
    <t>Equity</t>
  </si>
  <si>
    <t>EQUITY</t>
  </si>
  <si>
    <t>Compliance &amp; Legal</t>
  </si>
  <si>
    <t>Customer Support Tools</t>
  </si>
  <si>
    <t>Stores EC</t>
  </si>
  <si>
    <t>Office Supplies</t>
  </si>
  <si>
    <t>Lease Expense</t>
  </si>
  <si>
    <t>Marketing Collateral</t>
  </si>
  <si>
    <t>Royalties</t>
  </si>
  <si>
    <t>Travel &amp; Events</t>
  </si>
  <si>
    <t>Marketing Expenses</t>
  </si>
  <si>
    <t>Other Store Expenses</t>
  </si>
  <si>
    <t>Asssets -&gt; Pitches</t>
  </si>
  <si>
    <t>Bids---------------------------------------</t>
  </si>
  <si>
    <t>Production</t>
  </si>
  <si>
    <t>Edit</t>
  </si>
  <si>
    <t>Pitched</t>
  </si>
  <si>
    <t>Audio</t>
  </si>
  <si>
    <t>Edit pitch men</t>
  </si>
  <si>
    <t>Edit pitch women</t>
  </si>
  <si>
    <t>Production Pitch men</t>
  </si>
  <si>
    <t>Production Pitch Women</t>
  </si>
  <si>
    <t>Audio Pitch Men</t>
  </si>
  <si>
    <t>Audio Pitch Women</t>
  </si>
  <si>
    <t>Edit Award men</t>
  </si>
  <si>
    <t>Edit Award women</t>
  </si>
  <si>
    <t>Production Award men</t>
  </si>
  <si>
    <t>Production Award Women</t>
  </si>
  <si>
    <t>Audio Award Men</t>
  </si>
  <si>
    <t>Audio Award Women</t>
  </si>
  <si>
    <t>ALL BIDS</t>
  </si>
  <si>
    <t xml:space="preserve"> </t>
  </si>
  <si>
    <t>input</t>
  </si>
  <si>
    <t>profit</t>
  </si>
  <si>
    <t>equity</t>
  </si>
  <si>
    <t>Sum of BID TOTAL</t>
  </si>
  <si>
    <t>Awarded to Women</t>
  </si>
  <si>
    <t>PhaseTOtal</t>
  </si>
  <si>
    <t>UnAwarded Women</t>
  </si>
  <si>
    <t>Sum of Women Work Pitched</t>
  </si>
  <si>
    <t>Sum of Women Work Awarded</t>
  </si>
  <si>
    <t>Stills</t>
  </si>
  <si>
    <t>BTS</t>
  </si>
  <si>
    <t>Finishing Pitch Men</t>
  </si>
  <si>
    <t>Finishing Pitch Women</t>
  </si>
  <si>
    <t>Music Pitch Men</t>
  </si>
  <si>
    <t>Music Pitch Women</t>
  </si>
  <si>
    <t>Stills Pitch Men</t>
  </si>
  <si>
    <t>Stills Pitch Women</t>
  </si>
  <si>
    <t>BTS Pitch Men</t>
  </si>
  <si>
    <t>BTS Pitch Women</t>
  </si>
  <si>
    <t>VFX Pitch Men</t>
  </si>
  <si>
    <t>VFX Pitch Women</t>
  </si>
  <si>
    <t>Award</t>
  </si>
  <si>
    <t>Profit</t>
  </si>
  <si>
    <t>Total Award</t>
  </si>
  <si>
    <t>All Awarded</t>
  </si>
  <si>
    <t>Sum of Total Award</t>
  </si>
  <si>
    <t>Edit award men</t>
  </si>
  <si>
    <t>Edit award women</t>
  </si>
  <si>
    <t>Production award men</t>
  </si>
  <si>
    <t>Production award Women</t>
  </si>
  <si>
    <t>Audio award Men</t>
  </si>
  <si>
    <t>Audio award Women</t>
  </si>
  <si>
    <t>Finishing award Men</t>
  </si>
  <si>
    <t>Finishing award Women</t>
  </si>
  <si>
    <t>Music award Men</t>
  </si>
  <si>
    <t>Music award Women</t>
  </si>
  <si>
    <t>Stills award Men</t>
  </si>
  <si>
    <t>Stills award Women</t>
  </si>
  <si>
    <t>BTS award Men</t>
  </si>
  <si>
    <t>BTS award Women</t>
  </si>
  <si>
    <t>VFX award Men</t>
  </si>
  <si>
    <t>VFX award Women</t>
  </si>
  <si>
    <t>Post</t>
  </si>
  <si>
    <t>Post Pitch Men</t>
  </si>
  <si>
    <t>Post Pitch Women</t>
  </si>
  <si>
    <t>Post award Men</t>
  </si>
  <si>
    <t>Post award Women</t>
  </si>
  <si>
    <t>stills Award Men</t>
  </si>
  <si>
    <t>Stills AwardWomen</t>
  </si>
  <si>
    <t>BTS Award Men</t>
  </si>
  <si>
    <t>Bts Award Women</t>
  </si>
  <si>
    <t>Investment</t>
  </si>
  <si>
    <t>Input</t>
  </si>
  <si>
    <t>Cost</t>
  </si>
  <si>
    <t>Total Pitched</t>
  </si>
  <si>
    <t>Pitched Work</t>
  </si>
  <si>
    <t>Awarded Work</t>
  </si>
  <si>
    <t>Awarded to Men</t>
  </si>
  <si>
    <t>Awarded Production</t>
  </si>
  <si>
    <t>Awarded Post</t>
  </si>
  <si>
    <t>Awarded BTS</t>
  </si>
  <si>
    <t>Awarded Stills</t>
  </si>
  <si>
    <t>Production Awarded to Men</t>
  </si>
  <si>
    <t>Post Awarded to Men</t>
  </si>
  <si>
    <t>Post Awrded to Women</t>
  </si>
  <si>
    <t>Stills Awarded to Men</t>
  </si>
  <si>
    <t>Stills Awarded to Women</t>
  </si>
  <si>
    <t>BTS Awarded to Men</t>
  </si>
  <si>
    <t>BTS Awarded to Women</t>
  </si>
  <si>
    <t>Production Awarded to Women</t>
  </si>
  <si>
    <t>Gauge Chart Name:</t>
  </si>
  <si>
    <t>AV</t>
  </si>
  <si>
    <t>min</t>
  </si>
  <si>
    <t>max</t>
  </si>
  <si>
    <t>diff</t>
  </si>
  <si>
    <t>Format</t>
  </si>
  <si>
    <t>Decimals</t>
  </si>
  <si>
    <t>Labels size</t>
  </si>
  <si>
    <t>AV size</t>
  </si>
  <si>
    <t>ref 2E</t>
  </si>
  <si>
    <t>ref 1E</t>
  </si>
  <si>
    <t>color 1</t>
  </si>
  <si>
    <t>color 2</t>
  </si>
  <si>
    <t>color 3</t>
  </si>
  <si>
    <t>Skin</t>
  </si>
  <si>
    <t>Sheet Name</t>
  </si>
  <si>
    <t>Sheet Index</t>
  </si>
  <si>
    <t>Attached</t>
  </si>
  <si>
    <t>Reference</t>
  </si>
  <si>
    <t>color AV</t>
  </si>
  <si>
    <t>Description</t>
  </si>
  <si>
    <t>Size</t>
  </si>
  <si>
    <t>PV</t>
  </si>
  <si>
    <t>TextBoxDiff</t>
  </si>
  <si>
    <t>color PV</t>
  </si>
  <si>
    <t>ref 4S</t>
  </si>
  <si>
    <t>ref 4E</t>
  </si>
  <si>
    <t>ref 5E</t>
  </si>
  <si>
    <t>ref 6E</t>
  </si>
  <si>
    <t>ref 7E</t>
  </si>
  <si>
    <t>ref 8E</t>
  </si>
  <si>
    <t>ref 9E</t>
  </si>
  <si>
    <t>ref 10E</t>
  </si>
  <si>
    <t>ref 11E</t>
  </si>
  <si>
    <t>ref 12E</t>
  </si>
  <si>
    <t>color 4</t>
  </si>
  <si>
    <t>color 5</t>
  </si>
  <si>
    <t>color 6</t>
  </si>
  <si>
    <t>color 7</t>
  </si>
  <si>
    <t>color 8</t>
  </si>
  <si>
    <t>color 9</t>
  </si>
  <si>
    <t>color 10</t>
  </si>
  <si>
    <t>color 11</t>
  </si>
  <si>
    <t>color 12</t>
  </si>
  <si>
    <t>Zones Count</t>
  </si>
  <si>
    <t>Hform</t>
  </si>
  <si>
    <t>Reverse?</t>
  </si>
  <si>
    <t>color LB</t>
  </si>
  <si>
    <t>color A</t>
  </si>
  <si>
    <t>color D</t>
  </si>
  <si>
    <t>Variance Chart Name:</t>
  </si>
  <si>
    <t>Data 1</t>
  </si>
  <si>
    <t>Data 2</t>
  </si>
  <si>
    <t>Diff</t>
  </si>
  <si>
    <t>Series 1</t>
  </si>
  <si>
    <t>Series 2</t>
  </si>
  <si>
    <t>Sales Funnel Chart Name:</t>
  </si>
  <si>
    <t>TL Chart Name:</t>
  </si>
  <si>
    <t>Green</t>
  </si>
  <si>
    <t>Yellow</t>
  </si>
  <si>
    <t>AV Val.</t>
  </si>
  <si>
    <t>Size 1</t>
  </si>
  <si>
    <t>Size 2</t>
  </si>
  <si>
    <t>Size 3</t>
  </si>
  <si>
    <t>ForeColor</t>
  </si>
  <si>
    <t>Border</t>
  </si>
  <si>
    <t>Off Light</t>
  </si>
  <si>
    <t>Text</t>
  </si>
  <si>
    <t>Color 1</t>
  </si>
  <si>
    <t>Color 2</t>
  </si>
  <si>
    <t>Color 3</t>
  </si>
  <si>
    <t>Model</t>
  </si>
  <si>
    <t>Minim</t>
  </si>
  <si>
    <t>Maxim</t>
  </si>
  <si>
    <t>VarianceActualHorizontal:</t>
  </si>
  <si>
    <t>WaterFallChart Name:</t>
  </si>
  <si>
    <t>Labels</t>
  </si>
  <si>
    <t>Values</t>
  </si>
  <si>
    <t>Cumulative</t>
  </si>
  <si>
    <t>Start - End</t>
  </si>
  <si>
    <t>Before</t>
  </si>
  <si>
    <t>After</t>
  </si>
  <si>
    <t>Data label position</t>
  </si>
  <si>
    <t>MekkoChart Name:</t>
  </si>
  <si>
    <t>OrgChart Name:</t>
  </si>
  <si>
    <t>RadialBarChart Name:</t>
  </si>
  <si>
    <t>MaxValue</t>
  </si>
  <si>
    <t>Value 1</t>
  </si>
  <si>
    <t>Desc 1</t>
  </si>
  <si>
    <t>v 1</t>
  </si>
  <si>
    <t>i 1</t>
  </si>
  <si>
    <t>Value 2</t>
  </si>
  <si>
    <t>Desc 2</t>
  </si>
  <si>
    <t>v 2</t>
  </si>
  <si>
    <t>i 2</t>
  </si>
  <si>
    <t>Value 3</t>
  </si>
  <si>
    <t>Desc 3</t>
  </si>
  <si>
    <t>v 3</t>
  </si>
  <si>
    <t>i 3</t>
  </si>
  <si>
    <t>Value 4</t>
  </si>
  <si>
    <t>Desc 4</t>
  </si>
  <si>
    <t>v 4</t>
  </si>
  <si>
    <t>i 4</t>
  </si>
  <si>
    <t>Value 5</t>
  </si>
  <si>
    <t>Desc 5</t>
  </si>
  <si>
    <t>v 5</t>
  </si>
  <si>
    <t>i 5</t>
  </si>
  <si>
    <t>Value 6</t>
  </si>
  <si>
    <t>Desc 6</t>
  </si>
  <si>
    <t>v 6</t>
  </si>
  <si>
    <t>i 6</t>
  </si>
  <si>
    <t>Value 7</t>
  </si>
  <si>
    <t>Desc 7</t>
  </si>
  <si>
    <t>v 7</t>
  </si>
  <si>
    <t>i 7</t>
  </si>
  <si>
    <t>Value 8</t>
  </si>
  <si>
    <t>Desc 8</t>
  </si>
  <si>
    <t>v 8</t>
  </si>
  <si>
    <t>i 8</t>
  </si>
  <si>
    <t>Value 9</t>
  </si>
  <si>
    <t>Desc 9</t>
  </si>
  <si>
    <t>v 9</t>
  </si>
  <si>
    <t>i 9</t>
  </si>
  <si>
    <t>Value 10</t>
  </si>
  <si>
    <t>Desc 10</t>
  </si>
  <si>
    <t>v 10</t>
  </si>
  <si>
    <t>i 10</t>
  </si>
  <si>
    <t>Sales Funnel2 Chart Name:</t>
  </si>
  <si>
    <t>Colors</t>
  </si>
  <si>
    <t>DataText</t>
  </si>
  <si>
    <t>DataValue</t>
  </si>
  <si>
    <t>x</t>
  </si>
  <si>
    <t>Label</t>
  </si>
  <si>
    <t>Low</t>
  </si>
  <si>
    <t>High</t>
  </si>
  <si>
    <t>x2</t>
  </si>
  <si>
    <t>yLabel</t>
  </si>
  <si>
    <t>yPercent</t>
  </si>
  <si>
    <t>LabelPercent</t>
  </si>
  <si>
    <t>xxx</t>
  </si>
  <si>
    <t>Ring Chart Name:</t>
  </si>
  <si>
    <t>WindRoseChart Name:</t>
  </si>
  <si>
    <t>Cat 1</t>
  </si>
  <si>
    <t>Cat 2</t>
  </si>
  <si>
    <t>Cat 3</t>
  </si>
  <si>
    <t>Cat 4</t>
  </si>
  <si>
    <t>Cat 5</t>
  </si>
  <si>
    <t>Cat 6</t>
  </si>
  <si>
    <t>Agency</t>
  </si>
  <si>
    <t>Awarded</t>
  </si>
  <si>
    <t>SF2_1</t>
  </si>
  <si>
    <t>BUBBLE</t>
  </si>
  <si>
    <t>All Work</t>
  </si>
  <si>
    <t>Women</t>
  </si>
  <si>
    <t>SF2_2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</si>
</sst>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1" x14ac:knownFonts="1">
    <font>
      <sz val="11"/>
      <color theme="1"/>
      <name val="Calibri"/>
      <family val="2"/>
      <scheme val="minor"/>
    </font>
    <font>
      <sz val="11"/>
      <color theme="1"/>
      <name val="Calibri"/>
      <family val="2"/>
      <scheme val="minor"/>
    </font>
    <font>
      <sz val="8"/>
      <name val="Calibri"/>
      <family val="2"/>
      <scheme val="minor"/>
    </font>
    <font>
      <sz val="11"/>
      <color theme="1"/>
      <name val="Segoe UI"/>
      <family val="2"/>
    </font>
    <font>
      <i/>
      <sz val="11"/>
      <color theme="1"/>
      <name val="Segoe UI Semibold"/>
      <family val="2"/>
    </font>
    <font>
      <b/>
      <sz val="11"/>
      <color theme="1"/>
      <name val="Segoe UI Semibold"/>
      <family val="2"/>
    </font>
    <font>
      <b/>
      <sz val="11"/>
      <color theme="1"/>
      <name val="Calibri"/>
      <family val="2"/>
      <scheme val="minor"/>
    </font>
    <font>
      <sz val="11"/>
      <color theme="0"/>
      <name val="Calibri"/>
      <family val="2"/>
      <scheme val="minor"/>
    </font>
    <font>
      <b/>
      <sz val="11"/>
      <name val="Calibri"/>
      <family val="2"/>
      <scheme val="minor"/>
    </font>
    <font>
      <b/>
      <sz val="10"/>
      <name val="Calibri"/>
      <family val="2"/>
      <scheme val="minor"/>
    </font>
    <font>
      <sz val="11"/>
      <color rgb="FF000000"/>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6"/>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CCCC"/>
        <bgColor indexed="64"/>
      </patternFill>
    </fill>
    <fill>
      <patternFill patternType="solid">
        <fgColor rgb="FF99FFCC"/>
        <bgColor indexed="64"/>
      </patternFill>
    </fill>
    <fill>
      <patternFill patternType="solid">
        <fgColor rgb="FF00B05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3" fillId="0" borderId="0"/>
    <xf numFmtId="44" fontId="1" fillId="0" borderId="0" applyFont="0" applyFill="0" applyBorder="0" applyAlignment="0" applyProtection="0"/>
  </cellStyleXfs>
  <cellXfs count="5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xf numFmtId="2" fontId="0" fillId="0" borderId="0" xfId="0" applyNumberFormat="1"/>
    <xf numFmtId="9" fontId="0" fillId="0" borderId="0" xfId="1" applyFont="1"/>
    <xf numFmtId="0" fontId="0" fillId="0" borderId="0" xfId="1" applyNumberFormat="1" applyFont="1"/>
    <xf numFmtId="0" fontId="3" fillId="0" borderId="0" xfId="2"/>
    <xf numFmtId="0" fontId="5" fillId="2" borderId="0" xfId="2" applyFont="1" applyFill="1"/>
    <xf numFmtId="0" fontId="0" fillId="3" borderId="0" xfId="0" applyFill="1"/>
    <xf numFmtId="0" fontId="0" fillId="4" borderId="0" xfId="0" applyFill="1"/>
    <xf numFmtId="0" fontId="0" fillId="5" borderId="0" xfId="0" applyFill="1"/>
    <xf numFmtId="0" fontId="0" fillId="6" borderId="0" xfId="0" applyFill="1"/>
    <xf numFmtId="0" fontId="6" fillId="0" borderId="0" xfId="0" applyFont="1"/>
    <xf numFmtId="44" fontId="0" fillId="0" borderId="0" xfId="0" applyNumberFormat="1"/>
    <xf numFmtId="44" fontId="0" fillId="0" borderId="0" xfId="3" applyFont="1"/>
    <xf numFmtId="0" fontId="6" fillId="11" borderId="0" xfId="0" applyFont="1" applyFill="1" applyAlignment="1">
      <alignment horizontal="center" vertical="center"/>
    </xf>
    <xf numFmtId="0" fontId="6" fillId="3" borderId="0" xfId="0" applyFont="1" applyFill="1" applyAlignment="1">
      <alignment horizontal="center" vertical="center"/>
    </xf>
    <xf numFmtId="0" fontId="6" fillId="8" borderId="0" xfId="0"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6" fillId="7" borderId="0" xfId="0" applyFont="1" applyFill="1" applyAlignment="1">
      <alignment horizontal="center" vertical="center"/>
    </xf>
    <xf numFmtId="0" fontId="8" fillId="0" borderId="0" xfId="0" applyFont="1" applyAlignment="1">
      <alignment horizontal="center" vertical="center"/>
    </xf>
    <xf numFmtId="0" fontId="1" fillId="0" borderId="0" xfId="0" applyFont="1"/>
    <xf numFmtId="0" fontId="9" fillId="0" borderId="0" xfId="0" applyFont="1" applyAlignment="1">
      <alignment horizontal="center" vertical="center"/>
    </xf>
    <xf numFmtId="49" fontId="6" fillId="0" borderId="0" xfId="0" applyNumberFormat="1" applyFont="1" applyAlignment="1">
      <alignment horizontal="center"/>
    </xf>
    <xf numFmtId="0" fontId="8" fillId="3" borderId="0" xfId="0" applyFont="1" applyFill="1" applyAlignment="1">
      <alignment horizontal="center" vertical="center"/>
    </xf>
    <xf numFmtId="0" fontId="6" fillId="9" borderId="0" xfId="0" applyFont="1" applyFill="1" applyAlignment="1">
      <alignment horizontal="center" vertical="center"/>
    </xf>
    <xf numFmtId="0" fontId="6" fillId="10" borderId="0" xfId="0" applyFont="1" applyFill="1" applyAlignment="1">
      <alignment horizontal="center" vertical="center"/>
    </xf>
    <xf numFmtId="0" fontId="0" fillId="0" borderId="0" xfId="0" applyAlignment="1">
      <alignment horizontal="center"/>
    </xf>
    <xf numFmtId="44" fontId="0" fillId="0" borderId="0" xfId="3" applyFont="1" applyFill="1"/>
    <xf numFmtId="0" fontId="1" fillId="0" borderId="0" xfId="0" applyFont="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9" fontId="1" fillId="0" borderId="0" xfId="0" applyNumberFormat="1" applyFont="1"/>
    <xf numFmtId="0" fontId="7" fillId="12" borderId="0" xfId="0" applyFont="1" applyFill="1" applyAlignment="1">
      <alignment horizontal="center"/>
    </xf>
    <xf numFmtId="9" fontId="1" fillId="0" borderId="0" xfId="0" applyNumberFormat="1" applyFont="1" applyAlignment="1">
      <alignment horizontal="center"/>
    </xf>
    <xf numFmtId="0" fontId="7" fillId="13" borderId="0" xfId="0" applyFont="1" applyFill="1" applyAlignment="1">
      <alignment horizontal="center"/>
    </xf>
    <xf numFmtId="0" fontId="7" fillId="14" borderId="0" xfId="0" applyFont="1" applyFill="1" applyAlignment="1">
      <alignment horizontal="center"/>
    </xf>
    <xf numFmtId="0" fontId="1" fillId="3" borderId="0" xfId="0" applyFont="1" applyFill="1" applyAlignment="1">
      <alignment horizontal="center"/>
    </xf>
    <xf numFmtId="0" fontId="1" fillId="11"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2" fontId="10" fillId="15" borderId="0" xfId="0" applyNumberFormat="1" applyFont="1" applyFill="1" applyAlignment="1">
      <alignment horizontal="center" vertical="center"/>
    </xf>
    <xf numFmtId="0" fontId="10" fillId="15" borderId="0" xfId="0" applyFont="1" applyFill="1" applyAlignment="1">
      <alignment horizontal="center" vertical="center"/>
    </xf>
    <xf numFmtId="0" fontId="4" fillId="2" borderId="0" xfId="2" applyFont="1" applyFill="1" applyAlignment="1">
      <alignment horizontal="center" vertical="center"/>
    </xf>
    <xf numFmtId="0" fontId="0" fillId="7" borderId="0" xfId="0" applyFill="1"/>
  </cellXfs>
  <cellStyles count="4">
    <cellStyle name="Currency" xfId="3" builtinId="4"/>
    <cellStyle name="Normal" xfId="0" builtinId="0"/>
    <cellStyle name="Normal 6" xfId="2" xr:uid="{6FEF38C5-D275-499A-8F87-0C03E84C10CA}"/>
    <cellStyle name="Percent" xfId="1" builtinId="5"/>
  </cellStyles>
  <dxfs count="94">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BCCB87"/>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tyles" Target="styles.xml"/><Relationship Id="rId30"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1.3349514563106795E-2"/>
          <c:y val="2.75E-2"/>
          <c:w val="0.95752427184466016"/>
          <c:h val="0.88749999999999996"/>
        </c:manualLayout>
      </c:layout>
      <c:areaChart>
        <c:grouping val="standard"/>
        <c:varyColors val="0"/>
        <c:ser>
          <c:idx val="0"/>
          <c:order val="0"/>
          <c:tx>
            <c:v>Section7</c:v>
          </c:tx>
          <c:spPr>
            <a:solidFill>
              <a:srgbClr val="99FFCC"/>
            </a:solidFill>
            <a:ln>
              <a:noFill/>
            </a:ln>
            <a:effectLst/>
            <a:extLst>
              <a:ext uri="{91240B29-F687-4F45-9708-019B960494DF}">
                <a14:hiddenLine xmlns:a14="http://schemas.microsoft.com/office/drawing/2010/main">
                  <a:noFill/>
                </a14:hiddenLine>
              </a:ext>
            </a:extLst>
          </c:spPr>
          <c:val>
            <c:numRef>
              <c:f>ChartsDataSheet!$CNU$2:$CNU$9</c:f>
              <c:numCache>
                <c:formatCode>General</c:formatCode>
                <c:ptCount val="8"/>
                <c:pt idx="0">
                  <c:v>2723028.4667999996</c:v>
                </c:pt>
                <c:pt idx="1">
                  <c:v>2723028.4667999996</c:v>
                </c:pt>
                <c:pt idx="2">
                  <c:v>2234539.9250999996</c:v>
                </c:pt>
                <c:pt idx="3">
                  <c:v>1821799.3154999998</c:v>
                </c:pt>
                <c:pt idx="4">
                  <c:v>1361514.2333999998</c:v>
                </c:pt>
                <c:pt idx="5">
                  <c:v>2207060.8956499998</c:v>
                </c:pt>
                <c:pt idx="6">
                  <c:v>2050528.6510499998</c:v>
                </c:pt>
                <c:pt idx="7">
                  <c:v>2333025.1218499998</c:v>
                </c:pt>
              </c:numCache>
            </c:numRef>
          </c:val>
          <c:extLst>
            <c:ext xmlns:c16="http://schemas.microsoft.com/office/drawing/2014/chart" uri="{C3380CC4-5D6E-409C-BE32-E72D297353CC}">
              <c16:uniqueId val="{00000001-1239-4C93-9ED0-E89ABBD0A3D6}"/>
            </c:ext>
          </c:extLst>
        </c:ser>
        <c:ser>
          <c:idx val="1"/>
          <c:order val="1"/>
          <c:tx>
            <c:v>Section6</c:v>
          </c:tx>
          <c:spPr>
            <a:solidFill>
              <a:srgbClr val="FFCCCC"/>
            </a:solidFill>
            <a:ln w="25400">
              <a:noFill/>
            </a:ln>
          </c:spPr>
          <c:val>
            <c:numRef>
              <c:f>ChartsDataSheet!$CNU$2:$CNU$8</c:f>
              <c:numCache>
                <c:formatCode>General</c:formatCode>
                <c:ptCount val="7"/>
                <c:pt idx="0">
                  <c:v>2723028.4667999996</c:v>
                </c:pt>
                <c:pt idx="1">
                  <c:v>2723028.4667999996</c:v>
                </c:pt>
                <c:pt idx="2">
                  <c:v>2234539.9250999996</c:v>
                </c:pt>
                <c:pt idx="3">
                  <c:v>1821799.3154999998</c:v>
                </c:pt>
                <c:pt idx="4">
                  <c:v>1361514.2333999998</c:v>
                </c:pt>
                <c:pt idx="5">
                  <c:v>2207060.8956499998</c:v>
                </c:pt>
                <c:pt idx="6">
                  <c:v>2050528.6510499998</c:v>
                </c:pt>
              </c:numCache>
            </c:numRef>
          </c:val>
          <c:extLst>
            <c:ext xmlns:c16="http://schemas.microsoft.com/office/drawing/2014/chart" uri="{C3380CC4-5D6E-409C-BE32-E72D297353CC}">
              <c16:uniqueId val="{00000002-1239-4C93-9ED0-E89ABBD0A3D6}"/>
            </c:ext>
          </c:extLst>
        </c:ser>
        <c:ser>
          <c:idx val="2"/>
          <c:order val="2"/>
          <c:tx>
            <c:v>Section5</c:v>
          </c:tx>
          <c:spPr>
            <a:solidFill>
              <a:srgbClr val="D9D9D9"/>
            </a:solidFill>
            <a:ln w="25400">
              <a:noFill/>
            </a:ln>
          </c:spPr>
          <c:val>
            <c:numRef>
              <c:f>ChartsDataSheet!$CNU$2:$CNU$7</c:f>
              <c:numCache>
                <c:formatCode>General</c:formatCode>
                <c:ptCount val="6"/>
                <c:pt idx="0">
                  <c:v>2723028.4667999996</c:v>
                </c:pt>
                <c:pt idx="1">
                  <c:v>2723028.4667999996</c:v>
                </c:pt>
                <c:pt idx="2">
                  <c:v>2234539.9250999996</c:v>
                </c:pt>
                <c:pt idx="3">
                  <c:v>1821799.3154999998</c:v>
                </c:pt>
                <c:pt idx="4">
                  <c:v>1361514.2333999998</c:v>
                </c:pt>
                <c:pt idx="5">
                  <c:v>2207060.8956499998</c:v>
                </c:pt>
              </c:numCache>
            </c:numRef>
          </c:val>
          <c:extLst>
            <c:ext xmlns:c16="http://schemas.microsoft.com/office/drawing/2014/chart" uri="{C3380CC4-5D6E-409C-BE32-E72D297353CC}">
              <c16:uniqueId val="{00000003-1239-4C93-9ED0-E89ABBD0A3D6}"/>
            </c:ext>
          </c:extLst>
        </c:ser>
        <c:ser>
          <c:idx val="3"/>
          <c:order val="3"/>
          <c:tx>
            <c:v>Section4</c:v>
          </c:tx>
          <c:spPr>
            <a:solidFill>
              <a:srgbClr val="FFFF00"/>
            </a:solidFill>
            <a:ln w="25400">
              <a:noFill/>
            </a:ln>
          </c:spPr>
          <c:val>
            <c:numRef>
              <c:f>ChartsDataSheet!$CNU$2:$CNU$6</c:f>
              <c:numCache>
                <c:formatCode>General</c:formatCode>
                <c:ptCount val="5"/>
                <c:pt idx="0">
                  <c:v>2723028.4667999996</c:v>
                </c:pt>
                <c:pt idx="1">
                  <c:v>2723028.4667999996</c:v>
                </c:pt>
                <c:pt idx="2">
                  <c:v>2234539.9250999996</c:v>
                </c:pt>
                <c:pt idx="3">
                  <c:v>1821799.3154999998</c:v>
                </c:pt>
                <c:pt idx="4">
                  <c:v>1361514.2333999998</c:v>
                </c:pt>
              </c:numCache>
            </c:numRef>
          </c:val>
          <c:extLst>
            <c:ext xmlns:c16="http://schemas.microsoft.com/office/drawing/2014/chart" uri="{C3380CC4-5D6E-409C-BE32-E72D297353CC}">
              <c16:uniqueId val="{00000004-1239-4C93-9ED0-E89ABBD0A3D6}"/>
            </c:ext>
          </c:extLst>
        </c:ser>
        <c:ser>
          <c:idx val="4"/>
          <c:order val="4"/>
          <c:tx>
            <c:v>Section3</c:v>
          </c:tx>
          <c:spPr>
            <a:solidFill>
              <a:srgbClr val="FFC000"/>
            </a:solidFill>
            <a:ln w="25400">
              <a:noFill/>
            </a:ln>
          </c:spPr>
          <c:val>
            <c:numRef>
              <c:f>ChartsDataSheet!$CNU$2:$CNU$5</c:f>
              <c:numCache>
                <c:formatCode>General</c:formatCode>
                <c:ptCount val="4"/>
                <c:pt idx="0">
                  <c:v>2723028.4667999996</c:v>
                </c:pt>
                <c:pt idx="1">
                  <c:v>2723028.4667999996</c:v>
                </c:pt>
                <c:pt idx="2">
                  <c:v>2234539.9250999996</c:v>
                </c:pt>
                <c:pt idx="3">
                  <c:v>1821799.3154999998</c:v>
                </c:pt>
              </c:numCache>
            </c:numRef>
          </c:val>
          <c:extLst>
            <c:ext xmlns:c16="http://schemas.microsoft.com/office/drawing/2014/chart" uri="{C3380CC4-5D6E-409C-BE32-E72D297353CC}">
              <c16:uniqueId val="{00000005-1239-4C93-9ED0-E89ABBD0A3D6}"/>
            </c:ext>
          </c:extLst>
        </c:ser>
        <c:ser>
          <c:idx val="5"/>
          <c:order val="5"/>
          <c:tx>
            <c:v>Section2</c:v>
          </c:tx>
          <c:spPr>
            <a:solidFill>
              <a:srgbClr val="FF0000"/>
            </a:solidFill>
            <a:ln w="25400">
              <a:noFill/>
            </a:ln>
          </c:spPr>
          <c:val>
            <c:numRef>
              <c:f>ChartsDataSheet!$CNU$2:$CNU$4</c:f>
              <c:numCache>
                <c:formatCode>General</c:formatCode>
                <c:ptCount val="3"/>
                <c:pt idx="0">
                  <c:v>2723028.4667999996</c:v>
                </c:pt>
                <c:pt idx="1">
                  <c:v>2723028.4667999996</c:v>
                </c:pt>
                <c:pt idx="2">
                  <c:v>2234539.9250999996</c:v>
                </c:pt>
              </c:numCache>
            </c:numRef>
          </c:val>
          <c:extLst>
            <c:ext xmlns:c16="http://schemas.microsoft.com/office/drawing/2014/chart" uri="{C3380CC4-5D6E-409C-BE32-E72D297353CC}">
              <c16:uniqueId val="{00000006-1239-4C93-9ED0-E89ABBD0A3D6}"/>
            </c:ext>
          </c:extLst>
        </c:ser>
        <c:ser>
          <c:idx val="6"/>
          <c:order val="6"/>
          <c:tx>
            <c:v>Section1</c:v>
          </c:tx>
          <c:spPr>
            <a:solidFill>
              <a:srgbClr val="C00000"/>
            </a:solidFill>
            <a:ln w="25400">
              <a:noFill/>
            </a:ln>
          </c:spPr>
          <c:val>
            <c:numRef>
              <c:f>ChartsDataSheet!$CNU$2:$CNU$3</c:f>
              <c:numCache>
                <c:formatCode>General</c:formatCode>
                <c:ptCount val="2"/>
                <c:pt idx="0">
                  <c:v>2723028.4667999996</c:v>
                </c:pt>
                <c:pt idx="1">
                  <c:v>2723028.4667999996</c:v>
                </c:pt>
              </c:numCache>
            </c:numRef>
          </c:val>
          <c:extLst>
            <c:ext xmlns:c16="http://schemas.microsoft.com/office/drawing/2014/chart" uri="{C3380CC4-5D6E-409C-BE32-E72D297353CC}">
              <c16:uniqueId val="{00000007-1239-4C93-9ED0-E89ABBD0A3D6}"/>
            </c:ext>
          </c:extLst>
        </c:ser>
        <c:ser>
          <c:idx val="7"/>
          <c:order val="7"/>
          <c:tx>
            <c:v>Low</c:v>
          </c:tx>
          <c:spPr>
            <a:solidFill>
              <a:srgbClr val="FFFFFF"/>
            </a:solidFill>
            <a:ln w="25400">
              <a:noFill/>
            </a:ln>
          </c:spPr>
          <c:val>
            <c:numRef>
              <c:f>ChartsDataSheet!$CNT$2:$CNT$9</c:f>
              <c:numCache>
                <c:formatCode>General</c:formatCode>
                <c:ptCount val="8"/>
                <c:pt idx="0">
                  <c:v>0</c:v>
                </c:pt>
                <c:pt idx="1">
                  <c:v>0</c:v>
                </c:pt>
                <c:pt idx="2">
                  <c:v>488488.54169999994</c:v>
                </c:pt>
                <c:pt idx="3">
                  <c:v>901229.15129999979</c:v>
                </c:pt>
                <c:pt idx="4">
                  <c:v>1361514.2333999998</c:v>
                </c:pt>
                <c:pt idx="5">
                  <c:v>515967.57114999986</c:v>
                </c:pt>
                <c:pt idx="6">
                  <c:v>672499.81574999983</c:v>
                </c:pt>
                <c:pt idx="7">
                  <c:v>390003.34494999971</c:v>
                </c:pt>
              </c:numCache>
            </c:numRef>
          </c:val>
          <c:extLst>
            <c:ext xmlns:c16="http://schemas.microsoft.com/office/drawing/2014/chart" uri="{C3380CC4-5D6E-409C-BE32-E72D297353CC}">
              <c16:uniqueId val="{00000008-1239-4C93-9ED0-E89ABBD0A3D6}"/>
            </c:ext>
          </c:extLst>
        </c:ser>
        <c:dLbls>
          <c:showLegendKey val="0"/>
          <c:showVal val="0"/>
          <c:showCatName val="0"/>
          <c:showSerName val="0"/>
          <c:showPercent val="0"/>
          <c:showBubbleSize val="0"/>
        </c:dLbls>
        <c:axId val="603373920"/>
        <c:axId val="471648927"/>
      </c:areaChart>
      <c:scatterChart>
        <c:scatterStyle val="lineMarker"/>
        <c:varyColors val="0"/>
        <c:ser>
          <c:idx val="8"/>
          <c:order val="8"/>
          <c:tx>
            <c:v>BUBBLE</c:v>
          </c:tx>
          <c:spPr>
            <a:ln w="19050">
              <a:noFill/>
            </a:ln>
          </c:spPr>
          <c:marker>
            <c:symbol val="circle"/>
            <c:size val="40"/>
            <c:spPr>
              <a:solidFill>
                <a:srgbClr val="99FFCC"/>
              </a:solidFill>
            </c:spPr>
          </c:marker>
          <c:dLbls>
            <c:dLbl>
              <c:idx val="0"/>
              <c:tx>
                <c:rich>
                  <a:bodyPr/>
                  <a:lstStyle/>
                  <a:p>
                    <a:fld id="{DCFF8769-9864-425E-9555-C644A68FC3C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239-4C93-9ED0-E89ABBD0A3D6}"/>
                </c:ext>
              </c:extLst>
            </c:dLbl>
            <c:spPr>
              <a:noFill/>
              <a:ln>
                <a:noFill/>
              </a:ln>
              <a:effectLst/>
            </c:spPr>
            <c:txPr>
              <a:bodyPr wrap="square" lIns="38100" tIns="19050" rIns="38100" bIns="19050" anchor="ctr">
                <a:spAutoFit/>
              </a:bodyPr>
              <a:lstStyle/>
              <a:p>
                <a:pPr>
                  <a:defRPr sz="1100" b="1">
                    <a:solidFill>
                      <a:srgbClr val="000000">
                        <a:lumMod val="100000"/>
                      </a:srgbClr>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ChartsDataSheet!$CNQ$10</c:f>
              <c:numCache>
                <c:formatCode>General</c:formatCode>
                <c:ptCount val="1"/>
                <c:pt idx="0">
                  <c:v>8.31</c:v>
                </c:pt>
              </c:numCache>
            </c:numRef>
          </c:xVal>
          <c:yVal>
            <c:numRef>
              <c:f>ChartsDataSheet!$CNS$10</c:f>
              <c:numCache>
                <c:formatCode>General</c:formatCode>
                <c:ptCount val="1"/>
                <c:pt idx="0">
                  <c:v>1361514.2333999998</c:v>
                </c:pt>
              </c:numCache>
            </c:numRef>
          </c:yVal>
          <c:smooth val="0"/>
          <c:extLst>
            <c:ext xmlns:c15="http://schemas.microsoft.com/office/drawing/2012/chart" uri="{02D57815-91ED-43cb-92C2-25804820EDAC}">
              <c15:datalabelsRange>
                <c15:f>ChartsDataSheet!$CNR$10</c15:f>
                <c15:dlblRangeCache>
                  <c:ptCount val="1"/>
                  <c:pt idx="0">
                    <c:v>1943021.777</c:v>
                  </c:pt>
                </c15:dlblRangeCache>
              </c15:datalabelsRange>
            </c:ext>
            <c:ext xmlns:c16="http://schemas.microsoft.com/office/drawing/2014/chart" uri="{C3380CC4-5D6E-409C-BE32-E72D297353CC}">
              <c16:uniqueId val="{00000009-1239-4C93-9ED0-E89ABBD0A3D6}"/>
            </c:ext>
          </c:extLst>
        </c:ser>
        <c:ser>
          <c:idx val="9"/>
          <c:order val="9"/>
          <c:tx>
            <c:v>Line_Low</c:v>
          </c:tx>
          <c:spPr>
            <a:ln w="25400">
              <a:solidFill>
                <a:srgbClr val="000000"/>
              </a:solidFill>
            </a:ln>
          </c:spPr>
          <c:marker>
            <c:symbol val="none"/>
          </c:marker>
          <c:xVal>
            <c:numRef>
              <c:f>ChartsDataSheet!$CNQ$2:$CNQ$9</c:f>
              <c:numCache>
                <c:formatCode>General</c:formatCode>
                <c:ptCount val="8"/>
                <c:pt idx="0">
                  <c:v>1</c:v>
                </c:pt>
                <c:pt idx="1">
                  <c:v>2</c:v>
                </c:pt>
                <c:pt idx="2">
                  <c:v>3</c:v>
                </c:pt>
                <c:pt idx="3">
                  <c:v>4</c:v>
                </c:pt>
                <c:pt idx="4">
                  <c:v>5</c:v>
                </c:pt>
                <c:pt idx="5">
                  <c:v>6</c:v>
                </c:pt>
                <c:pt idx="6">
                  <c:v>7</c:v>
                </c:pt>
                <c:pt idx="7">
                  <c:v>8</c:v>
                </c:pt>
              </c:numCache>
            </c:numRef>
          </c:xVal>
          <c:yVal>
            <c:numRef>
              <c:f>ChartsDataSheet!$CNT$2:$CNT$9</c:f>
              <c:numCache>
                <c:formatCode>General</c:formatCode>
                <c:ptCount val="8"/>
                <c:pt idx="0">
                  <c:v>0</c:v>
                </c:pt>
                <c:pt idx="1">
                  <c:v>0</c:v>
                </c:pt>
                <c:pt idx="2">
                  <c:v>488488.54169999994</c:v>
                </c:pt>
                <c:pt idx="3">
                  <c:v>901229.15129999979</c:v>
                </c:pt>
                <c:pt idx="4">
                  <c:v>1361514.2333999998</c:v>
                </c:pt>
                <c:pt idx="5">
                  <c:v>515967.57114999986</c:v>
                </c:pt>
                <c:pt idx="6">
                  <c:v>672499.81574999983</c:v>
                </c:pt>
                <c:pt idx="7">
                  <c:v>390003.34494999971</c:v>
                </c:pt>
              </c:numCache>
            </c:numRef>
          </c:yVal>
          <c:smooth val="0"/>
          <c:extLst>
            <c:ext xmlns:c16="http://schemas.microsoft.com/office/drawing/2014/chart" uri="{C3380CC4-5D6E-409C-BE32-E72D297353CC}">
              <c16:uniqueId val="{0000000B-1239-4C93-9ED0-E89ABBD0A3D6}"/>
            </c:ext>
          </c:extLst>
        </c:ser>
        <c:ser>
          <c:idx val="10"/>
          <c:order val="10"/>
          <c:tx>
            <c:v>Line_High</c:v>
          </c:tx>
          <c:spPr>
            <a:ln w="25400">
              <a:solidFill>
                <a:srgbClr val="000000"/>
              </a:solidFill>
            </a:ln>
          </c:spPr>
          <c:marker>
            <c:symbol val="none"/>
          </c:marker>
          <c:xVal>
            <c:numRef>
              <c:f>ChartsDataSheet!$CNQ$2:$CNQ$9</c:f>
              <c:numCache>
                <c:formatCode>General</c:formatCode>
                <c:ptCount val="8"/>
                <c:pt idx="0">
                  <c:v>1</c:v>
                </c:pt>
                <c:pt idx="1">
                  <c:v>2</c:v>
                </c:pt>
                <c:pt idx="2">
                  <c:v>3</c:v>
                </c:pt>
                <c:pt idx="3">
                  <c:v>4</c:v>
                </c:pt>
                <c:pt idx="4">
                  <c:v>5</c:v>
                </c:pt>
                <c:pt idx="5">
                  <c:v>6</c:v>
                </c:pt>
                <c:pt idx="6">
                  <c:v>7</c:v>
                </c:pt>
                <c:pt idx="7">
                  <c:v>8</c:v>
                </c:pt>
              </c:numCache>
            </c:numRef>
          </c:xVal>
          <c:yVal>
            <c:numRef>
              <c:f>ChartsDataSheet!$CNU$2:$CNU$9</c:f>
              <c:numCache>
                <c:formatCode>General</c:formatCode>
                <c:ptCount val="8"/>
                <c:pt idx="0">
                  <c:v>2723028.4667999996</c:v>
                </c:pt>
                <c:pt idx="1">
                  <c:v>2723028.4667999996</c:v>
                </c:pt>
                <c:pt idx="2">
                  <c:v>2234539.9250999996</c:v>
                </c:pt>
                <c:pt idx="3">
                  <c:v>1821799.3154999998</c:v>
                </c:pt>
                <c:pt idx="4">
                  <c:v>1361514.2333999998</c:v>
                </c:pt>
                <c:pt idx="5">
                  <c:v>2207060.8956499998</c:v>
                </c:pt>
                <c:pt idx="6">
                  <c:v>2050528.6510499998</c:v>
                </c:pt>
                <c:pt idx="7">
                  <c:v>2333025.1218499998</c:v>
                </c:pt>
              </c:numCache>
            </c:numRef>
          </c:yVal>
          <c:smooth val="0"/>
          <c:extLst>
            <c:ext xmlns:c16="http://schemas.microsoft.com/office/drawing/2014/chart" uri="{C3380CC4-5D6E-409C-BE32-E72D297353CC}">
              <c16:uniqueId val="{0000000C-1239-4C93-9ED0-E89ABBD0A3D6}"/>
            </c:ext>
          </c:extLst>
        </c:ser>
        <c:ser>
          <c:idx val="11"/>
          <c:order val="11"/>
          <c:tx>
            <c:v>Line_Labels</c:v>
          </c:tx>
          <c:spPr>
            <a:ln w="19050" cap="rnd" cmpd="sng" algn="ctr">
              <a:noFill/>
              <a:prstDash val="solid"/>
              <a:round/>
            </a:ln>
            <a:effectLst/>
            <a:extLst>
              <a:ext uri="{91240B29-F687-4F45-9708-019B960494DF}">
                <a14:hiddenLine xmlns:a14="http://schemas.microsoft.com/office/drawing/2010/main" w="19050" cap="rnd" cmpd="sng" algn="ctr">
                  <a:solidFill>
                    <a:srgbClr val="000000"/>
                  </a:solidFill>
                  <a:prstDash val="solid"/>
                  <a:round/>
                </a14:hiddenLine>
              </a:ext>
            </a:extLst>
          </c:spPr>
          <c:marker>
            <c:symbol val="none"/>
          </c:marker>
          <c:dLbls>
            <c:dLbl>
              <c:idx val="0"/>
              <c:tx>
                <c:rich>
                  <a:bodyPr wrap="square" lIns="38100" tIns="19050" rIns="38100" bIns="19050" anchor="ctr">
                    <a:spAutoFit/>
                  </a:bodyPr>
                  <a:lstStyle/>
                  <a:p>
                    <a:pPr>
                      <a:defRPr sz="1100" b="1">
                        <a:solidFill>
                          <a:srgbClr val="FFFFFF">
                            <a:lumMod val="100000"/>
                          </a:srgbClr>
                        </a:solidFill>
                      </a:defRPr>
                    </a:pPr>
                    <a:fld id="{1C27EDBD-75A3-477D-9C8C-5C32F1B0B6AD}"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239-4C93-9ED0-E89ABBD0A3D6}"/>
                </c:ext>
              </c:extLst>
            </c:dLbl>
            <c:dLbl>
              <c:idx val="1"/>
              <c:tx>
                <c:rich>
                  <a:bodyPr wrap="square" lIns="38100" tIns="19050" rIns="38100" bIns="19050" anchor="ctr">
                    <a:spAutoFit/>
                  </a:bodyPr>
                  <a:lstStyle/>
                  <a:p>
                    <a:pPr>
                      <a:defRPr sz="1100" b="1">
                        <a:solidFill>
                          <a:srgbClr val="FFFFFF">
                            <a:lumMod val="100000"/>
                          </a:srgbClr>
                        </a:solidFill>
                      </a:defRPr>
                    </a:pPr>
                    <a:fld id="{3D2BF567-EE9A-4235-84E3-99F82CCA1EB3}"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239-4C93-9ED0-E89ABBD0A3D6}"/>
                </c:ext>
              </c:extLst>
            </c:dLbl>
            <c:dLbl>
              <c:idx val="2"/>
              <c:tx>
                <c:rich>
                  <a:bodyPr wrap="square" lIns="38100" tIns="19050" rIns="38100" bIns="19050" anchor="ctr">
                    <a:spAutoFit/>
                  </a:bodyPr>
                  <a:lstStyle/>
                  <a:p>
                    <a:pPr>
                      <a:defRPr sz="1100" b="1">
                        <a:solidFill>
                          <a:srgbClr val="FFFFFF">
                            <a:lumMod val="100000"/>
                          </a:srgbClr>
                        </a:solidFill>
                      </a:defRPr>
                    </a:pPr>
                    <a:fld id="{505D45C4-5B0D-45B4-A7B8-BFB6504AFD80}"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239-4C93-9ED0-E89ABBD0A3D6}"/>
                </c:ext>
              </c:extLst>
            </c:dLbl>
            <c:dLbl>
              <c:idx val="3"/>
              <c:tx>
                <c:rich>
                  <a:bodyPr wrap="square" lIns="38100" tIns="19050" rIns="38100" bIns="19050" anchor="ctr">
                    <a:spAutoFit/>
                  </a:bodyPr>
                  <a:lstStyle/>
                  <a:p>
                    <a:pPr>
                      <a:defRPr sz="1100" b="1">
                        <a:solidFill>
                          <a:srgbClr val="000000">
                            <a:lumMod val="100000"/>
                          </a:srgbClr>
                        </a:solidFill>
                      </a:defRPr>
                    </a:pPr>
                    <a:fld id="{171EFCB6-BD0C-4E83-96B3-BD394EFE4977}"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239-4C93-9ED0-E89ABBD0A3D6}"/>
                </c:ext>
              </c:extLst>
            </c:dLbl>
            <c:dLbl>
              <c:idx val="4"/>
              <c:tx>
                <c:rich>
                  <a:bodyPr wrap="square" lIns="38100" tIns="19050" rIns="38100" bIns="19050" anchor="ctr">
                    <a:spAutoFit/>
                  </a:bodyPr>
                  <a:lstStyle/>
                  <a:p>
                    <a:pPr>
                      <a:defRPr sz="1100" b="1">
                        <a:solidFill>
                          <a:srgbClr val="000000">
                            <a:lumMod val="100000"/>
                          </a:srgbClr>
                        </a:solidFill>
                      </a:defRPr>
                    </a:pPr>
                    <a:fld id="{D026180D-29DF-4AE6-B76A-0DE402BC58AF}"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239-4C93-9ED0-E89ABBD0A3D6}"/>
                </c:ext>
              </c:extLst>
            </c:dLbl>
            <c:dLbl>
              <c:idx val="5"/>
              <c:tx>
                <c:rich>
                  <a:bodyPr wrap="square" lIns="38100" tIns="19050" rIns="38100" bIns="19050" anchor="ctr">
                    <a:spAutoFit/>
                  </a:bodyPr>
                  <a:lstStyle/>
                  <a:p>
                    <a:pPr>
                      <a:defRPr sz="1100" b="1">
                        <a:solidFill>
                          <a:srgbClr val="000000">
                            <a:lumMod val="100000"/>
                          </a:srgbClr>
                        </a:solidFill>
                      </a:defRPr>
                    </a:pPr>
                    <a:fld id="{BD16FEF8-4E32-48C5-9539-197713CAABBE}"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239-4C93-9ED0-E89ABBD0A3D6}"/>
                </c:ext>
              </c:extLst>
            </c:dLbl>
            <c:dLbl>
              <c:idx val="6"/>
              <c:tx>
                <c:rich>
                  <a:bodyPr wrap="square" lIns="38100" tIns="19050" rIns="38100" bIns="19050" anchor="ctr">
                    <a:spAutoFit/>
                  </a:bodyPr>
                  <a:lstStyle/>
                  <a:p>
                    <a:pPr>
                      <a:defRPr sz="1100" b="1">
                        <a:solidFill>
                          <a:srgbClr val="000000">
                            <a:lumMod val="100000"/>
                          </a:srgbClr>
                        </a:solidFill>
                      </a:defRPr>
                    </a:pPr>
                    <a:fld id="{154A13B6-6EBF-4226-9B88-7A3422126214}"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239-4C93-9ED0-E89ABBD0A3D6}"/>
                </c:ext>
              </c:extLst>
            </c:dLbl>
            <c:spPr>
              <a:noFill/>
              <a:ln>
                <a:noFill/>
              </a:ln>
              <a:effectLst/>
            </c:spPr>
            <c:txPr>
              <a:bodyPr wrap="square" lIns="38100" tIns="19050" rIns="38100" bIns="19050" anchor="ctr">
                <a:spAutoFit/>
              </a:bodyPr>
              <a:lstStyle/>
              <a:p>
                <a:pPr>
                  <a:defRPr sz="1100" b="1"/>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ChartsDataSheet!$CNV$3:$CNV$9</c:f>
              <c:numCache>
                <c:formatCode>General</c:formatCode>
                <c:ptCount val="7"/>
                <c:pt idx="0">
                  <c:v>1.5</c:v>
                </c:pt>
                <c:pt idx="1">
                  <c:v>2.5</c:v>
                </c:pt>
                <c:pt idx="2">
                  <c:v>3.5</c:v>
                </c:pt>
                <c:pt idx="3">
                  <c:v>4.5</c:v>
                </c:pt>
                <c:pt idx="4">
                  <c:v>5.5</c:v>
                </c:pt>
                <c:pt idx="5">
                  <c:v>6.5</c:v>
                </c:pt>
                <c:pt idx="6">
                  <c:v>7.5</c:v>
                </c:pt>
              </c:numCache>
            </c:numRef>
          </c:xVal>
          <c:yVal>
            <c:numRef>
              <c:f>ChartsDataSheet!$CNW$3:$CNW$9</c:f>
              <c:numCache>
                <c:formatCode>General</c:formatCode>
                <c:ptCount val="7"/>
                <c:pt idx="0">
                  <c:v>1279823.3793959997</c:v>
                </c:pt>
                <c:pt idx="1">
                  <c:v>1279823.3793959997</c:v>
                </c:pt>
                <c:pt idx="2">
                  <c:v>1279823.3793959997</c:v>
                </c:pt>
                <c:pt idx="3">
                  <c:v>1279823.3793959997</c:v>
                </c:pt>
                <c:pt idx="4">
                  <c:v>1279823.3793959997</c:v>
                </c:pt>
                <c:pt idx="5">
                  <c:v>1279823.3793959997</c:v>
                </c:pt>
                <c:pt idx="6">
                  <c:v>1279823.3793959997</c:v>
                </c:pt>
              </c:numCache>
            </c:numRef>
          </c:yVal>
          <c:smooth val="0"/>
          <c:extLst>
            <c:ext xmlns:c15="http://schemas.microsoft.com/office/drawing/2012/chart" uri="{02D57815-91ED-43cb-92C2-25804820EDAC}">
              <c15:datalabelsRange>
                <c15:f>ChartsDataSheet!$CNR$3:$CNR$9</c15:f>
                <c15:dlblRangeCache>
                  <c:ptCount val="7"/>
                  <c:pt idx="0">
                    <c:v>Aster PPK 2723028.4668</c:v>
                  </c:pt>
                  <c:pt idx="1">
                    <c:v>Cantor Asia Media 1746051.3834</c:v>
                  </c:pt>
                  <c:pt idx="2">
                    <c:v>Geoffrey Monty Allen 920570.1642</c:v>
                  </c:pt>
                  <c:pt idx="3">
                    <c:v>Idea Manufacturing 0</c:v>
                  </c:pt>
                  <c:pt idx="4">
                    <c:v>Korea SMB 1691093.3245</c:v>
                  </c:pt>
                  <c:pt idx="5">
                    <c:v>Last Station Group 1378028.8353</c:v>
                  </c:pt>
                  <c:pt idx="6">
                    <c:v>Top Notch Creative 1943021.7769</c:v>
                  </c:pt>
                </c15:dlblRangeCache>
              </c15:datalabelsRange>
            </c:ext>
            <c:ext xmlns:c16="http://schemas.microsoft.com/office/drawing/2014/chart" uri="{C3380CC4-5D6E-409C-BE32-E72D297353CC}">
              <c16:uniqueId val="{0000000D-1239-4C93-9ED0-E89ABBD0A3D6}"/>
            </c:ext>
          </c:extLst>
        </c:ser>
        <c:ser>
          <c:idx val="12"/>
          <c:order val="12"/>
          <c:tx>
            <c:v>Line_Percentages</c:v>
          </c:tx>
          <c:spPr>
            <a:ln w="19050" cap="rnd" cmpd="sng" algn="ctr">
              <a:noFill/>
              <a:prstDash val="solid"/>
              <a:round/>
            </a:ln>
            <a:effectLst/>
            <a:extLst>
              <a:ext uri="{91240B29-F687-4F45-9708-019B960494DF}">
                <a14:hiddenLine xmlns:a14="http://schemas.microsoft.com/office/drawing/2010/main" w="19050" cap="rnd" cmpd="sng" algn="ctr">
                  <a:solidFill>
                    <a:srgbClr val="000000"/>
                  </a:solidFill>
                  <a:prstDash val="solid"/>
                  <a:round/>
                </a14:hiddenLine>
              </a:ext>
            </a:extLst>
          </c:spPr>
          <c:marker>
            <c:symbol val="none"/>
          </c:marker>
          <c:dLbls>
            <c:dLbl>
              <c:idx val="0"/>
              <c:tx>
                <c:rich>
                  <a:bodyPr wrap="square" lIns="38100" tIns="19050" rIns="38100" bIns="19050" anchor="ctr">
                    <a:spAutoFit/>
                  </a:bodyPr>
                  <a:lstStyle/>
                  <a:p>
                    <a:pPr>
                      <a:defRPr sz="1100" b="1">
                        <a:solidFill>
                          <a:srgbClr val="FFFFFF">
                            <a:lumMod val="100000"/>
                          </a:srgbClr>
                        </a:solidFill>
                      </a:defRPr>
                    </a:pPr>
                    <a:fld id="{F400FD87-0C3C-4C80-8412-94F49B51B758}"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239-4C93-9ED0-E89ABBD0A3D6}"/>
                </c:ext>
              </c:extLst>
            </c:dLbl>
            <c:dLbl>
              <c:idx val="1"/>
              <c:tx>
                <c:rich>
                  <a:bodyPr wrap="square" lIns="38100" tIns="19050" rIns="38100" bIns="19050" anchor="ctr">
                    <a:spAutoFit/>
                  </a:bodyPr>
                  <a:lstStyle/>
                  <a:p>
                    <a:pPr>
                      <a:defRPr sz="1100" b="1">
                        <a:solidFill>
                          <a:srgbClr val="FFFFFF">
                            <a:lumMod val="100000"/>
                          </a:srgbClr>
                        </a:solidFill>
                      </a:defRPr>
                    </a:pPr>
                    <a:fld id="{96453D0E-6715-40C8-9BF2-BDA3E5BC5E10}"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239-4C93-9ED0-E89ABBD0A3D6}"/>
                </c:ext>
              </c:extLst>
            </c:dLbl>
            <c:dLbl>
              <c:idx val="2"/>
              <c:tx>
                <c:rich>
                  <a:bodyPr wrap="square" lIns="38100" tIns="19050" rIns="38100" bIns="19050" anchor="ctr">
                    <a:spAutoFit/>
                  </a:bodyPr>
                  <a:lstStyle/>
                  <a:p>
                    <a:pPr>
                      <a:defRPr sz="1100" b="1">
                        <a:solidFill>
                          <a:srgbClr val="FFFFFF">
                            <a:lumMod val="100000"/>
                          </a:srgbClr>
                        </a:solidFill>
                      </a:defRPr>
                    </a:pPr>
                    <a:fld id="{66A375CD-6608-4C6A-AABE-4DB4A3132389}"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239-4C93-9ED0-E89ABBD0A3D6}"/>
                </c:ext>
              </c:extLst>
            </c:dLbl>
            <c:dLbl>
              <c:idx val="3"/>
              <c:tx>
                <c:rich>
                  <a:bodyPr wrap="square" lIns="38100" tIns="19050" rIns="38100" bIns="19050" anchor="ctr">
                    <a:spAutoFit/>
                  </a:bodyPr>
                  <a:lstStyle/>
                  <a:p>
                    <a:pPr>
                      <a:defRPr sz="1100" b="1">
                        <a:solidFill>
                          <a:srgbClr val="000000">
                            <a:lumMod val="100000"/>
                          </a:srgbClr>
                        </a:solidFill>
                      </a:defRPr>
                    </a:pPr>
                    <a:fld id="{1C89128D-4B23-42DD-979D-42A79CF04A3A}"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239-4C93-9ED0-E89ABBD0A3D6}"/>
                </c:ext>
              </c:extLst>
            </c:dLbl>
            <c:dLbl>
              <c:idx val="4"/>
              <c:tx>
                <c:rich>
                  <a:bodyPr wrap="square" lIns="38100" tIns="19050" rIns="38100" bIns="19050" anchor="ctr">
                    <a:spAutoFit/>
                  </a:bodyPr>
                  <a:lstStyle/>
                  <a:p>
                    <a:pPr>
                      <a:defRPr sz="1100" b="1">
                        <a:solidFill>
                          <a:srgbClr val="000000">
                            <a:lumMod val="100000"/>
                          </a:srgbClr>
                        </a:solidFill>
                      </a:defRPr>
                    </a:pPr>
                    <a:fld id="{3DFC95E7-1456-425A-BC2D-C17B498DDFE9}"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239-4C93-9ED0-E89ABBD0A3D6}"/>
                </c:ext>
              </c:extLst>
            </c:dLbl>
            <c:dLbl>
              <c:idx val="5"/>
              <c:tx>
                <c:rich>
                  <a:bodyPr wrap="square" lIns="38100" tIns="19050" rIns="38100" bIns="19050" anchor="ctr">
                    <a:spAutoFit/>
                  </a:bodyPr>
                  <a:lstStyle/>
                  <a:p>
                    <a:pPr>
                      <a:defRPr sz="1100" b="1">
                        <a:solidFill>
                          <a:srgbClr val="000000">
                            <a:lumMod val="100000"/>
                          </a:srgbClr>
                        </a:solidFill>
                      </a:defRPr>
                    </a:pPr>
                    <a:fld id="{F272B51C-5BF0-4242-B677-28AB317F9CB3}"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239-4C93-9ED0-E89ABBD0A3D6}"/>
                </c:ext>
              </c:extLst>
            </c:dLbl>
            <c:dLbl>
              <c:idx val="6"/>
              <c:tx>
                <c:rich>
                  <a:bodyPr wrap="square" lIns="38100" tIns="19050" rIns="38100" bIns="19050" anchor="ctr">
                    <a:spAutoFit/>
                  </a:bodyPr>
                  <a:lstStyle/>
                  <a:p>
                    <a:pPr>
                      <a:defRPr sz="1100" b="1">
                        <a:solidFill>
                          <a:srgbClr val="000000">
                            <a:lumMod val="100000"/>
                          </a:srgbClr>
                        </a:solidFill>
                      </a:defRPr>
                    </a:pPr>
                    <a:fld id="{8904BE8B-5F00-42AD-99BA-217C00AA714A}" type="CELLRANGE">
                      <a:rPr lang="en-US"/>
                      <a:pPr>
                        <a:defRPr sz="1100" b="1">
                          <a:solidFill>
                            <a:srgbClr val="000000">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239-4C93-9ED0-E89ABBD0A3D6}"/>
                </c:ext>
              </c:extLst>
            </c:dLbl>
            <c:spPr>
              <a:noFill/>
              <a:ln>
                <a:noFill/>
              </a:ln>
              <a:effectLst/>
            </c:spPr>
            <c:txPr>
              <a:bodyPr wrap="square" lIns="38100" tIns="19050" rIns="38100" bIns="19050" anchor="ctr">
                <a:spAutoFit/>
              </a:bodyPr>
              <a:lstStyle/>
              <a:p>
                <a:pPr>
                  <a:defRPr sz="1100" b="1"/>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ChartsDataSheet!$CNV$3:$CNV$9</c:f>
              <c:numCache>
                <c:formatCode>General</c:formatCode>
                <c:ptCount val="7"/>
                <c:pt idx="0">
                  <c:v>1.5</c:v>
                </c:pt>
                <c:pt idx="1">
                  <c:v>2.5</c:v>
                </c:pt>
                <c:pt idx="2">
                  <c:v>3.5</c:v>
                </c:pt>
                <c:pt idx="3">
                  <c:v>4.5</c:v>
                </c:pt>
                <c:pt idx="4">
                  <c:v>5.5</c:v>
                </c:pt>
                <c:pt idx="5">
                  <c:v>6.5</c:v>
                </c:pt>
                <c:pt idx="6">
                  <c:v>7.5</c:v>
                </c:pt>
              </c:numCache>
            </c:numRef>
          </c:xVal>
          <c:yVal>
            <c:numRef>
              <c:f>ChartsDataSheet!$CNX$3:$CNX$9</c:f>
              <c:numCache>
                <c:formatCode>General</c:formatCode>
                <c:ptCount val="7"/>
                <c:pt idx="0">
                  <c:v>1456820.2297379998</c:v>
                </c:pt>
                <c:pt idx="1">
                  <c:v>1456820.2297379998</c:v>
                </c:pt>
                <c:pt idx="2">
                  <c:v>1456820.2297379998</c:v>
                </c:pt>
                <c:pt idx="3">
                  <c:v>1456820.2297379998</c:v>
                </c:pt>
                <c:pt idx="4">
                  <c:v>1456820.2297379998</c:v>
                </c:pt>
                <c:pt idx="5">
                  <c:v>1456820.2297379998</c:v>
                </c:pt>
                <c:pt idx="6">
                  <c:v>1456820.2297379998</c:v>
                </c:pt>
              </c:numCache>
            </c:numRef>
          </c:yVal>
          <c:smooth val="0"/>
          <c:extLst>
            <c:ext xmlns:c15="http://schemas.microsoft.com/office/drawing/2012/chart" uri="{02D57815-91ED-43cb-92C2-25804820EDAC}">
              <c15:datalabelsRange>
                <c15:f>ChartsDataSheet!$CNY$3:$CNY$9</c15:f>
                <c15:dlblRangeCache>
                  <c:ptCount val="7"/>
                  <c:pt idx="0">
                    <c:v>100%</c:v>
                  </c:pt>
                  <c:pt idx="1">
                    <c:v>64%</c:v>
                  </c:pt>
                  <c:pt idx="2">
                    <c:v>34%</c:v>
                  </c:pt>
                  <c:pt idx="3">
                    <c:v>0%</c:v>
                  </c:pt>
                  <c:pt idx="4">
                    <c:v>62%</c:v>
                  </c:pt>
                  <c:pt idx="5">
                    <c:v>51%</c:v>
                  </c:pt>
                  <c:pt idx="6">
                    <c:v>71%</c:v>
                  </c:pt>
                </c15:dlblRangeCache>
              </c15:datalabelsRange>
            </c:ext>
            <c:ext xmlns:c16="http://schemas.microsoft.com/office/drawing/2014/chart" uri="{C3380CC4-5D6E-409C-BE32-E72D297353CC}">
              <c16:uniqueId val="{00000015-1239-4C93-9ED0-E89ABBD0A3D6}"/>
            </c:ext>
          </c:extLst>
        </c:ser>
        <c:dLbls>
          <c:showLegendKey val="0"/>
          <c:showVal val="0"/>
          <c:showCatName val="0"/>
          <c:showSerName val="0"/>
          <c:showPercent val="0"/>
          <c:showBubbleSize val="0"/>
        </c:dLbls>
        <c:axId val="603373920"/>
        <c:axId val="471648927"/>
      </c:scatterChart>
      <c:catAx>
        <c:axId val="603373920"/>
        <c:scaling>
          <c:orientation val="minMax"/>
        </c:scaling>
        <c:delete val="1"/>
        <c:axPos val="b"/>
        <c:numFmt formatCode="General" sourceLinked="1"/>
        <c:majorTickMark val="out"/>
        <c:minorTickMark val="none"/>
        <c:tickLblPos val="nextTo"/>
        <c:crossAx val="471648927"/>
        <c:crosses val="autoZero"/>
        <c:auto val="1"/>
        <c:lblAlgn val="ctr"/>
        <c:lblOffset val="100"/>
        <c:noMultiLvlLbl val="0"/>
      </c:catAx>
      <c:valAx>
        <c:axId val="471648927"/>
        <c:scaling>
          <c:orientation val="minMax"/>
        </c:scaling>
        <c:delete val="1"/>
        <c:axPos val="l"/>
        <c:numFmt formatCode="General" sourceLinked="1"/>
        <c:majorTickMark val="out"/>
        <c:minorTickMark val="none"/>
        <c:tickLblPos val="nextTo"/>
        <c:crossAx val="603373920"/>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2.6190476190476191E-2"/>
          <c:y val="2.75E-2"/>
          <c:w val="0.91666666666666663"/>
          <c:h val="0.88749999999999996"/>
        </c:manualLayout>
      </c:layout>
      <c:areaChart>
        <c:grouping val="standard"/>
        <c:varyColors val="0"/>
        <c:ser>
          <c:idx val="0"/>
          <c:order val="0"/>
          <c:tx>
            <c:v>Section3</c:v>
          </c:tx>
          <c:spPr>
            <a:solidFill>
              <a:srgbClr val="FFC000"/>
            </a:solidFill>
            <a:ln>
              <a:noFill/>
            </a:ln>
            <a:effectLst/>
            <a:extLst>
              <a:ext uri="{91240B29-F687-4F45-9708-019B960494DF}">
                <a14:hiddenLine xmlns:a14="http://schemas.microsoft.com/office/drawing/2010/main">
                  <a:noFill/>
                </a14:hiddenLine>
              </a:ext>
            </a:extLst>
          </c:spPr>
          <c:val>
            <c:numRef>
              <c:f>ChartsDataSheet!$CNU$11:$CNU$14</c:f>
              <c:numCache>
                <c:formatCode>General</c:formatCode>
                <c:ptCount val="4"/>
                <c:pt idx="0">
                  <c:v>10000</c:v>
                </c:pt>
                <c:pt idx="1">
                  <c:v>10000</c:v>
                </c:pt>
                <c:pt idx="2">
                  <c:v>6500</c:v>
                </c:pt>
                <c:pt idx="3">
                  <c:v>5127</c:v>
                </c:pt>
              </c:numCache>
            </c:numRef>
          </c:val>
          <c:extLst>
            <c:ext xmlns:c16="http://schemas.microsoft.com/office/drawing/2014/chart" uri="{C3380CC4-5D6E-409C-BE32-E72D297353CC}">
              <c16:uniqueId val="{00000001-EBFA-47E7-80D9-4CB3B6B70248}"/>
            </c:ext>
          </c:extLst>
        </c:ser>
        <c:ser>
          <c:idx val="1"/>
          <c:order val="1"/>
          <c:tx>
            <c:v>Section2</c:v>
          </c:tx>
          <c:spPr>
            <a:solidFill>
              <a:srgbClr val="FF0000"/>
            </a:solidFill>
            <a:ln w="25400">
              <a:noFill/>
            </a:ln>
          </c:spPr>
          <c:val>
            <c:numRef>
              <c:f>ChartsDataSheet!$CNU$11:$CNU$13</c:f>
              <c:numCache>
                <c:formatCode>General</c:formatCode>
                <c:ptCount val="3"/>
                <c:pt idx="0">
                  <c:v>10000</c:v>
                </c:pt>
                <c:pt idx="1">
                  <c:v>10000</c:v>
                </c:pt>
                <c:pt idx="2">
                  <c:v>6500</c:v>
                </c:pt>
              </c:numCache>
            </c:numRef>
          </c:val>
          <c:extLst>
            <c:ext xmlns:c16="http://schemas.microsoft.com/office/drawing/2014/chart" uri="{C3380CC4-5D6E-409C-BE32-E72D297353CC}">
              <c16:uniqueId val="{00000002-EBFA-47E7-80D9-4CB3B6B70248}"/>
            </c:ext>
          </c:extLst>
        </c:ser>
        <c:ser>
          <c:idx val="2"/>
          <c:order val="2"/>
          <c:tx>
            <c:v>Section1</c:v>
          </c:tx>
          <c:spPr>
            <a:solidFill>
              <a:srgbClr val="C00000"/>
            </a:solidFill>
            <a:ln w="25400">
              <a:noFill/>
            </a:ln>
          </c:spPr>
          <c:val>
            <c:numRef>
              <c:f>ChartsDataSheet!$CNU$11:$CNU$12</c:f>
              <c:numCache>
                <c:formatCode>General</c:formatCode>
                <c:ptCount val="2"/>
                <c:pt idx="0">
                  <c:v>10000</c:v>
                </c:pt>
                <c:pt idx="1">
                  <c:v>10000</c:v>
                </c:pt>
              </c:numCache>
            </c:numRef>
          </c:val>
          <c:extLst>
            <c:ext xmlns:c16="http://schemas.microsoft.com/office/drawing/2014/chart" uri="{C3380CC4-5D6E-409C-BE32-E72D297353CC}">
              <c16:uniqueId val="{00000003-EBFA-47E7-80D9-4CB3B6B70248}"/>
            </c:ext>
          </c:extLst>
        </c:ser>
        <c:ser>
          <c:idx val="3"/>
          <c:order val="3"/>
          <c:tx>
            <c:v>Low</c:v>
          </c:tx>
          <c:spPr>
            <a:solidFill>
              <a:srgbClr val="FFFFFF"/>
            </a:solidFill>
            <a:ln w="25400">
              <a:noFill/>
            </a:ln>
          </c:spPr>
          <c:val>
            <c:numRef>
              <c:f>ChartsDataSheet!$CNT$11:$CNT$14</c:f>
              <c:numCache>
                <c:formatCode>General</c:formatCode>
                <c:ptCount val="4"/>
                <c:pt idx="0">
                  <c:v>0</c:v>
                </c:pt>
                <c:pt idx="1">
                  <c:v>0</c:v>
                </c:pt>
                <c:pt idx="2">
                  <c:v>3500</c:v>
                </c:pt>
                <c:pt idx="3">
                  <c:v>4873</c:v>
                </c:pt>
              </c:numCache>
            </c:numRef>
          </c:val>
          <c:extLst>
            <c:ext xmlns:c16="http://schemas.microsoft.com/office/drawing/2014/chart" uri="{C3380CC4-5D6E-409C-BE32-E72D297353CC}">
              <c16:uniqueId val="{00000004-EBFA-47E7-80D9-4CB3B6B70248}"/>
            </c:ext>
          </c:extLst>
        </c:ser>
        <c:dLbls>
          <c:showLegendKey val="0"/>
          <c:showVal val="0"/>
          <c:showCatName val="0"/>
          <c:showSerName val="0"/>
          <c:showPercent val="0"/>
          <c:showBubbleSize val="0"/>
        </c:dLbls>
        <c:axId val="603392944"/>
        <c:axId val="471659007"/>
      </c:areaChart>
      <c:scatterChart>
        <c:scatterStyle val="lineMarker"/>
        <c:varyColors val="0"/>
        <c:ser>
          <c:idx val="4"/>
          <c:order val="4"/>
          <c:tx>
            <c:v>BUBBLE</c:v>
          </c:tx>
          <c:spPr>
            <a:ln w="19050">
              <a:noFill/>
            </a:ln>
          </c:spPr>
          <c:marker>
            <c:symbol val="circle"/>
            <c:size val="40"/>
            <c:spPr>
              <a:solidFill>
                <a:srgbClr val="FFC000"/>
              </a:solidFill>
            </c:spPr>
          </c:marker>
          <c:dLbls>
            <c:dLbl>
              <c:idx val="0"/>
              <c:tx>
                <c:rich>
                  <a:bodyPr/>
                  <a:lstStyle/>
                  <a:p>
                    <a:fld id="{BA3216DA-D1C9-4A84-A8E6-7EDE8D93257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BFA-47E7-80D9-4CB3B6B70248}"/>
                </c:ext>
              </c:extLst>
            </c:dLbl>
            <c:spPr>
              <a:noFill/>
              <a:ln>
                <a:noFill/>
              </a:ln>
              <a:effectLst/>
            </c:spPr>
            <c:txPr>
              <a:bodyPr wrap="square" lIns="38100" tIns="19050" rIns="38100" bIns="19050" anchor="ctr">
                <a:spAutoFit/>
              </a:bodyPr>
              <a:lstStyle/>
              <a:p>
                <a:pPr>
                  <a:defRPr sz="1100" b="1">
                    <a:solidFill>
                      <a:srgbClr val="FFFFFF">
                        <a:lumMod val="100000"/>
                      </a:srgbClr>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ChartsDataSheet!$CNQ$15</c:f>
              <c:numCache>
                <c:formatCode>General</c:formatCode>
                <c:ptCount val="1"/>
                <c:pt idx="0">
                  <c:v>4.3099999999999996</c:v>
                </c:pt>
              </c:numCache>
            </c:numRef>
          </c:xVal>
          <c:yVal>
            <c:numRef>
              <c:f>ChartsDataSheet!$CNS$15</c:f>
              <c:numCache>
                <c:formatCode>General</c:formatCode>
                <c:ptCount val="1"/>
                <c:pt idx="0">
                  <c:v>5000</c:v>
                </c:pt>
              </c:numCache>
            </c:numRef>
          </c:yVal>
          <c:smooth val="0"/>
          <c:extLst>
            <c:ext xmlns:c15="http://schemas.microsoft.com/office/drawing/2012/chart" uri="{02D57815-91ED-43cb-92C2-25804820EDAC}">
              <c15:datalabelsRange>
                <c15:f>ChartsDataSheet!$CNR$15</c15:f>
                <c15:dlblRangeCache>
                  <c:ptCount val="1"/>
                  <c:pt idx="0">
                    <c:v>254</c:v>
                  </c:pt>
                </c15:dlblRangeCache>
              </c15:datalabelsRange>
            </c:ext>
            <c:ext xmlns:c16="http://schemas.microsoft.com/office/drawing/2014/chart" uri="{C3380CC4-5D6E-409C-BE32-E72D297353CC}">
              <c16:uniqueId val="{00000005-EBFA-47E7-80D9-4CB3B6B70248}"/>
            </c:ext>
          </c:extLst>
        </c:ser>
        <c:ser>
          <c:idx val="5"/>
          <c:order val="5"/>
          <c:tx>
            <c:v>Line_Low</c:v>
          </c:tx>
          <c:spPr>
            <a:ln w="25400">
              <a:solidFill>
                <a:srgbClr val="000000"/>
              </a:solidFill>
            </a:ln>
          </c:spPr>
          <c:marker>
            <c:symbol val="none"/>
          </c:marker>
          <c:xVal>
            <c:numRef>
              <c:f>ChartsDataSheet!$CNQ$11:$CNQ$14</c:f>
              <c:numCache>
                <c:formatCode>General</c:formatCode>
                <c:ptCount val="4"/>
                <c:pt idx="0">
                  <c:v>1</c:v>
                </c:pt>
                <c:pt idx="1">
                  <c:v>2</c:v>
                </c:pt>
                <c:pt idx="2">
                  <c:v>3</c:v>
                </c:pt>
                <c:pt idx="3">
                  <c:v>4</c:v>
                </c:pt>
              </c:numCache>
            </c:numRef>
          </c:xVal>
          <c:yVal>
            <c:numRef>
              <c:f>ChartsDataSheet!$CNT$11:$CNT$14</c:f>
              <c:numCache>
                <c:formatCode>General</c:formatCode>
                <c:ptCount val="4"/>
                <c:pt idx="0">
                  <c:v>0</c:v>
                </c:pt>
                <c:pt idx="1">
                  <c:v>0</c:v>
                </c:pt>
                <c:pt idx="2">
                  <c:v>3500</c:v>
                </c:pt>
                <c:pt idx="3">
                  <c:v>4873</c:v>
                </c:pt>
              </c:numCache>
            </c:numRef>
          </c:yVal>
          <c:smooth val="0"/>
          <c:extLst>
            <c:ext xmlns:c16="http://schemas.microsoft.com/office/drawing/2014/chart" uri="{C3380CC4-5D6E-409C-BE32-E72D297353CC}">
              <c16:uniqueId val="{00000007-EBFA-47E7-80D9-4CB3B6B70248}"/>
            </c:ext>
          </c:extLst>
        </c:ser>
        <c:ser>
          <c:idx val="6"/>
          <c:order val="6"/>
          <c:tx>
            <c:v>Line_High</c:v>
          </c:tx>
          <c:spPr>
            <a:ln w="25400">
              <a:solidFill>
                <a:srgbClr val="000000"/>
              </a:solidFill>
            </a:ln>
          </c:spPr>
          <c:marker>
            <c:symbol val="none"/>
          </c:marker>
          <c:xVal>
            <c:numRef>
              <c:f>ChartsDataSheet!$CNQ$11:$CNQ$14</c:f>
              <c:numCache>
                <c:formatCode>General</c:formatCode>
                <c:ptCount val="4"/>
                <c:pt idx="0">
                  <c:v>1</c:v>
                </c:pt>
                <c:pt idx="1">
                  <c:v>2</c:v>
                </c:pt>
                <c:pt idx="2">
                  <c:v>3</c:v>
                </c:pt>
                <c:pt idx="3">
                  <c:v>4</c:v>
                </c:pt>
              </c:numCache>
            </c:numRef>
          </c:xVal>
          <c:yVal>
            <c:numRef>
              <c:f>ChartsDataSheet!$CNU$11:$CNU$14</c:f>
              <c:numCache>
                <c:formatCode>General</c:formatCode>
                <c:ptCount val="4"/>
                <c:pt idx="0">
                  <c:v>10000</c:v>
                </c:pt>
                <c:pt idx="1">
                  <c:v>10000</c:v>
                </c:pt>
                <c:pt idx="2">
                  <c:v>6500</c:v>
                </c:pt>
                <c:pt idx="3">
                  <c:v>5127</c:v>
                </c:pt>
              </c:numCache>
            </c:numRef>
          </c:yVal>
          <c:smooth val="0"/>
          <c:extLst>
            <c:ext xmlns:c16="http://schemas.microsoft.com/office/drawing/2014/chart" uri="{C3380CC4-5D6E-409C-BE32-E72D297353CC}">
              <c16:uniqueId val="{00000008-EBFA-47E7-80D9-4CB3B6B70248}"/>
            </c:ext>
          </c:extLst>
        </c:ser>
        <c:ser>
          <c:idx val="7"/>
          <c:order val="7"/>
          <c:tx>
            <c:v>Line_Labels</c:v>
          </c:tx>
          <c:spPr>
            <a:ln w="19050" cap="rnd" cmpd="sng" algn="ctr">
              <a:noFill/>
              <a:prstDash val="solid"/>
              <a:round/>
            </a:ln>
            <a:effectLst/>
            <a:extLst>
              <a:ext uri="{91240B29-F687-4F45-9708-019B960494DF}">
                <a14:hiddenLine xmlns:a14="http://schemas.microsoft.com/office/drawing/2010/main" w="19050" cap="rnd" cmpd="sng" algn="ctr">
                  <a:solidFill>
                    <a:srgbClr val="000000"/>
                  </a:solidFill>
                  <a:prstDash val="solid"/>
                  <a:round/>
                </a14:hiddenLine>
              </a:ext>
            </a:extLst>
          </c:spPr>
          <c:marker>
            <c:symbol val="none"/>
          </c:marker>
          <c:dLbls>
            <c:dLbl>
              <c:idx val="0"/>
              <c:tx>
                <c:rich>
                  <a:bodyPr wrap="square" lIns="38100" tIns="19050" rIns="38100" bIns="19050" anchor="ctr">
                    <a:spAutoFit/>
                  </a:bodyPr>
                  <a:lstStyle/>
                  <a:p>
                    <a:pPr>
                      <a:defRPr sz="1100" b="1">
                        <a:solidFill>
                          <a:srgbClr val="FFFFFF">
                            <a:lumMod val="100000"/>
                          </a:srgbClr>
                        </a:solidFill>
                      </a:defRPr>
                    </a:pPr>
                    <a:fld id="{281C9FB0-3046-4E76-876A-54986FA5BE8D}"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BFA-47E7-80D9-4CB3B6B70248}"/>
                </c:ext>
              </c:extLst>
            </c:dLbl>
            <c:dLbl>
              <c:idx val="1"/>
              <c:tx>
                <c:rich>
                  <a:bodyPr wrap="square" lIns="38100" tIns="19050" rIns="38100" bIns="19050" anchor="ctr">
                    <a:spAutoFit/>
                  </a:bodyPr>
                  <a:lstStyle/>
                  <a:p>
                    <a:pPr>
                      <a:defRPr sz="1100" b="1">
                        <a:solidFill>
                          <a:srgbClr val="FFFFFF">
                            <a:lumMod val="100000"/>
                          </a:srgbClr>
                        </a:solidFill>
                      </a:defRPr>
                    </a:pPr>
                    <a:fld id="{16A04807-5293-43B8-BA23-37A5641A3BE9}"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BFA-47E7-80D9-4CB3B6B70248}"/>
                </c:ext>
              </c:extLst>
            </c:dLbl>
            <c:dLbl>
              <c:idx val="2"/>
              <c:tx>
                <c:rich>
                  <a:bodyPr wrap="square" lIns="38100" tIns="19050" rIns="38100" bIns="19050" anchor="ctr">
                    <a:spAutoFit/>
                  </a:bodyPr>
                  <a:lstStyle/>
                  <a:p>
                    <a:pPr>
                      <a:defRPr sz="1100" b="1">
                        <a:solidFill>
                          <a:srgbClr val="FFFFFF">
                            <a:lumMod val="100000"/>
                          </a:srgbClr>
                        </a:solidFill>
                      </a:defRPr>
                    </a:pPr>
                    <a:fld id="{4C1408D5-DA8D-4D68-ACCB-7EDECE4711C1}"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BFA-47E7-80D9-4CB3B6B70248}"/>
                </c:ext>
              </c:extLst>
            </c:dLbl>
            <c:spPr>
              <a:noFill/>
              <a:ln>
                <a:noFill/>
              </a:ln>
              <a:effectLst/>
            </c:spPr>
            <c:txPr>
              <a:bodyPr wrap="square" lIns="38100" tIns="19050" rIns="38100" bIns="19050" anchor="ctr">
                <a:spAutoFit/>
              </a:bodyPr>
              <a:lstStyle/>
              <a:p>
                <a:pPr>
                  <a:defRPr sz="1100" b="1"/>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ChartsDataSheet!$CNV$12:$CNV$14</c:f>
              <c:numCache>
                <c:formatCode>General</c:formatCode>
                <c:ptCount val="3"/>
                <c:pt idx="0">
                  <c:v>1.5</c:v>
                </c:pt>
                <c:pt idx="1">
                  <c:v>2.5</c:v>
                </c:pt>
                <c:pt idx="2">
                  <c:v>3.5</c:v>
                </c:pt>
              </c:numCache>
            </c:numRef>
          </c:xVal>
          <c:yVal>
            <c:numRef>
              <c:f>ChartsDataSheet!$CNW$12:$CNW$14</c:f>
              <c:numCache>
                <c:formatCode>General</c:formatCode>
                <c:ptCount val="3"/>
                <c:pt idx="0">
                  <c:v>4700</c:v>
                </c:pt>
                <c:pt idx="1">
                  <c:v>4700</c:v>
                </c:pt>
                <c:pt idx="2">
                  <c:v>4700</c:v>
                </c:pt>
              </c:numCache>
            </c:numRef>
          </c:yVal>
          <c:smooth val="0"/>
          <c:extLst>
            <c:ext xmlns:c15="http://schemas.microsoft.com/office/drawing/2012/chart" uri="{02D57815-91ED-43cb-92C2-25804820EDAC}">
              <c15:datalabelsRange>
                <c15:f>ChartsDataSheet!$CNR$12:$CNR$14</c15:f>
                <c15:dlblRangeCache>
                  <c:ptCount val="3"/>
                  <c:pt idx="0">
                    <c:v>All Work 10000</c:v>
                  </c:pt>
                  <c:pt idx="1">
                    <c:v>Awarded 3000</c:v>
                  </c:pt>
                  <c:pt idx="2">
                    <c:v>Women 254</c:v>
                  </c:pt>
                </c15:dlblRangeCache>
              </c15:datalabelsRange>
            </c:ext>
            <c:ext xmlns:c16="http://schemas.microsoft.com/office/drawing/2014/chart" uri="{C3380CC4-5D6E-409C-BE32-E72D297353CC}">
              <c16:uniqueId val="{00000009-EBFA-47E7-80D9-4CB3B6B70248}"/>
            </c:ext>
          </c:extLst>
        </c:ser>
        <c:ser>
          <c:idx val="8"/>
          <c:order val="8"/>
          <c:tx>
            <c:v>Line_Percentages</c:v>
          </c:tx>
          <c:spPr>
            <a:ln w="19050" cap="rnd" cmpd="sng" algn="ctr">
              <a:noFill/>
              <a:prstDash val="solid"/>
              <a:round/>
            </a:ln>
            <a:effectLst/>
            <a:extLst>
              <a:ext uri="{91240B29-F687-4F45-9708-019B960494DF}">
                <a14:hiddenLine xmlns:a14="http://schemas.microsoft.com/office/drawing/2010/main" w="19050" cap="rnd" cmpd="sng" algn="ctr">
                  <a:solidFill>
                    <a:srgbClr val="000000"/>
                  </a:solidFill>
                  <a:prstDash val="solid"/>
                  <a:round/>
                </a14:hiddenLine>
              </a:ext>
            </a:extLst>
          </c:spPr>
          <c:marker>
            <c:symbol val="none"/>
          </c:marker>
          <c:dLbls>
            <c:dLbl>
              <c:idx val="0"/>
              <c:tx>
                <c:rich>
                  <a:bodyPr wrap="square" lIns="38100" tIns="19050" rIns="38100" bIns="19050" anchor="ctr">
                    <a:spAutoFit/>
                  </a:bodyPr>
                  <a:lstStyle/>
                  <a:p>
                    <a:pPr>
                      <a:defRPr sz="1100" b="1">
                        <a:solidFill>
                          <a:srgbClr val="FFFFFF">
                            <a:lumMod val="100000"/>
                          </a:srgbClr>
                        </a:solidFill>
                      </a:defRPr>
                    </a:pPr>
                    <a:fld id="{DC8207F8-FC06-4C22-9794-BE4C173B8AD7}"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BFA-47E7-80D9-4CB3B6B70248}"/>
                </c:ext>
              </c:extLst>
            </c:dLbl>
            <c:dLbl>
              <c:idx val="1"/>
              <c:tx>
                <c:rich>
                  <a:bodyPr wrap="square" lIns="38100" tIns="19050" rIns="38100" bIns="19050" anchor="ctr">
                    <a:spAutoFit/>
                  </a:bodyPr>
                  <a:lstStyle/>
                  <a:p>
                    <a:pPr>
                      <a:defRPr sz="1100" b="1">
                        <a:solidFill>
                          <a:srgbClr val="FFFFFF">
                            <a:lumMod val="100000"/>
                          </a:srgbClr>
                        </a:solidFill>
                      </a:defRPr>
                    </a:pPr>
                    <a:fld id="{FEE84839-52C9-42BF-A1AE-94E954B3E111}"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BFA-47E7-80D9-4CB3B6B70248}"/>
                </c:ext>
              </c:extLst>
            </c:dLbl>
            <c:dLbl>
              <c:idx val="2"/>
              <c:tx>
                <c:rich>
                  <a:bodyPr wrap="square" lIns="38100" tIns="19050" rIns="38100" bIns="19050" anchor="ctr">
                    <a:spAutoFit/>
                  </a:bodyPr>
                  <a:lstStyle/>
                  <a:p>
                    <a:pPr>
                      <a:defRPr sz="1100" b="1">
                        <a:solidFill>
                          <a:srgbClr val="FFFFFF">
                            <a:lumMod val="100000"/>
                          </a:srgbClr>
                        </a:solidFill>
                      </a:defRPr>
                    </a:pPr>
                    <a:fld id="{85EB6725-9EC2-4A01-89F9-13C9ED749C93}" type="CELLRANGE">
                      <a:rPr lang="en-US"/>
                      <a:pPr>
                        <a:defRPr sz="1100" b="1">
                          <a:solidFill>
                            <a:srgbClr val="FFFFFF">
                              <a:lumMod val="100000"/>
                            </a:srgbClr>
                          </a:solidFill>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BFA-47E7-80D9-4CB3B6B70248}"/>
                </c:ext>
              </c:extLst>
            </c:dLbl>
            <c:spPr>
              <a:noFill/>
              <a:ln>
                <a:noFill/>
              </a:ln>
              <a:effectLst/>
            </c:spPr>
            <c:txPr>
              <a:bodyPr wrap="square" lIns="38100" tIns="19050" rIns="38100" bIns="19050" anchor="ctr">
                <a:spAutoFit/>
              </a:bodyPr>
              <a:lstStyle/>
              <a:p>
                <a:pPr>
                  <a:defRPr sz="1100" b="1"/>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ChartsDataSheet!$CNV$12:$CNV$14</c:f>
              <c:numCache>
                <c:formatCode>General</c:formatCode>
                <c:ptCount val="3"/>
                <c:pt idx="0">
                  <c:v>1.5</c:v>
                </c:pt>
                <c:pt idx="1">
                  <c:v>2.5</c:v>
                </c:pt>
                <c:pt idx="2">
                  <c:v>3.5</c:v>
                </c:pt>
              </c:numCache>
            </c:numRef>
          </c:xVal>
          <c:yVal>
            <c:numRef>
              <c:f>ChartsDataSheet!$CNX$12:$CNX$14</c:f>
              <c:numCache>
                <c:formatCode>General</c:formatCode>
                <c:ptCount val="3"/>
                <c:pt idx="0">
                  <c:v>5350</c:v>
                </c:pt>
                <c:pt idx="1">
                  <c:v>5350</c:v>
                </c:pt>
                <c:pt idx="2">
                  <c:v>5350</c:v>
                </c:pt>
              </c:numCache>
            </c:numRef>
          </c:yVal>
          <c:smooth val="0"/>
          <c:extLst>
            <c:ext xmlns:c15="http://schemas.microsoft.com/office/drawing/2012/chart" uri="{02D57815-91ED-43cb-92C2-25804820EDAC}">
              <c15:datalabelsRange>
                <c15:f>ChartsDataSheet!$CNY$12:$CNY$14</c15:f>
                <c15:dlblRangeCache>
                  <c:ptCount val="3"/>
                  <c:pt idx="0">
                    <c:v>100%</c:v>
                  </c:pt>
                  <c:pt idx="1">
                    <c:v>30%</c:v>
                  </c:pt>
                  <c:pt idx="2">
                    <c:v>3%</c:v>
                  </c:pt>
                </c15:dlblRangeCache>
              </c15:datalabelsRange>
            </c:ext>
            <c:ext xmlns:c16="http://schemas.microsoft.com/office/drawing/2014/chart" uri="{C3380CC4-5D6E-409C-BE32-E72D297353CC}">
              <c16:uniqueId val="{0000000D-EBFA-47E7-80D9-4CB3B6B70248}"/>
            </c:ext>
          </c:extLst>
        </c:ser>
        <c:dLbls>
          <c:showLegendKey val="0"/>
          <c:showVal val="0"/>
          <c:showCatName val="0"/>
          <c:showSerName val="0"/>
          <c:showPercent val="0"/>
          <c:showBubbleSize val="0"/>
        </c:dLbls>
        <c:axId val="603392944"/>
        <c:axId val="471659007"/>
      </c:scatterChart>
      <c:catAx>
        <c:axId val="603392944"/>
        <c:scaling>
          <c:orientation val="minMax"/>
        </c:scaling>
        <c:delete val="1"/>
        <c:axPos val="b"/>
        <c:numFmt formatCode="General" sourceLinked="1"/>
        <c:majorTickMark val="out"/>
        <c:minorTickMark val="none"/>
        <c:tickLblPos val="nextTo"/>
        <c:crossAx val="471659007"/>
        <c:crosses val="autoZero"/>
        <c:auto val="1"/>
        <c:lblAlgn val="ctr"/>
        <c:lblOffset val="100"/>
        <c:noMultiLvlLbl val="0"/>
      </c:catAx>
      <c:valAx>
        <c:axId val="471659007"/>
        <c:scaling>
          <c:orientation val="minMax"/>
        </c:scaling>
        <c:delete val="1"/>
        <c:axPos val="l"/>
        <c:numFmt formatCode="General" sourceLinked="1"/>
        <c:majorTickMark val="out"/>
        <c:minorTickMark val="none"/>
        <c:tickLblPos val="nextTo"/>
        <c:crossAx val="603392944"/>
        <c:crosses val="autoZero"/>
        <c:crossBetween val="between"/>
      </c:valAx>
      <c:spPr>
        <a:ln>
          <a:solidFill>
            <a:schemeClr val="accent1">
              <a:shade val="15000"/>
              <a:alpha val="94000"/>
            </a:schemeClr>
          </a:solid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[AlcoholDiversity.xlsx]Sheet4!PivotTable4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42251000350852E-2"/>
          <c:y val="0.1080896369435302"/>
          <c:w val="0.9146455561589284"/>
          <c:h val="0.61909835344656006"/>
        </c:manualLayout>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Sheet4!$A$2:$A$16</c:f>
              <c:multiLvlStrCache>
                <c:ptCount val="9"/>
                <c:lvl>
                  <c:pt idx="0">
                    <c:v>Editorial</c:v>
                  </c:pt>
                  <c:pt idx="1">
                    <c:v>Film &amp; Video Production</c:v>
                  </c:pt>
                  <c:pt idx="2">
                    <c:v>Editorial</c:v>
                  </c:pt>
                  <c:pt idx="3">
                    <c:v>Editorial</c:v>
                  </c:pt>
                  <c:pt idx="4">
                    <c:v>Film &amp; Video Production</c:v>
                  </c:pt>
                  <c:pt idx="5">
                    <c:v>Editorial</c:v>
                  </c:pt>
                  <c:pt idx="6">
                    <c:v>Film &amp; Video Production</c:v>
                  </c:pt>
                  <c:pt idx="7">
                    <c:v>Editorial</c:v>
                  </c:pt>
                  <c:pt idx="8">
                    <c:v>Film &amp; Video Production</c:v>
                  </c:pt>
                </c:lvl>
                <c:lvl>
                  <c:pt idx="0">
                    <c:v>Aster PPK</c:v>
                  </c:pt>
                  <c:pt idx="2">
                    <c:v>Cantor Asia Media</c:v>
                  </c:pt>
                  <c:pt idx="3">
                    <c:v>Geoffrey Monty Allen</c:v>
                  </c:pt>
                  <c:pt idx="5">
                    <c:v>Idea Manufacturing</c:v>
                  </c:pt>
                  <c:pt idx="7">
                    <c:v>Top Notch Creative</c:v>
                  </c:pt>
                </c:lvl>
              </c:multiLvlStrCache>
            </c:multiLvlStrRef>
          </c:cat>
          <c:val>
            <c:numRef>
              <c:f>Sheet4!$B$2:$B$16</c:f>
              <c:numCache>
                <c:formatCode>General</c:formatCode>
                <c:ptCount val="9"/>
                <c:pt idx="0">
                  <c:v>0.18105420197886199</c:v>
                </c:pt>
                <c:pt idx="1">
                  <c:v>-0.13668930010977801</c:v>
                </c:pt>
                <c:pt idx="2">
                  <c:v>0.163410301953819</c:v>
                </c:pt>
                <c:pt idx="3">
                  <c:v>8.3021967080993998E-3</c:v>
                </c:pt>
                <c:pt idx="4">
                  <c:v>0.177822940440091</c:v>
                </c:pt>
                <c:pt idx="6">
                  <c:v>0.29589011172873603</c:v>
                </c:pt>
                <c:pt idx="7">
                  <c:v>0.101751380229903</c:v>
                </c:pt>
                <c:pt idx="8">
                  <c:v>0.148712264332449</c:v>
                </c:pt>
              </c:numCache>
            </c:numRef>
          </c:val>
          <c:extLst>
            <c:ext xmlns:c16="http://schemas.microsoft.com/office/drawing/2014/chart" uri="{C3380CC4-5D6E-409C-BE32-E72D297353CC}">
              <c16:uniqueId val="{00000003-9A6F-4B99-8174-D5DF481F119D}"/>
            </c:ext>
          </c:extLst>
        </c:ser>
        <c:dLbls>
          <c:dLblPos val="outEnd"/>
          <c:showLegendKey val="0"/>
          <c:showVal val="1"/>
          <c:showCatName val="0"/>
          <c:showSerName val="0"/>
          <c:showPercent val="0"/>
          <c:showBubbleSize val="0"/>
        </c:dLbls>
        <c:gapWidth val="80"/>
        <c:overlap val="-25"/>
        <c:axId val="656718544"/>
        <c:axId val="656719504"/>
      </c:barChart>
      <c:catAx>
        <c:axId val="656718544"/>
        <c:scaling>
          <c:orientation val="minMax"/>
        </c:scaling>
        <c:delete val="0"/>
        <c:axPos val="b"/>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19504"/>
        <c:crosses val="autoZero"/>
        <c:auto val="1"/>
        <c:lblAlgn val="ctr"/>
        <c:lblOffset val="100"/>
        <c:tickMarkSkip val="1"/>
        <c:noMultiLvlLbl val="0"/>
      </c:catAx>
      <c:valAx>
        <c:axId val="656719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18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[AlcoholDiversity.xlsx]Sheet4!PivotTable4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multiLvlStrRef>
              <c:f>Sheet4!$A$2:$A$16</c:f>
              <c:multiLvlStrCache>
                <c:ptCount val="9"/>
                <c:lvl>
                  <c:pt idx="0">
                    <c:v>Editorial</c:v>
                  </c:pt>
                  <c:pt idx="1">
                    <c:v>Film &amp; Video Production</c:v>
                  </c:pt>
                  <c:pt idx="2">
                    <c:v>Editorial</c:v>
                  </c:pt>
                  <c:pt idx="3">
                    <c:v>Editorial</c:v>
                  </c:pt>
                  <c:pt idx="4">
                    <c:v>Film &amp; Video Production</c:v>
                  </c:pt>
                  <c:pt idx="5">
                    <c:v>Editorial</c:v>
                  </c:pt>
                  <c:pt idx="6">
                    <c:v>Film &amp; Video Production</c:v>
                  </c:pt>
                  <c:pt idx="7">
                    <c:v>Editorial</c:v>
                  </c:pt>
                  <c:pt idx="8">
                    <c:v>Film &amp; Video Production</c:v>
                  </c:pt>
                </c:lvl>
                <c:lvl>
                  <c:pt idx="0">
                    <c:v>Aster PPK</c:v>
                  </c:pt>
                  <c:pt idx="2">
                    <c:v>Cantor Asia Media</c:v>
                  </c:pt>
                  <c:pt idx="3">
                    <c:v>Geoffrey Monty Allen</c:v>
                  </c:pt>
                  <c:pt idx="5">
                    <c:v>Idea Manufacturing</c:v>
                  </c:pt>
                  <c:pt idx="7">
                    <c:v>Top Notch Creative</c:v>
                  </c:pt>
                </c:lvl>
              </c:multiLvlStrCache>
            </c:multiLvlStrRef>
          </c:cat>
          <c:val>
            <c:numRef>
              <c:f>Sheet4!$B$2:$B$16</c:f>
              <c:numCache>
                <c:formatCode>General</c:formatCode>
                <c:ptCount val="9"/>
                <c:pt idx="0">
                  <c:v>0.18105420197886199</c:v>
                </c:pt>
                <c:pt idx="1">
                  <c:v>-0.13668930010977801</c:v>
                </c:pt>
                <c:pt idx="2">
                  <c:v>0.163410301953819</c:v>
                </c:pt>
                <c:pt idx="3">
                  <c:v>8.3021967080993998E-3</c:v>
                </c:pt>
                <c:pt idx="4">
                  <c:v>0.177822940440091</c:v>
                </c:pt>
                <c:pt idx="6">
                  <c:v>0.29589011172873603</c:v>
                </c:pt>
                <c:pt idx="7">
                  <c:v>0.101751380229903</c:v>
                </c:pt>
                <c:pt idx="8">
                  <c:v>0.148712264332449</c:v>
                </c:pt>
              </c:numCache>
            </c:numRef>
          </c:val>
          <c:extLst>
            <c:ext xmlns:c16="http://schemas.microsoft.com/office/drawing/2014/chart" uri="{C3380CC4-5D6E-409C-BE32-E72D297353CC}">
              <c16:uniqueId val="{00000009-0B8A-4607-8A71-C86203C5CE03}"/>
            </c:ext>
          </c:extLst>
        </c:ser>
        <c:dLbls>
          <c:showLegendKey val="0"/>
          <c:showVal val="0"/>
          <c:showCatName val="0"/>
          <c:showSerName val="0"/>
          <c:showPercent val="0"/>
          <c:showBubbleSize val="0"/>
        </c:dLbls>
        <c:gapWidth val="40"/>
        <c:axId val="600671440"/>
        <c:axId val="600671920"/>
      </c:barChart>
      <c:catAx>
        <c:axId val="6006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71920"/>
        <c:crosses val="autoZero"/>
        <c:auto val="1"/>
        <c:lblAlgn val="ctr"/>
        <c:lblOffset val="100"/>
        <c:noMultiLvlLbl val="0"/>
      </c:catAx>
      <c:valAx>
        <c:axId val="60067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7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CF3F-4A3C-94A5-4B0C8C6708C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4762</xdr:colOff>
      <xdr:row>0</xdr:row>
      <xdr:rowOff>177800</xdr:rowOff>
    </xdr:from>
    <xdr:to>
      <xdr:col>29</xdr:col>
      <xdr:colOff>106362</xdr:colOff>
      <xdr:row>30</xdr:row>
      <xdr:rowOff>9525</xdr:rowOff>
    </xdr:to>
    <xdr:graphicFrame macro="">
      <xdr:nvGraphicFramePr>
        <xdr:cNvPr id="2" name="SF2_1">
          <a:extLst>
            <a:ext uri="{FF2B5EF4-FFF2-40B4-BE49-F238E27FC236}">
              <a16:creationId xmlns:a16="http://schemas.microsoft.com/office/drawing/2014/main" id="{B9AC54DE-2D0F-713C-2EEC-D071E33D2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511175</xdr:colOff>
      <xdr:row>28</xdr:row>
      <xdr:rowOff>161925</xdr:rowOff>
    </xdr:from>
    <xdr:to>
      <xdr:col>17</xdr:col>
      <xdr:colOff>273050</xdr:colOff>
      <xdr:row>46</xdr:row>
      <xdr:rowOff>41275</xdr:rowOff>
    </xdr:to>
    <xdr:graphicFrame macro="">
      <xdr:nvGraphicFramePr>
        <xdr:cNvPr id="3" name="SF2_2">
          <a:extLst>
            <a:ext uri="{FF2B5EF4-FFF2-40B4-BE49-F238E27FC236}">
              <a16:creationId xmlns:a16="http://schemas.microsoft.com/office/drawing/2014/main" id="{F1E372E4-C130-DEDE-220C-3DE800E07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6</xdr:col>
      <xdr:colOff>1031080</xdr:colOff>
      <xdr:row>23</xdr:row>
      <xdr:rowOff>157162</xdr:rowOff>
    </xdr:from>
    <xdr:to>
      <xdr:col>10</xdr:col>
      <xdr:colOff>7142</xdr:colOff>
      <xdr:row>39</xdr:row>
      <xdr:rowOff>4762</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DBCC884-0637-E9F7-4BAE-F125B81552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965405" y="4348162"/>
              <a:ext cx="4205287" cy="289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95248</xdr:colOff>
      <xdr:row>1</xdr:row>
      <xdr:rowOff>41673</xdr:rowOff>
    </xdr:from>
    <xdr:to>
      <xdr:col>17</xdr:col>
      <xdr:colOff>559593</xdr:colOff>
      <xdr:row>36</xdr:row>
      <xdr:rowOff>35720</xdr:rowOff>
    </xdr:to>
    <xdr:sp macro="" textlink="">
      <xdr:nvSpPr>
        <xdr:cNvPr id="48" name="Rectangle: Rounded Corners 47">
          <a:extLst>
            <a:ext uri="{FF2B5EF4-FFF2-40B4-BE49-F238E27FC236}">
              <a16:creationId xmlns:a16="http://schemas.microsoft.com/office/drawing/2014/main" id="{E86C95DE-6181-C4EA-4E60-80A9D916EBE2}"/>
            </a:ext>
          </a:extLst>
        </xdr:cNvPr>
        <xdr:cNvSpPr/>
      </xdr:nvSpPr>
      <xdr:spPr>
        <a:xfrm>
          <a:off x="2041921" y="220267"/>
          <a:ext cx="9548813" cy="6244828"/>
        </a:xfrm>
        <a:prstGeom prst="roundRect">
          <a:avLst>
            <a:gd name="adj" fmla="val 1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92869</xdr:rowOff>
    </xdr:from>
    <xdr:to>
      <xdr:col>18</xdr:col>
      <xdr:colOff>444898</xdr:colOff>
      <xdr:row>38</xdr:row>
      <xdr:rowOff>73819</xdr:rowOff>
    </xdr:to>
    <xdr:grpSp>
      <xdr:nvGrpSpPr>
        <xdr:cNvPr id="2" name="Sankey_Chart_Group">
          <a:extLst>
            <a:ext uri="{FF2B5EF4-FFF2-40B4-BE49-F238E27FC236}">
              <a16:creationId xmlns:a16="http://schemas.microsoft.com/office/drawing/2014/main" id="{F8704E14-1B27-4C53-A4CE-79F43A7C30B3}"/>
            </a:ext>
          </a:extLst>
        </xdr:cNvPr>
        <xdr:cNvGrpSpPr/>
      </xdr:nvGrpSpPr>
      <xdr:grpSpPr>
        <a:xfrm>
          <a:off x="0" y="92869"/>
          <a:ext cx="11160523" cy="7219950"/>
          <a:chOff x="0" y="0"/>
          <a:chExt cx="12700000" cy="6858000"/>
        </a:xfrm>
      </xdr:grpSpPr>
      <xdr:sp macro="" textlink="">
        <xdr:nvSpPr>
          <xdr:cNvPr id="3" name="SK_BG">
            <a:extLst>
              <a:ext uri="{FF2B5EF4-FFF2-40B4-BE49-F238E27FC236}">
                <a16:creationId xmlns:a16="http://schemas.microsoft.com/office/drawing/2014/main" id="{07E63256-5CBD-323F-E024-2C6888BE13DE}"/>
              </a:ext>
            </a:extLst>
          </xdr:cNvPr>
          <xdr:cNvSpPr/>
        </xdr:nvSpPr>
        <xdr:spPr>
          <a:xfrm>
            <a:off x="0" y="0"/>
            <a:ext cx="12700000" cy="6858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SK_LNK__PITCHED WORK">
            <a:extLst>
              <a:ext uri="{FF2B5EF4-FFF2-40B4-BE49-F238E27FC236}">
                <a16:creationId xmlns:a16="http://schemas.microsoft.com/office/drawing/2014/main" id="{5F7A3684-CD07-B560-3A95-E2DFD13D97BE}"/>
              </a:ext>
            </a:extLst>
          </xdr:cNvPr>
          <xdr:cNvSpPr/>
        </xdr:nvSpPr>
        <xdr:spPr>
          <a:xfrm>
            <a:off x="3333750" y="1333500"/>
            <a:ext cx="1270001" cy="4191001"/>
          </a:xfrm>
          <a:custGeom>
            <a:avLst/>
            <a:gdLst/>
            <a:ahLst/>
            <a:cxnLst/>
            <a:rect l="0" t="0" r="0" b="0"/>
            <a:pathLst>
              <a:path w="1270001" h="4191001">
                <a:moveTo>
                  <a:pt x="0" y="0"/>
                </a:moveTo>
                <a:cubicBezTo>
                  <a:pt x="381000" y="0"/>
                  <a:pt x="889000" y="0"/>
                  <a:pt x="1270000" y="0"/>
                </a:cubicBezTo>
                <a:lnTo>
                  <a:pt x="1270000" y="4191000"/>
                </a:lnTo>
                <a:cubicBezTo>
                  <a:pt x="889000" y="4191000"/>
                  <a:pt x="381000" y="4191000"/>
                  <a:pt x="0" y="4191000"/>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SK_LNK_PITCHED WORK_AWARDED WORK">
            <a:extLst>
              <a:ext uri="{FF2B5EF4-FFF2-40B4-BE49-F238E27FC236}">
                <a16:creationId xmlns:a16="http://schemas.microsoft.com/office/drawing/2014/main" id="{8D268B21-F2CD-05EA-6014-3DFF907CA55A}"/>
              </a:ext>
            </a:extLst>
          </xdr:cNvPr>
          <xdr:cNvSpPr/>
        </xdr:nvSpPr>
        <xdr:spPr>
          <a:xfrm>
            <a:off x="4921250" y="1333500"/>
            <a:ext cx="1270001" cy="2868161"/>
          </a:xfrm>
          <a:custGeom>
            <a:avLst/>
            <a:gdLst/>
            <a:ahLst/>
            <a:cxnLst/>
            <a:rect l="0" t="0" r="0" b="0"/>
            <a:pathLst>
              <a:path w="1270001" h="2868161">
                <a:moveTo>
                  <a:pt x="0" y="0"/>
                </a:moveTo>
                <a:cubicBezTo>
                  <a:pt x="381000" y="0"/>
                  <a:pt x="889000" y="1322840"/>
                  <a:pt x="1270000" y="1322840"/>
                </a:cubicBezTo>
                <a:lnTo>
                  <a:pt x="1270000" y="2868160"/>
                </a:lnTo>
                <a:cubicBezTo>
                  <a:pt x="889000" y="2868160"/>
                  <a:pt x="381000" y="1545320"/>
                  <a:pt x="0" y="1545320"/>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SK_LNK_AWARDED WORK_AWARDED PRODUCTION">
            <a:extLst>
              <a:ext uri="{FF2B5EF4-FFF2-40B4-BE49-F238E27FC236}">
                <a16:creationId xmlns:a16="http://schemas.microsoft.com/office/drawing/2014/main" id="{7F9E9BCD-2743-2D12-CC81-7A2E69B8F869}"/>
              </a:ext>
            </a:extLst>
          </xdr:cNvPr>
          <xdr:cNvSpPr/>
        </xdr:nvSpPr>
        <xdr:spPr>
          <a:xfrm>
            <a:off x="6508750" y="1016000"/>
            <a:ext cx="1270001" cy="2774084"/>
          </a:xfrm>
          <a:custGeom>
            <a:avLst/>
            <a:gdLst/>
            <a:ahLst/>
            <a:cxnLst/>
            <a:rect l="0" t="0" r="0" b="0"/>
            <a:pathLst>
              <a:path w="1270001" h="2774084">
                <a:moveTo>
                  <a:pt x="0" y="1640340"/>
                </a:moveTo>
                <a:cubicBezTo>
                  <a:pt x="381000" y="1640340"/>
                  <a:pt x="889000" y="0"/>
                  <a:pt x="1270000" y="0"/>
                </a:cubicBezTo>
                <a:lnTo>
                  <a:pt x="1270000" y="1133743"/>
                </a:lnTo>
                <a:cubicBezTo>
                  <a:pt x="889000" y="1133743"/>
                  <a:pt x="381000" y="2774083"/>
                  <a:pt x="0" y="2774083"/>
                </a:cubicBezTo>
                <a:close/>
              </a:path>
            </a:pathLst>
          </a:custGeom>
          <a:solidFill>
            <a:srgbClr val="DB868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SK_LNK_AWARDED WORK_AWARDED POST">
            <a:extLst>
              <a:ext uri="{FF2B5EF4-FFF2-40B4-BE49-F238E27FC236}">
                <a16:creationId xmlns:a16="http://schemas.microsoft.com/office/drawing/2014/main" id="{3B065320-2F40-13CE-CFCF-20667FC6F977}"/>
              </a:ext>
            </a:extLst>
          </xdr:cNvPr>
          <xdr:cNvSpPr/>
        </xdr:nvSpPr>
        <xdr:spPr>
          <a:xfrm>
            <a:off x="6508750" y="2911743"/>
            <a:ext cx="1270001" cy="1199284"/>
          </a:xfrm>
          <a:custGeom>
            <a:avLst/>
            <a:gdLst/>
            <a:ahLst/>
            <a:cxnLst/>
            <a:rect l="0" t="0" r="0" b="0"/>
            <a:pathLst>
              <a:path w="1270001" h="1199284">
                <a:moveTo>
                  <a:pt x="0" y="878340"/>
                </a:moveTo>
                <a:cubicBezTo>
                  <a:pt x="381000" y="878340"/>
                  <a:pt x="889000" y="0"/>
                  <a:pt x="1270000" y="0"/>
                </a:cubicBezTo>
                <a:lnTo>
                  <a:pt x="1270000" y="320943"/>
                </a:lnTo>
                <a:cubicBezTo>
                  <a:pt x="889000" y="320943"/>
                  <a:pt x="381000" y="1199283"/>
                  <a:pt x="0" y="1199283"/>
                </a:cubicBezTo>
                <a:close/>
              </a:path>
            </a:pathLst>
          </a:custGeom>
          <a:solidFill>
            <a:srgbClr val="CDC4E0">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SK_LNK_AWARDED WORK_AWARDED STILLS">
            <a:extLst>
              <a:ext uri="{FF2B5EF4-FFF2-40B4-BE49-F238E27FC236}">
                <a16:creationId xmlns:a16="http://schemas.microsoft.com/office/drawing/2014/main" id="{76DC6715-5EFF-80AF-0D16-0C5D09E1AFB6}"/>
              </a:ext>
            </a:extLst>
          </xdr:cNvPr>
          <xdr:cNvSpPr/>
        </xdr:nvSpPr>
        <xdr:spPr>
          <a:xfrm>
            <a:off x="6508750" y="3994686"/>
            <a:ext cx="1270001" cy="200915"/>
          </a:xfrm>
          <a:custGeom>
            <a:avLst/>
            <a:gdLst/>
            <a:ahLst/>
            <a:cxnLst/>
            <a:rect l="0" t="0" r="0" b="0"/>
            <a:pathLst>
              <a:path w="1270001" h="200915">
                <a:moveTo>
                  <a:pt x="0" y="116340"/>
                </a:moveTo>
                <a:cubicBezTo>
                  <a:pt x="381000" y="116340"/>
                  <a:pt x="889000" y="0"/>
                  <a:pt x="1270000" y="0"/>
                </a:cubicBezTo>
                <a:lnTo>
                  <a:pt x="1270000" y="84575"/>
                </a:lnTo>
                <a:cubicBezTo>
                  <a:pt x="889000" y="84575"/>
                  <a:pt x="381000" y="200914"/>
                  <a:pt x="0" y="200914"/>
                </a:cubicBezTo>
                <a:close/>
              </a:path>
            </a:pathLst>
          </a:custGeom>
          <a:solidFill>
            <a:srgbClr val="DB868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SK_LNK_AWARDED WORK_AWARDED BTS">
            <a:extLst>
              <a:ext uri="{FF2B5EF4-FFF2-40B4-BE49-F238E27FC236}">
                <a16:creationId xmlns:a16="http://schemas.microsoft.com/office/drawing/2014/main" id="{5C4CCB8A-E18B-1C1A-419C-9B67FABBA783}"/>
              </a:ext>
            </a:extLst>
          </xdr:cNvPr>
          <xdr:cNvSpPr/>
        </xdr:nvSpPr>
        <xdr:spPr>
          <a:xfrm>
            <a:off x="6508750" y="4195600"/>
            <a:ext cx="1270001" cy="652012"/>
          </a:xfrm>
          <a:custGeom>
            <a:avLst/>
            <a:gdLst/>
            <a:ahLst/>
            <a:cxnLst/>
            <a:rect l="0" t="0" r="0" b="0"/>
            <a:pathLst>
              <a:path w="1270001" h="652012">
                <a:moveTo>
                  <a:pt x="0" y="0"/>
                </a:moveTo>
                <a:cubicBezTo>
                  <a:pt x="381000" y="0"/>
                  <a:pt x="889000" y="645661"/>
                  <a:pt x="1270000" y="645661"/>
                </a:cubicBezTo>
                <a:lnTo>
                  <a:pt x="1270000" y="652011"/>
                </a:lnTo>
                <a:cubicBezTo>
                  <a:pt x="889000" y="652011"/>
                  <a:pt x="381000" y="6350"/>
                  <a:pt x="0" y="6350"/>
                </a:cubicBezTo>
                <a:close/>
              </a:path>
            </a:pathLst>
          </a:custGeom>
          <a:solidFill>
            <a:srgbClr val="CDC4E0">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SK_LNK_AWARDED PRODUCTION_PRODUCTION AWARDED TO MEN">
            <a:extLst>
              <a:ext uri="{FF2B5EF4-FFF2-40B4-BE49-F238E27FC236}">
                <a16:creationId xmlns:a16="http://schemas.microsoft.com/office/drawing/2014/main" id="{F624B884-37CA-CA2F-98E5-C08A388AD236}"/>
              </a:ext>
            </a:extLst>
          </xdr:cNvPr>
          <xdr:cNvSpPr/>
        </xdr:nvSpPr>
        <xdr:spPr>
          <a:xfrm>
            <a:off x="8096250" y="768525"/>
            <a:ext cx="1270001" cy="1228498"/>
          </a:xfrm>
          <a:custGeom>
            <a:avLst/>
            <a:gdLst/>
            <a:ahLst/>
            <a:cxnLst/>
            <a:rect l="0" t="0" r="0" b="0"/>
            <a:pathLst>
              <a:path w="1270001" h="1228498">
                <a:moveTo>
                  <a:pt x="0" y="247475"/>
                </a:moveTo>
                <a:cubicBezTo>
                  <a:pt x="381000" y="247475"/>
                  <a:pt x="889000" y="0"/>
                  <a:pt x="1270000" y="0"/>
                </a:cubicBezTo>
                <a:lnTo>
                  <a:pt x="1270000" y="981022"/>
                </a:lnTo>
                <a:cubicBezTo>
                  <a:pt x="889000" y="981022"/>
                  <a:pt x="381000" y="1228497"/>
                  <a:pt x="0" y="1228497"/>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SK_LNK_AWARDED PRODUCTION_PRODUCTION AWARDED TO WOMEN">
            <a:extLst>
              <a:ext uri="{FF2B5EF4-FFF2-40B4-BE49-F238E27FC236}">
                <a16:creationId xmlns:a16="http://schemas.microsoft.com/office/drawing/2014/main" id="{D44E26E8-E6DD-5177-2950-130D44623636}"/>
              </a:ext>
            </a:extLst>
          </xdr:cNvPr>
          <xdr:cNvSpPr/>
        </xdr:nvSpPr>
        <xdr:spPr>
          <a:xfrm>
            <a:off x="8096250" y="1997022"/>
            <a:ext cx="1270001" cy="419772"/>
          </a:xfrm>
          <a:custGeom>
            <a:avLst/>
            <a:gdLst/>
            <a:ahLst/>
            <a:cxnLst/>
            <a:rect l="0" t="0" r="0" b="0"/>
            <a:pathLst>
              <a:path w="1270001" h="419772">
                <a:moveTo>
                  <a:pt x="0" y="0"/>
                </a:moveTo>
                <a:cubicBezTo>
                  <a:pt x="381000" y="0"/>
                  <a:pt x="889000" y="267051"/>
                  <a:pt x="1270000" y="267051"/>
                </a:cubicBezTo>
                <a:lnTo>
                  <a:pt x="1270000" y="419771"/>
                </a:lnTo>
                <a:cubicBezTo>
                  <a:pt x="889000" y="419771"/>
                  <a:pt x="381000" y="152721"/>
                  <a:pt x="0" y="152721"/>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SK_LNK_AWARDED POST_POST AWARDED TO MEN">
            <a:extLst>
              <a:ext uri="{FF2B5EF4-FFF2-40B4-BE49-F238E27FC236}">
                <a16:creationId xmlns:a16="http://schemas.microsoft.com/office/drawing/2014/main" id="{C8F2F4A8-300F-D33A-9AF2-27DB5BB8410F}"/>
              </a:ext>
            </a:extLst>
          </xdr:cNvPr>
          <xdr:cNvSpPr/>
        </xdr:nvSpPr>
        <xdr:spPr>
          <a:xfrm>
            <a:off x="8096250" y="2911743"/>
            <a:ext cx="1270001" cy="327116"/>
          </a:xfrm>
          <a:custGeom>
            <a:avLst/>
            <a:gdLst/>
            <a:ahLst/>
            <a:cxnLst/>
            <a:rect l="0" t="0" r="0" b="0"/>
            <a:pathLst>
              <a:path w="1270001" h="327116">
                <a:moveTo>
                  <a:pt x="0" y="0"/>
                </a:moveTo>
                <a:cubicBezTo>
                  <a:pt x="381000" y="0"/>
                  <a:pt x="889000" y="19575"/>
                  <a:pt x="1270000" y="19575"/>
                </a:cubicBezTo>
                <a:lnTo>
                  <a:pt x="1270000" y="327115"/>
                </a:lnTo>
                <a:cubicBezTo>
                  <a:pt x="889000" y="327115"/>
                  <a:pt x="381000" y="307540"/>
                  <a:pt x="0" y="307540"/>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SK_LNK_AWARDED POST_POST AWRDED TO WOMEN">
            <a:extLst>
              <a:ext uri="{FF2B5EF4-FFF2-40B4-BE49-F238E27FC236}">
                <a16:creationId xmlns:a16="http://schemas.microsoft.com/office/drawing/2014/main" id="{0E77DD90-174B-69EC-A0D4-8C25D67074DE}"/>
              </a:ext>
            </a:extLst>
          </xdr:cNvPr>
          <xdr:cNvSpPr/>
        </xdr:nvSpPr>
        <xdr:spPr>
          <a:xfrm>
            <a:off x="8096250" y="3219283"/>
            <a:ext cx="1270001" cy="547505"/>
          </a:xfrm>
          <a:custGeom>
            <a:avLst/>
            <a:gdLst/>
            <a:ahLst/>
            <a:cxnLst/>
            <a:rect l="0" t="0" r="0" b="0"/>
            <a:pathLst>
              <a:path w="1270001" h="547505">
                <a:moveTo>
                  <a:pt x="0" y="0"/>
                </a:moveTo>
                <a:cubicBezTo>
                  <a:pt x="381000" y="0"/>
                  <a:pt x="889000" y="534100"/>
                  <a:pt x="1270000" y="534100"/>
                </a:cubicBezTo>
                <a:lnTo>
                  <a:pt x="1270000" y="547504"/>
                </a:lnTo>
                <a:cubicBezTo>
                  <a:pt x="889000" y="547504"/>
                  <a:pt x="381000" y="13403"/>
                  <a:pt x="0" y="13403"/>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SK_LNK_AWARDED STILLS_STILLS AWARDED TO MEN">
            <a:extLst>
              <a:ext uri="{FF2B5EF4-FFF2-40B4-BE49-F238E27FC236}">
                <a16:creationId xmlns:a16="http://schemas.microsoft.com/office/drawing/2014/main" id="{15B96D48-4959-DB83-0757-3342C6C4BFBC}"/>
              </a:ext>
            </a:extLst>
          </xdr:cNvPr>
          <xdr:cNvSpPr/>
        </xdr:nvSpPr>
        <xdr:spPr>
          <a:xfrm>
            <a:off x="8096250" y="3994686"/>
            <a:ext cx="1270001" cy="398814"/>
          </a:xfrm>
          <a:custGeom>
            <a:avLst/>
            <a:gdLst/>
            <a:ahLst/>
            <a:cxnLst/>
            <a:rect l="0" t="0" r="0" b="0"/>
            <a:pathLst>
              <a:path w="1270001" h="398814">
                <a:moveTo>
                  <a:pt x="0" y="0"/>
                </a:moveTo>
                <a:cubicBezTo>
                  <a:pt x="381000" y="0"/>
                  <a:pt x="889000" y="324022"/>
                  <a:pt x="1270000" y="324022"/>
                </a:cubicBezTo>
                <a:lnTo>
                  <a:pt x="1270000" y="398813"/>
                </a:lnTo>
                <a:cubicBezTo>
                  <a:pt x="889000" y="398813"/>
                  <a:pt x="381000" y="74791"/>
                  <a:pt x="0" y="74791"/>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SK_LNK_AWARDED STILLS_STILLS AWARDED TO WOMEN">
            <a:extLst>
              <a:ext uri="{FF2B5EF4-FFF2-40B4-BE49-F238E27FC236}">
                <a16:creationId xmlns:a16="http://schemas.microsoft.com/office/drawing/2014/main" id="{01BD6D30-870E-8F98-E53A-37DAD86C5119}"/>
              </a:ext>
            </a:extLst>
          </xdr:cNvPr>
          <xdr:cNvSpPr/>
        </xdr:nvSpPr>
        <xdr:spPr>
          <a:xfrm>
            <a:off x="8096250" y="4069477"/>
            <a:ext cx="1270001" cy="848332"/>
          </a:xfrm>
          <a:custGeom>
            <a:avLst/>
            <a:gdLst/>
            <a:ahLst/>
            <a:cxnLst/>
            <a:rect l="0" t="0" r="0" b="0"/>
            <a:pathLst>
              <a:path w="1270001" h="848332">
                <a:moveTo>
                  <a:pt x="0" y="0"/>
                </a:moveTo>
                <a:cubicBezTo>
                  <a:pt x="381000" y="0"/>
                  <a:pt x="889000" y="838547"/>
                  <a:pt x="1270000" y="838547"/>
                </a:cubicBezTo>
                <a:lnTo>
                  <a:pt x="1270000" y="848331"/>
                </a:lnTo>
                <a:cubicBezTo>
                  <a:pt x="889000" y="848331"/>
                  <a:pt x="381000" y="9784"/>
                  <a:pt x="0" y="9784"/>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SK_LNK_AWARDED BTS_BTS AWARDED TO MEN">
            <a:extLst>
              <a:ext uri="{FF2B5EF4-FFF2-40B4-BE49-F238E27FC236}">
                <a16:creationId xmlns:a16="http://schemas.microsoft.com/office/drawing/2014/main" id="{99AF0AB5-49E3-558F-5DA4-0021DA3BFD34}"/>
              </a:ext>
            </a:extLst>
          </xdr:cNvPr>
          <xdr:cNvSpPr/>
        </xdr:nvSpPr>
        <xdr:spPr>
          <a:xfrm>
            <a:off x="8096250" y="4841261"/>
            <a:ext cx="1270001" cy="638440"/>
          </a:xfrm>
          <a:custGeom>
            <a:avLst/>
            <a:gdLst/>
            <a:ahLst/>
            <a:cxnLst/>
            <a:rect l="0" t="0" r="0" b="0"/>
            <a:pathLst>
              <a:path w="1270001" h="638440">
                <a:moveTo>
                  <a:pt x="0" y="0"/>
                </a:moveTo>
                <a:cubicBezTo>
                  <a:pt x="381000" y="0"/>
                  <a:pt x="889000" y="632089"/>
                  <a:pt x="1270000" y="632089"/>
                </a:cubicBezTo>
                <a:lnTo>
                  <a:pt x="1270000" y="638439"/>
                </a:lnTo>
                <a:cubicBezTo>
                  <a:pt x="889000" y="638439"/>
                  <a:pt x="381000" y="6350"/>
                  <a:pt x="0" y="6350"/>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SK_LNK_AWARDED BTS_BTS AWARDED TO WOMEN">
            <a:extLst>
              <a:ext uri="{FF2B5EF4-FFF2-40B4-BE49-F238E27FC236}">
                <a16:creationId xmlns:a16="http://schemas.microsoft.com/office/drawing/2014/main" id="{D3029A82-50D4-7A5B-62DC-1F7563D7FB56}"/>
              </a:ext>
            </a:extLst>
          </xdr:cNvPr>
          <xdr:cNvSpPr/>
        </xdr:nvSpPr>
        <xdr:spPr>
          <a:xfrm>
            <a:off x="8096250" y="4847611"/>
            <a:ext cx="1270001" cy="1197415"/>
          </a:xfrm>
          <a:custGeom>
            <a:avLst/>
            <a:gdLst/>
            <a:ahLst/>
            <a:cxnLst/>
            <a:rect l="0" t="0" r="0" b="0"/>
            <a:pathLst>
              <a:path w="1270001" h="1197415">
                <a:moveTo>
                  <a:pt x="0" y="0"/>
                </a:moveTo>
                <a:cubicBezTo>
                  <a:pt x="381000" y="0"/>
                  <a:pt x="889000" y="1191064"/>
                  <a:pt x="1270000" y="1191064"/>
                </a:cubicBezTo>
                <a:lnTo>
                  <a:pt x="1270000" y="1197414"/>
                </a:lnTo>
                <a:cubicBezTo>
                  <a:pt x="889000" y="1197414"/>
                  <a:pt x="381000" y="6350"/>
                  <a:pt x="0" y="6350"/>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SK_NODE_">
            <a:extLst>
              <a:ext uri="{FF2B5EF4-FFF2-40B4-BE49-F238E27FC236}">
                <a16:creationId xmlns:a16="http://schemas.microsoft.com/office/drawing/2014/main" id="{BB37FD7C-B3F3-00C3-C309-132721BAFBDB}"/>
              </a:ext>
            </a:extLst>
          </xdr:cNvPr>
          <xdr:cNvSpPr/>
        </xdr:nvSpPr>
        <xdr:spPr>
          <a:xfrm>
            <a:off x="3016250" y="1333500"/>
            <a:ext cx="317500" cy="41910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SK_NODE_PITCHED WORK">
            <a:extLst>
              <a:ext uri="{FF2B5EF4-FFF2-40B4-BE49-F238E27FC236}">
                <a16:creationId xmlns:a16="http://schemas.microsoft.com/office/drawing/2014/main" id="{58CA5E0E-7A9B-FDDE-9A47-DCAB2FF890DE}"/>
              </a:ext>
            </a:extLst>
          </xdr:cNvPr>
          <xdr:cNvSpPr/>
        </xdr:nvSpPr>
        <xdr:spPr>
          <a:xfrm>
            <a:off x="4603750" y="1333500"/>
            <a:ext cx="317500" cy="41910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SK_NODE_AWARDED WORK">
            <a:extLst>
              <a:ext uri="{FF2B5EF4-FFF2-40B4-BE49-F238E27FC236}">
                <a16:creationId xmlns:a16="http://schemas.microsoft.com/office/drawing/2014/main" id="{9D37AE7F-69FB-D316-4755-851C117DBFCB}"/>
              </a:ext>
            </a:extLst>
          </xdr:cNvPr>
          <xdr:cNvSpPr/>
        </xdr:nvSpPr>
        <xdr:spPr>
          <a:xfrm>
            <a:off x="6191250" y="2656340"/>
            <a:ext cx="317500" cy="154532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SK_NODE_AWARDED PRODUCTION">
            <a:extLst>
              <a:ext uri="{FF2B5EF4-FFF2-40B4-BE49-F238E27FC236}">
                <a16:creationId xmlns:a16="http://schemas.microsoft.com/office/drawing/2014/main" id="{0E9613E7-030A-12D6-08E3-EF08EE0C535B}"/>
              </a:ext>
            </a:extLst>
          </xdr:cNvPr>
          <xdr:cNvSpPr/>
        </xdr:nvSpPr>
        <xdr:spPr>
          <a:xfrm>
            <a:off x="7778750" y="1016000"/>
            <a:ext cx="317500" cy="1133743"/>
          </a:xfrm>
          <a:prstGeom prst="rect">
            <a:avLst/>
          </a:prstGeom>
          <a:solidFill>
            <a:srgbClr val="B5505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SK_NODE_AWARDED POST">
            <a:extLst>
              <a:ext uri="{FF2B5EF4-FFF2-40B4-BE49-F238E27FC236}">
                <a16:creationId xmlns:a16="http://schemas.microsoft.com/office/drawing/2014/main" id="{433A4D65-DD8A-3DC4-FA58-CEA1B75DBC15}"/>
              </a:ext>
            </a:extLst>
          </xdr:cNvPr>
          <xdr:cNvSpPr/>
        </xdr:nvSpPr>
        <xdr:spPr>
          <a:xfrm>
            <a:off x="7778750" y="2911743"/>
            <a:ext cx="317500" cy="320943"/>
          </a:xfrm>
          <a:prstGeom prst="rect">
            <a:avLst/>
          </a:prstGeom>
          <a:solidFill>
            <a:srgbClr val="8C7AB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SK_NODE_AWARDED STILLS">
            <a:extLst>
              <a:ext uri="{FF2B5EF4-FFF2-40B4-BE49-F238E27FC236}">
                <a16:creationId xmlns:a16="http://schemas.microsoft.com/office/drawing/2014/main" id="{52450C50-E39B-EA03-07ED-9E463269179D}"/>
              </a:ext>
            </a:extLst>
          </xdr:cNvPr>
          <xdr:cNvSpPr/>
        </xdr:nvSpPr>
        <xdr:spPr>
          <a:xfrm>
            <a:off x="7778750" y="3994686"/>
            <a:ext cx="317500" cy="84575"/>
          </a:xfrm>
          <a:prstGeom prst="rect">
            <a:avLst/>
          </a:prstGeom>
          <a:solidFill>
            <a:srgbClr val="B5505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SK_NODE_AWARDED BTS">
            <a:extLst>
              <a:ext uri="{FF2B5EF4-FFF2-40B4-BE49-F238E27FC236}">
                <a16:creationId xmlns:a16="http://schemas.microsoft.com/office/drawing/2014/main" id="{099A9E1A-BECE-28DA-4699-4E1866861BB4}"/>
              </a:ext>
            </a:extLst>
          </xdr:cNvPr>
          <xdr:cNvSpPr/>
        </xdr:nvSpPr>
        <xdr:spPr>
          <a:xfrm>
            <a:off x="7778750" y="4841261"/>
            <a:ext cx="317500" cy="50800"/>
          </a:xfrm>
          <a:prstGeom prst="rect">
            <a:avLst/>
          </a:prstGeom>
          <a:solidFill>
            <a:srgbClr val="8C7AB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SK_NODE_PRODUCTION AWARDED TO MEN">
            <a:extLst>
              <a:ext uri="{FF2B5EF4-FFF2-40B4-BE49-F238E27FC236}">
                <a16:creationId xmlns:a16="http://schemas.microsoft.com/office/drawing/2014/main" id="{30F7BED8-56AE-29C3-6925-06D556EF702E}"/>
              </a:ext>
            </a:extLst>
          </xdr:cNvPr>
          <xdr:cNvSpPr/>
        </xdr:nvSpPr>
        <xdr:spPr>
          <a:xfrm>
            <a:off x="9366250" y="768525"/>
            <a:ext cx="317500" cy="981022"/>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SK_NODE_PRODUCTION AWARDED TO WOMEN">
            <a:extLst>
              <a:ext uri="{FF2B5EF4-FFF2-40B4-BE49-F238E27FC236}">
                <a16:creationId xmlns:a16="http://schemas.microsoft.com/office/drawing/2014/main" id="{08C6F952-0D34-D8D0-06A9-1C7DEDC72925}"/>
              </a:ext>
            </a:extLst>
          </xdr:cNvPr>
          <xdr:cNvSpPr/>
        </xdr:nvSpPr>
        <xdr:spPr>
          <a:xfrm>
            <a:off x="9366250" y="2264073"/>
            <a:ext cx="317500" cy="15272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SK_NODE_POST AWARDED TO MEN">
            <a:extLst>
              <a:ext uri="{FF2B5EF4-FFF2-40B4-BE49-F238E27FC236}">
                <a16:creationId xmlns:a16="http://schemas.microsoft.com/office/drawing/2014/main" id="{A8BBD1E1-3278-EC4C-F2B8-CE44553A2AED}"/>
              </a:ext>
            </a:extLst>
          </xdr:cNvPr>
          <xdr:cNvSpPr/>
        </xdr:nvSpPr>
        <xdr:spPr>
          <a:xfrm>
            <a:off x="9366250" y="2931318"/>
            <a:ext cx="317500" cy="30754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SK_NODE_POST AWRDED TO WOMEN">
            <a:extLst>
              <a:ext uri="{FF2B5EF4-FFF2-40B4-BE49-F238E27FC236}">
                <a16:creationId xmlns:a16="http://schemas.microsoft.com/office/drawing/2014/main" id="{750CF473-8D2D-A0EF-20CF-77BF190A84BF}"/>
              </a:ext>
            </a:extLst>
          </xdr:cNvPr>
          <xdr:cNvSpPr/>
        </xdr:nvSpPr>
        <xdr:spPr>
          <a:xfrm>
            <a:off x="9366250" y="3753383"/>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SK_NODE_STILLS AWARDED TO MEN">
            <a:extLst>
              <a:ext uri="{FF2B5EF4-FFF2-40B4-BE49-F238E27FC236}">
                <a16:creationId xmlns:a16="http://schemas.microsoft.com/office/drawing/2014/main" id="{0B64C80A-61A3-A372-E8AA-E55FA4928546}"/>
              </a:ext>
            </a:extLst>
          </xdr:cNvPr>
          <xdr:cNvSpPr/>
        </xdr:nvSpPr>
        <xdr:spPr>
          <a:xfrm>
            <a:off x="9366250" y="4318708"/>
            <a:ext cx="317500" cy="74791"/>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SK_NODE_STILLS AWARDED TO WOMEN">
            <a:extLst>
              <a:ext uri="{FF2B5EF4-FFF2-40B4-BE49-F238E27FC236}">
                <a16:creationId xmlns:a16="http://schemas.microsoft.com/office/drawing/2014/main" id="{DFA18FCE-D841-0179-9624-D8AAB1DBAF0A}"/>
              </a:ext>
            </a:extLst>
          </xdr:cNvPr>
          <xdr:cNvSpPr/>
        </xdr:nvSpPr>
        <xdr:spPr>
          <a:xfrm>
            <a:off x="9366250" y="4908024"/>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SK_NODE_BTS AWARDED TO MEN">
            <a:extLst>
              <a:ext uri="{FF2B5EF4-FFF2-40B4-BE49-F238E27FC236}">
                <a16:creationId xmlns:a16="http://schemas.microsoft.com/office/drawing/2014/main" id="{9DD5D517-05EA-9F93-B871-770631E0282F}"/>
              </a:ext>
            </a:extLst>
          </xdr:cNvPr>
          <xdr:cNvSpPr/>
        </xdr:nvSpPr>
        <xdr:spPr>
          <a:xfrm>
            <a:off x="9366250" y="5473350"/>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SK_NODE_BTS AWARDED TO WOMEN">
            <a:extLst>
              <a:ext uri="{FF2B5EF4-FFF2-40B4-BE49-F238E27FC236}">
                <a16:creationId xmlns:a16="http://schemas.microsoft.com/office/drawing/2014/main" id="{BD12D24C-9043-AF11-0B05-4A05000FDE53}"/>
              </a:ext>
            </a:extLst>
          </xdr:cNvPr>
          <xdr:cNvSpPr/>
        </xdr:nvSpPr>
        <xdr:spPr>
          <a:xfrm>
            <a:off x="9366250" y="6038675"/>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SK_LBL_">
            <a:extLst>
              <a:ext uri="{FF2B5EF4-FFF2-40B4-BE49-F238E27FC236}">
                <a16:creationId xmlns:a16="http://schemas.microsoft.com/office/drawing/2014/main" id="{F8839121-3D5F-19A9-E97F-E98701412F0F}"/>
              </a:ext>
            </a:extLst>
          </xdr:cNvPr>
          <xdr:cNvSpPr txBox="1"/>
        </xdr:nvSpPr>
        <xdr:spPr>
          <a:xfrm>
            <a:off x="1425981" y="3266776"/>
            <a:ext cx="1514069" cy="32444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endParaRPr lang="en-US" sz="1100">
              <a:solidFill>
                <a:srgbClr val="3C3C3C"/>
              </a:solidFill>
              <a:latin typeface="Arial" panose="020B0604020202020204" pitchFamily="34" charset="0"/>
            </a:endParaRPr>
          </a:p>
          <a:p>
            <a:pPr algn="r"/>
            <a:r>
              <a:rPr lang="en-US" sz="1100">
                <a:solidFill>
                  <a:srgbClr val="3C3C3C"/>
                </a:solidFill>
                <a:latin typeface="Arial" panose="020B0604020202020204" pitchFamily="34" charset="0"/>
              </a:rPr>
              <a:t>85,811,947.42 (100.0%)</a:t>
            </a:r>
          </a:p>
        </xdr:txBody>
      </xdr:sp>
      <xdr:sp macro="" textlink="">
        <xdr:nvSpPr>
          <xdr:cNvPr id="34" name="SK_LBL_PITCHED WORK">
            <a:extLst>
              <a:ext uri="{FF2B5EF4-FFF2-40B4-BE49-F238E27FC236}">
                <a16:creationId xmlns:a16="http://schemas.microsoft.com/office/drawing/2014/main" id="{49E90E5D-B6ED-659E-EB44-FF5A74AC137D}"/>
              </a:ext>
            </a:extLst>
          </xdr:cNvPr>
          <xdr:cNvSpPr txBox="1"/>
        </xdr:nvSpPr>
        <xdr:spPr>
          <a:xfrm>
            <a:off x="4735513" y="762536"/>
            <a:ext cx="1514069" cy="4903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US" sz="1100">
                <a:solidFill>
                  <a:srgbClr val="3C3C3C"/>
                </a:solidFill>
                <a:latin typeface="Arial" panose="020B0604020202020204" pitchFamily="34" charset="0"/>
              </a:rPr>
              <a:t>Pitched Work</a:t>
            </a:r>
          </a:p>
          <a:p>
            <a:pPr algn="l"/>
            <a:r>
              <a:rPr lang="en-US" sz="1100">
                <a:solidFill>
                  <a:srgbClr val="3C3C3C"/>
                </a:solidFill>
                <a:latin typeface="Arial" panose="020B0604020202020204" pitchFamily="34" charset="0"/>
              </a:rPr>
              <a:t>85,811,947.42 (100.0%)</a:t>
            </a:r>
          </a:p>
        </xdr:txBody>
      </xdr:sp>
      <xdr:sp macro="" textlink="">
        <xdr:nvSpPr>
          <xdr:cNvPr id="35" name="SK_LBL_AWARDED WORK">
            <a:extLst>
              <a:ext uri="{FF2B5EF4-FFF2-40B4-BE49-F238E27FC236}">
                <a16:creationId xmlns:a16="http://schemas.microsoft.com/office/drawing/2014/main" id="{0D6D0845-5BC0-C329-E856-9BF547CC4E36}"/>
              </a:ext>
            </a:extLst>
          </xdr:cNvPr>
          <xdr:cNvSpPr txBox="1"/>
        </xdr:nvSpPr>
        <xdr:spPr>
          <a:xfrm>
            <a:off x="6203950" y="2125931"/>
            <a:ext cx="1435586" cy="412779"/>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US" sz="1100">
                <a:solidFill>
                  <a:srgbClr val="3C3C3C"/>
                </a:solidFill>
                <a:latin typeface="Arial" panose="020B0604020202020204" pitchFamily="34" charset="0"/>
              </a:rPr>
              <a:t>Awarded Work</a:t>
            </a:r>
          </a:p>
          <a:p>
            <a:pPr algn="l"/>
            <a:r>
              <a:rPr lang="en-US" sz="1100">
                <a:solidFill>
                  <a:srgbClr val="3C3C3C"/>
                </a:solidFill>
                <a:latin typeface="Arial" panose="020B0604020202020204" pitchFamily="34" charset="0"/>
              </a:rPr>
              <a:t>31,640,879.61 (36.9%)</a:t>
            </a:r>
          </a:p>
        </xdr:txBody>
      </xdr:sp>
      <xdr:sp macro="" textlink="">
        <xdr:nvSpPr>
          <xdr:cNvPr id="36" name="SK_LBL_AWARDED PRODUCTION">
            <a:extLst>
              <a:ext uri="{FF2B5EF4-FFF2-40B4-BE49-F238E27FC236}">
                <a16:creationId xmlns:a16="http://schemas.microsoft.com/office/drawing/2014/main" id="{27C7433C-3E93-B53D-CDB8-5637A5DA6DAB}"/>
              </a:ext>
            </a:extLst>
          </xdr:cNvPr>
          <xdr:cNvSpPr txBox="1"/>
        </xdr:nvSpPr>
        <xdr:spPr>
          <a:xfrm>
            <a:off x="7772400" y="544347"/>
            <a:ext cx="1435586" cy="45949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US" sz="1100">
                <a:solidFill>
                  <a:srgbClr val="3C3C3C"/>
                </a:solidFill>
                <a:latin typeface="Arial" panose="020B0604020202020204" pitchFamily="34" charset="0"/>
              </a:rPr>
              <a:t>Awarded Production</a:t>
            </a:r>
          </a:p>
          <a:p>
            <a:pPr algn="l"/>
            <a:r>
              <a:rPr lang="en-US" sz="1100">
                <a:solidFill>
                  <a:srgbClr val="3C3C3C"/>
                </a:solidFill>
                <a:latin typeface="Arial" panose="020B0604020202020204" pitchFamily="34" charset="0"/>
              </a:rPr>
              <a:t>23,213,713.09 (27.1%)</a:t>
            </a:r>
          </a:p>
        </xdr:txBody>
      </xdr:sp>
      <xdr:sp macro="" textlink="">
        <xdr:nvSpPr>
          <xdr:cNvPr id="37" name="SK_LBL_AWARDED POST">
            <a:extLst>
              <a:ext uri="{FF2B5EF4-FFF2-40B4-BE49-F238E27FC236}">
                <a16:creationId xmlns:a16="http://schemas.microsoft.com/office/drawing/2014/main" id="{14A847F4-C278-14D0-862B-F04311FC1A8D}"/>
              </a:ext>
            </a:extLst>
          </xdr:cNvPr>
          <xdr:cNvSpPr txBox="1"/>
        </xdr:nvSpPr>
        <xdr:spPr>
          <a:xfrm>
            <a:off x="7858125" y="2543277"/>
            <a:ext cx="1414026" cy="38500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US" sz="1100">
                <a:solidFill>
                  <a:srgbClr val="3C3C3C"/>
                </a:solidFill>
                <a:latin typeface="Arial" panose="020B0604020202020204" pitchFamily="34" charset="0"/>
              </a:rPr>
              <a:t>Awarded Post</a:t>
            </a:r>
          </a:p>
          <a:p>
            <a:pPr algn="l"/>
            <a:r>
              <a:rPr lang="en-US" sz="1100">
                <a:solidFill>
                  <a:srgbClr val="3C3C3C"/>
                </a:solidFill>
                <a:latin typeface="Arial" panose="020B0604020202020204" pitchFamily="34" charset="0"/>
              </a:rPr>
              <a:t>6,571,411.82 (7.7%)</a:t>
            </a:r>
          </a:p>
        </xdr:txBody>
      </xdr:sp>
      <xdr:sp macro="" textlink="">
        <xdr:nvSpPr>
          <xdr:cNvPr id="38" name="SK_LBL_AWARDED STILLS">
            <a:extLst>
              <a:ext uri="{FF2B5EF4-FFF2-40B4-BE49-F238E27FC236}">
                <a16:creationId xmlns:a16="http://schemas.microsoft.com/office/drawing/2014/main" id="{6E2DFE76-E143-B70E-7F9F-9644BC3E1503}"/>
              </a:ext>
            </a:extLst>
          </xdr:cNvPr>
          <xdr:cNvSpPr txBox="1"/>
        </xdr:nvSpPr>
        <xdr:spPr>
          <a:xfrm>
            <a:off x="7758105" y="3687358"/>
            <a:ext cx="1470397"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Awarded Stills</a:t>
            </a:r>
          </a:p>
          <a:p>
            <a:pPr algn="l"/>
            <a:r>
              <a:rPr lang="en-US" sz="1100">
                <a:solidFill>
                  <a:srgbClr val="3C3C3C"/>
                </a:solidFill>
                <a:latin typeface="Arial" panose="020B0604020202020204" pitchFamily="34" charset="0"/>
              </a:rPr>
              <a:t>1,731,684.08 (2.0%)</a:t>
            </a:r>
          </a:p>
        </xdr:txBody>
      </xdr:sp>
      <xdr:sp macro="" textlink="">
        <xdr:nvSpPr>
          <xdr:cNvPr id="39" name="SK_LBL_AWARDED BTS">
            <a:extLst>
              <a:ext uri="{FF2B5EF4-FFF2-40B4-BE49-F238E27FC236}">
                <a16:creationId xmlns:a16="http://schemas.microsoft.com/office/drawing/2014/main" id="{0402F049-F176-89A7-C217-717FD92AB101}"/>
              </a:ext>
            </a:extLst>
          </xdr:cNvPr>
          <xdr:cNvSpPr txBox="1"/>
        </xdr:nvSpPr>
        <xdr:spPr>
          <a:xfrm>
            <a:off x="7762875" y="4438650"/>
            <a:ext cx="1160959" cy="390209"/>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US" sz="1100">
                <a:solidFill>
                  <a:srgbClr val="3C3C3C"/>
                </a:solidFill>
                <a:latin typeface="Arial" panose="020B0604020202020204" pitchFamily="34" charset="0"/>
              </a:rPr>
              <a:t>Awarded BTS</a:t>
            </a:r>
          </a:p>
          <a:p>
            <a:pPr algn="l"/>
            <a:r>
              <a:rPr lang="en-US" sz="1100">
                <a:solidFill>
                  <a:srgbClr val="3C3C3C"/>
                </a:solidFill>
                <a:latin typeface="Arial" panose="020B0604020202020204" pitchFamily="34" charset="0"/>
              </a:rPr>
              <a:t>124,070.63 (0.1%)</a:t>
            </a:r>
          </a:p>
        </xdr:txBody>
      </xdr:sp>
      <xdr:sp macro="" textlink="">
        <xdr:nvSpPr>
          <xdr:cNvPr id="40" name="SK_LBL_PRODUCTION AWARDED TO MEN">
            <a:extLst>
              <a:ext uri="{FF2B5EF4-FFF2-40B4-BE49-F238E27FC236}">
                <a16:creationId xmlns:a16="http://schemas.microsoft.com/office/drawing/2014/main" id="{C6ADC28F-47EB-376B-7F3F-12C94C893755}"/>
              </a:ext>
            </a:extLst>
          </xdr:cNvPr>
          <xdr:cNvSpPr txBox="1"/>
        </xdr:nvSpPr>
        <xdr:spPr>
          <a:xfrm>
            <a:off x="9464674" y="451592"/>
            <a:ext cx="2152015"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Production Awarded to Men</a:t>
            </a:r>
          </a:p>
          <a:p>
            <a:pPr algn="l"/>
            <a:r>
              <a:rPr lang="en-US" sz="1100">
                <a:solidFill>
                  <a:srgbClr val="3C3C3C"/>
                </a:solidFill>
                <a:latin typeface="Arial" panose="020B0604020202020204" pitchFamily="34" charset="0"/>
              </a:rPr>
              <a:t>20,086,717.30 (23.4%)</a:t>
            </a:r>
          </a:p>
        </xdr:txBody>
      </xdr:sp>
      <xdr:sp macro="" textlink="">
        <xdr:nvSpPr>
          <xdr:cNvPr id="41" name="SK_LBL_PRODUCTION AWARDED TO WOMEN">
            <a:extLst>
              <a:ext uri="{FF2B5EF4-FFF2-40B4-BE49-F238E27FC236}">
                <a16:creationId xmlns:a16="http://schemas.microsoft.com/office/drawing/2014/main" id="{543EDF2E-D54F-0FEE-BB5E-9FD4FF7330F8}"/>
              </a:ext>
            </a:extLst>
          </xdr:cNvPr>
          <xdr:cNvSpPr txBox="1"/>
        </xdr:nvSpPr>
        <xdr:spPr>
          <a:xfrm>
            <a:off x="9493250" y="1967678"/>
            <a:ext cx="2241913"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Production Awarded to Women</a:t>
            </a:r>
          </a:p>
          <a:p>
            <a:pPr algn="l"/>
            <a:r>
              <a:rPr lang="en-US" sz="1100">
                <a:solidFill>
                  <a:srgbClr val="3C3C3C"/>
                </a:solidFill>
                <a:latin typeface="Arial" panose="020B0604020202020204" pitchFamily="34" charset="0"/>
              </a:rPr>
              <a:t>3,126,995.79 (3.6%)</a:t>
            </a:r>
          </a:p>
        </xdr:txBody>
      </xdr:sp>
      <xdr:sp macro="" textlink="">
        <xdr:nvSpPr>
          <xdr:cNvPr id="42" name="SK_LBL_POST AWARDED TO MEN">
            <a:extLst>
              <a:ext uri="{FF2B5EF4-FFF2-40B4-BE49-F238E27FC236}">
                <a16:creationId xmlns:a16="http://schemas.microsoft.com/office/drawing/2014/main" id="{BC3EAF0E-7D81-FE36-15A8-F9535DE5AE60}"/>
              </a:ext>
            </a:extLst>
          </xdr:cNvPr>
          <xdr:cNvSpPr txBox="1"/>
        </xdr:nvSpPr>
        <xdr:spPr>
          <a:xfrm>
            <a:off x="9369425" y="2638468"/>
            <a:ext cx="2103849"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Post Awarded to Men</a:t>
            </a:r>
          </a:p>
          <a:p>
            <a:pPr algn="l"/>
            <a:r>
              <a:rPr lang="en-US" sz="1100">
                <a:solidFill>
                  <a:srgbClr val="3C3C3C"/>
                </a:solidFill>
                <a:latin typeface="Arial" panose="020B0604020202020204" pitchFamily="34" charset="0"/>
              </a:rPr>
              <a:t>6,296,971.82 (7.3%)</a:t>
            </a:r>
          </a:p>
        </xdr:txBody>
      </xdr:sp>
      <xdr:sp macro="" textlink="">
        <xdr:nvSpPr>
          <xdr:cNvPr id="43" name="SK_LBL_POST AWRDED TO WOMEN">
            <a:extLst>
              <a:ext uri="{FF2B5EF4-FFF2-40B4-BE49-F238E27FC236}">
                <a16:creationId xmlns:a16="http://schemas.microsoft.com/office/drawing/2014/main" id="{7E4CA90D-EC52-DDCE-0951-0EE720E829B8}"/>
              </a:ext>
            </a:extLst>
          </xdr:cNvPr>
          <xdr:cNvSpPr txBox="1"/>
        </xdr:nvSpPr>
        <xdr:spPr>
          <a:xfrm>
            <a:off x="9469437" y="3427290"/>
            <a:ext cx="2041248"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Post Awrded to Women</a:t>
            </a:r>
          </a:p>
          <a:p>
            <a:pPr algn="l"/>
            <a:r>
              <a:rPr lang="en-US" sz="1100">
                <a:solidFill>
                  <a:srgbClr val="3C3C3C"/>
                </a:solidFill>
                <a:latin typeface="Arial" panose="020B0604020202020204" pitchFamily="34" charset="0"/>
              </a:rPr>
              <a:t>274,440.00 (0.3%)</a:t>
            </a:r>
          </a:p>
        </xdr:txBody>
      </xdr:sp>
      <xdr:sp macro="" textlink="">
        <xdr:nvSpPr>
          <xdr:cNvPr id="44" name="SK_LBL_STILLS AWARDED TO MEN">
            <a:extLst>
              <a:ext uri="{FF2B5EF4-FFF2-40B4-BE49-F238E27FC236}">
                <a16:creationId xmlns:a16="http://schemas.microsoft.com/office/drawing/2014/main" id="{73DF74B8-E90C-3AD3-4B8E-BFD4262477E8}"/>
              </a:ext>
            </a:extLst>
          </xdr:cNvPr>
          <xdr:cNvSpPr txBox="1"/>
        </xdr:nvSpPr>
        <xdr:spPr>
          <a:xfrm>
            <a:off x="9450387" y="4003140"/>
            <a:ext cx="1860763"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Stills Awarded to Men</a:t>
            </a:r>
          </a:p>
          <a:p>
            <a:pPr algn="l"/>
            <a:r>
              <a:rPr lang="en-US" sz="1100">
                <a:solidFill>
                  <a:srgbClr val="3C3C3C"/>
                </a:solidFill>
                <a:latin typeface="Arial" panose="020B0604020202020204" pitchFamily="34" charset="0"/>
              </a:rPr>
              <a:t>1,531,360.45 (1.8%)</a:t>
            </a:r>
          </a:p>
        </xdr:txBody>
      </xdr:sp>
      <xdr:sp macro="" textlink="">
        <xdr:nvSpPr>
          <xdr:cNvPr id="45" name="SK_LBL_STILLS AWARDED TO WOMEN">
            <a:extLst>
              <a:ext uri="{FF2B5EF4-FFF2-40B4-BE49-F238E27FC236}">
                <a16:creationId xmlns:a16="http://schemas.microsoft.com/office/drawing/2014/main" id="{0F153053-BD95-BF2B-2510-F4219BB78017}"/>
              </a:ext>
            </a:extLst>
          </xdr:cNvPr>
          <xdr:cNvSpPr txBox="1"/>
        </xdr:nvSpPr>
        <xdr:spPr>
          <a:xfrm>
            <a:off x="9383712" y="4587404"/>
            <a:ext cx="1914968"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Stills Awarded to Women</a:t>
            </a:r>
          </a:p>
          <a:p>
            <a:pPr algn="l"/>
            <a:r>
              <a:rPr lang="en-US" sz="1100">
                <a:solidFill>
                  <a:srgbClr val="3C3C3C"/>
                </a:solidFill>
                <a:latin typeface="Arial" panose="020B0604020202020204" pitchFamily="34" charset="0"/>
              </a:rPr>
              <a:t>200,323.63 (0.2%)</a:t>
            </a:r>
          </a:p>
        </xdr:txBody>
      </xdr:sp>
      <xdr:sp macro="" textlink="">
        <xdr:nvSpPr>
          <xdr:cNvPr id="46" name="SK_LBL_BTS AWARDED TO MEN">
            <a:extLst>
              <a:ext uri="{FF2B5EF4-FFF2-40B4-BE49-F238E27FC236}">
                <a16:creationId xmlns:a16="http://schemas.microsoft.com/office/drawing/2014/main" id="{47A0EA0E-3A01-2F5A-1776-9F3E4C95D63D}"/>
              </a:ext>
            </a:extLst>
          </xdr:cNvPr>
          <xdr:cNvSpPr txBox="1"/>
        </xdr:nvSpPr>
        <xdr:spPr>
          <a:xfrm>
            <a:off x="9398000" y="5149952"/>
            <a:ext cx="1763499"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BTS Awarded to Men</a:t>
            </a:r>
          </a:p>
          <a:p>
            <a:pPr algn="l"/>
            <a:r>
              <a:rPr lang="en-US" sz="1100">
                <a:solidFill>
                  <a:srgbClr val="3C3C3C"/>
                </a:solidFill>
                <a:latin typeface="Arial" panose="020B0604020202020204" pitchFamily="34" charset="0"/>
              </a:rPr>
              <a:t>87,834.13 (0.1%)</a:t>
            </a:r>
          </a:p>
        </xdr:txBody>
      </xdr:sp>
      <xdr:sp macro="" textlink="">
        <xdr:nvSpPr>
          <xdr:cNvPr id="47" name="SK_LBL_BTS AWARDED TO WOMEN">
            <a:extLst>
              <a:ext uri="{FF2B5EF4-FFF2-40B4-BE49-F238E27FC236}">
                <a16:creationId xmlns:a16="http://schemas.microsoft.com/office/drawing/2014/main" id="{3087E0FF-8885-5376-3CAE-85967DB36D8A}"/>
              </a:ext>
            </a:extLst>
          </xdr:cNvPr>
          <xdr:cNvSpPr txBox="1"/>
        </xdr:nvSpPr>
        <xdr:spPr>
          <a:xfrm>
            <a:off x="9388474" y="5711868"/>
            <a:ext cx="1847850" cy="32878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spAutoFit/>
          </a:bodyPr>
          <a:lstStyle/>
          <a:p>
            <a:pPr algn="l"/>
            <a:r>
              <a:rPr lang="en-US" sz="1100">
                <a:solidFill>
                  <a:srgbClr val="3C3C3C"/>
                </a:solidFill>
                <a:latin typeface="Arial" panose="020B0604020202020204" pitchFamily="34" charset="0"/>
              </a:rPr>
              <a:t>BTS Awarded to Women</a:t>
            </a:r>
          </a:p>
          <a:p>
            <a:pPr algn="l"/>
            <a:r>
              <a:rPr lang="en-US" sz="1100">
                <a:solidFill>
                  <a:srgbClr val="3C3C3C"/>
                </a:solidFill>
                <a:latin typeface="Arial" panose="020B0604020202020204" pitchFamily="34" charset="0"/>
              </a:rPr>
              <a:t>36,236.50 (0.0%)</a:t>
            </a:r>
          </a:p>
        </xdr:txBody>
      </xdr:sp>
    </xdr:grpSp>
    <xdr:clientData/>
  </xdr:twoCellAnchor>
  <xdr:twoCellAnchor>
    <xdr:from>
      <xdr:col>14</xdr:col>
      <xdr:colOff>125015</xdr:colOff>
      <xdr:row>7</xdr:row>
      <xdr:rowOff>136923</xdr:rowOff>
    </xdr:from>
    <xdr:to>
      <xdr:col>28</xdr:col>
      <xdr:colOff>589360</xdr:colOff>
      <xdr:row>42</xdr:row>
      <xdr:rowOff>130970</xdr:rowOff>
    </xdr:to>
    <xdr:sp macro="" textlink="">
      <xdr:nvSpPr>
        <xdr:cNvPr id="49" name="Rectangle: Rounded Corners 48">
          <a:extLst>
            <a:ext uri="{FF2B5EF4-FFF2-40B4-BE49-F238E27FC236}">
              <a16:creationId xmlns:a16="http://schemas.microsoft.com/office/drawing/2014/main" id="{F4D7058D-D4A6-452D-9153-5C5AC79D1B0E}"/>
            </a:ext>
          </a:extLst>
        </xdr:cNvPr>
        <xdr:cNvSpPr/>
      </xdr:nvSpPr>
      <xdr:spPr>
        <a:xfrm>
          <a:off x="8459390" y="1470423"/>
          <a:ext cx="8798720" cy="6661547"/>
        </a:xfrm>
        <a:prstGeom prst="roundRect">
          <a:avLst>
            <a:gd name="adj" fmla="val 1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393700</xdr:colOff>
      <xdr:row>37</xdr:row>
      <xdr:rowOff>161925</xdr:rowOff>
    </xdr:to>
    <xdr:grpSp>
      <xdr:nvGrpSpPr>
        <xdr:cNvPr id="2" name="Sankey_Chart_Group">
          <a:extLst>
            <a:ext uri="{FF2B5EF4-FFF2-40B4-BE49-F238E27FC236}">
              <a16:creationId xmlns:a16="http://schemas.microsoft.com/office/drawing/2014/main" id="{0D1E1813-FE34-438E-A421-70BB7D0AF7DB}"/>
            </a:ext>
          </a:extLst>
        </xdr:cNvPr>
        <xdr:cNvGrpSpPr/>
      </xdr:nvGrpSpPr>
      <xdr:grpSpPr>
        <a:xfrm>
          <a:off x="0" y="0"/>
          <a:ext cx="11976100" cy="7210425"/>
          <a:chOff x="127000" y="127000"/>
          <a:chExt cx="12700000" cy="6858000"/>
        </a:xfrm>
      </xdr:grpSpPr>
      <xdr:sp macro="" textlink="">
        <xdr:nvSpPr>
          <xdr:cNvPr id="3" name="SK_BG">
            <a:extLst>
              <a:ext uri="{FF2B5EF4-FFF2-40B4-BE49-F238E27FC236}">
                <a16:creationId xmlns:a16="http://schemas.microsoft.com/office/drawing/2014/main" id="{206C66D5-A805-BD29-506F-C5F8196FFDD3}"/>
              </a:ext>
            </a:extLst>
          </xdr:cNvPr>
          <xdr:cNvSpPr/>
        </xdr:nvSpPr>
        <xdr:spPr>
          <a:xfrm>
            <a:off x="127000" y="127000"/>
            <a:ext cx="12700000" cy="6858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SK_LNK_EDIT_EDIT PITCH MEN">
            <a:extLst>
              <a:ext uri="{FF2B5EF4-FFF2-40B4-BE49-F238E27FC236}">
                <a16:creationId xmlns:a16="http://schemas.microsoft.com/office/drawing/2014/main" id="{770C73D7-2E50-D238-E5E5-119A9D4C5F55}"/>
              </a:ext>
            </a:extLst>
          </xdr:cNvPr>
          <xdr:cNvSpPr/>
        </xdr:nvSpPr>
        <xdr:spPr>
          <a:xfrm>
            <a:off x="4127500" y="490362"/>
            <a:ext cx="1270001" cy="281233"/>
          </a:xfrm>
          <a:custGeom>
            <a:avLst/>
            <a:gdLst/>
            <a:ahLst/>
            <a:cxnLst/>
            <a:rect l="0" t="0" r="0" b="0"/>
            <a:pathLst>
              <a:path w="1270001" h="281233">
                <a:moveTo>
                  <a:pt x="0" y="68438"/>
                </a:moveTo>
                <a:cubicBezTo>
                  <a:pt x="635000" y="68438"/>
                  <a:pt x="635000" y="0"/>
                  <a:pt x="1270000" y="0"/>
                </a:cubicBezTo>
                <a:lnTo>
                  <a:pt x="1270000" y="212794"/>
                </a:lnTo>
                <a:cubicBezTo>
                  <a:pt x="635000" y="212794"/>
                  <a:pt x="635000" y="281232"/>
                  <a:pt x="0" y="281232"/>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SK_LNK_EDIT_EDIT PITCH WOMEN">
            <a:extLst>
              <a:ext uri="{FF2B5EF4-FFF2-40B4-BE49-F238E27FC236}">
                <a16:creationId xmlns:a16="http://schemas.microsoft.com/office/drawing/2014/main" id="{E6054579-5555-4BFC-4764-A5027B57845D}"/>
              </a:ext>
            </a:extLst>
          </xdr:cNvPr>
          <xdr:cNvSpPr/>
        </xdr:nvSpPr>
        <xdr:spPr>
          <a:xfrm>
            <a:off x="4127500" y="771594"/>
            <a:ext cx="1270001" cy="174275"/>
          </a:xfrm>
          <a:custGeom>
            <a:avLst/>
            <a:gdLst/>
            <a:ahLst/>
            <a:cxnLst/>
            <a:rect l="0" t="0" r="0" b="0"/>
            <a:pathLst>
              <a:path w="1270001" h="174275">
                <a:moveTo>
                  <a:pt x="0" y="0"/>
                </a:moveTo>
                <a:cubicBezTo>
                  <a:pt x="635000" y="0"/>
                  <a:pt x="635000" y="167924"/>
                  <a:pt x="1270000" y="167924"/>
                </a:cubicBezTo>
                <a:lnTo>
                  <a:pt x="1270000" y="174274"/>
                </a:lnTo>
                <a:cubicBezTo>
                  <a:pt x="635000" y="174274"/>
                  <a:pt x="635000" y="6350"/>
                  <a:pt x="0" y="6350"/>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SK_LNK_EDIT PITCH MEN_PITCHED">
            <a:extLst>
              <a:ext uri="{FF2B5EF4-FFF2-40B4-BE49-F238E27FC236}">
                <a16:creationId xmlns:a16="http://schemas.microsoft.com/office/drawing/2014/main" id="{575B11D2-3A67-0C2B-F78E-8A2BADEBDCAD}"/>
              </a:ext>
            </a:extLst>
          </xdr:cNvPr>
          <xdr:cNvSpPr/>
        </xdr:nvSpPr>
        <xdr:spPr>
          <a:xfrm>
            <a:off x="5715000" y="490362"/>
            <a:ext cx="1270001" cy="2198933"/>
          </a:xfrm>
          <a:custGeom>
            <a:avLst/>
            <a:gdLst/>
            <a:ahLst/>
            <a:cxnLst/>
            <a:rect l="0" t="0" r="0" b="0"/>
            <a:pathLst>
              <a:path w="1270001" h="2198933">
                <a:moveTo>
                  <a:pt x="0" y="0"/>
                </a:moveTo>
                <a:cubicBezTo>
                  <a:pt x="635000" y="0"/>
                  <a:pt x="635000" y="1986138"/>
                  <a:pt x="1270000" y="1986138"/>
                </a:cubicBezTo>
                <a:lnTo>
                  <a:pt x="1270000" y="2198932"/>
                </a:lnTo>
                <a:cubicBezTo>
                  <a:pt x="635000" y="2198932"/>
                  <a:pt x="635000" y="212794"/>
                  <a:pt x="0" y="212794"/>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SK_LNK_EDIT PITCH WOMEN_PITCHED">
            <a:extLst>
              <a:ext uri="{FF2B5EF4-FFF2-40B4-BE49-F238E27FC236}">
                <a16:creationId xmlns:a16="http://schemas.microsoft.com/office/drawing/2014/main" id="{D31AED58-EA15-5E37-D608-E59A857FD59E}"/>
              </a:ext>
            </a:extLst>
          </xdr:cNvPr>
          <xdr:cNvSpPr/>
        </xdr:nvSpPr>
        <xdr:spPr>
          <a:xfrm>
            <a:off x="5715000" y="939518"/>
            <a:ext cx="1270001" cy="1756127"/>
          </a:xfrm>
          <a:custGeom>
            <a:avLst/>
            <a:gdLst/>
            <a:ahLst/>
            <a:cxnLst/>
            <a:rect l="0" t="0" r="0" b="0"/>
            <a:pathLst>
              <a:path w="1270001" h="1756127">
                <a:moveTo>
                  <a:pt x="0" y="0"/>
                </a:moveTo>
                <a:cubicBezTo>
                  <a:pt x="635000" y="0"/>
                  <a:pt x="635000" y="1749776"/>
                  <a:pt x="1270000" y="1749776"/>
                </a:cubicBezTo>
                <a:lnTo>
                  <a:pt x="1270000" y="1756126"/>
                </a:lnTo>
                <a:cubicBezTo>
                  <a:pt x="635000" y="1756126"/>
                  <a:pt x="635000" y="6350"/>
                  <a:pt x="0" y="6350"/>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SK_LNK_PRODUCTION_PRODUCTION PITCH MEN">
            <a:extLst>
              <a:ext uri="{FF2B5EF4-FFF2-40B4-BE49-F238E27FC236}">
                <a16:creationId xmlns:a16="http://schemas.microsoft.com/office/drawing/2014/main" id="{36848CB4-63F4-9E70-A1F5-FBD771802671}"/>
              </a:ext>
            </a:extLst>
          </xdr:cNvPr>
          <xdr:cNvSpPr/>
        </xdr:nvSpPr>
        <xdr:spPr>
          <a:xfrm>
            <a:off x="4127500" y="1226680"/>
            <a:ext cx="1270001" cy="1305771"/>
          </a:xfrm>
          <a:custGeom>
            <a:avLst/>
            <a:gdLst/>
            <a:ahLst/>
            <a:cxnLst/>
            <a:rect l="0" t="0" r="0" b="0"/>
            <a:pathLst>
              <a:path w="1270001" h="1305771">
                <a:moveTo>
                  <a:pt x="0" y="78858"/>
                </a:moveTo>
                <a:cubicBezTo>
                  <a:pt x="635000" y="78858"/>
                  <a:pt x="635000" y="0"/>
                  <a:pt x="1270000" y="0"/>
                </a:cubicBezTo>
                <a:lnTo>
                  <a:pt x="1270000" y="1226912"/>
                </a:lnTo>
                <a:cubicBezTo>
                  <a:pt x="635000" y="1226912"/>
                  <a:pt x="635000" y="1305770"/>
                  <a:pt x="0" y="1305770"/>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SK_LNK_PRODUCTION_PRODUCTION PITCH WOMEN">
            <a:extLst>
              <a:ext uri="{FF2B5EF4-FFF2-40B4-BE49-F238E27FC236}">
                <a16:creationId xmlns:a16="http://schemas.microsoft.com/office/drawing/2014/main" id="{744B3CBB-B3A9-03F0-EEDF-14235D503976}"/>
              </a:ext>
            </a:extLst>
          </xdr:cNvPr>
          <xdr:cNvSpPr/>
        </xdr:nvSpPr>
        <xdr:spPr>
          <a:xfrm>
            <a:off x="4127500" y="2532450"/>
            <a:ext cx="1270001" cy="353319"/>
          </a:xfrm>
          <a:custGeom>
            <a:avLst/>
            <a:gdLst/>
            <a:ahLst/>
            <a:cxnLst/>
            <a:rect l="0" t="0" r="0" b="0"/>
            <a:pathLst>
              <a:path w="1270001" h="353319">
                <a:moveTo>
                  <a:pt x="0" y="0"/>
                </a:moveTo>
                <a:cubicBezTo>
                  <a:pt x="635000" y="0"/>
                  <a:pt x="635000" y="157505"/>
                  <a:pt x="1270000" y="157505"/>
                </a:cubicBezTo>
                <a:lnTo>
                  <a:pt x="1270000" y="353318"/>
                </a:lnTo>
                <a:cubicBezTo>
                  <a:pt x="635000" y="353318"/>
                  <a:pt x="635000" y="195814"/>
                  <a:pt x="0" y="195814"/>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SK_LNK_PRODUCTION PITCH MEN_PITCHED">
            <a:extLst>
              <a:ext uri="{FF2B5EF4-FFF2-40B4-BE49-F238E27FC236}">
                <a16:creationId xmlns:a16="http://schemas.microsoft.com/office/drawing/2014/main" id="{3802038F-F49C-4F0F-13C5-FA588901A511}"/>
              </a:ext>
            </a:extLst>
          </xdr:cNvPr>
          <xdr:cNvSpPr/>
        </xdr:nvSpPr>
        <xdr:spPr>
          <a:xfrm>
            <a:off x="5715000" y="1226680"/>
            <a:ext cx="1270001" cy="2695878"/>
          </a:xfrm>
          <a:custGeom>
            <a:avLst/>
            <a:gdLst/>
            <a:ahLst/>
            <a:cxnLst/>
            <a:rect l="0" t="0" r="0" b="0"/>
            <a:pathLst>
              <a:path w="1270001" h="2695878">
                <a:moveTo>
                  <a:pt x="0" y="0"/>
                </a:moveTo>
                <a:cubicBezTo>
                  <a:pt x="635000" y="0"/>
                  <a:pt x="635000" y="1468964"/>
                  <a:pt x="1270000" y="1468964"/>
                </a:cubicBezTo>
                <a:lnTo>
                  <a:pt x="1270000" y="2695877"/>
                </a:lnTo>
                <a:cubicBezTo>
                  <a:pt x="635000" y="2695877"/>
                  <a:pt x="635000" y="1226912"/>
                  <a:pt x="0" y="1226912"/>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SK_LNK_PRODUCTION PITCH WOMEN_PITCHED">
            <a:extLst>
              <a:ext uri="{FF2B5EF4-FFF2-40B4-BE49-F238E27FC236}">
                <a16:creationId xmlns:a16="http://schemas.microsoft.com/office/drawing/2014/main" id="{218446D4-95A9-50DD-5C49-18104786B0DA}"/>
              </a:ext>
            </a:extLst>
          </xdr:cNvPr>
          <xdr:cNvSpPr/>
        </xdr:nvSpPr>
        <xdr:spPr>
          <a:xfrm>
            <a:off x="5715000" y="2689955"/>
            <a:ext cx="1270001" cy="1428416"/>
          </a:xfrm>
          <a:custGeom>
            <a:avLst/>
            <a:gdLst/>
            <a:ahLst/>
            <a:cxnLst/>
            <a:rect l="0" t="0" r="0" b="0"/>
            <a:pathLst>
              <a:path w="1270001" h="1428416">
                <a:moveTo>
                  <a:pt x="0" y="0"/>
                </a:moveTo>
                <a:cubicBezTo>
                  <a:pt x="635000" y="0"/>
                  <a:pt x="635000" y="1232602"/>
                  <a:pt x="1270000" y="1232602"/>
                </a:cubicBezTo>
                <a:lnTo>
                  <a:pt x="1270000" y="1428415"/>
                </a:lnTo>
                <a:cubicBezTo>
                  <a:pt x="635000" y="1428415"/>
                  <a:pt x="635000" y="195813"/>
                  <a:pt x="0" y="195813"/>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SK_LNK_AUDIO_AUDIO PITCH MEN">
            <a:extLst>
              <a:ext uri="{FF2B5EF4-FFF2-40B4-BE49-F238E27FC236}">
                <a16:creationId xmlns:a16="http://schemas.microsoft.com/office/drawing/2014/main" id="{CE498624-283D-16ED-AA30-B697F04F0E11}"/>
              </a:ext>
            </a:extLst>
          </xdr:cNvPr>
          <xdr:cNvSpPr/>
        </xdr:nvSpPr>
        <xdr:spPr>
          <a:xfrm>
            <a:off x="4127500" y="3122130"/>
            <a:ext cx="1270001" cy="189502"/>
          </a:xfrm>
          <a:custGeom>
            <a:avLst/>
            <a:gdLst/>
            <a:ahLst/>
            <a:cxnLst/>
            <a:rect l="0" t="0" r="0" b="0"/>
            <a:pathLst>
              <a:path w="1270001" h="189502">
                <a:moveTo>
                  <a:pt x="0" y="140077"/>
                </a:moveTo>
                <a:cubicBezTo>
                  <a:pt x="635000" y="140077"/>
                  <a:pt x="635000" y="0"/>
                  <a:pt x="1270000" y="0"/>
                </a:cubicBezTo>
                <a:lnTo>
                  <a:pt x="1270000" y="49424"/>
                </a:lnTo>
                <a:cubicBezTo>
                  <a:pt x="635000" y="49424"/>
                  <a:pt x="635000" y="189501"/>
                  <a:pt x="0" y="189501"/>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SK_LNK_AUDIO_AUDIO PITCH WOMEN">
            <a:extLst>
              <a:ext uri="{FF2B5EF4-FFF2-40B4-BE49-F238E27FC236}">
                <a16:creationId xmlns:a16="http://schemas.microsoft.com/office/drawing/2014/main" id="{9B1E082F-7318-F349-5D76-DD082662413D}"/>
              </a:ext>
            </a:extLst>
          </xdr:cNvPr>
          <xdr:cNvSpPr/>
        </xdr:nvSpPr>
        <xdr:spPr>
          <a:xfrm>
            <a:off x="4127500" y="3311631"/>
            <a:ext cx="1270001" cy="107308"/>
          </a:xfrm>
          <a:custGeom>
            <a:avLst/>
            <a:gdLst/>
            <a:ahLst/>
            <a:cxnLst/>
            <a:rect l="0" t="0" r="0" b="0"/>
            <a:pathLst>
              <a:path w="1270001" h="107308">
                <a:moveTo>
                  <a:pt x="0" y="0"/>
                </a:moveTo>
                <a:cubicBezTo>
                  <a:pt x="635000" y="0"/>
                  <a:pt x="635000" y="97661"/>
                  <a:pt x="1270000" y="97661"/>
                </a:cubicBezTo>
                <a:lnTo>
                  <a:pt x="1270000" y="107307"/>
                </a:lnTo>
                <a:cubicBezTo>
                  <a:pt x="635000" y="107307"/>
                  <a:pt x="635000" y="9646"/>
                  <a:pt x="0" y="9646"/>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SK_LNK_AUDIO PITCH MEN_PITCHED">
            <a:extLst>
              <a:ext uri="{FF2B5EF4-FFF2-40B4-BE49-F238E27FC236}">
                <a16:creationId xmlns:a16="http://schemas.microsoft.com/office/drawing/2014/main" id="{FE1D241F-7322-CE3B-886F-3037F3B01870}"/>
              </a:ext>
            </a:extLst>
          </xdr:cNvPr>
          <xdr:cNvSpPr/>
        </xdr:nvSpPr>
        <xdr:spPr>
          <a:xfrm>
            <a:off x="5715000" y="3122130"/>
            <a:ext cx="1270001" cy="1045665"/>
          </a:xfrm>
          <a:custGeom>
            <a:avLst/>
            <a:gdLst/>
            <a:ahLst/>
            <a:cxnLst/>
            <a:rect l="0" t="0" r="0" b="0"/>
            <a:pathLst>
              <a:path w="1270001" h="1045665">
                <a:moveTo>
                  <a:pt x="0" y="0"/>
                </a:moveTo>
                <a:cubicBezTo>
                  <a:pt x="635000" y="0"/>
                  <a:pt x="635000" y="996240"/>
                  <a:pt x="1270000" y="996240"/>
                </a:cubicBezTo>
                <a:lnTo>
                  <a:pt x="1270000" y="1045664"/>
                </a:lnTo>
                <a:cubicBezTo>
                  <a:pt x="635000" y="1045664"/>
                  <a:pt x="635000" y="49424"/>
                  <a:pt x="0" y="49424"/>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SK_LNK_AUDIO PITCH WOMEN_PITCHED">
            <a:extLst>
              <a:ext uri="{FF2B5EF4-FFF2-40B4-BE49-F238E27FC236}">
                <a16:creationId xmlns:a16="http://schemas.microsoft.com/office/drawing/2014/main" id="{E8286EA0-3E89-DDD5-2EDB-09910B2B6406}"/>
              </a:ext>
            </a:extLst>
          </xdr:cNvPr>
          <xdr:cNvSpPr/>
        </xdr:nvSpPr>
        <xdr:spPr>
          <a:xfrm>
            <a:off x="5715000" y="3409292"/>
            <a:ext cx="1270001" cy="768148"/>
          </a:xfrm>
          <a:custGeom>
            <a:avLst/>
            <a:gdLst/>
            <a:ahLst/>
            <a:cxnLst/>
            <a:rect l="0" t="0" r="0" b="0"/>
            <a:pathLst>
              <a:path w="1270001" h="768148">
                <a:moveTo>
                  <a:pt x="0" y="0"/>
                </a:moveTo>
                <a:cubicBezTo>
                  <a:pt x="635000" y="0"/>
                  <a:pt x="635000" y="758502"/>
                  <a:pt x="1270000" y="758502"/>
                </a:cubicBezTo>
                <a:lnTo>
                  <a:pt x="1270000" y="768147"/>
                </a:lnTo>
                <a:cubicBezTo>
                  <a:pt x="635000" y="768147"/>
                  <a:pt x="635000" y="9646"/>
                  <a:pt x="0" y="9646"/>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SK_LNK_FINISHING_FINISHING PITCH MEN">
            <a:extLst>
              <a:ext uri="{FF2B5EF4-FFF2-40B4-BE49-F238E27FC236}">
                <a16:creationId xmlns:a16="http://schemas.microsoft.com/office/drawing/2014/main" id="{5C15707B-0074-56F1-EAEF-E569AAECEC83}"/>
              </a:ext>
            </a:extLst>
          </xdr:cNvPr>
          <xdr:cNvSpPr/>
        </xdr:nvSpPr>
        <xdr:spPr>
          <a:xfrm>
            <a:off x="4127500" y="3696455"/>
            <a:ext cx="1270001" cy="213137"/>
          </a:xfrm>
          <a:custGeom>
            <a:avLst/>
            <a:gdLst/>
            <a:ahLst/>
            <a:cxnLst/>
            <a:rect l="0" t="0" r="0" b="0"/>
            <a:pathLst>
              <a:path w="1270001" h="213137">
                <a:moveTo>
                  <a:pt x="0" y="158765"/>
                </a:moveTo>
                <a:cubicBezTo>
                  <a:pt x="635000" y="158765"/>
                  <a:pt x="635000" y="0"/>
                  <a:pt x="1270000" y="0"/>
                </a:cubicBezTo>
                <a:lnTo>
                  <a:pt x="1270000" y="54370"/>
                </a:lnTo>
                <a:cubicBezTo>
                  <a:pt x="635000" y="54370"/>
                  <a:pt x="635000" y="213136"/>
                  <a:pt x="0" y="213136"/>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SK_LNK_FINISHING_FINISHING PITCH WOMEN">
            <a:extLst>
              <a:ext uri="{FF2B5EF4-FFF2-40B4-BE49-F238E27FC236}">
                <a16:creationId xmlns:a16="http://schemas.microsoft.com/office/drawing/2014/main" id="{1D8D8D1B-BA65-EE46-6AB2-3BB93692DB18}"/>
              </a:ext>
            </a:extLst>
          </xdr:cNvPr>
          <xdr:cNvSpPr/>
        </xdr:nvSpPr>
        <xdr:spPr>
          <a:xfrm>
            <a:off x="4127500" y="3909591"/>
            <a:ext cx="1270001" cy="83947"/>
          </a:xfrm>
          <a:custGeom>
            <a:avLst/>
            <a:gdLst/>
            <a:ahLst/>
            <a:cxnLst/>
            <a:rect l="0" t="0" r="0" b="0"/>
            <a:pathLst>
              <a:path w="1270001" h="83947">
                <a:moveTo>
                  <a:pt x="0" y="0"/>
                </a:moveTo>
                <a:cubicBezTo>
                  <a:pt x="635000" y="0"/>
                  <a:pt x="635000" y="77596"/>
                  <a:pt x="1270000" y="77596"/>
                </a:cubicBezTo>
                <a:lnTo>
                  <a:pt x="1270000" y="83946"/>
                </a:lnTo>
                <a:cubicBezTo>
                  <a:pt x="635000" y="83946"/>
                  <a:pt x="635000" y="6350"/>
                  <a:pt x="0" y="6350"/>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SK_LNK_FINISHING PITCH MEN_PITCHED">
            <a:extLst>
              <a:ext uri="{FF2B5EF4-FFF2-40B4-BE49-F238E27FC236}">
                <a16:creationId xmlns:a16="http://schemas.microsoft.com/office/drawing/2014/main" id="{DEAD56E3-4A77-B8FF-A564-0810FB04B730}"/>
              </a:ext>
            </a:extLst>
          </xdr:cNvPr>
          <xdr:cNvSpPr/>
        </xdr:nvSpPr>
        <xdr:spPr>
          <a:xfrm>
            <a:off x="5715000" y="3696455"/>
            <a:ext cx="1270001" cy="535356"/>
          </a:xfrm>
          <a:custGeom>
            <a:avLst/>
            <a:gdLst/>
            <a:ahLst/>
            <a:cxnLst/>
            <a:rect l="0" t="0" r="0" b="0"/>
            <a:pathLst>
              <a:path w="1270001" h="535356">
                <a:moveTo>
                  <a:pt x="0" y="0"/>
                </a:moveTo>
                <a:cubicBezTo>
                  <a:pt x="635000" y="0"/>
                  <a:pt x="635000" y="480984"/>
                  <a:pt x="1270000" y="480984"/>
                </a:cubicBezTo>
                <a:lnTo>
                  <a:pt x="1270000" y="535355"/>
                </a:lnTo>
                <a:cubicBezTo>
                  <a:pt x="635000" y="535355"/>
                  <a:pt x="635000" y="54370"/>
                  <a:pt x="0" y="54370"/>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SK_LNK_FINISHING PITCH WOMEN_PITCHED">
            <a:extLst>
              <a:ext uri="{FF2B5EF4-FFF2-40B4-BE49-F238E27FC236}">
                <a16:creationId xmlns:a16="http://schemas.microsoft.com/office/drawing/2014/main" id="{C34A6580-56C1-C95D-7A13-9B945BB1F9F5}"/>
              </a:ext>
            </a:extLst>
          </xdr:cNvPr>
          <xdr:cNvSpPr/>
        </xdr:nvSpPr>
        <xdr:spPr>
          <a:xfrm>
            <a:off x="5715000" y="3987187"/>
            <a:ext cx="1270001" cy="250974"/>
          </a:xfrm>
          <a:custGeom>
            <a:avLst/>
            <a:gdLst/>
            <a:ahLst/>
            <a:cxnLst/>
            <a:rect l="0" t="0" r="0" b="0"/>
            <a:pathLst>
              <a:path w="1270001" h="250974">
                <a:moveTo>
                  <a:pt x="0" y="0"/>
                </a:moveTo>
                <a:cubicBezTo>
                  <a:pt x="635000" y="0"/>
                  <a:pt x="635000" y="244623"/>
                  <a:pt x="1270000" y="244623"/>
                </a:cubicBezTo>
                <a:lnTo>
                  <a:pt x="1270000" y="250973"/>
                </a:lnTo>
                <a:cubicBezTo>
                  <a:pt x="635000" y="250973"/>
                  <a:pt x="635000" y="6350"/>
                  <a:pt x="0" y="6350"/>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SK_LNK_MUSIC_MUSIC PITCH MEN">
            <a:extLst>
              <a:ext uri="{FF2B5EF4-FFF2-40B4-BE49-F238E27FC236}">
                <a16:creationId xmlns:a16="http://schemas.microsoft.com/office/drawing/2014/main" id="{D5C2DFDA-D801-80D5-4071-F57C713D26F5}"/>
              </a:ext>
            </a:extLst>
          </xdr:cNvPr>
          <xdr:cNvSpPr/>
        </xdr:nvSpPr>
        <xdr:spPr>
          <a:xfrm>
            <a:off x="4127500" y="4274349"/>
            <a:ext cx="1270001" cy="185548"/>
          </a:xfrm>
          <a:custGeom>
            <a:avLst/>
            <a:gdLst/>
            <a:ahLst/>
            <a:cxnLst/>
            <a:rect l="0" t="0" r="0" b="0"/>
            <a:pathLst>
              <a:path w="1270001" h="185548">
                <a:moveTo>
                  <a:pt x="0" y="170278"/>
                </a:moveTo>
                <a:cubicBezTo>
                  <a:pt x="635000" y="170278"/>
                  <a:pt x="635000" y="0"/>
                  <a:pt x="1270000" y="0"/>
                </a:cubicBezTo>
                <a:lnTo>
                  <a:pt x="1270000" y="15269"/>
                </a:lnTo>
                <a:cubicBezTo>
                  <a:pt x="635000" y="15269"/>
                  <a:pt x="635000" y="185547"/>
                  <a:pt x="0" y="185547"/>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SK_LNK_MUSIC_MUSIC PITCH WOMEN">
            <a:extLst>
              <a:ext uri="{FF2B5EF4-FFF2-40B4-BE49-F238E27FC236}">
                <a16:creationId xmlns:a16="http://schemas.microsoft.com/office/drawing/2014/main" id="{D6DA7F5C-10F4-18BA-5B00-114135DDF925}"/>
              </a:ext>
            </a:extLst>
          </xdr:cNvPr>
          <xdr:cNvSpPr/>
        </xdr:nvSpPr>
        <xdr:spPr>
          <a:xfrm>
            <a:off x="4127500" y="4459896"/>
            <a:ext cx="1270001" cy="107966"/>
          </a:xfrm>
          <a:custGeom>
            <a:avLst/>
            <a:gdLst/>
            <a:ahLst/>
            <a:cxnLst/>
            <a:rect l="0" t="0" r="0" b="0"/>
            <a:pathLst>
              <a:path w="1270001" h="107966">
                <a:moveTo>
                  <a:pt x="0" y="0"/>
                </a:moveTo>
                <a:cubicBezTo>
                  <a:pt x="635000" y="0"/>
                  <a:pt x="635000" y="101615"/>
                  <a:pt x="1270000" y="101615"/>
                </a:cubicBezTo>
                <a:lnTo>
                  <a:pt x="1270000" y="107965"/>
                </a:lnTo>
                <a:cubicBezTo>
                  <a:pt x="635000" y="107965"/>
                  <a:pt x="635000" y="6350"/>
                  <a:pt x="0" y="6350"/>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SK_LNK_MUSIC PITCH MEN_PITCHED">
            <a:extLst>
              <a:ext uri="{FF2B5EF4-FFF2-40B4-BE49-F238E27FC236}">
                <a16:creationId xmlns:a16="http://schemas.microsoft.com/office/drawing/2014/main" id="{87ADB47D-25A4-0197-1B9F-CD6B2E10F889}"/>
              </a:ext>
            </a:extLst>
          </xdr:cNvPr>
          <xdr:cNvSpPr/>
        </xdr:nvSpPr>
        <xdr:spPr>
          <a:xfrm>
            <a:off x="5715000" y="4238160"/>
            <a:ext cx="1270001" cy="51459"/>
          </a:xfrm>
          <a:custGeom>
            <a:avLst/>
            <a:gdLst/>
            <a:ahLst/>
            <a:cxnLst/>
            <a:rect l="0" t="0" r="0" b="0"/>
            <a:pathLst>
              <a:path w="1270001" h="51459">
                <a:moveTo>
                  <a:pt x="0" y="36189"/>
                </a:moveTo>
                <a:cubicBezTo>
                  <a:pt x="635000" y="36189"/>
                  <a:pt x="635000" y="0"/>
                  <a:pt x="1270000" y="0"/>
                </a:cubicBezTo>
                <a:lnTo>
                  <a:pt x="1270000" y="15269"/>
                </a:lnTo>
                <a:cubicBezTo>
                  <a:pt x="635000" y="15269"/>
                  <a:pt x="635000" y="51458"/>
                  <a:pt x="0" y="51458"/>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SK_LNK_MUSIC PITCH WOMEN_PITCHED">
            <a:extLst>
              <a:ext uri="{FF2B5EF4-FFF2-40B4-BE49-F238E27FC236}">
                <a16:creationId xmlns:a16="http://schemas.microsoft.com/office/drawing/2014/main" id="{7FC2EC5C-ED9A-1B43-DE78-10EF2AFD09F4}"/>
              </a:ext>
            </a:extLst>
          </xdr:cNvPr>
          <xdr:cNvSpPr/>
        </xdr:nvSpPr>
        <xdr:spPr>
          <a:xfrm>
            <a:off x="5715000" y="4253429"/>
            <a:ext cx="1270001" cy="314433"/>
          </a:xfrm>
          <a:custGeom>
            <a:avLst/>
            <a:gdLst/>
            <a:ahLst/>
            <a:cxnLst/>
            <a:rect l="0" t="0" r="0" b="0"/>
            <a:pathLst>
              <a:path w="1270001" h="314433">
                <a:moveTo>
                  <a:pt x="0" y="308082"/>
                </a:moveTo>
                <a:cubicBezTo>
                  <a:pt x="635000" y="308082"/>
                  <a:pt x="635000" y="0"/>
                  <a:pt x="1270000" y="0"/>
                </a:cubicBezTo>
                <a:lnTo>
                  <a:pt x="1270000" y="6350"/>
                </a:lnTo>
                <a:cubicBezTo>
                  <a:pt x="635000" y="6350"/>
                  <a:pt x="635000" y="314432"/>
                  <a:pt x="0" y="314432"/>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SK_LNK_STILLS_STILLS PITCH MEN">
            <a:extLst>
              <a:ext uri="{FF2B5EF4-FFF2-40B4-BE49-F238E27FC236}">
                <a16:creationId xmlns:a16="http://schemas.microsoft.com/office/drawing/2014/main" id="{D51D0E65-8754-577E-267B-6C76F2A91593}"/>
              </a:ext>
            </a:extLst>
          </xdr:cNvPr>
          <xdr:cNvSpPr/>
        </xdr:nvSpPr>
        <xdr:spPr>
          <a:xfrm>
            <a:off x="4127500" y="4848673"/>
            <a:ext cx="1270001" cy="263854"/>
          </a:xfrm>
          <a:custGeom>
            <a:avLst/>
            <a:gdLst/>
            <a:ahLst/>
            <a:cxnLst/>
            <a:rect l="0" t="0" r="0" b="0"/>
            <a:pathLst>
              <a:path w="1270001" h="263854">
                <a:moveTo>
                  <a:pt x="0" y="180698"/>
                </a:moveTo>
                <a:cubicBezTo>
                  <a:pt x="635000" y="180698"/>
                  <a:pt x="635000" y="0"/>
                  <a:pt x="1270000" y="0"/>
                </a:cubicBezTo>
                <a:lnTo>
                  <a:pt x="1270000" y="83155"/>
                </a:lnTo>
                <a:cubicBezTo>
                  <a:pt x="635000" y="83155"/>
                  <a:pt x="635000" y="263853"/>
                  <a:pt x="0" y="263853"/>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SK_LNK_STILLS_STILLS PITCH WOMEN">
            <a:extLst>
              <a:ext uri="{FF2B5EF4-FFF2-40B4-BE49-F238E27FC236}">
                <a16:creationId xmlns:a16="http://schemas.microsoft.com/office/drawing/2014/main" id="{3D95ABEB-1C26-7345-33F7-1AE137CBCEF8}"/>
              </a:ext>
            </a:extLst>
          </xdr:cNvPr>
          <xdr:cNvSpPr/>
        </xdr:nvSpPr>
        <xdr:spPr>
          <a:xfrm>
            <a:off x="4127500" y="5112526"/>
            <a:ext cx="1270001" cy="72852"/>
          </a:xfrm>
          <a:custGeom>
            <a:avLst/>
            <a:gdLst/>
            <a:ahLst/>
            <a:cxnLst/>
            <a:rect l="0" t="0" r="0" b="0"/>
            <a:pathLst>
              <a:path w="1270001" h="72852">
                <a:moveTo>
                  <a:pt x="0" y="0"/>
                </a:moveTo>
                <a:cubicBezTo>
                  <a:pt x="635000" y="0"/>
                  <a:pt x="635000" y="55664"/>
                  <a:pt x="1270000" y="55664"/>
                </a:cubicBezTo>
                <a:lnTo>
                  <a:pt x="1270000" y="72851"/>
                </a:lnTo>
                <a:cubicBezTo>
                  <a:pt x="635000" y="72851"/>
                  <a:pt x="635000" y="17187"/>
                  <a:pt x="0" y="17187"/>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SK_LNK_STILLS PITCH MEN_PITCHED">
            <a:extLst>
              <a:ext uri="{FF2B5EF4-FFF2-40B4-BE49-F238E27FC236}">
                <a16:creationId xmlns:a16="http://schemas.microsoft.com/office/drawing/2014/main" id="{FC6E6BF6-4A27-8EC2-3128-2C9765A2DBE1}"/>
              </a:ext>
            </a:extLst>
          </xdr:cNvPr>
          <xdr:cNvSpPr/>
        </xdr:nvSpPr>
        <xdr:spPr>
          <a:xfrm>
            <a:off x="5715000" y="4259779"/>
            <a:ext cx="1270001" cy="672050"/>
          </a:xfrm>
          <a:custGeom>
            <a:avLst/>
            <a:gdLst/>
            <a:ahLst/>
            <a:cxnLst/>
            <a:rect l="0" t="0" r="0" b="0"/>
            <a:pathLst>
              <a:path w="1270001" h="672050">
                <a:moveTo>
                  <a:pt x="0" y="588894"/>
                </a:moveTo>
                <a:cubicBezTo>
                  <a:pt x="635000" y="588894"/>
                  <a:pt x="635000" y="0"/>
                  <a:pt x="1270000" y="0"/>
                </a:cubicBezTo>
                <a:lnTo>
                  <a:pt x="1270000" y="83155"/>
                </a:lnTo>
                <a:cubicBezTo>
                  <a:pt x="635000" y="83155"/>
                  <a:pt x="635000" y="672049"/>
                  <a:pt x="0" y="672049"/>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SK_LNK_STILLS PITCH WOMEN_PITCHED">
            <a:extLst>
              <a:ext uri="{FF2B5EF4-FFF2-40B4-BE49-F238E27FC236}">
                <a16:creationId xmlns:a16="http://schemas.microsoft.com/office/drawing/2014/main" id="{C1153979-3FE0-D623-C400-92486D336E7F}"/>
              </a:ext>
            </a:extLst>
          </xdr:cNvPr>
          <xdr:cNvSpPr/>
        </xdr:nvSpPr>
        <xdr:spPr>
          <a:xfrm>
            <a:off x="5715000" y="4342934"/>
            <a:ext cx="1270001" cy="842444"/>
          </a:xfrm>
          <a:custGeom>
            <a:avLst/>
            <a:gdLst/>
            <a:ahLst/>
            <a:cxnLst/>
            <a:rect l="0" t="0" r="0" b="0"/>
            <a:pathLst>
              <a:path w="1270001" h="842444">
                <a:moveTo>
                  <a:pt x="0" y="825256"/>
                </a:moveTo>
                <a:cubicBezTo>
                  <a:pt x="635000" y="825256"/>
                  <a:pt x="635000" y="0"/>
                  <a:pt x="1270000" y="0"/>
                </a:cubicBezTo>
                <a:lnTo>
                  <a:pt x="1270000" y="17187"/>
                </a:lnTo>
                <a:cubicBezTo>
                  <a:pt x="635000" y="17187"/>
                  <a:pt x="635000" y="842443"/>
                  <a:pt x="0" y="842443"/>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SK_LNK_BTS_BTS PITCH MEN">
            <a:extLst>
              <a:ext uri="{FF2B5EF4-FFF2-40B4-BE49-F238E27FC236}">
                <a16:creationId xmlns:a16="http://schemas.microsoft.com/office/drawing/2014/main" id="{5EF8225E-3065-ACA6-B12E-E09C7C68605C}"/>
              </a:ext>
            </a:extLst>
          </xdr:cNvPr>
          <xdr:cNvSpPr/>
        </xdr:nvSpPr>
        <xdr:spPr>
          <a:xfrm>
            <a:off x="4127500" y="5455352"/>
            <a:ext cx="1270001" cy="214655"/>
          </a:xfrm>
          <a:custGeom>
            <a:avLst/>
            <a:gdLst/>
            <a:ahLst/>
            <a:cxnLst/>
            <a:rect l="0" t="0" r="0" b="0"/>
            <a:pathLst>
              <a:path w="1270001" h="214655">
                <a:moveTo>
                  <a:pt x="0" y="208304"/>
                </a:moveTo>
                <a:cubicBezTo>
                  <a:pt x="635000" y="208304"/>
                  <a:pt x="635000" y="0"/>
                  <a:pt x="1270000" y="0"/>
                </a:cubicBezTo>
                <a:lnTo>
                  <a:pt x="1270000" y="6350"/>
                </a:lnTo>
                <a:cubicBezTo>
                  <a:pt x="635000" y="6350"/>
                  <a:pt x="635000" y="214654"/>
                  <a:pt x="0" y="214654"/>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SK_LNK_BTS_BTS PITCH WOMEN">
            <a:extLst>
              <a:ext uri="{FF2B5EF4-FFF2-40B4-BE49-F238E27FC236}">
                <a16:creationId xmlns:a16="http://schemas.microsoft.com/office/drawing/2014/main" id="{B15C7254-C5A3-2CDC-B28B-60DABE2990B8}"/>
              </a:ext>
            </a:extLst>
          </xdr:cNvPr>
          <xdr:cNvSpPr/>
        </xdr:nvSpPr>
        <xdr:spPr>
          <a:xfrm>
            <a:off x="4127500" y="5670006"/>
            <a:ext cx="1270001" cy="78859"/>
          </a:xfrm>
          <a:custGeom>
            <a:avLst/>
            <a:gdLst/>
            <a:ahLst/>
            <a:cxnLst/>
            <a:rect l="0" t="0" r="0" b="0"/>
            <a:pathLst>
              <a:path w="1270001" h="78859">
                <a:moveTo>
                  <a:pt x="0" y="0"/>
                </a:moveTo>
                <a:cubicBezTo>
                  <a:pt x="635000" y="0"/>
                  <a:pt x="635000" y="72508"/>
                  <a:pt x="1270000" y="72508"/>
                </a:cubicBezTo>
                <a:lnTo>
                  <a:pt x="1270000" y="78858"/>
                </a:lnTo>
                <a:cubicBezTo>
                  <a:pt x="635000" y="78858"/>
                  <a:pt x="635000" y="6350"/>
                  <a:pt x="0" y="6350"/>
                </a:cubicBezTo>
                <a:close/>
              </a:path>
            </a:pathLst>
          </a:custGeom>
          <a:solidFill>
            <a:srgbClr val="CFCFCF">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SK_LNK_BTS PITCH MEN_PITCHED">
            <a:extLst>
              <a:ext uri="{FF2B5EF4-FFF2-40B4-BE49-F238E27FC236}">
                <a16:creationId xmlns:a16="http://schemas.microsoft.com/office/drawing/2014/main" id="{5F61424F-2B8F-B365-45D1-2D5F06C6BDFB}"/>
              </a:ext>
            </a:extLst>
          </xdr:cNvPr>
          <xdr:cNvSpPr/>
        </xdr:nvSpPr>
        <xdr:spPr>
          <a:xfrm>
            <a:off x="5715000" y="4360121"/>
            <a:ext cx="1270001" cy="1101582"/>
          </a:xfrm>
          <a:custGeom>
            <a:avLst/>
            <a:gdLst/>
            <a:ahLst/>
            <a:cxnLst/>
            <a:rect l="0" t="0" r="0" b="0"/>
            <a:pathLst>
              <a:path w="1270001" h="1101582">
                <a:moveTo>
                  <a:pt x="0" y="1095231"/>
                </a:moveTo>
                <a:cubicBezTo>
                  <a:pt x="635000" y="1095231"/>
                  <a:pt x="635000" y="0"/>
                  <a:pt x="1270000" y="0"/>
                </a:cubicBezTo>
                <a:lnTo>
                  <a:pt x="1270000" y="6350"/>
                </a:lnTo>
                <a:cubicBezTo>
                  <a:pt x="635000" y="6350"/>
                  <a:pt x="635000" y="1101581"/>
                  <a:pt x="0" y="1101581"/>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SK_LNK_BTS PITCH WOMEN_PITCHED">
            <a:extLst>
              <a:ext uri="{FF2B5EF4-FFF2-40B4-BE49-F238E27FC236}">
                <a16:creationId xmlns:a16="http://schemas.microsoft.com/office/drawing/2014/main" id="{A41B89D2-11BA-6433-5E4C-B8F299D2D5F5}"/>
              </a:ext>
            </a:extLst>
          </xdr:cNvPr>
          <xdr:cNvSpPr/>
        </xdr:nvSpPr>
        <xdr:spPr>
          <a:xfrm>
            <a:off x="5715000" y="4366471"/>
            <a:ext cx="1270001" cy="1382394"/>
          </a:xfrm>
          <a:custGeom>
            <a:avLst/>
            <a:gdLst/>
            <a:ahLst/>
            <a:cxnLst/>
            <a:rect l="0" t="0" r="0" b="0"/>
            <a:pathLst>
              <a:path w="1270001" h="1382394">
                <a:moveTo>
                  <a:pt x="0" y="1376043"/>
                </a:moveTo>
                <a:cubicBezTo>
                  <a:pt x="635000" y="1376043"/>
                  <a:pt x="635000" y="0"/>
                  <a:pt x="1270000" y="0"/>
                </a:cubicBezTo>
                <a:lnTo>
                  <a:pt x="1270000" y="6350"/>
                </a:lnTo>
                <a:cubicBezTo>
                  <a:pt x="635000" y="6350"/>
                  <a:pt x="635000" y="1382393"/>
                  <a:pt x="0" y="1382393"/>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SK_LNK_VFX_VFX PITCH MEN">
            <a:extLst>
              <a:ext uri="{FF2B5EF4-FFF2-40B4-BE49-F238E27FC236}">
                <a16:creationId xmlns:a16="http://schemas.microsoft.com/office/drawing/2014/main" id="{8F621A62-23F3-F7D2-31DC-F64491848D5D}"/>
              </a:ext>
            </a:extLst>
          </xdr:cNvPr>
          <xdr:cNvSpPr/>
        </xdr:nvSpPr>
        <xdr:spPr>
          <a:xfrm>
            <a:off x="4127500" y="6029676"/>
            <a:ext cx="1270001" cy="250422"/>
          </a:xfrm>
          <a:custGeom>
            <a:avLst/>
            <a:gdLst/>
            <a:ahLst/>
            <a:cxnLst/>
            <a:rect l="0" t="0" r="0" b="0"/>
            <a:pathLst>
              <a:path w="1270001" h="250422">
                <a:moveTo>
                  <a:pt x="0" y="218724"/>
                </a:moveTo>
                <a:cubicBezTo>
                  <a:pt x="635000" y="218724"/>
                  <a:pt x="635000" y="0"/>
                  <a:pt x="1270000" y="0"/>
                </a:cubicBezTo>
                <a:lnTo>
                  <a:pt x="1270000" y="31697"/>
                </a:lnTo>
                <a:cubicBezTo>
                  <a:pt x="635000" y="31697"/>
                  <a:pt x="635000" y="250421"/>
                  <a:pt x="0" y="250421"/>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SK_LNK_VFX_VFX PITCH WOMEN">
            <a:extLst>
              <a:ext uri="{FF2B5EF4-FFF2-40B4-BE49-F238E27FC236}">
                <a16:creationId xmlns:a16="http://schemas.microsoft.com/office/drawing/2014/main" id="{7D95A755-5C97-7130-3CA4-63F84AAECDB0}"/>
              </a:ext>
            </a:extLst>
          </xdr:cNvPr>
          <xdr:cNvSpPr/>
        </xdr:nvSpPr>
        <xdr:spPr>
          <a:xfrm>
            <a:off x="4127500" y="6280097"/>
            <a:ext cx="1270001" cy="43092"/>
          </a:xfrm>
          <a:custGeom>
            <a:avLst/>
            <a:gdLst/>
            <a:ahLst/>
            <a:cxnLst/>
            <a:rect l="0" t="0" r="0" b="0"/>
            <a:pathLst>
              <a:path w="1270001" h="43092">
                <a:moveTo>
                  <a:pt x="0" y="0"/>
                </a:moveTo>
                <a:cubicBezTo>
                  <a:pt x="635000" y="0"/>
                  <a:pt x="635000" y="36741"/>
                  <a:pt x="1270000" y="36741"/>
                </a:cubicBezTo>
                <a:lnTo>
                  <a:pt x="1270000" y="43091"/>
                </a:lnTo>
                <a:cubicBezTo>
                  <a:pt x="635000" y="43091"/>
                  <a:pt x="635000" y="6350"/>
                  <a:pt x="0" y="6350"/>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SK_LNK_VFX PITCH MEN_PITCHED">
            <a:extLst>
              <a:ext uri="{FF2B5EF4-FFF2-40B4-BE49-F238E27FC236}">
                <a16:creationId xmlns:a16="http://schemas.microsoft.com/office/drawing/2014/main" id="{EABC1878-D2A1-C7CB-4EFA-FFD67C11E33C}"/>
              </a:ext>
            </a:extLst>
          </xdr:cNvPr>
          <xdr:cNvSpPr/>
        </xdr:nvSpPr>
        <xdr:spPr>
          <a:xfrm>
            <a:off x="5715000" y="4372821"/>
            <a:ext cx="1270001" cy="1688553"/>
          </a:xfrm>
          <a:custGeom>
            <a:avLst/>
            <a:gdLst/>
            <a:ahLst/>
            <a:cxnLst/>
            <a:rect l="0" t="0" r="0" b="0"/>
            <a:pathLst>
              <a:path w="1270001" h="1688553">
                <a:moveTo>
                  <a:pt x="0" y="1656855"/>
                </a:moveTo>
                <a:cubicBezTo>
                  <a:pt x="635000" y="1656855"/>
                  <a:pt x="635000" y="0"/>
                  <a:pt x="1270000" y="0"/>
                </a:cubicBezTo>
                <a:lnTo>
                  <a:pt x="1270000" y="31697"/>
                </a:lnTo>
                <a:cubicBezTo>
                  <a:pt x="635000" y="31697"/>
                  <a:pt x="635000" y="1688552"/>
                  <a:pt x="0" y="1688552"/>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SK_LNK_VFX PITCH WOMEN_PITCHED">
            <a:extLst>
              <a:ext uri="{FF2B5EF4-FFF2-40B4-BE49-F238E27FC236}">
                <a16:creationId xmlns:a16="http://schemas.microsoft.com/office/drawing/2014/main" id="{570FF9A5-C392-FA6E-4789-9CD12D0B314B}"/>
              </a:ext>
            </a:extLst>
          </xdr:cNvPr>
          <xdr:cNvSpPr/>
        </xdr:nvSpPr>
        <xdr:spPr>
          <a:xfrm>
            <a:off x="5715000" y="4404518"/>
            <a:ext cx="1270001" cy="1918671"/>
          </a:xfrm>
          <a:custGeom>
            <a:avLst/>
            <a:gdLst/>
            <a:ahLst/>
            <a:cxnLst/>
            <a:rect l="0" t="0" r="0" b="0"/>
            <a:pathLst>
              <a:path w="1270001" h="1918671">
                <a:moveTo>
                  <a:pt x="0" y="1912320"/>
                </a:moveTo>
                <a:cubicBezTo>
                  <a:pt x="635000" y="1912320"/>
                  <a:pt x="635000" y="0"/>
                  <a:pt x="1270000" y="0"/>
                </a:cubicBezTo>
                <a:lnTo>
                  <a:pt x="1270000" y="6350"/>
                </a:lnTo>
                <a:cubicBezTo>
                  <a:pt x="635000" y="6350"/>
                  <a:pt x="635000" y="1918670"/>
                  <a:pt x="0" y="1918670"/>
                </a:cubicBezTo>
                <a:close/>
              </a:path>
            </a:pathLst>
          </a:custGeom>
          <a:solidFill>
            <a:srgbClr val="89B2D6">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SK_LNK_PITCHED_AWARD">
            <a:extLst>
              <a:ext uri="{FF2B5EF4-FFF2-40B4-BE49-F238E27FC236}">
                <a16:creationId xmlns:a16="http://schemas.microsoft.com/office/drawing/2014/main" id="{7C587DD5-7CCC-B35C-87A1-AA1B281D907C}"/>
              </a:ext>
            </a:extLst>
          </xdr:cNvPr>
          <xdr:cNvSpPr/>
        </xdr:nvSpPr>
        <xdr:spPr>
          <a:xfrm>
            <a:off x="7302500" y="2476500"/>
            <a:ext cx="1270001" cy="1308811"/>
          </a:xfrm>
          <a:custGeom>
            <a:avLst/>
            <a:gdLst/>
            <a:ahLst/>
            <a:cxnLst/>
            <a:rect l="0" t="0" r="0" b="0"/>
            <a:pathLst>
              <a:path w="1270001" h="1308811">
                <a:moveTo>
                  <a:pt x="0" y="0"/>
                </a:moveTo>
                <a:cubicBezTo>
                  <a:pt x="635000" y="0"/>
                  <a:pt x="635000" y="596189"/>
                  <a:pt x="1270000" y="596189"/>
                </a:cubicBezTo>
                <a:lnTo>
                  <a:pt x="1270000" y="1308810"/>
                </a:lnTo>
                <a:cubicBezTo>
                  <a:pt x="635000" y="1308810"/>
                  <a:pt x="635000" y="712621"/>
                  <a:pt x="0" y="712621"/>
                </a:cubicBezTo>
                <a:close/>
              </a:path>
            </a:pathLst>
          </a:custGeom>
          <a:solidFill>
            <a:srgbClr val="73BABD">
              <a:alpha val="69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SK_NODE_EDIT">
            <a:extLst>
              <a:ext uri="{FF2B5EF4-FFF2-40B4-BE49-F238E27FC236}">
                <a16:creationId xmlns:a16="http://schemas.microsoft.com/office/drawing/2014/main" id="{2DAF9B47-AF1A-0A02-6998-98F07C1FA5CD}"/>
              </a:ext>
            </a:extLst>
          </xdr:cNvPr>
          <xdr:cNvSpPr/>
        </xdr:nvSpPr>
        <xdr:spPr>
          <a:xfrm>
            <a:off x="3810000" y="558800"/>
            <a:ext cx="317500" cy="212794"/>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SK_NODE_EDIT PITCH MEN">
            <a:extLst>
              <a:ext uri="{FF2B5EF4-FFF2-40B4-BE49-F238E27FC236}">
                <a16:creationId xmlns:a16="http://schemas.microsoft.com/office/drawing/2014/main" id="{E357E8EF-B897-4CD9-3803-FCBE9BCE4A96}"/>
              </a:ext>
            </a:extLst>
          </xdr:cNvPr>
          <xdr:cNvSpPr/>
        </xdr:nvSpPr>
        <xdr:spPr>
          <a:xfrm>
            <a:off x="5397500" y="490362"/>
            <a:ext cx="317500" cy="212794"/>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SK_NODE_EDIT PITCH WOMEN">
            <a:extLst>
              <a:ext uri="{FF2B5EF4-FFF2-40B4-BE49-F238E27FC236}">
                <a16:creationId xmlns:a16="http://schemas.microsoft.com/office/drawing/2014/main" id="{8659B972-D2D9-B11B-72AE-8F24D3B8F65E}"/>
              </a:ext>
            </a:extLst>
          </xdr:cNvPr>
          <xdr:cNvSpPr/>
        </xdr:nvSpPr>
        <xdr:spPr>
          <a:xfrm>
            <a:off x="5397500" y="939518"/>
            <a:ext cx="317500" cy="508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SK_NODE_PRODUCTION">
            <a:extLst>
              <a:ext uri="{FF2B5EF4-FFF2-40B4-BE49-F238E27FC236}">
                <a16:creationId xmlns:a16="http://schemas.microsoft.com/office/drawing/2014/main" id="{B46D8B46-F626-B283-68C7-7AF4985FDC0D}"/>
              </a:ext>
            </a:extLst>
          </xdr:cNvPr>
          <xdr:cNvSpPr/>
        </xdr:nvSpPr>
        <xdr:spPr>
          <a:xfrm>
            <a:off x="3810000" y="1305538"/>
            <a:ext cx="317500" cy="1422726"/>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SK_NODE_PRODUCTION PITCH MEN">
            <a:extLst>
              <a:ext uri="{FF2B5EF4-FFF2-40B4-BE49-F238E27FC236}">
                <a16:creationId xmlns:a16="http://schemas.microsoft.com/office/drawing/2014/main" id="{5CAEE291-6E24-253D-8995-1E1813F985E2}"/>
              </a:ext>
            </a:extLst>
          </xdr:cNvPr>
          <xdr:cNvSpPr/>
        </xdr:nvSpPr>
        <xdr:spPr>
          <a:xfrm>
            <a:off x="5397500" y="1226680"/>
            <a:ext cx="317500" cy="1226912"/>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SK_NODE_PRODUCTION PITCH WOMEN">
            <a:extLst>
              <a:ext uri="{FF2B5EF4-FFF2-40B4-BE49-F238E27FC236}">
                <a16:creationId xmlns:a16="http://schemas.microsoft.com/office/drawing/2014/main" id="{704BBBF2-6BDB-609F-699A-2BC99562343E}"/>
              </a:ext>
            </a:extLst>
          </xdr:cNvPr>
          <xdr:cNvSpPr/>
        </xdr:nvSpPr>
        <xdr:spPr>
          <a:xfrm>
            <a:off x="5397500" y="2689955"/>
            <a:ext cx="317500" cy="195813"/>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SK_NODE_AUDIO">
            <a:extLst>
              <a:ext uri="{FF2B5EF4-FFF2-40B4-BE49-F238E27FC236}">
                <a16:creationId xmlns:a16="http://schemas.microsoft.com/office/drawing/2014/main" id="{82D7412C-0353-0056-CA05-8A9C060003AE}"/>
              </a:ext>
            </a:extLst>
          </xdr:cNvPr>
          <xdr:cNvSpPr/>
        </xdr:nvSpPr>
        <xdr:spPr>
          <a:xfrm>
            <a:off x="3810000" y="3262207"/>
            <a:ext cx="317500" cy="59069"/>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SK_NODE_AUDIO PITCH MEN">
            <a:extLst>
              <a:ext uri="{FF2B5EF4-FFF2-40B4-BE49-F238E27FC236}">
                <a16:creationId xmlns:a16="http://schemas.microsoft.com/office/drawing/2014/main" id="{A5CB94AD-BE8F-2A9A-A420-BDD49D72EAA5}"/>
              </a:ext>
            </a:extLst>
          </xdr:cNvPr>
          <xdr:cNvSpPr/>
        </xdr:nvSpPr>
        <xdr:spPr>
          <a:xfrm>
            <a:off x="5397500" y="3122130"/>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SK_NODE_AUDIO PITCH WOMEN">
            <a:extLst>
              <a:ext uri="{FF2B5EF4-FFF2-40B4-BE49-F238E27FC236}">
                <a16:creationId xmlns:a16="http://schemas.microsoft.com/office/drawing/2014/main" id="{0A16417E-E009-A83B-1168-E1F940644D54}"/>
              </a:ext>
            </a:extLst>
          </xdr:cNvPr>
          <xdr:cNvSpPr/>
        </xdr:nvSpPr>
        <xdr:spPr>
          <a:xfrm>
            <a:off x="5397500" y="3409292"/>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SK_NODE_FINISHING">
            <a:extLst>
              <a:ext uri="{FF2B5EF4-FFF2-40B4-BE49-F238E27FC236}">
                <a16:creationId xmlns:a16="http://schemas.microsoft.com/office/drawing/2014/main" id="{2C34F39A-559F-DAB7-BCBC-C6159DDFA3B1}"/>
              </a:ext>
            </a:extLst>
          </xdr:cNvPr>
          <xdr:cNvSpPr/>
        </xdr:nvSpPr>
        <xdr:spPr>
          <a:xfrm>
            <a:off x="3810000" y="3855220"/>
            <a:ext cx="317500" cy="55464"/>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SK_NODE_FINISHING PITCH MEN">
            <a:extLst>
              <a:ext uri="{FF2B5EF4-FFF2-40B4-BE49-F238E27FC236}">
                <a16:creationId xmlns:a16="http://schemas.microsoft.com/office/drawing/2014/main" id="{05784019-E164-5F6B-8F55-04BEAF8F18D6}"/>
              </a:ext>
            </a:extLst>
          </xdr:cNvPr>
          <xdr:cNvSpPr/>
        </xdr:nvSpPr>
        <xdr:spPr>
          <a:xfrm>
            <a:off x="5397500" y="3696455"/>
            <a:ext cx="317500" cy="5437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SK_NODE_FINISHING PITCH WOMEN">
            <a:extLst>
              <a:ext uri="{FF2B5EF4-FFF2-40B4-BE49-F238E27FC236}">
                <a16:creationId xmlns:a16="http://schemas.microsoft.com/office/drawing/2014/main" id="{0940841D-4A38-7EC5-5775-6DEE4B250E97}"/>
              </a:ext>
            </a:extLst>
          </xdr:cNvPr>
          <xdr:cNvSpPr/>
        </xdr:nvSpPr>
        <xdr:spPr>
          <a:xfrm>
            <a:off x="5397500" y="3987187"/>
            <a:ext cx="317500" cy="508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SK_NODE_MUSIC">
            <a:extLst>
              <a:ext uri="{FF2B5EF4-FFF2-40B4-BE49-F238E27FC236}">
                <a16:creationId xmlns:a16="http://schemas.microsoft.com/office/drawing/2014/main" id="{C3F1BA6E-CE9F-8713-7956-EDC7F7D3A77E}"/>
              </a:ext>
            </a:extLst>
          </xdr:cNvPr>
          <xdr:cNvSpPr/>
        </xdr:nvSpPr>
        <xdr:spPr>
          <a:xfrm>
            <a:off x="3810000" y="4444627"/>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SK_NODE_MUSIC PITCH MEN">
            <a:extLst>
              <a:ext uri="{FF2B5EF4-FFF2-40B4-BE49-F238E27FC236}">
                <a16:creationId xmlns:a16="http://schemas.microsoft.com/office/drawing/2014/main" id="{0CC1A5AC-4E6E-6B8D-A4B6-25EF315DE010}"/>
              </a:ext>
            </a:extLst>
          </xdr:cNvPr>
          <xdr:cNvSpPr/>
        </xdr:nvSpPr>
        <xdr:spPr>
          <a:xfrm>
            <a:off x="5397500" y="4274349"/>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SK_NODE_MUSIC PITCH WOMEN">
            <a:extLst>
              <a:ext uri="{FF2B5EF4-FFF2-40B4-BE49-F238E27FC236}">
                <a16:creationId xmlns:a16="http://schemas.microsoft.com/office/drawing/2014/main" id="{39BBB7B8-383E-DDF7-5D4D-4548C2514884}"/>
              </a:ext>
            </a:extLst>
          </xdr:cNvPr>
          <xdr:cNvSpPr/>
        </xdr:nvSpPr>
        <xdr:spPr>
          <a:xfrm>
            <a:off x="5397500" y="4561511"/>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SK_NODE_STILLS">
            <a:extLst>
              <a:ext uri="{FF2B5EF4-FFF2-40B4-BE49-F238E27FC236}">
                <a16:creationId xmlns:a16="http://schemas.microsoft.com/office/drawing/2014/main" id="{C8DA6E7C-3A78-B18F-374E-31AAE118FFE1}"/>
              </a:ext>
            </a:extLst>
          </xdr:cNvPr>
          <xdr:cNvSpPr/>
        </xdr:nvSpPr>
        <xdr:spPr>
          <a:xfrm>
            <a:off x="3810000" y="5029371"/>
            <a:ext cx="317500" cy="100342"/>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SK_NODE_STILLS PITCH MEN">
            <a:extLst>
              <a:ext uri="{FF2B5EF4-FFF2-40B4-BE49-F238E27FC236}">
                <a16:creationId xmlns:a16="http://schemas.microsoft.com/office/drawing/2014/main" id="{8889230B-77CC-BE7F-DD14-B28ECB81CAFE}"/>
              </a:ext>
            </a:extLst>
          </xdr:cNvPr>
          <xdr:cNvSpPr/>
        </xdr:nvSpPr>
        <xdr:spPr>
          <a:xfrm>
            <a:off x="5397500" y="4848673"/>
            <a:ext cx="317500" cy="83155"/>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SK_NODE_STILLS PITCH WOMEN">
            <a:extLst>
              <a:ext uri="{FF2B5EF4-FFF2-40B4-BE49-F238E27FC236}">
                <a16:creationId xmlns:a16="http://schemas.microsoft.com/office/drawing/2014/main" id="{A0239375-5B7F-0BB2-4AB5-E3FE87770BC9}"/>
              </a:ext>
            </a:extLst>
          </xdr:cNvPr>
          <xdr:cNvSpPr/>
        </xdr:nvSpPr>
        <xdr:spPr>
          <a:xfrm>
            <a:off x="5397500" y="5168190"/>
            <a:ext cx="317500" cy="50800"/>
          </a:xfrm>
          <a:prstGeom prst="rect">
            <a:avLst/>
          </a:prstGeom>
          <a:solidFill>
            <a:srgbClr val="5D82A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SK_NODE_BTS">
            <a:extLst>
              <a:ext uri="{FF2B5EF4-FFF2-40B4-BE49-F238E27FC236}">
                <a16:creationId xmlns:a16="http://schemas.microsoft.com/office/drawing/2014/main" id="{699D5EB4-92BC-6581-5F65-F031A1E302E5}"/>
              </a:ext>
            </a:extLst>
          </xdr:cNvPr>
          <xdr:cNvSpPr/>
        </xdr:nvSpPr>
        <xdr:spPr>
          <a:xfrm>
            <a:off x="3810000" y="5663656"/>
            <a:ext cx="317500" cy="508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SK_NODE_BTS PITCH MEN">
            <a:extLst>
              <a:ext uri="{FF2B5EF4-FFF2-40B4-BE49-F238E27FC236}">
                <a16:creationId xmlns:a16="http://schemas.microsoft.com/office/drawing/2014/main" id="{6960436B-4D08-21A5-C71E-37B1350D14D1}"/>
              </a:ext>
            </a:extLst>
          </xdr:cNvPr>
          <xdr:cNvSpPr/>
        </xdr:nvSpPr>
        <xdr:spPr>
          <a:xfrm>
            <a:off x="5397500" y="5455352"/>
            <a:ext cx="317500" cy="508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SK_NODE_BTS PITCH WOMEN">
            <a:extLst>
              <a:ext uri="{FF2B5EF4-FFF2-40B4-BE49-F238E27FC236}">
                <a16:creationId xmlns:a16="http://schemas.microsoft.com/office/drawing/2014/main" id="{7206C6CC-2676-6733-7188-E8FB718331A4}"/>
              </a:ext>
            </a:extLst>
          </xdr:cNvPr>
          <xdr:cNvSpPr/>
        </xdr:nvSpPr>
        <xdr:spPr>
          <a:xfrm>
            <a:off x="5397500" y="5742514"/>
            <a:ext cx="317500" cy="508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SK_NODE_VFX">
            <a:extLst>
              <a:ext uri="{FF2B5EF4-FFF2-40B4-BE49-F238E27FC236}">
                <a16:creationId xmlns:a16="http://schemas.microsoft.com/office/drawing/2014/main" id="{373E4B72-75D4-75F1-FA0E-7029F8705E01}"/>
              </a:ext>
            </a:extLst>
          </xdr:cNvPr>
          <xdr:cNvSpPr/>
        </xdr:nvSpPr>
        <xdr:spPr>
          <a:xfrm>
            <a:off x="3810000" y="6248400"/>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SK_NODE_VFX PITCH MEN">
            <a:extLst>
              <a:ext uri="{FF2B5EF4-FFF2-40B4-BE49-F238E27FC236}">
                <a16:creationId xmlns:a16="http://schemas.microsoft.com/office/drawing/2014/main" id="{022BCE89-754E-9EDA-9B0B-D07ACE2DF5F6}"/>
              </a:ext>
            </a:extLst>
          </xdr:cNvPr>
          <xdr:cNvSpPr/>
        </xdr:nvSpPr>
        <xdr:spPr>
          <a:xfrm>
            <a:off x="5397500" y="6029676"/>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SK_NODE_VFX PITCH WOMEN">
            <a:extLst>
              <a:ext uri="{FF2B5EF4-FFF2-40B4-BE49-F238E27FC236}">
                <a16:creationId xmlns:a16="http://schemas.microsoft.com/office/drawing/2014/main" id="{2B3919D2-1DBA-E6D4-1735-A360937274B8}"/>
              </a:ext>
            </a:extLst>
          </xdr:cNvPr>
          <xdr:cNvSpPr/>
        </xdr:nvSpPr>
        <xdr:spPr>
          <a:xfrm>
            <a:off x="5397500" y="6316838"/>
            <a:ext cx="317500" cy="50800"/>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SK_NODE_PITCHED">
            <a:extLst>
              <a:ext uri="{FF2B5EF4-FFF2-40B4-BE49-F238E27FC236}">
                <a16:creationId xmlns:a16="http://schemas.microsoft.com/office/drawing/2014/main" id="{D4B9D465-FBF7-5C62-7BDB-105BD5B5E26F}"/>
              </a:ext>
            </a:extLst>
          </xdr:cNvPr>
          <xdr:cNvSpPr/>
        </xdr:nvSpPr>
        <xdr:spPr>
          <a:xfrm>
            <a:off x="6985000" y="2476500"/>
            <a:ext cx="317500" cy="1905000"/>
          </a:xfrm>
          <a:prstGeom prst="rect">
            <a:avLst/>
          </a:prstGeom>
          <a:solidFill>
            <a:srgbClr val="7C7D8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SK_NODE_AWARD">
            <a:extLst>
              <a:ext uri="{FF2B5EF4-FFF2-40B4-BE49-F238E27FC236}">
                <a16:creationId xmlns:a16="http://schemas.microsoft.com/office/drawing/2014/main" id="{B9D024B8-4C95-D793-4D9D-E2EDFD8FA689}"/>
              </a:ext>
            </a:extLst>
          </xdr:cNvPr>
          <xdr:cNvSpPr/>
        </xdr:nvSpPr>
        <xdr:spPr>
          <a:xfrm>
            <a:off x="8572500" y="3072689"/>
            <a:ext cx="317500" cy="712621"/>
          </a:xfrm>
          <a:prstGeom prst="rect">
            <a:avLst/>
          </a:prstGeom>
          <a:solidFill>
            <a:srgbClr val="4D8587"/>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SK_LBL_EDIT">
            <a:extLst>
              <a:ext uri="{FF2B5EF4-FFF2-40B4-BE49-F238E27FC236}">
                <a16:creationId xmlns:a16="http://schemas.microsoft.com/office/drawing/2014/main" id="{6D10BD3F-32DF-C5DE-AF92-7E6C021BD146}"/>
              </a:ext>
            </a:extLst>
          </xdr:cNvPr>
          <xdr:cNvSpPr txBox="1"/>
        </xdr:nvSpPr>
        <xdr:spPr>
          <a:xfrm>
            <a:off x="2735770" y="511308"/>
            <a:ext cx="998030"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Edit</a:t>
            </a:r>
          </a:p>
          <a:p>
            <a:pPr algn="r"/>
            <a:r>
              <a:rPr lang="en-US" sz="1000">
                <a:solidFill>
                  <a:srgbClr val="3C3C3C"/>
                </a:solidFill>
                <a:latin typeface="Bahnschrift" panose="020B0502040204020203" pitchFamily="34" charset="0"/>
              </a:rPr>
              <a:t>9,593,788.1 (11.2%)</a:t>
            </a:r>
          </a:p>
        </xdr:txBody>
      </xdr:sp>
      <xdr:sp macro="" textlink="">
        <xdr:nvSpPr>
          <xdr:cNvPr id="64" name="SK_LBL_EDIT PITCH MEN">
            <a:extLst>
              <a:ext uri="{FF2B5EF4-FFF2-40B4-BE49-F238E27FC236}">
                <a16:creationId xmlns:a16="http://schemas.microsoft.com/office/drawing/2014/main" id="{38B9039E-AC30-30F4-6307-0775DC46E723}"/>
              </a:ext>
            </a:extLst>
          </xdr:cNvPr>
          <xdr:cNvSpPr txBox="1"/>
        </xdr:nvSpPr>
        <xdr:spPr>
          <a:xfrm>
            <a:off x="5791200" y="442870"/>
            <a:ext cx="998030"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Edit pitch men</a:t>
            </a:r>
          </a:p>
          <a:p>
            <a:pPr algn="l"/>
            <a:r>
              <a:rPr lang="en-US" sz="1000">
                <a:solidFill>
                  <a:srgbClr val="3C3C3C"/>
                </a:solidFill>
                <a:latin typeface="Bahnschrift" panose="020B0502040204020203" pitchFamily="34" charset="0"/>
              </a:rPr>
              <a:t>9,593,788.1 (11.2%)</a:t>
            </a:r>
          </a:p>
        </xdr:txBody>
      </xdr:sp>
      <xdr:sp macro="" textlink="">
        <xdr:nvSpPr>
          <xdr:cNvPr id="65" name="SK_LBL_EDIT PITCH WOMEN">
            <a:extLst>
              <a:ext uri="{FF2B5EF4-FFF2-40B4-BE49-F238E27FC236}">
                <a16:creationId xmlns:a16="http://schemas.microsoft.com/office/drawing/2014/main" id="{E9BB9A77-C6C5-EE19-2A1D-DC56011B2F59}"/>
              </a:ext>
            </a:extLst>
          </xdr:cNvPr>
          <xdr:cNvSpPr txBox="1"/>
        </xdr:nvSpPr>
        <xdr:spPr>
          <a:xfrm>
            <a:off x="5791200" y="811029"/>
            <a:ext cx="987193"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Edit pitch women</a:t>
            </a:r>
          </a:p>
          <a:p>
            <a:pPr algn="l"/>
            <a:r>
              <a:rPr lang="en-US" sz="1000">
                <a:solidFill>
                  <a:srgbClr val="3C3C3C"/>
                </a:solidFill>
                <a:latin typeface="Bahnschrift" panose="020B0502040204020203" pitchFamily="34" charset="0"/>
              </a:rPr>
              <a:t>1.0 (0.0%)</a:t>
            </a:r>
          </a:p>
        </xdr:txBody>
      </xdr:sp>
      <xdr:sp macro="" textlink="">
        <xdr:nvSpPr>
          <xdr:cNvPr id="66" name="SK_LBL_PRODUCTION">
            <a:extLst>
              <a:ext uri="{FF2B5EF4-FFF2-40B4-BE49-F238E27FC236}">
                <a16:creationId xmlns:a16="http://schemas.microsoft.com/office/drawing/2014/main" id="{0C16AEC1-1DBA-F6BE-B656-0DDC285CDD97}"/>
              </a:ext>
            </a:extLst>
          </xdr:cNvPr>
          <xdr:cNvSpPr txBox="1"/>
        </xdr:nvSpPr>
        <xdr:spPr>
          <a:xfrm>
            <a:off x="2603041" y="1863012"/>
            <a:ext cx="1130759"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Production</a:t>
            </a:r>
          </a:p>
          <a:p>
            <a:pPr algn="r"/>
            <a:r>
              <a:rPr lang="en-US" sz="1000">
                <a:solidFill>
                  <a:srgbClr val="3C3C3C"/>
                </a:solidFill>
                <a:latin typeface="Bahnschrift" panose="020B0502040204020203" pitchFamily="34" charset="0"/>
              </a:rPr>
              <a:t>64,143,458.6 (74.7%)</a:t>
            </a:r>
          </a:p>
        </xdr:txBody>
      </xdr:sp>
      <xdr:sp macro="" textlink="">
        <xdr:nvSpPr>
          <xdr:cNvPr id="67" name="SK_LBL_PRODUCTION PITCH MEN">
            <a:extLst>
              <a:ext uri="{FF2B5EF4-FFF2-40B4-BE49-F238E27FC236}">
                <a16:creationId xmlns:a16="http://schemas.microsoft.com/office/drawing/2014/main" id="{00AB6BF6-D98A-BDCF-DB18-B0997BA2FF7C}"/>
              </a:ext>
            </a:extLst>
          </xdr:cNvPr>
          <xdr:cNvSpPr txBox="1"/>
        </xdr:nvSpPr>
        <xdr:spPr>
          <a:xfrm>
            <a:off x="5791200" y="1686248"/>
            <a:ext cx="1232773"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Production Pitch men</a:t>
            </a:r>
          </a:p>
          <a:p>
            <a:pPr algn="l"/>
            <a:r>
              <a:rPr lang="en-US" sz="1000">
                <a:solidFill>
                  <a:srgbClr val="3C3C3C"/>
                </a:solidFill>
                <a:latin typeface="Bahnschrift" panose="020B0502040204020203" pitchFamily="34" charset="0"/>
              </a:rPr>
              <a:t>55,315,213.8 (64.4%)</a:t>
            </a:r>
          </a:p>
        </xdr:txBody>
      </xdr:sp>
      <xdr:sp macro="" textlink="">
        <xdr:nvSpPr>
          <xdr:cNvPr id="68" name="SK_LBL_PRODUCTION PITCH WOMEN">
            <a:extLst>
              <a:ext uri="{FF2B5EF4-FFF2-40B4-BE49-F238E27FC236}">
                <a16:creationId xmlns:a16="http://schemas.microsoft.com/office/drawing/2014/main" id="{6ACDAA11-DFFF-DE22-CFEC-872C124A3F38}"/>
              </a:ext>
            </a:extLst>
          </xdr:cNvPr>
          <xdr:cNvSpPr txBox="1"/>
        </xdr:nvSpPr>
        <xdr:spPr>
          <a:xfrm>
            <a:off x="5791200" y="2633973"/>
            <a:ext cx="1411220"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Production Pitch Women</a:t>
            </a:r>
          </a:p>
          <a:p>
            <a:pPr algn="l"/>
            <a:r>
              <a:rPr lang="en-US" sz="1000">
                <a:solidFill>
                  <a:srgbClr val="3C3C3C"/>
                </a:solidFill>
                <a:latin typeface="Bahnschrift" panose="020B0502040204020203" pitchFamily="34" charset="0"/>
              </a:rPr>
              <a:t>8,828,244.8 (10.3%)</a:t>
            </a:r>
          </a:p>
        </xdr:txBody>
      </xdr:sp>
      <xdr:sp macro="" textlink="">
        <xdr:nvSpPr>
          <xdr:cNvPr id="69" name="SK_LBL_AUDIO">
            <a:extLst>
              <a:ext uri="{FF2B5EF4-FFF2-40B4-BE49-F238E27FC236}">
                <a16:creationId xmlns:a16="http://schemas.microsoft.com/office/drawing/2014/main" id="{6080FB90-6E57-9682-7B55-DA5B8027C985}"/>
              </a:ext>
            </a:extLst>
          </xdr:cNvPr>
          <xdr:cNvSpPr txBox="1"/>
        </xdr:nvSpPr>
        <xdr:spPr>
          <a:xfrm>
            <a:off x="2781423" y="3137854"/>
            <a:ext cx="952377"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Audio</a:t>
            </a:r>
          </a:p>
          <a:p>
            <a:pPr algn="r"/>
            <a:r>
              <a:rPr lang="en-US" sz="1000">
                <a:solidFill>
                  <a:srgbClr val="3C3C3C"/>
                </a:solidFill>
                <a:latin typeface="Bahnschrift" panose="020B0502040204020203" pitchFamily="34" charset="0"/>
              </a:rPr>
              <a:t>2,663,120.0 (3.1%)</a:t>
            </a:r>
          </a:p>
        </xdr:txBody>
      </xdr:sp>
      <xdr:sp macro="" textlink="">
        <xdr:nvSpPr>
          <xdr:cNvPr id="70" name="SK_LBL_AUDIO PITCH MEN">
            <a:extLst>
              <a:ext uri="{FF2B5EF4-FFF2-40B4-BE49-F238E27FC236}">
                <a16:creationId xmlns:a16="http://schemas.microsoft.com/office/drawing/2014/main" id="{8C4F4785-A1F0-5E27-C2CF-43511F555D2F}"/>
              </a:ext>
            </a:extLst>
          </xdr:cNvPr>
          <xdr:cNvSpPr txBox="1"/>
        </xdr:nvSpPr>
        <xdr:spPr>
          <a:xfrm>
            <a:off x="5791200" y="2993642"/>
            <a:ext cx="1009444"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Audio Pitch Men</a:t>
            </a:r>
          </a:p>
          <a:p>
            <a:pPr algn="l"/>
            <a:r>
              <a:rPr lang="en-US" sz="1000">
                <a:solidFill>
                  <a:srgbClr val="3C3C3C"/>
                </a:solidFill>
                <a:latin typeface="Bahnschrift" panose="020B0502040204020203" pitchFamily="34" charset="0"/>
              </a:rPr>
              <a:t>2,228,240.0 (2.6%)</a:t>
            </a:r>
          </a:p>
        </xdr:txBody>
      </xdr:sp>
      <xdr:sp macro="" textlink="">
        <xdr:nvSpPr>
          <xdr:cNvPr id="71" name="SK_LBL_AUDIO PITCH WOMEN">
            <a:extLst>
              <a:ext uri="{FF2B5EF4-FFF2-40B4-BE49-F238E27FC236}">
                <a16:creationId xmlns:a16="http://schemas.microsoft.com/office/drawing/2014/main" id="{0D4A483A-9022-3BB3-3B83-58EAE7083AB2}"/>
              </a:ext>
            </a:extLst>
          </xdr:cNvPr>
          <xdr:cNvSpPr txBox="1"/>
        </xdr:nvSpPr>
        <xdr:spPr>
          <a:xfrm>
            <a:off x="5791200" y="3280804"/>
            <a:ext cx="1112484"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Audio Pitch Women</a:t>
            </a:r>
          </a:p>
          <a:p>
            <a:pPr algn="l"/>
            <a:r>
              <a:rPr lang="en-US" sz="1000">
                <a:solidFill>
                  <a:srgbClr val="3C3C3C"/>
                </a:solidFill>
                <a:latin typeface="Bahnschrift" panose="020B0502040204020203" pitchFamily="34" charset="0"/>
              </a:rPr>
              <a:t>434,880.0 (0.5%)</a:t>
            </a:r>
          </a:p>
        </xdr:txBody>
      </xdr:sp>
      <xdr:sp macro="" textlink="">
        <xdr:nvSpPr>
          <xdr:cNvPr id="72" name="SK_LBL_FINISHING">
            <a:extLst>
              <a:ext uri="{FF2B5EF4-FFF2-40B4-BE49-F238E27FC236}">
                <a16:creationId xmlns:a16="http://schemas.microsoft.com/office/drawing/2014/main" id="{7EBE7B92-8B47-EAF1-D3AE-3EA56F49FD17}"/>
              </a:ext>
            </a:extLst>
          </xdr:cNvPr>
          <xdr:cNvSpPr txBox="1"/>
        </xdr:nvSpPr>
        <xdr:spPr>
          <a:xfrm>
            <a:off x="2717240" y="3729063"/>
            <a:ext cx="1016560"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Finishing</a:t>
            </a:r>
          </a:p>
          <a:p>
            <a:pPr algn="r"/>
            <a:r>
              <a:rPr lang="en-US" sz="1000">
                <a:solidFill>
                  <a:srgbClr val="3C3C3C"/>
                </a:solidFill>
                <a:latin typeface="Bahnschrift" panose="020B0502040204020203" pitchFamily="34" charset="0"/>
              </a:rPr>
              <a:t>2,500,550.0 (2.9%)</a:t>
            </a:r>
          </a:p>
        </xdr:txBody>
      </xdr:sp>
      <xdr:sp macro="" textlink="">
        <xdr:nvSpPr>
          <xdr:cNvPr id="73" name="SK_LBL_FINISHING PITCH MEN">
            <a:extLst>
              <a:ext uri="{FF2B5EF4-FFF2-40B4-BE49-F238E27FC236}">
                <a16:creationId xmlns:a16="http://schemas.microsoft.com/office/drawing/2014/main" id="{E8774945-59D4-702F-9260-51073F20D2A8}"/>
              </a:ext>
            </a:extLst>
          </xdr:cNvPr>
          <xdr:cNvSpPr txBox="1"/>
        </xdr:nvSpPr>
        <xdr:spPr>
          <a:xfrm>
            <a:off x="5791200" y="3569751"/>
            <a:ext cx="1117357"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Finishing Pitch Men</a:t>
            </a:r>
          </a:p>
          <a:p>
            <a:pPr algn="l"/>
            <a:r>
              <a:rPr lang="en-US" sz="1000">
                <a:solidFill>
                  <a:srgbClr val="3C3C3C"/>
                </a:solidFill>
                <a:latin typeface="Bahnschrift" panose="020B0502040204020203" pitchFamily="34" charset="0"/>
              </a:rPr>
              <a:t>2,451,300.0 (2.9%)</a:t>
            </a:r>
          </a:p>
        </xdr:txBody>
      </xdr:sp>
      <xdr:sp macro="" textlink="">
        <xdr:nvSpPr>
          <xdr:cNvPr id="74" name="SK_LBL_FINISHING PITCH WOMEN">
            <a:extLst>
              <a:ext uri="{FF2B5EF4-FFF2-40B4-BE49-F238E27FC236}">
                <a16:creationId xmlns:a16="http://schemas.microsoft.com/office/drawing/2014/main" id="{626B95DD-0C60-1DFF-7C78-FC2541B3E6DF}"/>
              </a:ext>
            </a:extLst>
          </xdr:cNvPr>
          <xdr:cNvSpPr txBox="1"/>
        </xdr:nvSpPr>
        <xdr:spPr>
          <a:xfrm>
            <a:off x="5791200" y="3858699"/>
            <a:ext cx="1305678"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Finishing Pitch Women</a:t>
            </a:r>
          </a:p>
          <a:p>
            <a:pPr algn="l"/>
            <a:r>
              <a:rPr lang="en-US" sz="1000">
                <a:solidFill>
                  <a:srgbClr val="3C3C3C"/>
                </a:solidFill>
                <a:latin typeface="Bahnschrift" panose="020B0502040204020203" pitchFamily="34" charset="0"/>
              </a:rPr>
              <a:t>49,250.0 (0.1%)</a:t>
            </a:r>
          </a:p>
        </xdr:txBody>
      </xdr:sp>
      <xdr:sp macro="" textlink="">
        <xdr:nvSpPr>
          <xdr:cNvPr id="75" name="SK_LBL_MUSIC">
            <a:extLst>
              <a:ext uri="{FF2B5EF4-FFF2-40B4-BE49-F238E27FC236}">
                <a16:creationId xmlns:a16="http://schemas.microsoft.com/office/drawing/2014/main" id="{CAE0557C-B0E2-1FF5-2889-A442BC733A44}"/>
              </a:ext>
            </a:extLst>
          </xdr:cNvPr>
          <xdr:cNvSpPr txBox="1"/>
        </xdr:nvSpPr>
        <xdr:spPr>
          <a:xfrm>
            <a:off x="2814959" y="4316138"/>
            <a:ext cx="918841"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Music</a:t>
            </a:r>
          </a:p>
          <a:p>
            <a:pPr algn="r"/>
            <a:r>
              <a:rPr lang="en-US" sz="1000">
                <a:solidFill>
                  <a:srgbClr val="3C3C3C"/>
                </a:solidFill>
                <a:latin typeface="Bahnschrift" panose="020B0502040204020203" pitchFamily="34" charset="0"/>
              </a:rPr>
              <a:t>697,000.0 (0.8%)</a:t>
            </a:r>
          </a:p>
        </xdr:txBody>
      </xdr:sp>
      <xdr:sp macro="" textlink="">
        <xdr:nvSpPr>
          <xdr:cNvPr id="76" name="SK_LBL_MUSIC PITCH MEN">
            <a:extLst>
              <a:ext uri="{FF2B5EF4-FFF2-40B4-BE49-F238E27FC236}">
                <a16:creationId xmlns:a16="http://schemas.microsoft.com/office/drawing/2014/main" id="{04139DFB-F479-4250-66A8-5DF5E8BCC6C8}"/>
              </a:ext>
            </a:extLst>
          </xdr:cNvPr>
          <xdr:cNvSpPr txBox="1"/>
        </xdr:nvSpPr>
        <xdr:spPr>
          <a:xfrm>
            <a:off x="5791200" y="4145861"/>
            <a:ext cx="934936"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Music Pitch Men</a:t>
            </a:r>
          </a:p>
          <a:p>
            <a:pPr algn="l"/>
            <a:r>
              <a:rPr lang="en-US" sz="1000">
                <a:solidFill>
                  <a:srgbClr val="3C3C3C"/>
                </a:solidFill>
                <a:latin typeface="Bahnschrift" panose="020B0502040204020203" pitchFamily="34" charset="0"/>
              </a:rPr>
              <a:t>688,400.0 (0.8%)</a:t>
            </a:r>
          </a:p>
        </xdr:txBody>
      </xdr:sp>
      <xdr:sp macro="" textlink="">
        <xdr:nvSpPr>
          <xdr:cNvPr id="77" name="SK_LBL_MUSIC PITCH WOMEN">
            <a:extLst>
              <a:ext uri="{FF2B5EF4-FFF2-40B4-BE49-F238E27FC236}">
                <a16:creationId xmlns:a16="http://schemas.microsoft.com/office/drawing/2014/main" id="{9EBA3010-917A-D723-BC12-778E1F5A6DA6}"/>
              </a:ext>
            </a:extLst>
          </xdr:cNvPr>
          <xdr:cNvSpPr txBox="1"/>
        </xdr:nvSpPr>
        <xdr:spPr>
          <a:xfrm>
            <a:off x="5791200" y="4433023"/>
            <a:ext cx="1120756"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Music Pitch Women</a:t>
            </a:r>
          </a:p>
          <a:p>
            <a:pPr algn="l"/>
            <a:r>
              <a:rPr lang="en-US" sz="1000">
                <a:solidFill>
                  <a:srgbClr val="3C3C3C"/>
                </a:solidFill>
                <a:latin typeface="Bahnschrift" panose="020B0502040204020203" pitchFamily="34" charset="0"/>
              </a:rPr>
              <a:t>8,600.0 (0.0%)</a:t>
            </a:r>
          </a:p>
        </xdr:txBody>
      </xdr:sp>
      <xdr:sp macro="" textlink="">
        <xdr:nvSpPr>
          <xdr:cNvPr id="78" name="SK_LBL_STILLS">
            <a:extLst>
              <a:ext uri="{FF2B5EF4-FFF2-40B4-BE49-F238E27FC236}">
                <a16:creationId xmlns:a16="http://schemas.microsoft.com/office/drawing/2014/main" id="{6EEF8F6B-9AA0-EC4A-3A7E-2A1E5787CC44}"/>
              </a:ext>
            </a:extLst>
          </xdr:cNvPr>
          <xdr:cNvSpPr txBox="1"/>
        </xdr:nvSpPr>
        <xdr:spPr>
          <a:xfrm>
            <a:off x="2723972" y="4925653"/>
            <a:ext cx="1009828"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Stills</a:t>
            </a:r>
          </a:p>
          <a:p>
            <a:pPr algn="r"/>
            <a:r>
              <a:rPr lang="en-US" sz="1000">
                <a:solidFill>
                  <a:srgbClr val="3C3C3C"/>
                </a:solidFill>
                <a:latin typeface="Bahnschrift" panose="020B0502040204020203" pitchFamily="34" charset="0"/>
              </a:rPr>
              <a:t>4,523,899.9 (5.3%)</a:t>
            </a:r>
          </a:p>
        </xdr:txBody>
      </xdr:sp>
      <xdr:sp macro="" textlink="">
        <xdr:nvSpPr>
          <xdr:cNvPr id="79" name="SK_LBL_STILLS PITCH MEN">
            <a:extLst>
              <a:ext uri="{FF2B5EF4-FFF2-40B4-BE49-F238E27FC236}">
                <a16:creationId xmlns:a16="http://schemas.microsoft.com/office/drawing/2014/main" id="{0AB497FD-E92B-9F1E-411D-4843BE636141}"/>
              </a:ext>
            </a:extLst>
          </xdr:cNvPr>
          <xdr:cNvSpPr txBox="1"/>
        </xdr:nvSpPr>
        <xdr:spPr>
          <a:xfrm>
            <a:off x="5791200" y="4736362"/>
            <a:ext cx="998991"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Stills Pitch Men</a:t>
            </a:r>
          </a:p>
          <a:p>
            <a:pPr algn="l"/>
            <a:r>
              <a:rPr lang="en-US" sz="1000">
                <a:solidFill>
                  <a:srgbClr val="3C3C3C"/>
                </a:solidFill>
                <a:latin typeface="Bahnschrift" panose="020B0502040204020203" pitchFamily="34" charset="0"/>
              </a:rPr>
              <a:t>3,749,015.4 (4.4%)</a:t>
            </a:r>
          </a:p>
        </xdr:txBody>
      </xdr:sp>
      <xdr:sp macro="" textlink="">
        <xdr:nvSpPr>
          <xdr:cNvPr id="80" name="SK_LBL_STILLS PITCH WOMEN">
            <a:extLst>
              <a:ext uri="{FF2B5EF4-FFF2-40B4-BE49-F238E27FC236}">
                <a16:creationId xmlns:a16="http://schemas.microsoft.com/office/drawing/2014/main" id="{AA1C7D1A-8C7F-95B2-452F-FE475DEDB648}"/>
              </a:ext>
            </a:extLst>
          </xdr:cNvPr>
          <xdr:cNvSpPr txBox="1"/>
        </xdr:nvSpPr>
        <xdr:spPr>
          <a:xfrm>
            <a:off x="5791200" y="5039701"/>
            <a:ext cx="1080680"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Stills Pitch Women</a:t>
            </a:r>
          </a:p>
          <a:p>
            <a:pPr algn="l"/>
            <a:r>
              <a:rPr lang="en-US" sz="1000">
                <a:solidFill>
                  <a:srgbClr val="3C3C3C"/>
                </a:solidFill>
                <a:latin typeface="Bahnschrift" panose="020B0502040204020203" pitchFamily="34" charset="0"/>
              </a:rPr>
              <a:t>774,884.6 (0.9%)</a:t>
            </a:r>
          </a:p>
        </xdr:txBody>
      </xdr:sp>
      <xdr:sp macro="" textlink="">
        <xdr:nvSpPr>
          <xdr:cNvPr id="81" name="SK_LBL_BTS">
            <a:extLst>
              <a:ext uri="{FF2B5EF4-FFF2-40B4-BE49-F238E27FC236}">
                <a16:creationId xmlns:a16="http://schemas.microsoft.com/office/drawing/2014/main" id="{63283D89-4FB6-4320-035A-7DB0BFD68242}"/>
              </a:ext>
            </a:extLst>
          </xdr:cNvPr>
          <xdr:cNvSpPr txBox="1"/>
        </xdr:nvSpPr>
        <xdr:spPr>
          <a:xfrm>
            <a:off x="2836438" y="5535168"/>
            <a:ext cx="897362"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BTS</a:t>
            </a:r>
          </a:p>
          <a:p>
            <a:pPr algn="r"/>
            <a:r>
              <a:rPr lang="en-US" sz="1000">
                <a:solidFill>
                  <a:srgbClr val="3C3C3C"/>
                </a:solidFill>
                <a:latin typeface="Bahnschrift" panose="020B0502040204020203" pitchFamily="34" charset="0"/>
              </a:rPr>
              <a:t>335,817.8 (0.4%)</a:t>
            </a:r>
          </a:p>
        </xdr:txBody>
      </xdr:sp>
      <xdr:sp macro="" textlink="">
        <xdr:nvSpPr>
          <xdr:cNvPr id="82" name="SK_LBL_BTS PITCH MEN">
            <a:extLst>
              <a:ext uri="{FF2B5EF4-FFF2-40B4-BE49-F238E27FC236}">
                <a16:creationId xmlns:a16="http://schemas.microsoft.com/office/drawing/2014/main" id="{11939AE2-7DB9-8477-D29E-80068D0448D7}"/>
              </a:ext>
            </a:extLst>
          </xdr:cNvPr>
          <xdr:cNvSpPr txBox="1"/>
        </xdr:nvSpPr>
        <xdr:spPr>
          <a:xfrm>
            <a:off x="5791200" y="5326864"/>
            <a:ext cx="890308"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BTS Pitch Men</a:t>
            </a:r>
          </a:p>
          <a:p>
            <a:pPr algn="l"/>
            <a:r>
              <a:rPr lang="en-US" sz="1000">
                <a:solidFill>
                  <a:srgbClr val="3C3C3C"/>
                </a:solidFill>
                <a:latin typeface="Bahnschrift" panose="020B0502040204020203" pitchFamily="34" charset="0"/>
              </a:rPr>
              <a:t>261,060.4 (0.3%)</a:t>
            </a:r>
          </a:p>
        </xdr:txBody>
      </xdr:sp>
      <xdr:sp macro="" textlink="">
        <xdr:nvSpPr>
          <xdr:cNvPr id="83" name="SK_LBL_BTS PITCH WOMEN">
            <a:extLst>
              <a:ext uri="{FF2B5EF4-FFF2-40B4-BE49-F238E27FC236}">
                <a16:creationId xmlns:a16="http://schemas.microsoft.com/office/drawing/2014/main" id="{CFDBB1A7-8C43-F60F-197C-834B56933B48}"/>
              </a:ext>
            </a:extLst>
          </xdr:cNvPr>
          <xdr:cNvSpPr txBox="1"/>
        </xdr:nvSpPr>
        <xdr:spPr>
          <a:xfrm>
            <a:off x="5791200" y="5614026"/>
            <a:ext cx="1010405"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BTS Pitch Women</a:t>
            </a:r>
          </a:p>
          <a:p>
            <a:pPr algn="l"/>
            <a:r>
              <a:rPr lang="en-US" sz="1000">
                <a:solidFill>
                  <a:srgbClr val="3C3C3C"/>
                </a:solidFill>
                <a:latin typeface="Bahnschrift" panose="020B0502040204020203" pitchFamily="34" charset="0"/>
              </a:rPr>
              <a:t>74,757.5 (0.1%)</a:t>
            </a:r>
          </a:p>
        </xdr:txBody>
      </xdr:sp>
      <xdr:sp macro="" textlink="">
        <xdr:nvSpPr>
          <xdr:cNvPr id="84" name="SK_LBL_VFX">
            <a:extLst>
              <a:ext uri="{FF2B5EF4-FFF2-40B4-BE49-F238E27FC236}">
                <a16:creationId xmlns:a16="http://schemas.microsoft.com/office/drawing/2014/main" id="{776978D9-73B3-B9E0-F3A3-F6F41D400411}"/>
              </a:ext>
            </a:extLst>
          </xdr:cNvPr>
          <xdr:cNvSpPr txBox="1"/>
        </xdr:nvSpPr>
        <xdr:spPr>
          <a:xfrm>
            <a:off x="2777256" y="6119911"/>
            <a:ext cx="956544"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r"/>
            <a:r>
              <a:rPr lang="en-US" sz="1000">
                <a:solidFill>
                  <a:srgbClr val="3C3C3C"/>
                </a:solidFill>
                <a:latin typeface="Bahnschrift" panose="020B0502040204020203" pitchFamily="34" charset="0"/>
              </a:rPr>
              <a:t>VFX</a:t>
            </a:r>
          </a:p>
          <a:p>
            <a:pPr algn="r"/>
            <a:r>
              <a:rPr lang="en-US" sz="1000">
                <a:solidFill>
                  <a:srgbClr val="3C3C3C"/>
                </a:solidFill>
                <a:latin typeface="Bahnschrift" panose="020B0502040204020203" pitchFamily="34" charset="0"/>
              </a:rPr>
              <a:t>1,429,070.5 (1.7%)</a:t>
            </a:r>
          </a:p>
        </xdr:txBody>
      </xdr:sp>
      <xdr:sp macro="" textlink="">
        <xdr:nvSpPr>
          <xdr:cNvPr id="85" name="SK_LBL_VFX PITCH MEN">
            <a:extLst>
              <a:ext uri="{FF2B5EF4-FFF2-40B4-BE49-F238E27FC236}">
                <a16:creationId xmlns:a16="http://schemas.microsoft.com/office/drawing/2014/main" id="{60F23D5C-0480-B841-CE72-1D16AB1C6C89}"/>
              </a:ext>
            </a:extLst>
          </xdr:cNvPr>
          <xdr:cNvSpPr txBox="1"/>
        </xdr:nvSpPr>
        <xdr:spPr>
          <a:xfrm>
            <a:off x="5791200" y="5901187"/>
            <a:ext cx="956544"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VFX Pitch Men</a:t>
            </a:r>
          </a:p>
          <a:p>
            <a:pPr algn="l"/>
            <a:r>
              <a:rPr lang="en-US" sz="1000">
                <a:solidFill>
                  <a:srgbClr val="3C3C3C"/>
                </a:solidFill>
                <a:latin typeface="Bahnschrift" panose="020B0502040204020203" pitchFamily="34" charset="0"/>
              </a:rPr>
              <a:t>1,429,070.5 (1.7%)</a:t>
            </a:r>
          </a:p>
        </xdr:txBody>
      </xdr:sp>
      <xdr:sp macro="" textlink="">
        <xdr:nvSpPr>
          <xdr:cNvPr id="86" name="SK_LBL_VFX PITCH WOMEN">
            <a:extLst>
              <a:ext uri="{FF2B5EF4-FFF2-40B4-BE49-F238E27FC236}">
                <a16:creationId xmlns:a16="http://schemas.microsoft.com/office/drawing/2014/main" id="{393F073E-028D-E4D0-5ED8-295F173C968D}"/>
              </a:ext>
            </a:extLst>
          </xdr:cNvPr>
          <xdr:cNvSpPr txBox="1"/>
        </xdr:nvSpPr>
        <xdr:spPr>
          <a:xfrm>
            <a:off x="5791200" y="6188349"/>
            <a:ext cx="1006622"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VFX Pitch Women</a:t>
            </a:r>
          </a:p>
          <a:p>
            <a:pPr algn="l"/>
            <a:r>
              <a:rPr lang="en-US" sz="1000">
                <a:solidFill>
                  <a:srgbClr val="3C3C3C"/>
                </a:solidFill>
                <a:latin typeface="Bahnschrift" panose="020B0502040204020203" pitchFamily="34" charset="0"/>
              </a:rPr>
              <a:t>1.0 (0.0%)</a:t>
            </a:r>
          </a:p>
        </xdr:txBody>
      </xdr:sp>
      <xdr:sp macro="" textlink="">
        <xdr:nvSpPr>
          <xdr:cNvPr id="87" name="SK_LBL_PITCHED">
            <a:extLst>
              <a:ext uri="{FF2B5EF4-FFF2-40B4-BE49-F238E27FC236}">
                <a16:creationId xmlns:a16="http://schemas.microsoft.com/office/drawing/2014/main" id="{7A161BAF-D546-47AD-F330-CDB94B06C719}"/>
              </a:ext>
            </a:extLst>
          </xdr:cNvPr>
          <xdr:cNvSpPr txBox="1"/>
        </xdr:nvSpPr>
        <xdr:spPr>
          <a:xfrm>
            <a:off x="7378700" y="3275111"/>
            <a:ext cx="1206805"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Pitched</a:t>
            </a:r>
          </a:p>
          <a:p>
            <a:pPr algn="l"/>
            <a:r>
              <a:rPr lang="en-US" sz="1000">
                <a:solidFill>
                  <a:srgbClr val="3C3C3C"/>
                </a:solidFill>
                <a:latin typeface="Bahnschrift" panose="020B0502040204020203" pitchFamily="34" charset="0"/>
              </a:rPr>
              <a:t>85,886,704.9 (100.0%)</a:t>
            </a:r>
          </a:p>
        </xdr:txBody>
      </xdr:sp>
      <xdr:sp macro="" textlink="">
        <xdr:nvSpPr>
          <xdr:cNvPr id="88" name="SK_LBL_AWARD">
            <a:extLst>
              <a:ext uri="{FF2B5EF4-FFF2-40B4-BE49-F238E27FC236}">
                <a16:creationId xmlns:a16="http://schemas.microsoft.com/office/drawing/2014/main" id="{F87E5B6B-D1E0-91A6-1947-7782EEC77067}"/>
              </a:ext>
            </a:extLst>
          </xdr:cNvPr>
          <xdr:cNvSpPr txBox="1"/>
        </xdr:nvSpPr>
        <xdr:spPr>
          <a:xfrm>
            <a:off x="8966200" y="3275111"/>
            <a:ext cx="1077411" cy="30777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spAutoFit/>
          </a:bodyPr>
          <a:lstStyle/>
          <a:p>
            <a:pPr algn="l"/>
            <a:r>
              <a:rPr lang="en-US" sz="1000">
                <a:solidFill>
                  <a:srgbClr val="3C3C3C"/>
                </a:solidFill>
                <a:latin typeface="Bahnschrift" panose="020B0502040204020203" pitchFamily="34" charset="0"/>
              </a:rPr>
              <a:t>Award</a:t>
            </a:r>
          </a:p>
          <a:p>
            <a:pPr algn="l"/>
            <a:r>
              <a:rPr lang="en-US" sz="1000">
                <a:solidFill>
                  <a:srgbClr val="3C3C3C"/>
                </a:solidFill>
                <a:latin typeface="Bahnschrift" panose="020B0502040204020203" pitchFamily="34" charset="0"/>
              </a:rPr>
              <a:t>32,128,441.1 (37.4%)</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981075</xdr:colOff>
      <xdr:row>1</xdr:row>
      <xdr:rowOff>38099</xdr:rowOff>
    </xdr:from>
    <xdr:to>
      <xdr:col>16</xdr:col>
      <xdr:colOff>457200</xdr:colOff>
      <xdr:row>29</xdr:row>
      <xdr:rowOff>114299</xdr:rowOff>
    </xdr:to>
    <xdr:graphicFrame macro="">
      <xdr:nvGraphicFramePr>
        <xdr:cNvPr id="4" name="Chart 3">
          <a:extLst>
            <a:ext uri="{FF2B5EF4-FFF2-40B4-BE49-F238E27FC236}">
              <a16:creationId xmlns:a16="http://schemas.microsoft.com/office/drawing/2014/main" id="{C305DABC-D5CD-9EE9-2942-162687F10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17</xdr:col>
      <xdr:colOff>76201</xdr:colOff>
      <xdr:row>23</xdr:row>
      <xdr:rowOff>57150</xdr:rowOff>
    </xdr:to>
    <xdr:graphicFrame macro="">
      <xdr:nvGraphicFramePr>
        <xdr:cNvPr id="3" name="Chart 2">
          <a:extLst>
            <a:ext uri="{FF2B5EF4-FFF2-40B4-BE49-F238E27FC236}">
              <a16:creationId xmlns:a16="http://schemas.microsoft.com/office/drawing/2014/main" id="{64E4A252-ADA6-45A7-ADE7-E3DEF954D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571500</xdr:colOff>
      <xdr:row>2</xdr:row>
      <xdr:rowOff>66675</xdr:rowOff>
    </xdr:from>
    <xdr:to>
      <xdr:col>19</xdr:col>
      <xdr:colOff>571500</xdr:colOff>
      <xdr:row>15</xdr:row>
      <xdr:rowOff>114300</xdr:rowOff>
    </xdr:to>
    <mc:AlternateContent xmlns:mc="http://schemas.openxmlformats.org/markup-compatibility/2006" xmlns:a14="http://schemas.microsoft.com/office/drawing/2010/main">
      <mc:Choice Requires="a14">
        <xdr:graphicFrame macro="">
          <xdr:nvGraphicFramePr>
            <xdr:cNvPr id="4" name="AGENCY">
              <a:extLst>
                <a:ext uri="{FF2B5EF4-FFF2-40B4-BE49-F238E27FC236}">
                  <a16:creationId xmlns:a16="http://schemas.microsoft.com/office/drawing/2014/main" id="{9933E876-7BF4-5D65-D2A6-841E46D476A5}"/>
                </a:ext>
              </a:extLst>
            </xdr:cNvPr>
            <xdr:cNvGraphicFramePr/>
          </xdr:nvGraphicFramePr>
          <xdr:xfrm>
            <a:off x="0" y="0"/>
            <a:ext cx="0" cy="0"/>
          </xdr:xfrm>
          <a:graphic>
            <a:graphicData uri="http://schemas.microsoft.com/office/drawing/2010/slicer">
              <sle:slicer xmlns:sle="http://schemas.microsoft.com/office/drawing/2010/slicer" name="AGENCY"/>
            </a:graphicData>
          </a:graphic>
        </xdr:graphicFrame>
      </mc:Choice>
      <mc:Fallback xmlns="">
        <xdr:sp macro="" textlink="">
          <xdr:nvSpPr>
            <xdr:cNvPr id="0" name=""/>
            <xdr:cNvSpPr>
              <a:spLocks noTextEdit="1"/>
            </xdr:cNvSpPr>
          </xdr:nvSpPr>
          <xdr:spPr>
            <a:xfrm>
              <a:off x="10325100"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561975</xdr:colOff>
      <xdr:row>15</xdr:row>
      <xdr:rowOff>0</xdr:rowOff>
    </xdr:from>
    <xdr:to>
      <xdr:col>19</xdr:col>
      <xdr:colOff>561975</xdr:colOff>
      <xdr:row>28</xdr:row>
      <xdr:rowOff>47625</xdr:rowOff>
    </xdr:to>
    <mc:AlternateContent xmlns:mc="http://schemas.openxmlformats.org/markup-compatibility/2006" xmlns:a14="http://schemas.microsoft.com/office/drawing/2010/main">
      <mc:Choice Requires="a14">
        <xdr:graphicFrame macro="">
          <xdr:nvGraphicFramePr>
            <xdr:cNvPr id="5" name="PROJECT NAME">
              <a:extLst>
                <a:ext uri="{FF2B5EF4-FFF2-40B4-BE49-F238E27FC236}">
                  <a16:creationId xmlns:a16="http://schemas.microsoft.com/office/drawing/2014/main" id="{F12BB92B-2628-0BCA-6286-91C12C06B350}"/>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10315575" y="285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ny" refreshedDate="46161.629461689816" createdVersion="8" refreshedVersion="8" minRefreshableVersion="3" recordCount="552" xr:uid="{92B5F028-C6FE-412A-8439-E96DE3E0C687}">
  <cacheSource type="worksheet">
    <worksheetSource name="RevWomCreat"/>
  </cacheSource>
  <cacheFields count="25">
    <cacheField name="PROJECT NAME" numFmtId="0">
      <sharedItems/>
    </cacheField>
    <cacheField name="AWARDED" numFmtId="0">
      <sharedItems containsSemiMixedTypes="0" containsString="0" containsNumber="1" containsInteger="1" minValue="0" maxValue="1"/>
    </cacheField>
    <cacheField name="BRAND" numFmtId="0">
      <sharedItems/>
    </cacheField>
    <cacheField name="PRODUCT" numFmtId="0">
      <sharedItems/>
    </cacheField>
    <cacheField name="AGENCY" numFmtId="0">
      <sharedItems count="7">
        <s v="Korea SMB"/>
        <s v="Last Station Group"/>
        <s v="Top Notch Creative"/>
        <s v="Aster PPK"/>
        <s v="Cantor Asia Media"/>
        <s v="Idea Manufacturing"/>
        <s v="Geoffrey Monty Allen"/>
      </sharedItems>
    </cacheField>
    <cacheField name="CAMPAIGN" numFmtId="0">
      <sharedItems/>
    </cacheField>
    <cacheField name="VENDOR" numFmtId="0">
      <sharedItems/>
    </cacheField>
    <cacheField name="PHASE" numFmtId="0">
      <sharedItems count="11">
        <s v="Film &amp; Video Production"/>
        <s v="Editorial"/>
        <s v="Audio Post"/>
        <s v="Finishing"/>
        <s v="Sanitary Production Costs"/>
        <s v="Green Production Costs"/>
        <s v="Photo Retouching &amp; Post"/>
        <s v="Still Photography Production"/>
        <s v="Music"/>
        <s v="VFX"/>
        <s v="Behind The Scenes (BTS)"/>
      </sharedItems>
    </cacheField>
    <cacheField name="SUBMISSION" numFmtId="0">
      <sharedItems/>
    </cacheField>
    <cacheField name="BID NAME" numFmtId="0">
      <sharedItems/>
    </cacheField>
    <cacheField name="BIDFILE TYPE" numFmtId="0">
      <sharedItems/>
    </cacheField>
    <cacheField name="BID TOTAL" numFmtId="0">
      <sharedItems containsSemiMixedTypes="0" containsString="0" containsNumber="1" minValue="1339.175" maxValue="1025091.738"/>
    </cacheField>
    <cacheField name="BID TYPE" numFmtId="0">
      <sharedItems/>
    </cacheField>
    <cacheField name="AVERAGE BID" numFmtId="0">
      <sharedItems containsString="0" containsBlank="1" containsNumber="1" minValue="4912.9341670000003" maxValue="887785.07709999999"/>
    </cacheField>
    <cacheField name="DIVERSITY:: WOMAN DIRECTOR" numFmtId="0">
      <sharedItems containsString="0" containsBlank="1" containsNumber="1" containsInteger="1" minValue="1" maxValue="1"/>
    </cacheField>
    <cacheField name="DIVERSITY:: MIINORITY DIRECTOR" numFmtId="0">
      <sharedItems containsString="0" containsBlank="1" containsNumber="1" containsInteger="1" minValue="1" maxValue="1"/>
    </cacheField>
    <cacheField name="DIVERSITY:: WOMAN EDITOR" numFmtId="0">
      <sharedItems containsString="0" containsBlank="1" containsNumber="1" containsInteger="1" minValue="1" maxValue="1"/>
    </cacheField>
    <cacheField name="DIVERSITY:: MIINORITY EDITOR" numFmtId="0">
      <sharedItems containsString="0" containsBlank="1" containsNumber="1" containsInteger="1" minValue="1" maxValue="1"/>
    </cacheField>
    <cacheField name="DIVERSITY:: WOMAN OWNED" numFmtId="0">
      <sharedItems containsString="0" containsBlank="1" containsNumber="1" containsInteger="1" minValue="1" maxValue="1"/>
    </cacheField>
    <cacheField name="DIVERSITY:: MINORITY OWNED" numFmtId="0">
      <sharedItems containsString="0" containsBlank="1" containsNumber="1" containsInteger="1" minValue="1" maxValue="1"/>
    </cacheField>
    <cacheField name="Women Work Pitched" numFmtId="0">
      <sharedItems containsSemiMixedTypes="0" containsString="0" containsNumber="1" minValue="0" maxValue="960207.05279999995" count="64">
        <n v="960207.05279999995"/>
        <n v="662457.18420000002"/>
        <n v="0"/>
        <n v="21040"/>
        <n v="4805.2749999999996"/>
        <n v="10043.8125"/>
        <n v="18176"/>
        <n v="14364"/>
        <n v="24800"/>
        <n v="49250"/>
        <n v="8568"/>
        <n v="10000"/>
        <n v="12958.487499999999"/>
        <n v="9271.8174999999992"/>
        <n v="673878.4375"/>
        <n v="589302.09279999998"/>
        <n v="8600"/>
        <n v="8928"/>
        <n v="10496"/>
        <n v="6664.3649999999998"/>
        <n v="4726.5"/>
        <n v="621332.42879999999"/>
        <n v="646373.56000000006"/>
        <n v="18410"/>
        <n v="674709.73"/>
        <n v="9027.6149999999998"/>
        <n v="1488"/>
        <n v="746158.29760000005"/>
        <n v="931821.875"/>
        <n v="5537.8824999999997"/>
        <n v="5939.6350000000002"/>
        <n v="11214"/>
        <n v="17286"/>
        <n v="18827.224999999999"/>
        <n v="18354.575000000001"/>
        <n v="20890"/>
        <n v="850434.76089999999"/>
        <n v="799298.01"/>
        <n v="8783.4125000000004"/>
        <n v="4017.5250000000001"/>
        <n v="11844"/>
        <n v="13208"/>
        <n v="20166.400000000001"/>
        <n v="17409.275000000001"/>
        <n v="24500"/>
        <n v="20690"/>
        <n v="30170"/>
        <n v="58490"/>
        <n v="55620"/>
        <n v="39180"/>
        <n v="41010"/>
        <n v="672271.32420000003"/>
        <n v="8948.84"/>
        <n v="14880"/>
        <n v="23200"/>
        <n v="170725.97829999999"/>
        <n v="157061.66399999999"/>
        <n v="46600"/>
        <n v="18740"/>
        <n v="187823.6317"/>
        <n v="12500"/>
        <n v="61340"/>
        <n v="145023.28080000001"/>
        <n v="31950"/>
      </sharedItems>
    </cacheField>
    <cacheField name="Women Work Awarded" numFmtId="0">
      <sharedItems containsSemiMixedTypes="0" containsString="0" containsNumber="1" minValue="0" maxValue="960207.05279999995"/>
    </cacheField>
    <cacheField name="AvgBidPrice LUT.Average Bid Price" numFmtId="0">
      <sharedItems containsSemiMixedTypes="0" containsString="0" containsNumber="1" minValue="4912.9341666666669" maxValue="887785.07706666668"/>
    </cacheField>
    <cacheField name="Total Award" numFmtId="0">
      <sharedItems containsString="0" containsBlank="1" containsNumber="1" minValue="2638.9625000000001" maxValue="1025091.738"/>
    </cacheField>
    <cacheField name="All Awarded" numFmtId="0">
      <sharedItems containsString="0" containsBlank="1" containsNumber="1" minValue="2638.9625000000001" maxValue="1025091.73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ny" refreshedDate="46161.629463310186" createdVersion="8" refreshedVersion="8" minRefreshableVersion="3" recordCount="552" xr:uid="{41B76176-3E68-4997-A0FD-DCC8B5142344}">
  <cacheSource type="worksheet">
    <worksheetSource name="BeverageData"/>
  </cacheSource>
  <cacheFields count="75">
    <cacheField name="PROJECT ID" numFmtId="0">
      <sharedItems containsSemiMixedTypes="0" containsString="0" containsNumber="1" containsInteger="1" minValue="318" maxValue="383"/>
    </cacheField>
    <cacheField name="ORIGINAL SUBMISSION DATE" numFmtId="22">
      <sharedItems containsSemiMixedTypes="0" containsNonDate="0" containsDate="1" containsString="0" minDate="2023-07-19T19:14:00" maxDate="2023-07-21T21:32:00"/>
    </cacheField>
    <cacheField name="PROJECT NAME" numFmtId="0">
      <sharedItems/>
    </cacheField>
    <cacheField name="WORKSPACE" numFmtId="0">
      <sharedItems/>
    </cacheField>
    <cacheField name="PROJECT GROUP" numFmtId="0">
      <sharedItems/>
    </cacheField>
    <cacheField name="AWARDED" numFmtId="0">
      <sharedItems containsSemiMixedTypes="0" containsString="0" containsNumber="1" containsInteger="1" minValue="0" maxValue="1"/>
    </cacheField>
    <cacheField name="BRAND" numFmtId="0">
      <sharedItems count="9">
        <s v="Kelly Hard Cider"/>
        <s v="Dewey North"/>
        <s v="Walker's"/>
        <s v="Color Guard"/>
        <s v="Tinkerbell"/>
        <s v="Ultra White"/>
        <s v="Big Chew"/>
        <s v="Giggles"/>
        <s v="Huffman's"/>
      </sharedItems>
    </cacheField>
    <cacheField name="PRODUCT" numFmtId="0">
      <sharedItems/>
    </cacheField>
    <cacheField name="AGENCY" numFmtId="0">
      <sharedItems count="7">
        <s v="Korea SMB"/>
        <s v="Last Station Group"/>
        <s v="Top Notch Creative"/>
        <s v="Aster PPK"/>
        <s v="Cantor Asia Media"/>
        <s v="Idea Manufacturing"/>
        <s v="Geoffrey Monty Allen"/>
      </sharedItems>
    </cacheField>
    <cacheField name="CAMPAIGN" numFmtId="0">
      <sharedItems count="14">
        <s v="Q2 Summer Blitz"/>
        <s v="The Sophisticated Traveller"/>
        <s v="Party Light"/>
        <s v="Walker's Brand Films"/>
        <s v="Walker Lives!"/>
        <s v="Dirty John"/>
        <s v="The Mom Show"/>
        <s v="Blindingly Bright"/>
        <s v="The Seven Deadly Sins"/>
        <s v="Cry Fighters"/>
        <s v="Kidding (not kidding)"/>
        <s v="Louder"/>
        <s v="Messy Messi"/>
        <s v="Emergency Response System"/>
      </sharedItems>
    </cacheField>
    <cacheField name="VENDOR" numFmtId="0">
      <sharedItems/>
    </cacheField>
    <cacheField name="PHASE" numFmtId="0">
      <sharedItems/>
    </cacheField>
    <cacheField name="SUBMISSION" numFmtId="0">
      <sharedItems/>
    </cacheField>
    <cacheField name="BID NAME" numFmtId="0">
      <sharedItems/>
    </cacheField>
    <cacheField name="BIDFILE TYPE" numFmtId="0">
      <sharedItems/>
    </cacheField>
    <cacheField name="BID TOTAL" numFmtId="0">
      <sharedItems containsSemiMixedTypes="0" containsString="0" containsNumber="1" minValue="1339.175" maxValue="1025091.738"/>
    </cacheField>
    <cacheField name="BID TYPE" numFmtId="0">
      <sharedItems/>
    </cacheField>
    <cacheField name="AVERAGE BID" numFmtId="0">
      <sharedItems containsString="0" containsBlank="1" containsNumber="1" minValue="4912.9341670000003" maxValue="887785.07709999999"/>
    </cacheField>
    <cacheField name="DIVERSITY:: WOMAN DIRECTOR" numFmtId="0">
      <sharedItems containsString="0" containsBlank="1" containsNumber="1" containsInteger="1" minValue="1" maxValue="1"/>
    </cacheField>
    <cacheField name="DIVERSITY:: MIINORITY DIRECTOR" numFmtId="0">
      <sharedItems containsString="0" containsBlank="1" containsNumber="1" containsInteger="1" minValue="1" maxValue="1"/>
    </cacheField>
    <cacheField name="DIVERSITY:: WOMAN EDITOR" numFmtId="0">
      <sharedItems containsString="0" containsBlank="1" containsNumber="1" containsInteger="1" minValue="1" maxValue="1"/>
    </cacheField>
    <cacheField name="DIVERSITY:: MIINORITY EDITOR" numFmtId="0">
      <sharedItems containsString="0" containsBlank="1" containsNumber="1" containsInteger="1" minValue="1" maxValue="1"/>
    </cacheField>
    <cacheField name="DIVERSITY:: WOMAN OWNED" numFmtId="0">
      <sharedItems containsString="0" containsBlank="1" containsNumber="1" containsInteger="1" minValue="1" maxValue="1"/>
    </cacheField>
    <cacheField name="DIVERSITY:: MINORITY OWNED" numFmtId="0">
      <sharedItems containsString="0" containsBlank="1" containsNumber="1" containsInteger="1" minValue="1" maxValue="1"/>
    </cacheField>
    <cacheField name="SPEND:: ANIMATION" numFmtId="0">
      <sharedItems containsString="0" containsBlank="1" containsNumber="1" containsInteger="1" minValue="42250" maxValue="65975"/>
    </cacheField>
    <cacheField name="SPEND:: ART DEPARTMENT LABOR" numFmtId="0">
      <sharedItems containsString="0" containsBlank="1" containsNumber="1" minValue="0" maxValue="73359"/>
    </cacheField>
    <cacheField name="SPEND:: ART DEPARTMENT MATERIALS" numFmtId="0">
      <sharedItems containsString="0" containsBlank="1" containsNumber="1" containsInteger="1" minValue="0" maxValue="139400"/>
    </cacheField>
    <cacheField name="SPEND:: AUDIO POST" numFmtId="0">
      <sharedItems containsString="0" containsBlank="1" containsNumber="1" containsInteger="1" minValue="16840" maxValue="68660"/>
    </cacheField>
    <cacheField name="SPEND:: BEHIND THE SCENES" numFmtId="0">
      <sharedItems containsString="0" containsBlank="1" containsNumber="1" containsInteger="1" minValue="8350" maxValue="13550"/>
    </cacheField>
    <cacheField name="SPEND:: CATERING / CRAFT SERVICE" numFmtId="0">
      <sharedItems containsString="0" containsBlank="1" containsNumber="1" containsInteger="1" minValue="3392" maxValue="19980"/>
    </cacheField>
    <cacheField name="SPEND:: COLOR GRADING" numFmtId="0">
      <sharedItems/>
    </cacheField>
    <cacheField name="SPEND:: COVID LABOR" numFmtId="0">
      <sharedItems containsString="0" containsBlank="1" containsNumber="1" containsInteger="1" minValue="500" maxValue="6750"/>
    </cacheField>
    <cacheField name="SPEND:: CUSTOM" numFmtId="0">
      <sharedItems/>
    </cacheField>
    <cacheField name="SPEND:: DESIGN" numFmtId="0">
      <sharedItems/>
    </cacheField>
    <cacheField name="SPEND:: DIRECTOR/ CREATIVE FEES" numFmtId="0">
      <sharedItems containsString="0" containsBlank="1" containsNumber="1" containsInteger="1" minValue="0" maxValue="270000"/>
    </cacheField>
    <cacheField name="SPEND:: DO NOT USE" numFmtId="0">
      <sharedItems/>
    </cacheField>
    <cacheField name="SPEND:: EDITORIAL GRAPHICS" numFmtId="0">
      <sharedItems/>
    </cacheField>
    <cacheField name="SPEND:: EDITORIAL LABOR" numFmtId="0">
      <sharedItems containsString="0" containsBlank="1" containsNumber="1" containsInteger="1" minValue="0" maxValue="53150"/>
    </cacheField>
    <cacheField name="SPEND:: EDITORIAL MISC" numFmtId="0">
      <sharedItems containsString="0" containsBlank="1" containsNumber="1" containsInteger="1" minValue="10200" maxValue="56450"/>
    </cacheField>
    <cacheField name="SPEND:: EDITORIAL OFFLINE" numFmtId="0">
      <sharedItems containsString="0" containsBlank="1" containsNumber="1" containsInteger="1" minValue="0" maxValue="42100"/>
    </cacheField>
    <cacheField name="SPEND:: EDITORIAL PREP" numFmtId="0">
      <sharedItems containsString="0" containsBlank="1" containsNumber="1" containsInteger="1" minValue="2970" maxValue="20772"/>
    </cacheField>
    <cacheField name="SPEND:: EQUIPMENT COSTS" numFmtId="0">
      <sharedItems containsString="0" containsBlank="1" containsNumber="1" containsInteger="1" minValue="0" maxValue="128200"/>
    </cacheField>
    <cacheField name="SPEND:: EXPENDABLES" numFmtId="0">
      <sharedItems/>
    </cacheField>
    <cacheField name="SPEND:: FILM STOCK &amp; DIGITAL MEDIA" numFmtId="0">
      <sharedItems containsString="0" containsBlank="1" containsNumber="1" containsInteger="1" minValue="0" maxValue="14220"/>
    </cacheField>
    <cacheField name="SPEND:: FINISHING" numFmtId="0">
      <sharedItems containsString="0" containsBlank="1" containsNumber="1" containsInteger="1" minValue="0" maxValue="65400"/>
    </cacheField>
    <cacheField name="SPEND:: FOREIGN PRODUCTION SERVICES" numFmtId="0">
      <sharedItems/>
    </cacheField>
    <cacheField name="SPEND:: HAIR &amp; MAKEUP" numFmtId="0">
      <sharedItems/>
    </cacheField>
    <cacheField name="SPEND:: INTERACTIVE" numFmtId="0">
      <sharedItems/>
    </cacheField>
    <cacheField name="SPEND:: LOCATION &amp; TRAVEL EXPENSES" numFmtId="0">
      <sharedItems containsString="0" containsBlank="1" containsNumber="1" containsInteger="1" minValue="0" maxValue="41424"/>
    </cacheField>
    <cacheField name="SPEND:: MEALS" numFmtId="0">
      <sharedItems/>
    </cacheField>
    <cacheField name="SPEND:: MISCELLANEOUS" numFmtId="0">
      <sharedItems containsString="0" containsBlank="1" containsNumber="1" containsInteger="1" minValue="0" maxValue="23000"/>
    </cacheField>
    <cacheField name="SPEND:: MUSIC" numFmtId="0">
      <sharedItems containsString="0" containsBlank="1" containsNumber="1" containsInteger="1" minValue="15950" maxValue="52150"/>
    </cacheField>
    <cacheField name="SPEND:: OTHER LABOR" numFmtId="0">
      <sharedItems/>
    </cacheField>
    <cacheField name="SPEND:: PHOTO RETOUCHING" numFmtId="0">
      <sharedItems/>
    </cacheField>
    <cacheField name="SPEND:: PRE-PRODUCTION EXPENSES" numFmtId="0">
      <sharedItems containsString="0" containsBlank="1" containsNumber="1" containsInteger="1" minValue="0" maxValue="38500"/>
    </cacheField>
    <cacheField name="SPEND:: PRE-PRODUCTION LABOR" numFmtId="0">
      <sharedItems containsString="0" containsBlank="1" containsNumber="1" minValue="0" maxValue="187866.25"/>
    </cacheField>
    <cacheField name="SPEND:: PRODUCTION COVID 19 COSTS" numFmtId="0">
      <sharedItems containsString="0" containsBlank="1" containsNumber="1" containsInteger="1" minValue="655" maxValue="2535"/>
    </cacheField>
    <cacheField name="SPEND:: PRODUCTION STAFF" numFmtId="0">
      <sharedItems containsString="0" containsBlank="1" containsNumber="1" containsInteger="1" minValue="1356" maxValue="19244"/>
    </cacheField>
    <cacheField name="SPEND:: PRODUCTION SUSTAINABILITY" numFmtId="0">
      <sharedItems/>
    </cacheField>
    <cacheField name="SPEND:: PROPS, WARDROBE, ANIMALS" numFmtId="0">
      <sharedItems containsString="0" containsBlank="1" containsNumber="1" containsInteger="1" minValue="0" maxValue="48000"/>
    </cacheField>
    <cacheField name="SPEND:: SHOOTING CREW LABOR" numFmtId="0">
      <sharedItems containsString="0" containsBlank="1" containsNumber="1" minValue="0" maxValue="192389.34"/>
    </cacheField>
    <cacheField name="SPEND:: SOCIAL MEDIA" numFmtId="0">
      <sharedItems/>
    </cacheField>
    <cacheField name="SPEND:: SPECIAL INSURANCE" numFmtId="0">
      <sharedItems/>
    </cacheField>
    <cacheField name="SPEND:: STILL PHOTOGRAPHER FEES" numFmtId="0">
      <sharedItems containsString="0" containsBlank="1" containsNumber="1" containsInteger="1" minValue="3530" maxValue="19794"/>
    </cacheField>
    <cacheField name="SPEND:: STILL PHOTOGRAPHY PRODUCTION" numFmtId="0">
      <sharedItems/>
    </cacheField>
    <cacheField name="SPEND:: STILLS POST PRODUCTION" numFmtId="0">
      <sharedItems containsString="0" containsBlank="1" containsNumber="1" containsInteger="1" minValue="12500" maxValue="55200"/>
    </cacheField>
    <cacheField name="SPEND:: STUDIO &amp; LOCATIONS COMBINED" numFmtId="0">
      <sharedItems containsString="0" containsBlank="1" containsNumber="1" containsInteger="1" minValue="548" maxValue="9816"/>
    </cacheField>
    <cacheField name="SPEND:: STUDIO RENTAL &amp; STAGE EXPENSES" numFmtId="0">
      <sharedItems containsString="0" containsBlank="1" containsNumber="1" containsInteger="1" minValue="0" maxValue="60560"/>
    </cacheField>
    <cacheField name="SPEND:: TALENT" numFmtId="0">
      <sharedItems containsString="0" containsBlank="1" containsNumber="1" containsInteger="1" minValue="0" maxValue="5064"/>
    </cacheField>
    <cacheField name="SPEND:: TALENT EXPENSES" numFmtId="0">
      <sharedItems containsString="0" containsBlank="1" containsNumber="1" containsInteger="1" minValue="0" maxValue="7020"/>
    </cacheField>
    <cacheField name="SPEND:: VFX" numFmtId="0">
      <sharedItems/>
    </cacheField>
    <cacheField name="SPEND:: WARDROBE" numFmtId="0">
      <sharedItems/>
    </cacheField>
    <cacheField name="Women Work Pitched" numFmtId="0">
      <sharedItems containsSemiMixedTypes="0" containsString="0" containsNumber="1" minValue="0" maxValue="960207.05279999995"/>
    </cacheField>
    <cacheField name="Women Work Awarded" numFmtId="0">
      <sharedItems containsSemiMixedTypes="0" containsString="0" containsNumber="1" minValue="0" maxValue="960207.05279999995"/>
    </cacheField>
    <cacheField name="AvgBidPrice LUT.Average Bid Price" numFmtId="0">
      <sharedItems containsSemiMixedTypes="0" containsString="0" containsNumber="1" minValue="4912.9341666666669" maxValue="887785.0770666666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ny" refreshedDate="46161.629464120371" createdVersion="8" refreshedVersion="8" minRefreshableVersion="3" recordCount="552" xr:uid="{2392981C-EBB8-4DBC-8A4D-FF195358E913}">
  <cacheSource type="worksheet">
    <worksheetSource name="AgencyGrid_Awarded"/>
  </cacheSource>
  <cacheFields count="21">
    <cacheField name="PROJECT ID" numFmtId="0">
      <sharedItems containsSemiMixedTypes="0" containsString="0" containsNumber="1" containsInteger="1" minValue="318" maxValue="383"/>
    </cacheField>
    <cacheField name="PROJECT NAME" numFmtId="0">
      <sharedItems count="31">
        <s v="Designated Dad"/>
        <s v="Sunday Night Lights"/>
        <s v="Trapeze"/>
        <s v="New Parachute"/>
        <s v="The Big Guy"/>
        <s v="A Better Birthday"/>
        <s v="Suspicion"/>
        <s v="You Suck!"/>
        <s v="The Traveller US"/>
        <s v="ENVY"/>
        <s v="The Traveller Settles Down"/>
        <s v="GLUTTONY"/>
        <s v="Funeral"/>
        <s v="GOAL!"/>
        <s v="Alerts"/>
        <s v="Summer Fun"/>
        <s v="The Traveller UK"/>
        <s v="On the Moors"/>
        <s v="The Reunion Gig"/>
        <s v="Ethically Tarnished"/>
        <s v="Moral Stains"/>
        <s v="A Horse of a Different Color"/>
        <s v="Stay Colorful"/>
        <s v="Not My Baby"/>
        <s v="Hold the Ketchup!"/>
        <s v="I'll Take Your Word For It"/>
        <s v="Crash"/>
        <s v="One Time Hero"/>
        <s v="Never Say Never (ever)"/>
        <s v="I Slipped"/>
        <s v="As Cold as it Gets"/>
      </sharedItems>
    </cacheField>
    <cacheField name="AWARDED" numFmtId="0">
      <sharedItems containsSemiMixedTypes="0" containsString="0" containsNumber="1" containsInteger="1" minValue="0" maxValue="1"/>
    </cacheField>
    <cacheField name="AGENCY" numFmtId="0">
      <sharedItems count="7">
        <s v="Aster PPK"/>
        <s v="Top Notch Creative"/>
        <s v="Korea SMB"/>
        <s v="Last Station Group"/>
        <s v="Cantor Asia Media"/>
        <s v="Idea Manufacturing"/>
        <s v="Geoffrey Monty Allen"/>
      </sharedItems>
    </cacheField>
    <cacheField name="VENDOR" numFmtId="0">
      <sharedItems/>
    </cacheField>
    <cacheField name="PHASE" numFmtId="0">
      <sharedItems count="11">
        <s v="Audio Post"/>
        <s v="Photo Retouching &amp; Post"/>
        <s v="Still Photography Production"/>
        <s v="Film &amp; Video Production"/>
        <s v="Sanitary Production Costs"/>
        <s v="Green Production Costs"/>
        <s v="Editorial"/>
        <s v="Finishing"/>
        <s v="Behind The Scenes (BTS)"/>
        <s v="Music"/>
        <s v="VFX"/>
      </sharedItems>
    </cacheField>
    <cacheField name="BID TOTAL" numFmtId="0">
      <sharedItems containsSemiMixedTypes="0" containsString="0" containsNumber="1" minValue="1339.175" maxValue="1025091.738"/>
    </cacheField>
    <cacheField name="AVERAGE BID" numFmtId="0">
      <sharedItems containsString="0" containsBlank="1" containsNumber="1" minValue="4912.9341670000003" maxValue="887785.07709999999"/>
    </cacheField>
    <cacheField name="DIVERSITY:: WOMAN DIRECTOR" numFmtId="0">
      <sharedItems containsString="0" containsBlank="1" containsNumber="1" containsInteger="1" minValue="1" maxValue="1"/>
    </cacheField>
    <cacheField name="DIVERSITY:: MIINORITY DIRECTOR" numFmtId="0">
      <sharedItems containsString="0" containsBlank="1" containsNumber="1" containsInteger="1" minValue="1" maxValue="1"/>
    </cacheField>
    <cacheField name="DIVERSITY:: WOMAN EDITOR" numFmtId="0">
      <sharedItems containsString="0" containsBlank="1" containsNumber="1" containsInteger="1" minValue="1" maxValue="1"/>
    </cacheField>
    <cacheField name="DIVERSITY:: MIINORITY EDITOR" numFmtId="0">
      <sharedItems containsString="0" containsBlank="1" containsNumber="1" containsInteger="1" minValue="1" maxValue="1"/>
    </cacheField>
    <cacheField name="DIVERSITY:: WOMAN OWNED" numFmtId="0">
      <sharedItems containsString="0" containsBlank="1" containsNumber="1" containsInteger="1" minValue="1" maxValue="1"/>
    </cacheField>
    <cacheField name="DIVERSITY:: MINORITY OWNED" numFmtId="0">
      <sharedItems containsString="0" containsBlank="1" containsNumber="1" containsInteger="1" minValue="1" maxValue="1"/>
    </cacheField>
    <cacheField name="Women Work Pitched" numFmtId="0">
      <sharedItems/>
    </cacheField>
    <cacheField name="Women Work Awarded" numFmtId="0">
      <sharedItems/>
    </cacheField>
    <cacheField name="AvgBidPrice LUT.Average Bid Price" numFmtId="0">
      <sharedItems containsSemiMixedTypes="0" containsString="0" containsNumber="1" minValue="4912.9341666666669" maxValue="887785.07706666668"/>
    </cacheField>
    <cacheField name="AVG ADJUSTED" numFmtId="0">
      <sharedItems containsString="0" containsBlank="1" containsNumber="1" minValue="4912.9341666666669" maxValue="887785.07706666668"/>
    </cacheField>
    <cacheField name="Awarded Total" numFmtId="0">
      <sharedItems containsString="0" containsBlank="1" containsNumber="1" minValue="2638.9625000000001" maxValue="1025091.738"/>
    </cacheField>
    <cacheField name="Variance" numFmtId="0">
      <sharedItems containsString="0" containsBlank="1" containsNumber="1" minValue="-132067.20773333334" maxValue="234058.81883333332"/>
    </cacheField>
    <cacheField name="Variance Perc" numFmtId="9">
      <sharedItems containsString="0" containsBlank="1" containsNumber="1" minValue="-0.56919928370427197" maxValue="0.79283185840708004"/>
    </cacheField>
  </cacheFields>
  <extLst>
    <ext xmlns:x14="http://schemas.microsoft.com/office/spreadsheetml/2009/9/main" uri="{725AE2AE-9491-48be-B2B4-4EB974FC3084}">
      <x14:pivotCacheDefinition pivotCacheId="2146977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s v="Summer Fun"/>
    <n v="1"/>
    <s v="Kelly Hard Cider"/>
    <s v="Kelly Summer Spritzer"/>
    <x v="0"/>
    <s v="Q2 Summer Blitz"/>
    <s v="Petulant Pictures"/>
    <x v="0"/>
    <s v="Summer Fun"/>
    <s v="Petulant_SummerFun_LiveAction"/>
    <s v="Original"/>
    <n v="960207.05279999995"/>
    <s v="firm-bid"/>
    <n v="745866.46849999996"/>
    <n v="1"/>
    <m/>
    <m/>
    <m/>
    <m/>
    <m/>
    <x v="0"/>
    <n v="960207.05279999995"/>
    <n v="745866.46846666664"/>
    <n v="960207.05279999995"/>
    <n v="960207.05279999995"/>
  </r>
  <r>
    <s v="Summer Fun"/>
    <n v="0"/>
    <s v="Kelly Hard Cider"/>
    <s v="Kelly Summer Spritzer"/>
    <x v="0"/>
    <s v="Q2 Summer Blitz"/>
    <s v=""/>
    <x v="0"/>
    <s v="Summer Fun"/>
    <s v="OpenFrameworks_SummerFun_LiveAction"/>
    <s v="Original"/>
    <n v="662457.18420000002"/>
    <s v="firm-bid"/>
    <m/>
    <n v="1"/>
    <n v="1"/>
    <m/>
    <m/>
    <m/>
    <m/>
    <x v="1"/>
    <n v="0"/>
    <n v="745866.46846666664"/>
    <m/>
    <m/>
  </r>
  <r>
    <s v="Summer Fun"/>
    <n v="0"/>
    <s v="Kelly Hard Cider"/>
    <s v="Kelly Summer Spritzer"/>
    <x v="0"/>
    <s v="Q2 Summer Blitz"/>
    <s v=""/>
    <x v="0"/>
    <s v="Summer Fun"/>
    <s v="Club101_SummerFun_LiveAction"/>
    <s v="Original"/>
    <n v="614935.16839999997"/>
    <s v="firm-bid"/>
    <m/>
    <m/>
    <m/>
    <m/>
    <m/>
    <m/>
    <m/>
    <x v="2"/>
    <n v="0"/>
    <n v="745866.46846666664"/>
    <m/>
    <m/>
  </r>
  <r>
    <s v="Summer Fun"/>
    <n v="0"/>
    <s v="Kelly Hard Cider"/>
    <s v="Kelly Summer Spritzer"/>
    <x v="0"/>
    <s v="Q2 Summer Blitz"/>
    <s v=""/>
    <x v="1"/>
    <s v="Summer Fun"/>
    <s v="ToTo_SummerFun_Edit"/>
    <s v="Original"/>
    <n v="107610.4167"/>
    <s v="firm-bid"/>
    <m/>
    <m/>
    <m/>
    <m/>
    <m/>
    <m/>
    <m/>
    <x v="2"/>
    <n v="0"/>
    <n v="109194.18611"/>
    <m/>
    <m/>
  </r>
  <r>
    <s v="Summer Fun"/>
    <n v="0"/>
    <s v="Kelly Hard Cider"/>
    <s v="Kelly Summer Spritzer"/>
    <x v="0"/>
    <s v="Q2 Summer Blitz"/>
    <s v=""/>
    <x v="1"/>
    <s v="Summer Fun"/>
    <s v="MyrtleRow_SummerFun_Edit"/>
    <s v="Original"/>
    <n v="133998.9583"/>
    <s v="firm-bid"/>
    <m/>
    <m/>
    <m/>
    <n v="1"/>
    <m/>
    <m/>
    <n v="1"/>
    <x v="2"/>
    <n v="0"/>
    <n v="109194.18611"/>
    <m/>
    <m/>
  </r>
  <r>
    <s v="Summer Fun"/>
    <n v="1"/>
    <s v="Kelly Hard Cider"/>
    <s v="Kelly Summer Spritzer"/>
    <x v="0"/>
    <s v="Q2 Summer Blitz"/>
    <s v="Saks Street Edit"/>
    <x v="1"/>
    <s v="Summer Fun"/>
    <s v="SaksStreetEdit_SummerFun_Edit"/>
    <s v="Original"/>
    <n v="85973.18333"/>
    <s v="firm-bid"/>
    <n v="109194.18610000001"/>
    <m/>
    <m/>
    <m/>
    <m/>
    <m/>
    <n v="1"/>
    <x v="2"/>
    <n v="0"/>
    <n v="109194.18611"/>
    <n v="85973.18333"/>
    <n v="85973.18333"/>
  </r>
  <r>
    <s v="Summer Fun"/>
    <n v="0"/>
    <s v="Kelly Hard Cider"/>
    <s v="Kelly Summer Spritzer"/>
    <x v="0"/>
    <s v="Q2 Summer Blitz"/>
    <s v=""/>
    <x v="2"/>
    <s v="Audio Bid"/>
    <s v="Audio Bid"/>
    <s v="Original"/>
    <n v="14510"/>
    <s v="firm-bid"/>
    <m/>
    <m/>
    <m/>
    <m/>
    <m/>
    <m/>
    <m/>
    <x v="2"/>
    <n v="0"/>
    <n v="21656.666666666668"/>
    <m/>
    <m/>
  </r>
  <r>
    <s v="Summer Fun"/>
    <n v="1"/>
    <s v="Kelly Hard Cider"/>
    <s v="Kelly Summer Spritzer"/>
    <x v="0"/>
    <s v="Q2 Summer Blitz"/>
    <s v="My Audio Fantasy"/>
    <x v="2"/>
    <s v="My Audio Fantasy"/>
    <s v="AudioFantasybBid"/>
    <s v="Original"/>
    <n v="21040"/>
    <s v="firm-bid"/>
    <n v="21656.666669999999"/>
    <n v="1"/>
    <m/>
    <m/>
    <n v="1"/>
    <m/>
    <m/>
    <x v="3"/>
    <n v="21040"/>
    <n v="21656.666666666668"/>
    <n v="21040"/>
    <n v="21040"/>
  </r>
  <r>
    <s v="Summer Fun"/>
    <n v="0"/>
    <s v="Kelly Hard Cider"/>
    <s v="Kelly Summer Spritzer"/>
    <x v="0"/>
    <s v="Q2 Summer Blitz"/>
    <s v=""/>
    <x v="2"/>
    <s v="Love Language&quot;Summer Fun&quot;"/>
    <s v="Love124"/>
    <s v="Original"/>
    <n v="29420"/>
    <s v="firm-bid"/>
    <m/>
    <m/>
    <m/>
    <m/>
    <m/>
    <m/>
    <m/>
    <x v="2"/>
    <n v="0"/>
    <n v="21656.666666666668"/>
    <m/>
    <m/>
  </r>
  <r>
    <s v="Summer Fun"/>
    <n v="0"/>
    <s v="Kelly Hard Cider"/>
    <s v="Kelly Summer Spritzer"/>
    <x v="0"/>
    <s v="Q2 Summer Blitz"/>
    <s v=""/>
    <x v="3"/>
    <s v="colorMaven for Summer Fun v1"/>
    <s v="ColorMaven_SummerFun_Finishing"/>
    <s v="Original"/>
    <n v="52850"/>
    <s v="firm-bid"/>
    <m/>
    <m/>
    <m/>
    <m/>
    <m/>
    <n v="1"/>
    <m/>
    <x v="2"/>
    <n v="0"/>
    <n v="37833.333333333336"/>
    <m/>
    <m/>
  </r>
  <r>
    <s v="Summer Fun"/>
    <n v="0"/>
    <s v="Kelly Hard Cider"/>
    <s v="Kelly Summer Spritzer"/>
    <x v="0"/>
    <s v="Q2 Summer Blitz"/>
    <s v=""/>
    <x v="3"/>
    <s v="Andiamo for &quot;Summer Fun&quot;"/>
    <s v="AndiamoImages_SummerFun_Finishing"/>
    <s v="Original"/>
    <n v="20700"/>
    <s v="firm-bid"/>
    <m/>
    <m/>
    <m/>
    <n v="1"/>
    <m/>
    <n v="1"/>
    <m/>
    <x v="2"/>
    <n v="0"/>
    <n v="37833.333333333336"/>
    <m/>
    <m/>
  </r>
  <r>
    <s v="Summer Fun"/>
    <n v="1"/>
    <s v="Kelly Hard Cider"/>
    <s v="Kelly Summer Spritzer"/>
    <x v="0"/>
    <s v="Q2 Summer Blitz"/>
    <s v="Evan Bander LLC"/>
    <x v="3"/>
    <s v="EB &quot;Summer Fun&quot;"/>
    <s v="EvanBanderLLC_SummerFun_Finishing"/>
    <s v="Original"/>
    <n v="39950"/>
    <s v="firm-bid"/>
    <n v="37833.333330000001"/>
    <m/>
    <m/>
    <m/>
    <n v="1"/>
    <m/>
    <n v="1"/>
    <x v="2"/>
    <n v="0"/>
    <n v="37833.333333333336"/>
    <n v="39950"/>
    <n v="39950"/>
  </r>
  <r>
    <s v="Summer Fun"/>
    <n v="1"/>
    <s v="Kelly Hard Cider"/>
    <s v="Kelly Summer Spritzer"/>
    <x v="0"/>
    <s v="Q2 Summer Blitz"/>
    <s v="Petulant Pictures"/>
    <x v="4"/>
    <s v="Summer Fun"/>
    <s v="Petulant_SummerFun_Covid"/>
    <s v="Original"/>
    <n v="4805.2749999999996"/>
    <s v="firm-bid"/>
    <n v="7050.3625000000002"/>
    <n v="1"/>
    <m/>
    <m/>
    <m/>
    <m/>
    <m/>
    <x v="4"/>
    <n v="4805.2749999999996"/>
    <n v="7050.3624999999993"/>
    <n v="4805.2749999999996"/>
    <n v="4805.2749999999996"/>
  </r>
  <r>
    <s v="Summer Fun"/>
    <n v="0"/>
    <s v="Kelly Hard Cider"/>
    <s v="Kelly Summer Spritzer"/>
    <x v="0"/>
    <s v="Q2 Summer Blitz"/>
    <s v=""/>
    <x v="4"/>
    <s v="Summer Fun"/>
    <s v="OpenFrameworks_SummerFun_Covid"/>
    <s v="Original"/>
    <n v="10043.8125"/>
    <s v="firm-bid"/>
    <m/>
    <n v="1"/>
    <n v="1"/>
    <m/>
    <m/>
    <m/>
    <m/>
    <x v="5"/>
    <n v="0"/>
    <n v="7050.3624999999993"/>
    <m/>
    <m/>
  </r>
  <r>
    <s v="Summer Fun"/>
    <n v="0"/>
    <s v="Kelly Hard Cider"/>
    <s v="Kelly Summer Spritzer"/>
    <x v="0"/>
    <s v="Q2 Summer Blitz"/>
    <s v=""/>
    <x v="4"/>
    <s v="Summer Fun"/>
    <s v="Club101_SummerFun_Covid"/>
    <s v="Original"/>
    <n v="6302"/>
    <s v="firm-bid"/>
    <m/>
    <m/>
    <m/>
    <m/>
    <m/>
    <m/>
    <m/>
    <x v="2"/>
    <n v="0"/>
    <n v="7050.3624999999993"/>
    <m/>
    <m/>
  </r>
  <r>
    <s v="Summer Fun"/>
    <n v="1"/>
    <s v="Kelly Hard Cider"/>
    <s v="Kelly Summer Spritzer"/>
    <x v="0"/>
    <s v="Q2 Summer Blitz"/>
    <s v="Petulant Pictures"/>
    <x v="5"/>
    <s v="Summer Fun"/>
    <s v="Petulant_SummerFun_Green"/>
    <s v="Original"/>
    <n v="18176"/>
    <s v="firm-bid"/>
    <n v="14980"/>
    <n v="1"/>
    <m/>
    <m/>
    <m/>
    <m/>
    <m/>
    <x v="6"/>
    <n v="18176"/>
    <n v="14980"/>
    <n v="18176"/>
    <n v="18176"/>
  </r>
  <r>
    <s v="Summer Fun"/>
    <n v="0"/>
    <s v="Kelly Hard Cider"/>
    <s v="Kelly Summer Spritzer"/>
    <x v="0"/>
    <s v="Q2 Summer Blitz"/>
    <s v=""/>
    <x v="5"/>
    <s v="Summer Fun"/>
    <s v="OpenFrameworks_SummerFun_Green"/>
    <s v="Original"/>
    <n v="14364"/>
    <s v="firm-bid"/>
    <m/>
    <n v="1"/>
    <n v="1"/>
    <m/>
    <m/>
    <m/>
    <m/>
    <x v="7"/>
    <n v="0"/>
    <n v="14980"/>
    <m/>
    <m/>
  </r>
  <r>
    <s v="Summer Fun"/>
    <n v="0"/>
    <s v="Kelly Hard Cider"/>
    <s v="Kelly Summer Spritzer"/>
    <x v="0"/>
    <s v="Q2 Summer Blitz"/>
    <s v=""/>
    <x v="5"/>
    <s v="Summer Fun"/>
    <s v="Club101_SummerFun_Green"/>
    <s v="Original"/>
    <n v="12400"/>
    <s v="firm-bid"/>
    <m/>
    <m/>
    <m/>
    <m/>
    <m/>
    <m/>
    <m/>
    <x v="2"/>
    <n v="0"/>
    <n v="14980"/>
    <m/>
    <m/>
  </r>
  <r>
    <s v="Summer Fun"/>
    <n v="0"/>
    <s v="Kelly Hard Cider"/>
    <s v="Kelly Summer Spritzer"/>
    <x v="0"/>
    <s v="Q2 Summer Blitz"/>
    <s v=""/>
    <x v="6"/>
    <s v="Kent Wilson Studio Estimate for &quot;Summer Fun&quot; #1"/>
    <s v="KentWilsonStudio_SummerFun_Retouching"/>
    <s v="Original"/>
    <n v="39250"/>
    <s v="firm-bid"/>
    <m/>
    <m/>
    <n v="1"/>
    <m/>
    <m/>
    <m/>
    <m/>
    <x v="2"/>
    <n v="0"/>
    <n v="37483.333333333336"/>
    <m/>
    <m/>
  </r>
  <r>
    <s v="Summer Fun"/>
    <n v="0"/>
    <s v="Kelly Hard Cider"/>
    <s v="Kelly Summer Spritzer"/>
    <x v="0"/>
    <s v="Q2 Summer Blitz"/>
    <s v=""/>
    <x v="6"/>
    <s v="Summer Fun"/>
    <s v="Interstate_SummerFun_Retouching"/>
    <s v="Original"/>
    <n v="36200"/>
    <s v="firm-bid"/>
    <m/>
    <m/>
    <m/>
    <m/>
    <m/>
    <n v="1"/>
    <m/>
    <x v="2"/>
    <n v="0"/>
    <n v="37483.333333333336"/>
    <m/>
    <m/>
  </r>
  <r>
    <s v="Summer Fun"/>
    <n v="1"/>
    <s v="Kelly Hard Cider"/>
    <s v="Kelly Summer Spritzer"/>
    <x v="0"/>
    <s v="Q2 Summer Blitz"/>
    <s v="Buck &amp; Archie"/>
    <x v="6"/>
    <s v="Buck &amp; Archie &quot;Kelly Hard Cider:Summer Fun&quot; v2"/>
    <s v="BuckandArchie_SummerFun_Retouching"/>
    <s v="Original"/>
    <n v="37000"/>
    <s v="firm-bid"/>
    <n v="37483.333330000001"/>
    <m/>
    <m/>
    <m/>
    <m/>
    <m/>
    <m/>
    <x v="2"/>
    <n v="0"/>
    <n v="37483.333333333336"/>
    <n v="37000"/>
    <n v="37000"/>
  </r>
  <r>
    <s v="Summer Fun"/>
    <n v="0"/>
    <s v="Kelly Hard Cider"/>
    <s v="Kelly Summer Spritzer"/>
    <x v="0"/>
    <s v="Q2 Summer Blitz"/>
    <s v=""/>
    <x v="7"/>
    <s v="Kent Wilson Studio Estimate for &quot;Summer Fun&quot; #1"/>
    <s v="KentWilsonStudio_SummerFun_Stills"/>
    <s v="Original"/>
    <n v="161541.30129999999"/>
    <s v="firm-bid"/>
    <m/>
    <m/>
    <n v="1"/>
    <m/>
    <m/>
    <m/>
    <m/>
    <x v="2"/>
    <n v="0"/>
    <n v="145472.97853333334"/>
    <m/>
    <m/>
  </r>
  <r>
    <s v="Summer Fun"/>
    <n v="0"/>
    <s v="Kelly Hard Cider"/>
    <s v="Kelly Summer Spritzer"/>
    <x v="0"/>
    <s v="Q2 Summer Blitz"/>
    <s v=""/>
    <x v="7"/>
    <s v="Summer Fun"/>
    <s v="Interstate_SummerFun_Stills"/>
    <s v="Original"/>
    <n v="138331.54800000001"/>
    <s v="firm-bid"/>
    <m/>
    <m/>
    <m/>
    <m/>
    <m/>
    <n v="1"/>
    <m/>
    <x v="2"/>
    <n v="0"/>
    <n v="145472.97853333334"/>
    <m/>
    <m/>
  </r>
  <r>
    <s v="Summer Fun"/>
    <n v="1"/>
    <s v="Kelly Hard Cider"/>
    <s v="Kelly Summer Spritzer"/>
    <x v="0"/>
    <s v="Q2 Summer Blitz"/>
    <s v="Buck &amp; Archie"/>
    <x v="7"/>
    <s v="Buck &amp; Archie &quot;Kelly Hard Cider:Summer Fun&quot; v2"/>
    <s v="BuckandArchie_SummerFun_Stills"/>
    <s v="Original"/>
    <n v="136546.0863"/>
    <s v="firm-bid"/>
    <n v="145472.9786"/>
    <m/>
    <m/>
    <m/>
    <m/>
    <m/>
    <m/>
    <x v="2"/>
    <n v="0"/>
    <n v="145472.97853333334"/>
    <n v="136546.0863"/>
    <n v="136546.0863"/>
  </r>
  <r>
    <s v="Summer Fun"/>
    <n v="0"/>
    <s v="Kelly Hard Cider"/>
    <s v="Kelly Summer Spritzer"/>
    <x v="0"/>
    <s v="Q2 Summer Blitz"/>
    <s v=""/>
    <x v="8"/>
    <s v="AEM &quot;Kelly Summer Spritzer || Q2 Summer Blitz&quot;"/>
    <s v="ArnoldEstherMusic_SummerFun_Music"/>
    <s v="Original"/>
    <n v="8700"/>
    <s v="firm-bid"/>
    <m/>
    <m/>
    <m/>
    <m/>
    <m/>
    <m/>
    <m/>
    <x v="2"/>
    <n v="0"/>
    <n v="38916.666666666672"/>
    <m/>
    <m/>
  </r>
  <r>
    <s v="Summer Fun"/>
    <n v="0"/>
    <s v="Kelly Hard Cider"/>
    <s v="Kelly Summer Spritzer"/>
    <x v="0"/>
    <s v="Q2 Summer Blitz"/>
    <s v=""/>
    <x v="8"/>
    <s v="&quot;Summer Fun&quot; - Special Oaks Music"/>
    <s v="SpecialOaks_SummerFun_Music"/>
    <s v="Original"/>
    <n v="69900"/>
    <s v="firm-bid"/>
    <m/>
    <m/>
    <m/>
    <m/>
    <m/>
    <m/>
    <m/>
    <x v="2"/>
    <n v="0"/>
    <n v="38916.666666666672"/>
    <m/>
    <m/>
  </r>
  <r>
    <s v="Summer Fun"/>
    <n v="1"/>
    <s v="Kelly Hard Cider"/>
    <s v="Kelly Summer Spritzer"/>
    <x v="0"/>
    <s v="Q2 Summer Blitz"/>
    <s v="Tone &amp; Logic"/>
    <x v="8"/>
    <s v="T+L for &quot;Kelly's Summer Fun&quot;"/>
    <s v="ToneandLogic_SummerFun_Music"/>
    <s v="Original"/>
    <n v="38150"/>
    <s v="firm-bid"/>
    <n v="38916.666669999999"/>
    <m/>
    <m/>
    <m/>
    <m/>
    <m/>
    <n v="1"/>
    <x v="2"/>
    <n v="0"/>
    <n v="38916.666666666672"/>
    <n v="38150"/>
    <n v="38150"/>
  </r>
  <r>
    <s v="The Traveller UK"/>
    <n v="0"/>
    <s v="Dewey North"/>
    <s v="Dewey North 107º"/>
    <x v="1"/>
    <s v="The Sophisticated Traveller"/>
    <s v=""/>
    <x v="2"/>
    <s v="Special Oaks&quot;The Traveller UK&quot;"/>
    <s v="Special Oaks"/>
    <s v="Original"/>
    <n v="24800"/>
    <s v="firm-bid"/>
    <m/>
    <n v="1"/>
    <m/>
    <m/>
    <m/>
    <m/>
    <n v="1"/>
    <x v="8"/>
    <n v="0"/>
    <n v="33935"/>
    <m/>
    <m/>
  </r>
  <r>
    <s v="The Traveller UK"/>
    <n v="1"/>
    <s v="Dewey North"/>
    <s v="Dewey North 107º"/>
    <x v="1"/>
    <s v="The Sophisticated Traveller"/>
    <s v="Love Language"/>
    <x v="2"/>
    <s v="Love Language &quot;The Traveller UK&quot;"/>
    <s v="Love126"/>
    <s v="Original"/>
    <n v="43070"/>
    <s v="firm-bid"/>
    <n v="33935"/>
    <m/>
    <m/>
    <m/>
    <m/>
    <m/>
    <m/>
    <x v="2"/>
    <n v="0"/>
    <n v="33935"/>
    <n v="43070"/>
    <n v="43070"/>
  </r>
  <r>
    <s v="The Traveller UK"/>
    <n v="1"/>
    <s v="Dewey North"/>
    <s v="Dewey North 107º"/>
    <x v="1"/>
    <s v="The Sophisticated Traveller"/>
    <s v="Love Language"/>
    <x v="8"/>
    <s v="Love Language &quot;The Traveller UK&quot; - MUSIC ONLY"/>
    <s v="LoveLanguage_TheTravellerUK_Music"/>
    <s v="Original"/>
    <n v="20800"/>
    <s v="firm-bid"/>
    <n v="40150"/>
    <m/>
    <m/>
    <m/>
    <m/>
    <m/>
    <m/>
    <x v="2"/>
    <n v="0"/>
    <n v="40150"/>
    <n v="20800"/>
    <n v="20800"/>
  </r>
  <r>
    <s v="The Traveller UK"/>
    <n v="0"/>
    <s v="Dewey North"/>
    <s v="Dewey North 107º"/>
    <x v="1"/>
    <s v="The Sophisticated Traveller"/>
    <s v=""/>
    <x v="8"/>
    <s v="Frequency Presentation for &quot;The Traveller UK&quot;"/>
    <s v="Frequency_TheTravellerUK_Music"/>
    <s v="Original"/>
    <n v="49050"/>
    <s v="firm-bid"/>
    <m/>
    <m/>
    <m/>
    <m/>
    <m/>
    <m/>
    <m/>
    <x v="2"/>
    <n v="0"/>
    <n v="40150"/>
    <m/>
    <m/>
  </r>
  <r>
    <s v="The Traveller UK"/>
    <n v="0"/>
    <s v="Dewey North"/>
    <s v="Dewey North 107º"/>
    <x v="1"/>
    <s v="The Sophisticated Traveller"/>
    <s v=""/>
    <x v="8"/>
    <s v="AEM &quot;Dewey North || The Sophisticated Traveller (UK)&quot;"/>
    <s v="ArnoldEstherMusic_TheTravellerUK_Music"/>
    <s v="Original"/>
    <n v="50600"/>
    <s v="firm-bid"/>
    <m/>
    <m/>
    <m/>
    <m/>
    <m/>
    <m/>
    <m/>
    <x v="2"/>
    <n v="0"/>
    <n v="40150"/>
    <m/>
    <m/>
  </r>
  <r>
    <s v="The Traveller UK"/>
    <n v="1"/>
    <s v="Dewey North"/>
    <s v="Dewey North 107º"/>
    <x v="1"/>
    <s v="The Sophisticated Traveller"/>
    <s v="EFX VFX"/>
    <x v="9"/>
    <s v="EFXvfx \\ &quot;The Traveller UK&quot; \\ v3"/>
    <s v="EFXVFX_TheTravellerUK_VFX"/>
    <s v="Original"/>
    <n v="116454"/>
    <s v="firm-bid"/>
    <n v="104828.75"/>
    <m/>
    <m/>
    <m/>
    <m/>
    <m/>
    <m/>
    <x v="2"/>
    <n v="0"/>
    <n v="104828.75"/>
    <n v="116454"/>
    <n v="116454"/>
  </r>
  <r>
    <s v="The Traveller UK"/>
    <n v="0"/>
    <s v="Dewey North"/>
    <s v="Dewey North 107º"/>
    <x v="1"/>
    <s v="The Sophisticated Traveller"/>
    <s v=""/>
    <x v="9"/>
    <s v="v2 - &quot;The Traveller UK&quot; //SORCERY"/>
    <s v="Sorcery_TheTravellerUK_VFX"/>
    <s v="Original"/>
    <n v="93203.5"/>
    <s v="firm-bid"/>
    <m/>
    <m/>
    <m/>
    <m/>
    <m/>
    <m/>
    <m/>
    <x v="2"/>
    <n v="0"/>
    <n v="104828.75"/>
    <m/>
    <m/>
  </r>
  <r>
    <s v="The Traveller UK"/>
    <n v="0"/>
    <s v="Dewey North"/>
    <s v="Dewey North 107º"/>
    <x v="1"/>
    <s v="The Sophisticated Traveller"/>
    <s v=""/>
    <x v="3"/>
    <s v="colorMaven for &quot;The Traveller UK&quot; v3"/>
    <s v="ColorMaven_TheTravellerUK_Finishing"/>
    <s v="Original"/>
    <n v="17500"/>
    <s v="firm-bid"/>
    <m/>
    <m/>
    <m/>
    <m/>
    <m/>
    <n v="1"/>
    <m/>
    <x v="2"/>
    <n v="0"/>
    <n v="32250"/>
    <m/>
    <m/>
  </r>
  <r>
    <s v="The Traveller UK"/>
    <n v="1"/>
    <s v="Dewey North"/>
    <s v="Dewey North 107º"/>
    <x v="1"/>
    <s v="The Sophisticated Traveller"/>
    <s v="Andiamo Images"/>
    <x v="3"/>
    <s v="Andiamo for &quot;The Traveller&quot; (UK Version)"/>
    <s v="AndiamoImages_TheTravellerUK_Finishing"/>
    <s v="Original"/>
    <n v="49250"/>
    <s v="firm-bid"/>
    <n v="32250"/>
    <n v="1"/>
    <m/>
    <m/>
    <m/>
    <n v="1"/>
    <m/>
    <x v="9"/>
    <n v="49250"/>
    <n v="32250"/>
    <n v="49250"/>
    <n v="49250"/>
  </r>
  <r>
    <s v="The Traveller UK"/>
    <n v="0"/>
    <s v="Dewey North"/>
    <s v="Dewey North 107º"/>
    <x v="1"/>
    <s v="The Sophisticated Traveller"/>
    <s v=""/>
    <x v="3"/>
    <s v="‚ÄúThe Traveller UK‚Äù - POI"/>
    <s v="PersonsofInterest_TheTravellerUK_Finishing"/>
    <s v="Original"/>
    <n v="30000"/>
    <s v="firm-bid"/>
    <m/>
    <m/>
    <m/>
    <m/>
    <n v="1"/>
    <m/>
    <m/>
    <x v="2"/>
    <n v="0"/>
    <n v="32250"/>
    <m/>
    <m/>
  </r>
  <r>
    <s v="The Traveller UK"/>
    <n v="1"/>
    <s v="Dewey North"/>
    <s v="Dewey North 107º"/>
    <x v="1"/>
    <s v="The Sophisticated Traveller"/>
    <s v="Myrtle Row Editorial"/>
    <x v="1"/>
    <s v="The Traveller UK"/>
    <s v="MyrtleRow_TheTravellerUK_Edit"/>
    <s v="Original"/>
    <n v="95889.791670000006"/>
    <s v="firm-bid"/>
    <n v="93203.872220000005"/>
    <m/>
    <m/>
    <m/>
    <m/>
    <m/>
    <n v="1"/>
    <x v="2"/>
    <n v="0"/>
    <n v="93203.872213333336"/>
    <n v="95889.791670000006"/>
    <n v="95889.791670000006"/>
  </r>
  <r>
    <s v="The Traveller UK"/>
    <n v="0"/>
    <s v="Dewey North"/>
    <s v="Dewey North 107º"/>
    <x v="1"/>
    <s v="The Sophisticated Traveller"/>
    <s v=""/>
    <x v="1"/>
    <s v="The Traveller UK"/>
    <s v="TotalCuts_TheTravellerUK_Edit"/>
    <s v="Original"/>
    <n v="67406.616670000003"/>
    <s v="firm-bid"/>
    <m/>
    <m/>
    <m/>
    <n v="1"/>
    <m/>
    <m/>
    <m/>
    <x v="2"/>
    <n v="0"/>
    <n v="93203.872213333336"/>
    <m/>
    <m/>
  </r>
  <r>
    <s v="The Traveller UK"/>
    <n v="0"/>
    <s v="Dewey North"/>
    <s v="Dewey North 107º"/>
    <x v="1"/>
    <s v="The Sophisticated Traveller"/>
    <s v=""/>
    <x v="1"/>
    <s v="The Traveller UK"/>
    <s v="Fightclub_TheTravellerUK_Edit"/>
    <s v="Original"/>
    <n v="116315.2083"/>
    <s v="firm-bid"/>
    <m/>
    <m/>
    <m/>
    <m/>
    <m/>
    <m/>
    <m/>
    <x v="2"/>
    <n v="0"/>
    <n v="93203.872213333336"/>
    <m/>
    <m/>
  </r>
  <r>
    <s v="The Traveller UK"/>
    <n v="1"/>
    <s v="Dewey North"/>
    <s v="Dewey North 107º"/>
    <x v="1"/>
    <s v="The Sophisticated Traveller"/>
    <s v="Harmony &amp; Light"/>
    <x v="5"/>
    <s v="The Traveller UK"/>
    <s v="harmony_and_Light_TheTravellerUK_Green"/>
    <s v="Original"/>
    <n v="10250"/>
    <s v="firm-bid"/>
    <n v="9606"/>
    <m/>
    <m/>
    <m/>
    <m/>
    <m/>
    <m/>
    <x v="2"/>
    <n v="0"/>
    <n v="9606"/>
    <n v="10250"/>
    <n v="10250"/>
  </r>
  <r>
    <s v="The Traveller UK"/>
    <n v="0"/>
    <s v="Dewey North"/>
    <s v="Dewey North 107º"/>
    <x v="1"/>
    <s v="The Sophisticated Traveller"/>
    <s v=""/>
    <x v="5"/>
    <s v="The Traveller UK"/>
    <s v="Level12_TheTravellerUK_Green"/>
    <s v="Original"/>
    <n v="8568"/>
    <s v="firm-bid"/>
    <m/>
    <n v="1"/>
    <m/>
    <m/>
    <m/>
    <m/>
    <m/>
    <x v="10"/>
    <n v="0"/>
    <n v="9606"/>
    <m/>
    <m/>
  </r>
  <r>
    <s v="The Traveller UK"/>
    <n v="0"/>
    <s v="Dewey North"/>
    <s v="Dewey North 107º"/>
    <x v="1"/>
    <s v="The Sophisticated Traveller"/>
    <s v=""/>
    <x v="5"/>
    <s v="The Traveller UK"/>
    <s v="OpenFrameworks_TheTravellerUK_Green"/>
    <s v="Original"/>
    <n v="10000"/>
    <s v="firm-bid"/>
    <m/>
    <n v="1"/>
    <n v="1"/>
    <m/>
    <m/>
    <m/>
    <m/>
    <x v="11"/>
    <n v="0"/>
    <n v="9606"/>
    <m/>
    <m/>
  </r>
  <r>
    <s v="The Traveller UK"/>
    <n v="1"/>
    <s v="Dewey North"/>
    <s v="Dewey North 107º"/>
    <x v="1"/>
    <s v="The Sophisticated Traveller"/>
    <s v="Harmony &amp; Light"/>
    <x v="4"/>
    <s v="The Traveller UK"/>
    <s v="harmony_and_Light_TheTravellerUK_Covid"/>
    <s v="Original"/>
    <n v="7200.0349999999999"/>
    <s v="firm-bid"/>
    <n v="9810.1133329999993"/>
    <m/>
    <m/>
    <m/>
    <m/>
    <m/>
    <m/>
    <x v="2"/>
    <n v="0"/>
    <n v="9810.1133333333328"/>
    <n v="7200.0349999999999"/>
    <n v="7200.0349999999999"/>
  </r>
  <r>
    <s v="The Traveller UK"/>
    <n v="0"/>
    <s v="Dewey North"/>
    <s v="Dewey North 107º"/>
    <x v="1"/>
    <s v="The Sophisticated Traveller"/>
    <s v=""/>
    <x v="4"/>
    <s v="The Traveller UK"/>
    <s v="Level12_TheTravellerUK_Covid"/>
    <s v="Original"/>
    <n v="12958.487499999999"/>
    <s v="firm-bid"/>
    <m/>
    <n v="1"/>
    <m/>
    <m/>
    <m/>
    <m/>
    <m/>
    <x v="12"/>
    <n v="0"/>
    <n v="9810.1133333333328"/>
    <m/>
    <m/>
  </r>
  <r>
    <s v="The Traveller UK"/>
    <n v="0"/>
    <s v="Dewey North"/>
    <s v="Dewey North 107º"/>
    <x v="1"/>
    <s v="The Sophisticated Traveller"/>
    <s v=""/>
    <x v="4"/>
    <s v="The Traveller UK"/>
    <s v="OpenFrameworks_TheTravellerUK_Covid"/>
    <s v="Original"/>
    <n v="9271.8174999999992"/>
    <s v="firm-bid"/>
    <m/>
    <n v="1"/>
    <n v="1"/>
    <m/>
    <m/>
    <m/>
    <m/>
    <x v="13"/>
    <n v="0"/>
    <n v="9810.1133333333328"/>
    <m/>
    <m/>
  </r>
  <r>
    <s v="The Traveller UK"/>
    <n v="1"/>
    <s v="Dewey North"/>
    <s v="Dewey North 107º"/>
    <x v="1"/>
    <s v="The Sophisticated Traveller"/>
    <s v="Harmony &amp; Light"/>
    <x v="0"/>
    <s v="The Traveller UK"/>
    <s v="harmony_and_Light_TheTravellerUK_LiveAction"/>
    <s v="Original"/>
    <n v="685626.90079999994"/>
    <s v="firm-bid"/>
    <n v="649602.47699999996"/>
    <m/>
    <m/>
    <m/>
    <m/>
    <m/>
    <m/>
    <x v="2"/>
    <n v="0"/>
    <n v="649602.47703333327"/>
    <n v="685626.90079999994"/>
    <n v="685626.90079999994"/>
  </r>
  <r>
    <s v="The Traveller UK"/>
    <n v="0"/>
    <s v="Dewey North"/>
    <s v="Dewey North 107º"/>
    <x v="1"/>
    <s v="The Sophisticated Traveller"/>
    <s v=""/>
    <x v="0"/>
    <s v="The Traveller UK"/>
    <s v="Level12_TheTravellerUK_LiveAction"/>
    <s v="Original"/>
    <n v="673878.4375"/>
    <s v="firm-bid"/>
    <m/>
    <n v="1"/>
    <m/>
    <m/>
    <m/>
    <m/>
    <m/>
    <x v="14"/>
    <n v="0"/>
    <n v="649602.47703333327"/>
    <m/>
    <m/>
  </r>
  <r>
    <s v="The Traveller UK"/>
    <n v="0"/>
    <s v="Dewey North"/>
    <s v="Dewey North 107º"/>
    <x v="1"/>
    <s v="The Sophisticated Traveller"/>
    <s v=""/>
    <x v="0"/>
    <s v="The Traveller UK"/>
    <s v="OpenFrameworks_TheTravellerUK_LiveAction"/>
    <s v="Original"/>
    <n v="589302.09279999998"/>
    <s v="firm-bid"/>
    <m/>
    <n v="1"/>
    <n v="1"/>
    <m/>
    <m/>
    <m/>
    <m/>
    <x v="15"/>
    <n v="0"/>
    <n v="649602.47703333327"/>
    <m/>
    <m/>
  </r>
  <r>
    <s v="The Traveller US"/>
    <n v="0"/>
    <s v="Dewey North"/>
    <s v="Dewey North 107º"/>
    <x v="2"/>
    <s v="The Sophisticated Traveller"/>
    <s v=""/>
    <x v="2"/>
    <s v="Earwax &quot;The Traveller US&quot;"/>
    <s v="Earwax"/>
    <s v="Original"/>
    <n v="29320"/>
    <s v="firm-bid"/>
    <m/>
    <m/>
    <m/>
    <m/>
    <m/>
    <m/>
    <m/>
    <x v="2"/>
    <n v="0"/>
    <n v="48990"/>
    <m/>
    <m/>
  </r>
  <r>
    <s v="The Traveller US"/>
    <n v="1"/>
    <s v="Dewey North"/>
    <s v="Dewey North 107º"/>
    <x v="2"/>
    <s v="The Sophisticated Traveller"/>
    <s v="Audio Lab Technologies"/>
    <x v="2"/>
    <s v="Audio Lab&quot;The Traveller US&quot;"/>
    <s v="Audio_85"/>
    <s v="Original"/>
    <n v="68660"/>
    <s v="firm-bid"/>
    <n v="48990"/>
    <m/>
    <m/>
    <n v="1"/>
    <m/>
    <n v="1"/>
    <m/>
    <x v="2"/>
    <n v="0"/>
    <n v="48990"/>
    <n v="68660"/>
    <n v="68660"/>
  </r>
  <r>
    <s v="The Traveller US"/>
    <n v="0"/>
    <s v="Dewey North"/>
    <s v="Dewey North 107º"/>
    <x v="2"/>
    <s v="The Sophisticated Traveller"/>
    <s v=""/>
    <x v="10"/>
    <s v="The Traveller (US Version)"/>
    <s v="Club101_SummerFun_BTS"/>
    <s v="Original"/>
    <n v="22844.75"/>
    <s v="firm-bid"/>
    <m/>
    <m/>
    <m/>
    <m/>
    <m/>
    <m/>
    <m/>
    <x v="2"/>
    <n v="0"/>
    <n v="18774.708333333332"/>
    <m/>
    <m/>
  </r>
  <r>
    <s v="The Traveller US"/>
    <n v="1"/>
    <s v="Dewey North"/>
    <s v="Dewey North 107º"/>
    <x v="2"/>
    <s v="The Sophisticated Traveller"/>
    <s v="Test Flight Productions"/>
    <x v="10"/>
    <s v="The Traveller (for US)"/>
    <s v="TestFlight_TheTravellerUS_BTS"/>
    <s v="Original"/>
    <n v="19457.424999999999"/>
    <s v="firm-bid"/>
    <n v="18774.708330000001"/>
    <m/>
    <m/>
    <m/>
    <m/>
    <m/>
    <n v="1"/>
    <x v="2"/>
    <n v="0"/>
    <n v="18774.708333333332"/>
    <n v="19457.424999999999"/>
    <n v="19457.424999999999"/>
  </r>
  <r>
    <s v="The Traveller US"/>
    <n v="0"/>
    <s v="Dewey North"/>
    <s v="Dewey North 107º"/>
    <x v="2"/>
    <s v="The Sophisticated Traveller"/>
    <s v=""/>
    <x v="10"/>
    <s v="The Traveller US V2"/>
    <s v="CHAW_TheTravellerUS_BTSv2"/>
    <s v="Original"/>
    <n v="14021.95"/>
    <s v="firm-bid"/>
    <m/>
    <m/>
    <n v="1"/>
    <m/>
    <m/>
    <m/>
    <n v="1"/>
    <x v="2"/>
    <n v="0"/>
    <n v="18774.708333333332"/>
    <m/>
    <m/>
  </r>
  <r>
    <s v="The Traveller US"/>
    <n v="1"/>
    <s v="Dewey North"/>
    <s v="Dewey North 107º"/>
    <x v="2"/>
    <s v="The Sophisticated Traveller"/>
    <s v="Tone &amp; Logic"/>
    <x v="8"/>
    <s v="T+L for &quot;Dewey North - The Traveller (US)&quot;"/>
    <s v="ToneandLogic_TheTravellerUS_Music"/>
    <s v="Original"/>
    <n v="15950"/>
    <s v="firm-bid"/>
    <n v="30350"/>
    <m/>
    <m/>
    <m/>
    <m/>
    <m/>
    <n v="1"/>
    <x v="2"/>
    <n v="0"/>
    <n v="30350"/>
    <n v="15950"/>
    <n v="15950"/>
  </r>
  <r>
    <s v="The Traveller US"/>
    <n v="0"/>
    <s v="Dewey North"/>
    <s v="Dewey North 107º"/>
    <x v="2"/>
    <s v="The Sophisticated Traveller"/>
    <s v=""/>
    <x v="8"/>
    <s v="Love Language &quot;The Traveller US&quot; v2"/>
    <s v="LoveLanguage_TheTravellerUS_Music"/>
    <s v="Original"/>
    <n v="34650"/>
    <s v="firm-bid"/>
    <m/>
    <m/>
    <m/>
    <m/>
    <m/>
    <m/>
    <m/>
    <x v="2"/>
    <n v="0"/>
    <n v="30350"/>
    <m/>
    <m/>
  </r>
  <r>
    <s v="The Traveller US"/>
    <n v="0"/>
    <s v="Dewey North"/>
    <s v="Dewey North 107º"/>
    <x v="2"/>
    <s v="The Sophisticated Traveller"/>
    <s v=""/>
    <x v="8"/>
    <s v="Frequency Presentation for &quot;The Traveller US &quot;"/>
    <s v="Frequency_TheTravellerUS_Music"/>
    <s v="Original"/>
    <n v="40450"/>
    <s v="firm-bid"/>
    <m/>
    <m/>
    <m/>
    <m/>
    <m/>
    <m/>
    <m/>
    <x v="2"/>
    <n v="0"/>
    <n v="30350"/>
    <m/>
    <m/>
  </r>
  <r>
    <s v="The Traveller US"/>
    <n v="0"/>
    <s v="Dewey North"/>
    <s v="Dewey North 107º"/>
    <x v="2"/>
    <s v="The Sophisticated Traveller"/>
    <s v=""/>
    <x v="3"/>
    <s v="‚ÄúThe Traveller US ‚Äù - POI"/>
    <s v="PersonsofInterest_TheTravellerUS_Finishing"/>
    <s v="Original"/>
    <n v="14900"/>
    <s v="firm-bid"/>
    <m/>
    <m/>
    <m/>
    <m/>
    <n v="1"/>
    <m/>
    <m/>
    <x v="2"/>
    <n v="0"/>
    <n v="27083.333333333336"/>
    <m/>
    <m/>
  </r>
  <r>
    <s v="The Traveller US"/>
    <n v="0"/>
    <s v="Dewey North"/>
    <s v="Dewey North 107º"/>
    <x v="2"/>
    <s v="The Sophisticated Traveller"/>
    <s v=""/>
    <x v="3"/>
    <s v="EB &quot;The Traveller US&quot;"/>
    <s v="EvanBanderLLC_TheTravellerUS_Finishing"/>
    <s v="Original"/>
    <n v="47450"/>
    <s v="firm-bid"/>
    <m/>
    <m/>
    <m/>
    <m/>
    <n v="1"/>
    <m/>
    <n v="1"/>
    <x v="2"/>
    <n v="0"/>
    <n v="27083.333333333336"/>
    <m/>
    <m/>
  </r>
  <r>
    <s v="The Traveller US"/>
    <n v="1"/>
    <s v="Dewey North"/>
    <s v="Dewey North 107º"/>
    <x v="2"/>
    <s v="The Sophisticated Traveller"/>
    <s v="The Dub House"/>
    <x v="3"/>
    <s v="‚ÄúThe Traveller US‚Äù | Dub House"/>
    <s v="TheDubHouse_TheTravellerUS_Finishing"/>
    <s v="Original"/>
    <n v="18900"/>
    <s v="firm-bid"/>
    <n v="27083.333330000001"/>
    <m/>
    <m/>
    <m/>
    <m/>
    <m/>
    <m/>
    <x v="2"/>
    <n v="0"/>
    <n v="27083.333333333336"/>
    <n v="18900"/>
    <n v="18900"/>
  </r>
  <r>
    <s v="The Traveller US"/>
    <n v="0"/>
    <s v="Dewey North"/>
    <s v="Dewey North 107º"/>
    <x v="2"/>
    <s v="The Sophisticated Traveller"/>
    <s v=""/>
    <x v="1"/>
    <s v="The Traveller US"/>
    <s v="TotalCuts_TheTravellerUS_Edit"/>
    <s v="Original"/>
    <n v="56933.45"/>
    <s v="firm-bid"/>
    <m/>
    <m/>
    <m/>
    <n v="1"/>
    <m/>
    <m/>
    <m/>
    <x v="2"/>
    <n v="0"/>
    <n v="93441.483333333337"/>
    <m/>
    <m/>
  </r>
  <r>
    <s v="The Traveller US"/>
    <n v="1"/>
    <s v="Dewey North"/>
    <s v="Dewey North 107º"/>
    <x v="2"/>
    <s v="The Sophisticated Traveller"/>
    <s v="The Closet"/>
    <x v="1"/>
    <s v="The Traveller US"/>
    <s v="TheCloset_TheTravellerUS_Edit"/>
    <s v="Original"/>
    <n v="100975.5833"/>
    <s v="firm-bid"/>
    <n v="93441.483330000003"/>
    <m/>
    <m/>
    <m/>
    <m/>
    <n v="1"/>
    <n v="1"/>
    <x v="2"/>
    <n v="0"/>
    <n v="93441.483333333337"/>
    <n v="100975.5833"/>
    <n v="100975.5833"/>
  </r>
  <r>
    <s v="The Traveller US"/>
    <n v="0"/>
    <s v="Dewey North"/>
    <s v="Dewey North 107º"/>
    <x v="2"/>
    <s v="The Sophisticated Traveller"/>
    <s v=""/>
    <x v="1"/>
    <s v="The Traveller US"/>
    <s v="SaksStreetEdit_TheTravellerUS_Edit"/>
    <s v="Original"/>
    <n v="122415.4167"/>
    <s v="firm-bid"/>
    <m/>
    <m/>
    <m/>
    <m/>
    <m/>
    <m/>
    <n v="1"/>
    <x v="2"/>
    <n v="0"/>
    <n v="93441.483333333337"/>
    <m/>
    <m/>
  </r>
  <r>
    <s v="The Traveller US"/>
    <n v="0"/>
    <s v="Dewey North"/>
    <s v="Dewey North 107º"/>
    <x v="2"/>
    <s v="The Sophisticated Traveller"/>
    <s v=""/>
    <x v="5"/>
    <s v="The Traveller (US Version)"/>
    <s v="Club101_SummerFun_Green"/>
    <s v="Original"/>
    <n v="12400"/>
    <s v="firm-bid"/>
    <m/>
    <m/>
    <m/>
    <m/>
    <m/>
    <m/>
    <m/>
    <x v="2"/>
    <n v="0"/>
    <n v="11703.333333333334"/>
    <m/>
    <m/>
  </r>
  <r>
    <s v="The Traveller US"/>
    <n v="1"/>
    <s v="Dewey North"/>
    <s v="Dewey North 107º"/>
    <x v="2"/>
    <s v="The Sophisticated Traveller"/>
    <s v="Test Flight Productions"/>
    <x v="5"/>
    <s v="The Traveller (for US)"/>
    <s v="TestFlight_TheTravellerUS_Green"/>
    <s v="Original"/>
    <n v="13750"/>
    <s v="firm-bid"/>
    <n v="11703.333329999999"/>
    <m/>
    <m/>
    <m/>
    <m/>
    <m/>
    <n v="1"/>
    <x v="2"/>
    <n v="0"/>
    <n v="11703.333333333334"/>
    <n v="13750"/>
    <n v="13750"/>
  </r>
  <r>
    <s v="The Traveller US"/>
    <n v="0"/>
    <s v="Dewey North"/>
    <s v="Dewey North 107º"/>
    <x v="2"/>
    <s v="The Sophisticated Traveller"/>
    <s v=""/>
    <x v="5"/>
    <s v="The Traveller US V2"/>
    <s v="CHAW_TheTravellersFriend_Green"/>
    <s v="Original"/>
    <n v="8960"/>
    <s v="firm-bid"/>
    <m/>
    <m/>
    <n v="1"/>
    <m/>
    <m/>
    <m/>
    <n v="1"/>
    <x v="2"/>
    <n v="0"/>
    <n v="11703.333333333334"/>
    <m/>
    <m/>
  </r>
  <r>
    <s v="The Traveller US"/>
    <n v="0"/>
    <s v="Dewey North"/>
    <s v="Dewey North 107º"/>
    <x v="2"/>
    <s v="The Sophisticated Traveller"/>
    <s v=""/>
    <x v="4"/>
    <s v="The Traveller (US Version)"/>
    <s v="Club101_TheTravellerUS_Covid"/>
    <s v="Original"/>
    <n v="7010.9750000000004"/>
    <s v="firm-bid"/>
    <m/>
    <m/>
    <m/>
    <m/>
    <m/>
    <m/>
    <m/>
    <x v="2"/>
    <n v="0"/>
    <n v="7058.2400000000007"/>
    <m/>
    <m/>
  </r>
  <r>
    <s v="The Traveller US"/>
    <n v="1"/>
    <s v="Dewey North"/>
    <s v="Dewey North 107º"/>
    <x v="2"/>
    <s v="The Sophisticated Traveller"/>
    <s v="Test Flight Productions"/>
    <x v="4"/>
    <s v="The Traveller (for US)"/>
    <s v="TestFlight_TheTravellerUS_Covid"/>
    <s v="Original"/>
    <n v="5317.3125"/>
    <s v="firm-bid"/>
    <n v="7058.24"/>
    <m/>
    <m/>
    <m/>
    <m/>
    <m/>
    <n v="1"/>
    <x v="2"/>
    <n v="0"/>
    <n v="7058.2400000000007"/>
    <n v="5317.3125"/>
    <n v="5317.3125"/>
  </r>
  <r>
    <s v="The Traveller US"/>
    <n v="0"/>
    <s v="Dewey North"/>
    <s v="Dewey North 107º"/>
    <x v="2"/>
    <s v="The Sophisticated Traveller"/>
    <s v=""/>
    <x v="4"/>
    <s v="The Traveller US V2"/>
    <s v="CHAW_TheTravellerUS_Covid"/>
    <s v="Original"/>
    <n v="8846.4325000000008"/>
    <s v="firm-bid"/>
    <m/>
    <m/>
    <n v="1"/>
    <m/>
    <m/>
    <m/>
    <n v="1"/>
    <x v="2"/>
    <n v="0"/>
    <n v="7058.2400000000007"/>
    <m/>
    <m/>
  </r>
  <r>
    <s v="The Traveller US"/>
    <n v="0"/>
    <s v="Dewey North"/>
    <s v="Dewey North 107º"/>
    <x v="2"/>
    <s v="The Sophisticated Traveller"/>
    <s v=""/>
    <x v="0"/>
    <s v="The Traveller (US Version)"/>
    <s v="Club101_TheTravellerUS_LiveAction"/>
    <s v="Original"/>
    <n v="748472.65919999999"/>
    <s v="firm-bid"/>
    <m/>
    <m/>
    <m/>
    <m/>
    <m/>
    <m/>
    <m/>
    <x v="2"/>
    <n v="0"/>
    <n v="835635.3772333333"/>
    <m/>
    <m/>
  </r>
  <r>
    <s v="The Traveller US"/>
    <n v="1"/>
    <s v="Dewey North"/>
    <s v="Dewey North 107º"/>
    <x v="2"/>
    <s v="The Sophisticated Traveller"/>
    <s v="Test Flight Productions"/>
    <x v="0"/>
    <s v="The Traveller (for US)"/>
    <s v="TestFlight_TheTravellerUS_LiveAction"/>
    <s v="Original"/>
    <n v="856318.5"/>
    <s v="firm-bid"/>
    <n v="835635.37719999999"/>
    <m/>
    <m/>
    <m/>
    <m/>
    <m/>
    <n v="1"/>
    <x v="2"/>
    <n v="0"/>
    <n v="835635.3772333333"/>
    <n v="856318.5"/>
    <n v="856318.5"/>
  </r>
  <r>
    <s v="The Traveller US"/>
    <n v="0"/>
    <s v="Dewey North"/>
    <s v="Dewey North 107º"/>
    <x v="2"/>
    <s v="The Sophisticated Traveller"/>
    <s v=""/>
    <x v="0"/>
    <s v="The Traveller US V2"/>
    <s v="CHAW_TheTravellerUS_LiveAction"/>
    <s v="Original"/>
    <n v="902114.97250000003"/>
    <s v="firm-bid"/>
    <m/>
    <m/>
    <n v="1"/>
    <m/>
    <m/>
    <m/>
    <n v="1"/>
    <x v="2"/>
    <n v="0"/>
    <n v="835635.3772333333"/>
    <m/>
    <m/>
  </r>
  <r>
    <s v="The Traveller Settles Down"/>
    <n v="0"/>
    <s v="Dewey North"/>
    <s v="Dewey North 80¬∫"/>
    <x v="2"/>
    <s v="The Sophisticated Traveller"/>
    <s v=""/>
    <x v="2"/>
    <s v="Earwax &quot;The Traveller Settles Down&quot;"/>
    <s v="Earwax"/>
    <s v="Original"/>
    <n v="35540"/>
    <s v="firm-bid"/>
    <m/>
    <m/>
    <m/>
    <m/>
    <m/>
    <m/>
    <m/>
    <x v="2"/>
    <n v="0"/>
    <n v="52025"/>
    <m/>
    <m/>
  </r>
  <r>
    <s v="The Traveller Settles Down"/>
    <n v="1"/>
    <s v="Dewey North"/>
    <s v="Dewey North 80¬∫"/>
    <x v="2"/>
    <s v="The Sophisticated Traveller"/>
    <s v="Sound Monster"/>
    <x v="2"/>
    <s v="Sound Monster&quot;The Traveller Settles Down&quot;"/>
    <s v="Sound Monster"/>
    <s v="Original"/>
    <n v="68510"/>
    <s v="firm-bid"/>
    <n v="52025"/>
    <m/>
    <m/>
    <m/>
    <n v="1"/>
    <m/>
    <m/>
    <x v="2"/>
    <n v="0"/>
    <n v="52025"/>
    <n v="68510"/>
    <n v="68510"/>
  </r>
  <r>
    <s v="The Traveller Settles Down"/>
    <n v="0"/>
    <s v="Dewey North"/>
    <s v="Dewey North 80¬∫"/>
    <x v="2"/>
    <s v="The Sophisticated Traveller"/>
    <s v=""/>
    <x v="8"/>
    <s v="&quot;The Traveller Settles Down&quot; v2"/>
    <s v="M52_TheTravellerSettlesDown_Music"/>
    <s v="Original"/>
    <n v="8600"/>
    <s v="firm-bid"/>
    <m/>
    <n v="1"/>
    <m/>
    <m/>
    <m/>
    <n v="1"/>
    <m/>
    <x v="16"/>
    <n v="0"/>
    <n v="40166.666666666672"/>
    <m/>
    <m/>
  </r>
  <r>
    <s v="The Traveller Settles Down"/>
    <n v="1"/>
    <s v="Dewey North"/>
    <s v="Dewey North 80¬∫"/>
    <x v="2"/>
    <s v="The Sophisticated Traveller"/>
    <s v="Love Language"/>
    <x v="8"/>
    <s v="Love Language &quot;The Traveller Settles Down&quot; v2"/>
    <s v="LoveLanguage_TheTravellerSettlesDown_Music"/>
    <s v="Original"/>
    <n v="52150"/>
    <s v="firm-bid"/>
    <n v="40166.666669999999"/>
    <m/>
    <m/>
    <m/>
    <m/>
    <m/>
    <m/>
    <x v="2"/>
    <n v="0"/>
    <n v="40166.666666666672"/>
    <n v="52150"/>
    <n v="52150"/>
  </r>
  <r>
    <s v="The Traveller Settles Down"/>
    <n v="0"/>
    <s v="Dewey North"/>
    <s v="Dewey North 80¬∫"/>
    <x v="2"/>
    <s v="The Sophisticated Traveller"/>
    <s v=""/>
    <x v="8"/>
    <s v="T+L for &quot;Dewey North - The Traveller Settles Down&quot;"/>
    <s v="ToneandLogic_TheTravellerSettlesDown_Music"/>
    <s v="Original"/>
    <n v="59750"/>
    <s v="firm-bid"/>
    <m/>
    <m/>
    <m/>
    <m/>
    <m/>
    <m/>
    <n v="1"/>
    <x v="2"/>
    <n v="0"/>
    <n v="40166.666666666672"/>
    <m/>
    <m/>
  </r>
  <r>
    <s v="The Traveller Settles Down"/>
    <n v="1"/>
    <s v="Dewey North"/>
    <s v="Dewey North 80¬∫"/>
    <x v="2"/>
    <s v="The Sophisticated Traveller"/>
    <s v="Sorcery"/>
    <x v="9"/>
    <s v="v5 - &quot;The Traveller Settles Down&quot; //SORCERY"/>
    <s v="Sorcery_TheTravellerSettlesDown_VFX"/>
    <s v="Original"/>
    <n v="80541.5"/>
    <s v="firm-bid"/>
    <n v="79204.666670000006"/>
    <m/>
    <m/>
    <m/>
    <m/>
    <m/>
    <m/>
    <x v="2"/>
    <n v="0"/>
    <n v="79204.666666666672"/>
    <n v="80541.5"/>
    <n v="80541.5"/>
  </r>
  <r>
    <s v="The Traveller Settles Down"/>
    <n v="0"/>
    <s v="Dewey North"/>
    <s v="Dewey North 80¬∫"/>
    <x v="2"/>
    <s v="The Sophisticated Traveller"/>
    <s v=""/>
    <x v="9"/>
    <s v="&quot;The Traveller Settles Down&quot; JOB #4001"/>
    <s v="TerminalOutput_TheTravellerSettlesDown_VFX"/>
    <s v="Original"/>
    <n v="92170"/>
    <s v="firm-bid"/>
    <m/>
    <m/>
    <m/>
    <m/>
    <m/>
    <m/>
    <m/>
    <x v="2"/>
    <n v="0"/>
    <n v="79204.666666666672"/>
    <m/>
    <m/>
  </r>
  <r>
    <s v="The Traveller Settles Down"/>
    <n v="0"/>
    <s v="Dewey North"/>
    <s v="Dewey North 80¬∫"/>
    <x v="2"/>
    <s v="The Sophisticated Traveller"/>
    <s v=""/>
    <x v="9"/>
    <s v="&quot;The Traveller Settles Down&quot; by CJ #4"/>
    <s v="CalamityJane_TheTravellerSettlesDown_VFX"/>
    <s v="Original"/>
    <n v="64902.5"/>
    <s v="firm-bid"/>
    <m/>
    <m/>
    <m/>
    <m/>
    <m/>
    <n v="1"/>
    <m/>
    <x v="2"/>
    <n v="0"/>
    <n v="79204.666666666672"/>
    <m/>
    <m/>
  </r>
  <r>
    <s v="The Traveller Settles Down"/>
    <n v="0"/>
    <s v="Dewey North"/>
    <s v="Dewey North 80¬∫"/>
    <x v="2"/>
    <s v="The Sophisticated Traveller"/>
    <s v=""/>
    <x v="3"/>
    <s v="The Traveller Settles Down Burnish"/>
    <s v="Burnish_TheTravellerSettlesDown_Finishing"/>
    <s v="Original"/>
    <n v="8850"/>
    <s v="firm-bid"/>
    <m/>
    <m/>
    <m/>
    <m/>
    <m/>
    <n v="1"/>
    <m/>
    <x v="2"/>
    <n v="0"/>
    <n v="18050"/>
    <m/>
    <m/>
  </r>
  <r>
    <s v="The Traveller Settles Down"/>
    <n v="1"/>
    <s v="Dewey North"/>
    <s v="Dewey North 80¬∫"/>
    <x v="2"/>
    <s v="The Sophisticated Traveller"/>
    <s v="Witness"/>
    <x v="3"/>
    <s v="WITNESS:: The Traveller Settles Down_x0009_V2"/>
    <s v="Witness_TheTravellerSettlesDown_Finishing"/>
    <s v="Original"/>
    <n v="28600"/>
    <s v="firm-bid"/>
    <n v="18050"/>
    <m/>
    <m/>
    <n v="1"/>
    <n v="1"/>
    <m/>
    <m/>
    <x v="2"/>
    <n v="0"/>
    <n v="18050"/>
    <n v="28600"/>
    <n v="28600"/>
  </r>
  <r>
    <s v="The Traveller Settles Down"/>
    <n v="0"/>
    <s v="Dewey North"/>
    <s v="Dewey North 80¬∫"/>
    <x v="2"/>
    <s v="The Sophisticated Traveller"/>
    <s v=""/>
    <x v="3"/>
    <s v="colorMaven &quot;The Traveller Settles Down&quot;"/>
    <s v=""/>
    <s v="Original"/>
    <n v="16700"/>
    <s v="firm-bid"/>
    <m/>
    <m/>
    <m/>
    <m/>
    <m/>
    <n v="1"/>
    <m/>
    <x v="2"/>
    <n v="0"/>
    <n v="18050"/>
    <m/>
    <m/>
  </r>
  <r>
    <s v="The Traveller Settles Down"/>
    <n v="0"/>
    <s v="Dewey North"/>
    <s v="Dewey North 80¬∫"/>
    <x v="2"/>
    <s v="The Sophisticated Traveller"/>
    <s v=""/>
    <x v="1"/>
    <s v="The Traveller Settles Down"/>
    <s v="ToTo_TheTravellerSettlesDown_Edit"/>
    <s v="Original"/>
    <n v="112476.875"/>
    <s v="firm-bid"/>
    <m/>
    <m/>
    <m/>
    <m/>
    <m/>
    <m/>
    <m/>
    <x v="2"/>
    <n v="0"/>
    <n v="100943.59723333333"/>
    <m/>
    <m/>
  </r>
  <r>
    <s v="The Traveller Settles Down"/>
    <n v="1"/>
    <s v="Dewey North"/>
    <s v="Dewey North 80¬∫"/>
    <x v="2"/>
    <s v="The Sophisticated Traveller"/>
    <s v="Armistice Edit"/>
    <x v="1"/>
    <s v="The Traveller Settles Down"/>
    <s v="Armistace_TheTravellerSettlesDown_Edit"/>
    <s v="Original"/>
    <n v="111615.9917"/>
    <s v="firm-bid"/>
    <n v="100943.5972"/>
    <m/>
    <m/>
    <m/>
    <m/>
    <m/>
    <m/>
    <x v="2"/>
    <n v="0"/>
    <n v="100943.59723333333"/>
    <n v="111615.9917"/>
    <n v="111615.9917"/>
  </r>
  <r>
    <s v="The Traveller Settles Down"/>
    <n v="0"/>
    <s v="Dewey North"/>
    <s v="Dewey North 80¬∫"/>
    <x v="2"/>
    <s v="The Sophisticated Traveller"/>
    <s v=""/>
    <x v="1"/>
    <s v="The Traveller Settles Down"/>
    <s v="MyrtleRow_TheTravellerSettlesDown_Edit"/>
    <s v="Original"/>
    <n v="78737.925000000003"/>
    <s v="firm-bid"/>
    <m/>
    <m/>
    <m/>
    <m/>
    <m/>
    <m/>
    <n v="1"/>
    <x v="2"/>
    <n v="0"/>
    <n v="100943.59723333333"/>
    <m/>
    <m/>
  </r>
  <r>
    <s v="The Traveller Settles Down"/>
    <n v="0"/>
    <s v="Dewey North"/>
    <s v="Dewey North 80¬∫"/>
    <x v="2"/>
    <s v="The Sophisticated Traveller"/>
    <s v=""/>
    <x v="5"/>
    <s v="TTSD"/>
    <s v="Interstate_TheTravellerSettlesDown_Green"/>
    <s v="Original"/>
    <n v="6875"/>
    <s v="firm-bid"/>
    <m/>
    <m/>
    <m/>
    <m/>
    <m/>
    <n v="1"/>
    <m/>
    <x v="2"/>
    <n v="0"/>
    <n v="8766.3333333333339"/>
    <m/>
    <m/>
  </r>
  <r>
    <s v="The Traveller Settles Down"/>
    <n v="1"/>
    <s v="Dewey North"/>
    <s v="Dewey North 80¬∫"/>
    <x v="2"/>
    <s v="The Sophisticated Traveller"/>
    <s v="Open Frameworks Image Creation"/>
    <x v="5"/>
    <s v="The Traveller Settles Down"/>
    <s v="OpenFrameworks_TheTravellerSettlesDown_Green"/>
    <s v="Original"/>
    <n v="8928"/>
    <s v="firm-bid"/>
    <n v="8766.3333330000005"/>
    <n v="1"/>
    <n v="1"/>
    <m/>
    <m/>
    <m/>
    <m/>
    <x v="17"/>
    <n v="8928"/>
    <n v="8766.3333333333339"/>
    <n v="8928"/>
    <n v="8928"/>
  </r>
  <r>
    <s v="The Traveller Settles Down"/>
    <n v="0"/>
    <s v="Dewey North"/>
    <s v="Dewey North 80¬∫"/>
    <x v="2"/>
    <s v="The Sophisticated Traveller"/>
    <s v=""/>
    <x v="5"/>
    <s v="TTSD"/>
    <s v="Petulant_TheTravellerSettlesDown_Green"/>
    <s v="Original"/>
    <n v="10496"/>
    <s v="firm-bid"/>
    <m/>
    <n v="1"/>
    <m/>
    <m/>
    <m/>
    <m/>
    <m/>
    <x v="18"/>
    <n v="0"/>
    <n v="8766.3333333333339"/>
    <m/>
    <m/>
  </r>
  <r>
    <s v="The Traveller Settles Down"/>
    <n v="0"/>
    <s v="Dewey North"/>
    <s v="Dewey North 80¬∫"/>
    <x v="2"/>
    <s v="The Sophisticated Traveller"/>
    <s v=""/>
    <x v="4"/>
    <s v="TTSD"/>
    <s v="Interstate_TheTravellerSettlesDown_Covid"/>
    <s v="Original"/>
    <n v="10484.952499999999"/>
    <s v="firm-bid"/>
    <m/>
    <m/>
    <m/>
    <m/>
    <m/>
    <n v="1"/>
    <m/>
    <x v="2"/>
    <n v="0"/>
    <n v="7291.939166666667"/>
    <m/>
    <m/>
  </r>
  <r>
    <s v="The Traveller Settles Down"/>
    <n v="1"/>
    <s v="Dewey North"/>
    <s v="Dewey North 80¬∫"/>
    <x v="2"/>
    <s v="The Sophisticated Traveller"/>
    <s v="Open Frameworks Image Creation"/>
    <x v="4"/>
    <s v="The Traveller Settles Down"/>
    <s v="OpenFrameworks_TheTravellerSettlesDown_Covid"/>
    <s v="Original"/>
    <n v="6664.3649999999998"/>
    <s v="firm-bid"/>
    <n v="7291.9391670000005"/>
    <n v="1"/>
    <n v="1"/>
    <m/>
    <m/>
    <m/>
    <m/>
    <x v="19"/>
    <n v="6664.3649999999998"/>
    <n v="7291.939166666667"/>
    <n v="6664.3649999999998"/>
    <n v="6664.3649999999998"/>
  </r>
  <r>
    <s v="The Traveller Settles Down"/>
    <n v="0"/>
    <s v="Dewey North"/>
    <s v="Dewey North 80¬∫"/>
    <x v="2"/>
    <s v="The Sophisticated Traveller"/>
    <s v=""/>
    <x v="4"/>
    <s v="TTSD"/>
    <s v="Petulant_TheTravellerSettlesDown_Covid"/>
    <s v="Original"/>
    <n v="4726.5"/>
    <s v="firm-bid"/>
    <m/>
    <n v="1"/>
    <m/>
    <m/>
    <m/>
    <m/>
    <m/>
    <x v="20"/>
    <n v="0"/>
    <n v="7291.939166666667"/>
    <m/>
    <m/>
  </r>
  <r>
    <s v="The Traveller Settles Down"/>
    <n v="0"/>
    <s v="Dewey North"/>
    <s v="Dewey North 80¬∫"/>
    <x v="2"/>
    <s v="The Sophisticated Traveller"/>
    <s v=""/>
    <x v="0"/>
    <s v="TTSD"/>
    <s v="Interstate_TheTravellerSettlesDown_LiveAction"/>
    <s v="Original"/>
    <n v="702418.88"/>
    <s v="firm-bid"/>
    <m/>
    <m/>
    <m/>
    <m/>
    <m/>
    <n v="1"/>
    <m/>
    <x v="2"/>
    <n v="0"/>
    <n v="656708.28960000002"/>
    <m/>
    <m/>
  </r>
  <r>
    <s v="The Traveller Settles Down"/>
    <n v="1"/>
    <s v="Dewey North"/>
    <s v="Dewey North 80¬∫"/>
    <x v="2"/>
    <s v="The Sophisticated Traveller"/>
    <s v="Open Frameworks Image Creation"/>
    <x v="0"/>
    <s v="The Traveller Settles Down"/>
    <s v="OpenFrameworks_TheTravellerSettlesDown_LiveAction"/>
    <s v="Original"/>
    <n v="621332.42879999999"/>
    <s v="firm-bid"/>
    <n v="656708.28960000002"/>
    <n v="1"/>
    <n v="1"/>
    <m/>
    <m/>
    <m/>
    <m/>
    <x v="21"/>
    <n v="621332.42879999999"/>
    <n v="656708.28960000002"/>
    <n v="621332.42879999999"/>
    <n v="621332.42879999999"/>
  </r>
  <r>
    <s v="The Traveller Settles Down"/>
    <n v="0"/>
    <s v="Dewey North"/>
    <s v="Dewey North 80¬∫"/>
    <x v="2"/>
    <s v="The Sophisticated Traveller"/>
    <s v=""/>
    <x v="0"/>
    <s v="TTSD"/>
    <s v="Petulant_TheTravellerSettlesDown_LiveAction"/>
    <s v="Original"/>
    <n v="646373.56000000006"/>
    <s v="firm-bid"/>
    <m/>
    <n v="1"/>
    <m/>
    <m/>
    <m/>
    <m/>
    <m/>
    <x v="22"/>
    <n v="0"/>
    <n v="656708.28960000002"/>
    <m/>
    <m/>
  </r>
  <r>
    <s v="Designated Dad"/>
    <n v="0"/>
    <s v="Walker's"/>
    <s v="Walker's N/A"/>
    <x v="3"/>
    <s v="Party Light"/>
    <s v=""/>
    <x v="2"/>
    <s v="Sound Monster &quot;Designated Dad&quot;"/>
    <s v="Sound Monster"/>
    <s v="Original"/>
    <n v="50580"/>
    <s v="firm-bid"/>
    <m/>
    <m/>
    <m/>
    <m/>
    <m/>
    <m/>
    <m/>
    <x v="2"/>
    <n v="0"/>
    <n v="36220"/>
    <m/>
    <m/>
  </r>
  <r>
    <s v="Designated Dad"/>
    <n v="0"/>
    <s v="Walker's"/>
    <s v="Walker's N/A"/>
    <x v="3"/>
    <s v="Party Light"/>
    <s v=""/>
    <x v="2"/>
    <s v="Funny Rabbit &quot;Designated Dad&quot;"/>
    <s v="Funny Rabbit"/>
    <s v="Original"/>
    <n v="18410"/>
    <s v="firm-bid"/>
    <m/>
    <n v="1"/>
    <n v="1"/>
    <m/>
    <n v="1"/>
    <n v="1"/>
    <m/>
    <x v="23"/>
    <n v="0"/>
    <n v="36220"/>
    <m/>
    <m/>
  </r>
  <r>
    <s v="Designated Dad"/>
    <n v="1"/>
    <s v="Walker's"/>
    <s v="Walker's N/A"/>
    <x v="3"/>
    <s v="Party Light"/>
    <s v="Earwax"/>
    <x v="2"/>
    <s v="Earwax"/>
    <s v="Earwax"/>
    <s v="Original"/>
    <n v="39670"/>
    <s v="firm-bid"/>
    <n v="36220"/>
    <m/>
    <m/>
    <m/>
    <m/>
    <m/>
    <m/>
    <x v="2"/>
    <n v="0"/>
    <n v="36220"/>
    <n v="39670"/>
    <n v="39670"/>
  </r>
  <r>
    <s v="Designated Dad"/>
    <n v="0"/>
    <s v="Walker's"/>
    <s v="Walker's N/A"/>
    <x v="3"/>
    <s v="Party Light"/>
    <s v=""/>
    <x v="6"/>
    <s v="DesDad"/>
    <s v="Interstate_DesignatedDad_Retouching"/>
    <s v="Original"/>
    <n v="21700"/>
    <s v="firm-bid"/>
    <m/>
    <m/>
    <m/>
    <m/>
    <m/>
    <n v="1"/>
    <m/>
    <x v="2"/>
    <n v="0"/>
    <n v="25166.666666666668"/>
    <m/>
    <m/>
  </r>
  <r>
    <s v="Designated Dad"/>
    <n v="1"/>
    <s v="Walker's"/>
    <s v="Walker's N/A"/>
    <x v="3"/>
    <s v="Party Light"/>
    <s v="Furrier"/>
    <x v="6"/>
    <s v="&quot;Designated Dad&quot; Stills - Furrier"/>
    <s v="Furrier_DesignatedDad_Retouching"/>
    <s v="Original"/>
    <n v="18350"/>
    <s v="firm-bid"/>
    <n v="25166.666669999999"/>
    <m/>
    <m/>
    <m/>
    <m/>
    <m/>
    <m/>
    <x v="2"/>
    <n v="0"/>
    <n v="25166.666666666668"/>
    <n v="18350"/>
    <n v="18350"/>
  </r>
  <r>
    <s v="Designated Dad"/>
    <n v="0"/>
    <s v="Walker's"/>
    <s v="Walker's N/A"/>
    <x v="3"/>
    <s v="Party Light"/>
    <s v=""/>
    <x v="6"/>
    <s v="Buck &amp; Archie &quot;Walker's:Designated Dad&quot; v1"/>
    <s v="BuckandArchie_DesignatedDad_Retouching"/>
    <s v="Original"/>
    <n v="35450"/>
    <s v="firm-bid"/>
    <m/>
    <m/>
    <m/>
    <m/>
    <m/>
    <m/>
    <m/>
    <x v="2"/>
    <n v="0"/>
    <n v="25166.666666666668"/>
    <m/>
    <m/>
  </r>
  <r>
    <s v="Designated Dad"/>
    <n v="0"/>
    <s v="Walker's"/>
    <s v="Walker's N/A"/>
    <x v="3"/>
    <s v="Party Light"/>
    <s v=""/>
    <x v="7"/>
    <s v="DesDad"/>
    <s v="Interstate_DesignatedDad_Stills"/>
    <s v="Original"/>
    <n v="151338.10579999999"/>
    <s v="firm-bid"/>
    <m/>
    <m/>
    <m/>
    <m/>
    <m/>
    <n v="1"/>
    <m/>
    <x v="2"/>
    <n v="0"/>
    <n v="149975.39453333334"/>
    <m/>
    <m/>
  </r>
  <r>
    <s v="Designated Dad"/>
    <n v="1"/>
    <s v="Walker's"/>
    <s v="Walker's N/A"/>
    <x v="3"/>
    <s v="Party Light"/>
    <s v="Furrier"/>
    <x v="7"/>
    <s v="&quot;Designated Dad&quot; Stills - Furrier"/>
    <s v="Furrier_DesignatedDad_Stills"/>
    <s v="Original"/>
    <n v="146169.37580000001"/>
    <s v="firm-bid"/>
    <n v="149975.3946"/>
    <m/>
    <m/>
    <m/>
    <m/>
    <m/>
    <m/>
    <x v="2"/>
    <n v="0"/>
    <n v="149975.39453333334"/>
    <n v="146169.37580000001"/>
    <n v="146169.37580000001"/>
  </r>
  <r>
    <s v="Designated Dad"/>
    <n v="0"/>
    <s v="Walker's"/>
    <s v="Walker's N/A"/>
    <x v="3"/>
    <s v="Party Light"/>
    <s v=""/>
    <x v="7"/>
    <s v="Buck &amp; Archie &quot;Walker's:Designated Dad&quot; v1"/>
    <s v="BuckandArchie_DesignatedDad_Stills"/>
    <s v="Original"/>
    <n v="152418.70199999999"/>
    <s v="firm-bid"/>
    <m/>
    <m/>
    <m/>
    <m/>
    <m/>
    <m/>
    <m/>
    <x v="2"/>
    <n v="0"/>
    <n v="149975.39453333334"/>
    <m/>
    <m/>
  </r>
  <r>
    <s v="Designated Dad"/>
    <n v="0"/>
    <s v="Walker's"/>
    <s v="Walker's N/A"/>
    <x v="3"/>
    <s v="Party Light"/>
    <s v=""/>
    <x v="0"/>
    <s v="DesDad"/>
    <s v="CHAW_DesignatedDad_LiveAction"/>
    <s v="Original"/>
    <n v="836827.74"/>
    <s v="firm-bid"/>
    <m/>
    <m/>
    <n v="1"/>
    <m/>
    <m/>
    <m/>
    <n v="1"/>
    <x v="2"/>
    <n v="0"/>
    <n v="689735.13113333331"/>
    <m/>
    <m/>
  </r>
  <r>
    <s v="Designated Dad"/>
    <n v="1"/>
    <s v="Walker's"/>
    <s v="Walker's N/A"/>
    <x v="3"/>
    <s v="Party Light"/>
    <s v="Club 101"/>
    <x v="0"/>
    <s v="Designated Dad"/>
    <s v="Club101_DesignatedDad_LiveAction"/>
    <s v="Original"/>
    <n v="557667.92339999997"/>
    <s v="firm-bid"/>
    <n v="689735.1311"/>
    <m/>
    <m/>
    <m/>
    <m/>
    <m/>
    <m/>
    <x v="2"/>
    <n v="0"/>
    <n v="689735.13113333331"/>
    <n v="557667.92339999997"/>
    <n v="557667.92339999997"/>
  </r>
  <r>
    <s v="Designated Dad"/>
    <n v="0"/>
    <s v="Walker's"/>
    <s v="Walker's N/A"/>
    <x v="3"/>
    <s v="Party Light"/>
    <s v=""/>
    <x v="0"/>
    <s v="DesDad"/>
    <s v="Petulant_DesignatedDad_LiveAction"/>
    <s v="Original"/>
    <n v="674709.73"/>
    <s v="firm-bid"/>
    <m/>
    <n v="1"/>
    <m/>
    <m/>
    <m/>
    <m/>
    <m/>
    <x v="24"/>
    <n v="0"/>
    <n v="689735.13113333331"/>
    <m/>
    <m/>
  </r>
  <r>
    <s v="Designated Dad"/>
    <n v="0"/>
    <s v="Walker's"/>
    <s v="Walker's N/A"/>
    <x v="3"/>
    <s v="Party Light"/>
    <s v=""/>
    <x v="4"/>
    <s v="DesDad"/>
    <s v="CHAW_DesignatedDad_Covid"/>
    <s v="Original"/>
    <n v="5136.13"/>
    <s v="firm-bid"/>
    <m/>
    <m/>
    <n v="1"/>
    <m/>
    <m/>
    <m/>
    <n v="1"/>
    <x v="2"/>
    <n v="0"/>
    <n v="5600.9025000000001"/>
    <m/>
    <m/>
  </r>
  <r>
    <s v="Designated Dad"/>
    <n v="1"/>
    <s v="Walker's"/>
    <s v="Walker's N/A"/>
    <x v="3"/>
    <s v="Party Light"/>
    <s v="Club 101"/>
    <x v="4"/>
    <s v="Designated Dad"/>
    <s v="Club101_DesignatedDad_Covid"/>
    <s v="Original"/>
    <n v="2638.9625000000001"/>
    <s v="firm-bid"/>
    <n v="5600.9025000000001"/>
    <m/>
    <m/>
    <m/>
    <m/>
    <m/>
    <m/>
    <x v="2"/>
    <n v="0"/>
    <n v="5600.9025000000001"/>
    <n v="2638.9625000000001"/>
    <n v="2638.9625000000001"/>
  </r>
  <r>
    <s v="Designated Dad"/>
    <n v="0"/>
    <s v="Walker's"/>
    <s v="Walker's N/A"/>
    <x v="3"/>
    <s v="Party Light"/>
    <s v=""/>
    <x v="4"/>
    <s v="DesDad"/>
    <s v="Petulant_DesignatedDad_Covid"/>
    <s v="Original"/>
    <n v="9027.6149999999998"/>
    <s v="firm-bid"/>
    <m/>
    <n v="1"/>
    <m/>
    <m/>
    <m/>
    <m/>
    <m/>
    <x v="25"/>
    <n v="0"/>
    <n v="5600.9025000000001"/>
    <m/>
    <m/>
  </r>
  <r>
    <s v="Designated Dad"/>
    <n v="0"/>
    <s v="Walker's"/>
    <s v="Walker's N/A"/>
    <x v="3"/>
    <s v="Party Light"/>
    <s v=""/>
    <x v="5"/>
    <s v="DesDad"/>
    <s v="CHAW_DesignatedDad_Green"/>
    <s v="Original"/>
    <n v="7182"/>
    <s v="firm-bid"/>
    <m/>
    <m/>
    <n v="1"/>
    <m/>
    <m/>
    <m/>
    <n v="1"/>
    <x v="2"/>
    <n v="0"/>
    <n v="5023.3333333333339"/>
    <m/>
    <m/>
  </r>
  <r>
    <s v="Designated Dad"/>
    <n v="1"/>
    <s v="Walker's"/>
    <s v="Walker's N/A"/>
    <x v="3"/>
    <s v="Party Light"/>
    <s v="Club 101"/>
    <x v="5"/>
    <s v="Designated Dad"/>
    <s v="Club101_DesignatedDad_Green"/>
    <s v="Original"/>
    <n v="6400"/>
    <s v="firm-bid"/>
    <n v="5023.3333329999996"/>
    <m/>
    <m/>
    <m/>
    <m/>
    <m/>
    <m/>
    <x v="2"/>
    <n v="0"/>
    <n v="5023.3333333333339"/>
    <n v="6400"/>
    <n v="6400"/>
  </r>
  <r>
    <s v="Designated Dad"/>
    <n v="0"/>
    <s v="Walker's"/>
    <s v="Walker's N/A"/>
    <x v="3"/>
    <s v="Party Light"/>
    <s v=""/>
    <x v="5"/>
    <s v="DesDad"/>
    <s v="Petulant_DesignatedDad_Green"/>
    <s v="Original"/>
    <n v="1488"/>
    <s v="firm-bid"/>
    <m/>
    <n v="1"/>
    <m/>
    <m/>
    <m/>
    <m/>
    <m/>
    <x v="26"/>
    <n v="0"/>
    <n v="5023.3333333333339"/>
    <m/>
    <m/>
  </r>
  <r>
    <s v="Designated Dad"/>
    <n v="0"/>
    <s v="Walker's"/>
    <s v="Walker's N/A"/>
    <x v="3"/>
    <s v="Party Light"/>
    <s v=""/>
    <x v="1"/>
    <s v="TBLLC - Designated Dad v1"/>
    <s v="TimeBomb_DesignatedDad_Edit"/>
    <s v="Original"/>
    <n v="123512.0833"/>
    <s v="firm-bid"/>
    <m/>
    <m/>
    <m/>
    <m/>
    <m/>
    <m/>
    <m/>
    <x v="2"/>
    <n v="0"/>
    <n v="123349.4111"/>
    <m/>
    <m/>
  </r>
  <r>
    <s v="Designated Dad"/>
    <n v="1"/>
    <s v="Walker's"/>
    <s v="Walker's N/A"/>
    <x v="3"/>
    <s v="Party Light"/>
    <s v="The Closet"/>
    <x v="1"/>
    <s v="Designated Dad"/>
    <s v="TheCloset_DesignatedDad_Edit"/>
    <s v="Original"/>
    <n v="123923.3333"/>
    <s v="firm-bid"/>
    <n v="123349.4111"/>
    <m/>
    <m/>
    <m/>
    <m/>
    <n v="1"/>
    <n v="1"/>
    <x v="2"/>
    <n v="0"/>
    <n v="123349.4111"/>
    <n v="123923.3333"/>
    <n v="123923.3333"/>
  </r>
  <r>
    <s v="Designated Dad"/>
    <n v="0"/>
    <s v="Walker's"/>
    <s v="Walker's N/A"/>
    <x v="3"/>
    <s v="Party Light"/>
    <s v=""/>
    <x v="1"/>
    <s v="Designated Dad"/>
    <s v="ToTo_DesignatedDad_Edit"/>
    <s v="Original"/>
    <n v="122612.8167"/>
    <s v="firm-bid"/>
    <m/>
    <m/>
    <m/>
    <m/>
    <m/>
    <m/>
    <m/>
    <x v="2"/>
    <n v="0"/>
    <n v="123349.4111"/>
    <m/>
    <m/>
  </r>
  <r>
    <s v="Designated Dad"/>
    <n v="1"/>
    <s v="Walker's"/>
    <s v="Walker's N/A"/>
    <x v="3"/>
    <s v="Party Light"/>
    <s v="Here &amp; Now"/>
    <x v="3"/>
    <s v="Here &amp; Now for &quot;Designated Dad&quot;"/>
    <s v="HereandNow_DesignatedDad_Finishing"/>
    <s v="Original"/>
    <n v="41300"/>
    <s v="firm-bid"/>
    <n v="38500"/>
    <m/>
    <m/>
    <m/>
    <m/>
    <m/>
    <m/>
    <x v="2"/>
    <n v="0"/>
    <n v="38500"/>
    <n v="41300"/>
    <n v="41300"/>
  </r>
  <r>
    <s v="Designated Dad"/>
    <n v="0"/>
    <s v="Walker's"/>
    <s v="Walker's N/A"/>
    <x v="3"/>
    <s v="Party Light"/>
    <s v=""/>
    <x v="3"/>
    <s v="&quot;Designated Dad&quot; RSD #452002"/>
    <s v="RackspaceDigital_DesignatedDad_Finishing"/>
    <s v="Original"/>
    <n v="53600"/>
    <s v="firm-bid"/>
    <m/>
    <m/>
    <m/>
    <m/>
    <m/>
    <m/>
    <m/>
    <x v="2"/>
    <n v="0"/>
    <n v="38500"/>
    <m/>
    <m/>
  </r>
  <r>
    <s v="Designated Dad"/>
    <n v="0"/>
    <s v="Walker's"/>
    <s v="Walker's N/A"/>
    <x v="3"/>
    <s v="Party Light"/>
    <s v=""/>
    <x v="3"/>
    <s v="‚ÄúDesignated Dad‚Äù | Dub House"/>
    <s v="TheDubHouse_DesignatedDad_Finishing"/>
    <s v="Original"/>
    <n v="20600"/>
    <s v="firm-bid"/>
    <m/>
    <m/>
    <m/>
    <m/>
    <m/>
    <m/>
    <m/>
    <x v="2"/>
    <n v="0"/>
    <n v="38500"/>
    <m/>
    <m/>
  </r>
  <r>
    <s v="Sunday Night Lights"/>
    <n v="0"/>
    <s v="Walker's"/>
    <s v="Walker's IPA"/>
    <x v="3"/>
    <s v="Walker's Brand Films"/>
    <s v=""/>
    <x v="2"/>
    <s v="Love Language  &quot;Sunday Night Lights&quot;"/>
    <s v="Love131"/>
    <s v="Original"/>
    <n v="21500"/>
    <s v="firm-bid"/>
    <m/>
    <m/>
    <m/>
    <m/>
    <m/>
    <m/>
    <m/>
    <x v="2"/>
    <n v="0"/>
    <n v="31766.666666666664"/>
    <m/>
    <m/>
  </r>
  <r>
    <s v="Sunday Night Lights"/>
    <n v="1"/>
    <s v="Walker's"/>
    <s v="Walker's IPA"/>
    <x v="3"/>
    <s v="Walker's Brand Films"/>
    <s v="Arsonist Post"/>
    <x v="2"/>
    <s v="Arsonist&quot;Sunday Night Lights&quot;"/>
    <s v="Arsonist"/>
    <s v="Original"/>
    <n v="40400"/>
    <s v="firm-bid"/>
    <n v="31766.666669999999"/>
    <m/>
    <m/>
    <m/>
    <m/>
    <m/>
    <m/>
    <x v="2"/>
    <n v="0"/>
    <n v="31766.666666666664"/>
    <n v="40400"/>
    <n v="40400"/>
  </r>
  <r>
    <s v="Sunday Night Lights"/>
    <n v="0"/>
    <s v="Walker's"/>
    <s v="Walker's IPA"/>
    <x v="3"/>
    <s v="Walker's Brand Films"/>
    <s v=""/>
    <x v="2"/>
    <s v="Earwax &quot;Sunday Night Lights&quot;"/>
    <s v="Earwax"/>
    <s v="Original"/>
    <n v="33400"/>
    <s v="firm-bid"/>
    <m/>
    <m/>
    <m/>
    <n v="1"/>
    <n v="1"/>
    <m/>
    <m/>
    <x v="2"/>
    <n v="0"/>
    <n v="31766.666666666664"/>
    <m/>
    <m/>
  </r>
  <r>
    <s v="Sunday Night Lights"/>
    <n v="0"/>
    <s v="Walker's"/>
    <s v="Walker's IPA"/>
    <x v="3"/>
    <s v="Walker's Brand Films"/>
    <s v=""/>
    <x v="0"/>
    <s v="Sunday Night Lights"/>
    <s v="Interstate_SundayNightLights_LiveAction"/>
    <s v="Original"/>
    <n v="804309.03"/>
    <s v="firm-bid"/>
    <m/>
    <m/>
    <m/>
    <m/>
    <m/>
    <n v="1"/>
    <m/>
    <x v="2"/>
    <n v="0"/>
    <n v="827429.73420000006"/>
    <m/>
    <m/>
  </r>
  <r>
    <s v="Sunday Night Lights"/>
    <n v="1"/>
    <s v="Walker's"/>
    <s v="Walker's IPA"/>
    <x v="3"/>
    <s v="Walker's Brand Films"/>
    <s v="Petulant Pictures"/>
    <x v="0"/>
    <s v="SunNightLights"/>
    <s v="Petulant_SundayNightLights_LiveAction"/>
    <s v="Original"/>
    <n v="746158.29760000005"/>
    <s v="firm-bid"/>
    <n v="827429.73419999995"/>
    <n v="1"/>
    <m/>
    <m/>
    <m/>
    <m/>
    <m/>
    <x v="27"/>
    <n v="746158.29760000005"/>
    <n v="827429.73420000006"/>
    <n v="746158.29760000005"/>
    <n v="746158.29760000005"/>
  </r>
  <r>
    <s v="Sunday Night Lights"/>
    <n v="0"/>
    <s v="Walker's"/>
    <s v="Walker's IPA"/>
    <x v="3"/>
    <s v="Walker's Brand Films"/>
    <s v=""/>
    <x v="0"/>
    <s v="Sunday Night Lights"/>
    <s v="OpenFrameworks_SundayNightLights_LiveAction"/>
    <s v="Original"/>
    <n v="931821.875"/>
    <s v="firm-bid"/>
    <m/>
    <n v="1"/>
    <n v="1"/>
    <m/>
    <m/>
    <m/>
    <m/>
    <x v="28"/>
    <n v="0"/>
    <n v="827429.73420000006"/>
    <m/>
    <m/>
  </r>
  <r>
    <s v="Sunday Night Lights"/>
    <n v="0"/>
    <s v="Walker's"/>
    <s v="Walker's IPA"/>
    <x v="3"/>
    <s v="Walker's Brand Films"/>
    <s v=""/>
    <x v="4"/>
    <s v="Sunday Night Lights"/>
    <s v="Interstate_SundayNightLights_Covid"/>
    <s v="Original"/>
    <n v="11871.3925"/>
    <s v="firm-bid"/>
    <m/>
    <m/>
    <m/>
    <m/>
    <m/>
    <n v="1"/>
    <m/>
    <x v="2"/>
    <n v="0"/>
    <n v="7782.9699999999993"/>
    <m/>
    <m/>
  </r>
  <r>
    <s v="Sunday Night Lights"/>
    <n v="1"/>
    <s v="Walker's"/>
    <s v="Walker's IPA"/>
    <x v="3"/>
    <s v="Walker's Brand Films"/>
    <s v="Petulant Pictures"/>
    <x v="4"/>
    <s v="SunNightLights"/>
    <s v="Petulant_SundayNightLights_Covid"/>
    <s v="Original"/>
    <n v="5537.8824999999997"/>
    <s v="firm-bid"/>
    <n v="7782.97"/>
    <n v="1"/>
    <m/>
    <m/>
    <m/>
    <m/>
    <m/>
    <x v="29"/>
    <n v="5537.8824999999997"/>
    <n v="7782.9699999999993"/>
    <n v="5537.8824999999997"/>
    <n v="5537.8824999999997"/>
  </r>
  <r>
    <s v="Sunday Night Lights"/>
    <n v="0"/>
    <s v="Walker's"/>
    <s v="Walker's IPA"/>
    <x v="3"/>
    <s v="Walker's Brand Films"/>
    <s v=""/>
    <x v="4"/>
    <s v="Sunday Night Lights"/>
    <s v="OpenFrameworks_SundayNightLights_Covid"/>
    <s v="Original"/>
    <n v="5939.6350000000002"/>
    <s v="firm-bid"/>
    <m/>
    <n v="1"/>
    <n v="1"/>
    <m/>
    <m/>
    <m/>
    <m/>
    <x v="30"/>
    <n v="0"/>
    <n v="7782.9699999999993"/>
    <m/>
    <m/>
  </r>
  <r>
    <s v="Sunday Night Lights"/>
    <n v="0"/>
    <s v="Walker's"/>
    <s v="Walker's IPA"/>
    <x v="3"/>
    <s v="Walker's Brand Films"/>
    <s v=""/>
    <x v="5"/>
    <s v="Sunday Night Lights"/>
    <s v="Interstate_SundayNightLights_Green"/>
    <s v="Original"/>
    <n v="6750"/>
    <s v="firm-bid"/>
    <m/>
    <m/>
    <m/>
    <m/>
    <m/>
    <n v="1"/>
    <m/>
    <x v="2"/>
    <n v="0"/>
    <n v="11750"/>
    <m/>
    <m/>
  </r>
  <r>
    <s v="Sunday Night Lights"/>
    <n v="1"/>
    <s v="Walker's"/>
    <s v="Walker's IPA"/>
    <x v="3"/>
    <s v="Walker's Brand Films"/>
    <s v="Petulant Pictures"/>
    <x v="5"/>
    <s v="SunNightLights"/>
    <s v="Petulant_SundayNightLights_Green"/>
    <s v="Original"/>
    <n v="11214"/>
    <s v="firm-bid"/>
    <n v="11750"/>
    <n v="1"/>
    <m/>
    <m/>
    <m/>
    <m/>
    <m/>
    <x v="31"/>
    <n v="11214"/>
    <n v="11750"/>
    <n v="11214"/>
    <n v="11214"/>
  </r>
  <r>
    <s v="Sunday Night Lights"/>
    <n v="0"/>
    <s v="Walker's"/>
    <s v="Walker's IPA"/>
    <x v="3"/>
    <s v="Walker's Brand Films"/>
    <s v=""/>
    <x v="5"/>
    <s v="Sunday Night Lights"/>
    <s v="OpenFrameworks_SundayNightLights_Green"/>
    <s v="Original"/>
    <n v="17286"/>
    <s v="firm-bid"/>
    <m/>
    <n v="1"/>
    <n v="1"/>
    <m/>
    <m/>
    <m/>
    <m/>
    <x v="32"/>
    <n v="0"/>
    <n v="11750"/>
    <m/>
    <m/>
  </r>
  <r>
    <s v="Sunday Night Lights"/>
    <n v="0"/>
    <s v="Walker's"/>
    <s v="Walker's IPA"/>
    <x v="3"/>
    <s v="Walker's Brand Films"/>
    <s v=""/>
    <x v="1"/>
    <s v="Sunday Night Lights"/>
    <s v="TotalCuts_SundayNightLights_Edit"/>
    <s v="Original"/>
    <n v="119193.9583"/>
    <s v="firm-bid"/>
    <m/>
    <m/>
    <m/>
    <m/>
    <n v="1"/>
    <m/>
    <m/>
    <x v="2"/>
    <n v="0"/>
    <n v="114895.93886666666"/>
    <m/>
    <m/>
  </r>
  <r>
    <s v="Sunday Night Lights"/>
    <n v="1"/>
    <s v="Walker's"/>
    <s v="Walker's IPA"/>
    <x v="3"/>
    <s v="Walker's Brand Films"/>
    <s v="Toto"/>
    <x v="1"/>
    <s v="Sunday Night Lights"/>
    <s v="ToTo_SundayNightLights_Edit"/>
    <s v="Original"/>
    <n v="130914.5833"/>
    <s v="firm-bid"/>
    <n v="114895.93889999999"/>
    <m/>
    <m/>
    <n v="1"/>
    <m/>
    <m/>
    <m/>
    <x v="2"/>
    <n v="0"/>
    <n v="114895.93886666666"/>
    <n v="130914.5833"/>
    <n v="130914.5833"/>
  </r>
  <r>
    <s v="Sunday Night Lights"/>
    <n v="0"/>
    <s v="Walker's"/>
    <s v="Walker's IPA"/>
    <x v="3"/>
    <s v="Walker's Brand Films"/>
    <s v=""/>
    <x v="1"/>
    <s v="Sunday Night Lights"/>
    <s v="TheCloset_SundayNightLights_Edit"/>
    <s v="Original"/>
    <n v="94579.274999999994"/>
    <s v="firm-bid"/>
    <m/>
    <m/>
    <m/>
    <m/>
    <m/>
    <n v="1"/>
    <n v="1"/>
    <x v="2"/>
    <n v="0"/>
    <n v="114895.93886666666"/>
    <m/>
    <m/>
  </r>
  <r>
    <s v="Sunday Night Lights"/>
    <n v="0"/>
    <s v="Walker's"/>
    <s v="Walker's IPA"/>
    <x v="3"/>
    <s v="Walker's Brand Films"/>
    <s v=""/>
    <x v="3"/>
    <s v="‚ÄúSunday Night Lights ‚Äù - POI"/>
    <s v="PersonsofInterest_SundayNightLights_Finishing"/>
    <s v="Original"/>
    <n v="29850"/>
    <s v="firm-bid"/>
    <m/>
    <m/>
    <m/>
    <m/>
    <m/>
    <m/>
    <m/>
    <x v="2"/>
    <n v="0"/>
    <n v="36283.333333333336"/>
    <m/>
    <m/>
  </r>
  <r>
    <s v="Sunday Night Lights"/>
    <n v="1"/>
    <s v="Walker's"/>
    <s v="Walker's IPA"/>
    <x v="3"/>
    <s v="Walker's Brand Films"/>
    <s v="Andiamo Images"/>
    <x v="3"/>
    <s v="&quot;Sunday Night Lights&quot; Andiamo"/>
    <s v="AndiamoImages_SundayNightLights_Finishing"/>
    <s v="Original"/>
    <n v="62100"/>
    <s v="firm-bid"/>
    <n v="36283.333330000001"/>
    <m/>
    <m/>
    <n v="1"/>
    <m/>
    <n v="1"/>
    <m/>
    <x v="2"/>
    <n v="0"/>
    <n v="36283.333333333336"/>
    <n v="62100"/>
    <n v="62100"/>
  </r>
  <r>
    <s v="Sunday Night Lights"/>
    <n v="0"/>
    <s v="Walker's"/>
    <s v="Walker's IPA"/>
    <x v="3"/>
    <s v="Walker's Brand Films"/>
    <s v=""/>
    <x v="3"/>
    <s v="&quot;Sunday Night Lights&quot; RSD #45299"/>
    <s v="RackspaceDigital_SundayNightLights_Finishing"/>
    <s v="Original"/>
    <n v="16900"/>
    <s v="firm-bid"/>
    <m/>
    <m/>
    <m/>
    <m/>
    <m/>
    <m/>
    <m/>
    <x v="2"/>
    <n v="0"/>
    <n v="36283.333333333336"/>
    <m/>
    <m/>
  </r>
  <r>
    <s v="Sunday Night Lights"/>
    <n v="0"/>
    <s v="Walker's"/>
    <s v="Walker's IPA"/>
    <x v="3"/>
    <s v="Walker's Brand Films"/>
    <s v=""/>
    <x v="7"/>
    <s v="Sunday Night Lights"/>
    <s v="Interstate_SundayNightLights_Stills"/>
    <s v="Original"/>
    <n v="192655.61499999999"/>
    <s v="firm-bid"/>
    <m/>
    <m/>
    <m/>
    <m/>
    <m/>
    <n v="1"/>
    <m/>
    <x v="2"/>
    <n v="0"/>
    <n v="158633.04393333333"/>
    <m/>
    <m/>
  </r>
  <r>
    <s v="Sunday Night Lights"/>
    <n v="1"/>
    <s v="Walker's"/>
    <s v="Walker's IPA"/>
    <x v="3"/>
    <s v="Walker's Brand Films"/>
    <s v="CHAW Creative"/>
    <x v="7"/>
    <s v="SNL"/>
    <s v="CHAW_SundayNightLights_Stills"/>
    <s v="Original"/>
    <n v="139549.23199999999"/>
    <s v="firm-bid"/>
    <n v="158633.04389999999"/>
    <m/>
    <n v="1"/>
    <m/>
    <m/>
    <m/>
    <n v="1"/>
    <x v="2"/>
    <n v="0"/>
    <n v="158633.04393333333"/>
    <n v="139549.23199999999"/>
    <n v="139549.23199999999"/>
  </r>
  <r>
    <s v="Sunday Night Lights"/>
    <n v="0"/>
    <s v="Walker's"/>
    <s v="Walker's IPA"/>
    <x v="3"/>
    <s v="Walker's Brand Films"/>
    <s v=""/>
    <x v="7"/>
    <s v="Kent Wilson Studio Estimate for &quot;Sunday Night Lights&quot; #1"/>
    <s v="KentWilsonStudio_SundayNightLights_Stills"/>
    <s v="Original"/>
    <n v="143694.28479999999"/>
    <s v="firm-bid"/>
    <m/>
    <m/>
    <n v="1"/>
    <m/>
    <m/>
    <m/>
    <m/>
    <x v="2"/>
    <n v="0"/>
    <n v="158633.04393333333"/>
    <m/>
    <m/>
  </r>
  <r>
    <s v="Sunday Night Lights"/>
    <n v="0"/>
    <s v="Walker's"/>
    <s v="Walker's IPA"/>
    <x v="3"/>
    <s v="Walker's Brand Films"/>
    <s v=""/>
    <x v="6"/>
    <s v="Sunday Night Lights"/>
    <s v="Interstate_SundayNightLights_Retouching"/>
    <s v="Original"/>
    <n v="38300"/>
    <s v="firm-bid"/>
    <m/>
    <m/>
    <m/>
    <m/>
    <m/>
    <n v="1"/>
    <m/>
    <x v="2"/>
    <n v="0"/>
    <n v="29616.666666666664"/>
    <m/>
    <m/>
  </r>
  <r>
    <s v="Sunday Night Lights"/>
    <n v="1"/>
    <s v="Walker's"/>
    <s v="Walker's IPA"/>
    <x v="3"/>
    <s v="Walker's Brand Films"/>
    <s v="CHAW Creative"/>
    <x v="6"/>
    <s v="SNL"/>
    <s v="CHAW_SundayNightLights_Retouching"/>
    <s v="Original"/>
    <n v="23000"/>
    <s v="firm-bid"/>
    <n v="29616.666669999999"/>
    <m/>
    <n v="1"/>
    <m/>
    <m/>
    <m/>
    <n v="1"/>
    <x v="2"/>
    <n v="0"/>
    <n v="29616.666666666664"/>
    <n v="23000"/>
    <n v="23000"/>
  </r>
  <r>
    <s v="Sunday Night Lights"/>
    <n v="0"/>
    <s v="Walker's"/>
    <s v="Walker's IPA"/>
    <x v="3"/>
    <s v="Walker's Brand Films"/>
    <s v=""/>
    <x v="6"/>
    <s v="Kent Wilson Studio Estimate for &quot;Sunday Night Lights&quot; #1"/>
    <s v="KentWilsonStudio_SundayNightLights_Retouching"/>
    <s v="Original"/>
    <n v="27550"/>
    <s v="firm-bid"/>
    <m/>
    <m/>
    <n v="1"/>
    <m/>
    <m/>
    <m/>
    <m/>
    <x v="2"/>
    <n v="0"/>
    <n v="29616.666666666664"/>
    <m/>
    <m/>
  </r>
  <r>
    <s v="Sunday Night Lights"/>
    <n v="0"/>
    <s v="Walker's"/>
    <s v="Walker's IPA"/>
    <x v="3"/>
    <s v="Walker's Brand Films"/>
    <s v=""/>
    <x v="10"/>
    <s v="Sunday Night Lights"/>
    <s v="Interstate_SundayNightLights_BTS"/>
    <s v="Original"/>
    <n v="17251.724999999999"/>
    <s v="firm-bid"/>
    <m/>
    <m/>
    <m/>
    <m/>
    <m/>
    <n v="1"/>
    <m/>
    <x v="2"/>
    <n v="0"/>
    <n v="18144.508333333331"/>
    <m/>
    <m/>
  </r>
  <r>
    <s v="Sunday Night Lights"/>
    <n v="1"/>
    <s v="Walker's"/>
    <s v="Walker's IPA"/>
    <x v="3"/>
    <s v="Walker's Brand Films"/>
    <s v="Petulant Pictures"/>
    <x v="10"/>
    <s v="SunNightLights"/>
    <s v="Petulant_SundayNightLights_BTS"/>
    <s v="Original"/>
    <n v="18827.224999999999"/>
    <s v="firm-bid"/>
    <n v="18144.508330000001"/>
    <n v="1"/>
    <m/>
    <m/>
    <m/>
    <m/>
    <m/>
    <x v="33"/>
    <n v="18827.224999999999"/>
    <n v="18144.508333333331"/>
    <n v="18827.224999999999"/>
    <n v="18827.224999999999"/>
  </r>
  <r>
    <s v="Sunday Night Lights"/>
    <n v="0"/>
    <s v="Walker's"/>
    <s v="Walker's IPA"/>
    <x v="3"/>
    <s v="Walker's Brand Films"/>
    <s v=""/>
    <x v="10"/>
    <s v="Sunday Night Lights"/>
    <s v="OpenFrameworks_SundayNightLights_BTS"/>
    <s v="Original"/>
    <n v="18354.575000000001"/>
    <s v="firm-bid"/>
    <m/>
    <n v="1"/>
    <n v="1"/>
    <m/>
    <m/>
    <m/>
    <m/>
    <x v="34"/>
    <n v="0"/>
    <n v="18144.508333333331"/>
    <m/>
    <m/>
  </r>
  <r>
    <s v="On the Moors"/>
    <n v="1"/>
    <s v="Walker's"/>
    <s v="Walker's IPA"/>
    <x v="4"/>
    <s v="Walker's Brand Films"/>
    <s v="Special Oaks"/>
    <x v="2"/>
    <s v="Special Oaks &quot;On the Moors&quot;"/>
    <s v="Special Oaks"/>
    <s v="Original"/>
    <n v="48690"/>
    <s v="firm-bid"/>
    <n v="31286.666669999999"/>
    <m/>
    <m/>
    <n v="1"/>
    <m/>
    <n v="1"/>
    <m/>
    <x v="2"/>
    <n v="0"/>
    <n v="31286.666666666668"/>
    <n v="48690"/>
    <n v="48690"/>
  </r>
  <r>
    <s v="On the Moors"/>
    <n v="0"/>
    <s v="Walker's"/>
    <s v="Walker's IPA"/>
    <x v="4"/>
    <s v="Walker's Brand Films"/>
    <s v=""/>
    <x v="2"/>
    <s v="Audio Lab&quot;On the Moors&quot;"/>
    <s v="Audio_87"/>
    <s v="Original"/>
    <n v="20890"/>
    <s v="firm-bid"/>
    <m/>
    <n v="1"/>
    <m/>
    <m/>
    <m/>
    <m/>
    <n v="1"/>
    <x v="35"/>
    <n v="0"/>
    <n v="31286.666666666668"/>
    <m/>
    <m/>
  </r>
  <r>
    <s v="On the Moors"/>
    <n v="0"/>
    <s v="Walker's"/>
    <s v="Walker's IPA"/>
    <x v="4"/>
    <s v="Walker's Brand Films"/>
    <s v=""/>
    <x v="2"/>
    <s v="AudioFantasy&quot;OnTheMoors&quot;"/>
    <s v="AudioFantasyBid"/>
    <s v="Original"/>
    <n v="24280"/>
    <s v="firm-bid"/>
    <m/>
    <m/>
    <n v="1"/>
    <n v="1"/>
    <m/>
    <m/>
    <m/>
    <x v="2"/>
    <n v="0"/>
    <n v="31286.666666666668"/>
    <m/>
    <m/>
  </r>
  <r>
    <s v="On the Moors"/>
    <n v="0"/>
    <s v="Walker's"/>
    <s v="Walker's IPA"/>
    <x v="4"/>
    <s v="Walker's Brand Films"/>
    <s v=""/>
    <x v="0"/>
    <s v="On the Moors"/>
    <s v="Level12_OntheMoors_LiveAction"/>
    <s v="Original"/>
    <n v="861318.65"/>
    <s v="firm-bid"/>
    <m/>
    <m/>
    <n v="1"/>
    <m/>
    <m/>
    <m/>
    <m/>
    <x v="2"/>
    <n v="0"/>
    <n v="837017.14029999997"/>
    <m/>
    <m/>
  </r>
  <r>
    <s v="On the Moors"/>
    <n v="0"/>
    <s v="Walker's"/>
    <s v="Walker's IPA"/>
    <x v="4"/>
    <s v="Walker's Brand Films"/>
    <s v=""/>
    <x v="0"/>
    <s v="Moors"/>
    <s v="Petulant_OntheMoors_LiveAction"/>
    <s v="Original"/>
    <n v="850434.76089999999"/>
    <s v="firm-bid"/>
    <m/>
    <n v="1"/>
    <m/>
    <m/>
    <m/>
    <m/>
    <m/>
    <x v="36"/>
    <n v="0"/>
    <n v="837017.14029999997"/>
    <m/>
    <m/>
  </r>
  <r>
    <s v="On the Moors"/>
    <n v="1"/>
    <s v="Walker's"/>
    <s v="Walker's IPA"/>
    <x v="4"/>
    <s v="Walker's Brand Films"/>
    <s v="Open Frameworks Image Creation"/>
    <x v="0"/>
    <s v="On the Moors"/>
    <s v="OpenFrameworks_OntheMoors_LiveAction"/>
    <s v="Original"/>
    <n v="799298.01"/>
    <s v="firm-bid"/>
    <n v="837017.14029999997"/>
    <n v="1"/>
    <n v="1"/>
    <m/>
    <m/>
    <m/>
    <m/>
    <x v="37"/>
    <n v="799298.01"/>
    <n v="837017.14029999997"/>
    <n v="799298.01"/>
    <n v="799298.01"/>
  </r>
  <r>
    <s v="On the Moors"/>
    <n v="0"/>
    <s v="Walker's"/>
    <s v="Walker's IPA"/>
    <x v="4"/>
    <s v="Walker's Brand Films"/>
    <s v=""/>
    <x v="4"/>
    <s v="On the Moors"/>
    <s v="Level12_OntheMoors_Covid"/>
    <s v="Original"/>
    <n v="9846.875"/>
    <s v="firm-bid"/>
    <m/>
    <m/>
    <n v="1"/>
    <m/>
    <m/>
    <m/>
    <m/>
    <x v="2"/>
    <n v="0"/>
    <n v="7549.2708333333339"/>
    <m/>
    <m/>
  </r>
  <r>
    <s v="On the Moors"/>
    <n v="0"/>
    <s v="Walker's"/>
    <s v="Walker's IPA"/>
    <x v="4"/>
    <s v="Walker's Brand Films"/>
    <s v=""/>
    <x v="4"/>
    <s v="Moors"/>
    <s v="Petulant_OntheMoors_Covid"/>
    <s v="Original"/>
    <n v="8783.4125000000004"/>
    <s v="firm-bid"/>
    <m/>
    <n v="1"/>
    <m/>
    <m/>
    <m/>
    <m/>
    <m/>
    <x v="38"/>
    <n v="0"/>
    <n v="7549.2708333333339"/>
    <m/>
    <m/>
  </r>
  <r>
    <s v="On the Moors"/>
    <n v="1"/>
    <s v="Walker's"/>
    <s v="Walker's IPA"/>
    <x v="4"/>
    <s v="Walker's Brand Films"/>
    <s v="Open Frameworks Image Creation"/>
    <x v="4"/>
    <s v="On the Moors"/>
    <s v="OpenFrameworks_OntheMoors_Covid"/>
    <s v="Original"/>
    <n v="4017.5250000000001"/>
    <s v="firm-bid"/>
    <n v="7549.2708329999996"/>
    <n v="1"/>
    <n v="1"/>
    <m/>
    <m/>
    <m/>
    <m/>
    <x v="39"/>
    <n v="4017.5250000000001"/>
    <n v="7549.2708333333339"/>
    <n v="4017.5250000000001"/>
    <n v="4017.5250000000001"/>
  </r>
  <r>
    <s v="On the Moors"/>
    <n v="0"/>
    <s v="Walker's"/>
    <s v="Walker's IPA"/>
    <x v="4"/>
    <s v="Walker's Brand Films"/>
    <s v=""/>
    <x v="5"/>
    <s v="On the Moors"/>
    <s v="Level12_OntheMoors_Green"/>
    <s v="Original"/>
    <n v="11008"/>
    <s v="firm-bid"/>
    <m/>
    <m/>
    <n v="1"/>
    <m/>
    <m/>
    <m/>
    <m/>
    <x v="2"/>
    <n v="0"/>
    <n v="12020"/>
    <m/>
    <m/>
  </r>
  <r>
    <s v="On the Moors"/>
    <n v="0"/>
    <s v="Walker's"/>
    <s v="Walker's IPA"/>
    <x v="4"/>
    <s v="Walker's Brand Films"/>
    <s v=""/>
    <x v="5"/>
    <s v="Moors"/>
    <s v="Petulant_OntheMoors_Green"/>
    <s v="Original"/>
    <n v="11844"/>
    <s v="firm-bid"/>
    <m/>
    <n v="1"/>
    <m/>
    <m/>
    <m/>
    <m/>
    <m/>
    <x v="40"/>
    <n v="0"/>
    <n v="12020"/>
    <m/>
    <m/>
  </r>
  <r>
    <s v="On the Moors"/>
    <n v="1"/>
    <s v="Walker's"/>
    <s v="Walker's IPA"/>
    <x v="4"/>
    <s v="Walker's Brand Films"/>
    <s v="Open Frameworks Image Creation"/>
    <x v="5"/>
    <s v="On the Moors"/>
    <s v="OpenFrameworks_OntheMoors_Green"/>
    <s v="Original"/>
    <n v="13208"/>
    <s v="firm-bid"/>
    <n v="12020"/>
    <n v="1"/>
    <n v="1"/>
    <m/>
    <m/>
    <m/>
    <m/>
    <x v="41"/>
    <n v="13208"/>
    <n v="12020"/>
    <n v="13208"/>
    <n v="13208"/>
  </r>
  <r>
    <s v="On the Moors"/>
    <n v="0"/>
    <s v="Walker's"/>
    <s v="Walker's IPA"/>
    <x v="4"/>
    <s v="Walker's Brand Films"/>
    <s v=""/>
    <x v="1"/>
    <s v="TBLLC - On the Moors 4/6/23 v3"/>
    <s v="TimeBomb_OntheMoors_Edit"/>
    <s v="Original"/>
    <n v="93795.158330000006"/>
    <s v="firm-bid"/>
    <m/>
    <m/>
    <m/>
    <m/>
    <m/>
    <m/>
    <m/>
    <x v="2"/>
    <n v="0"/>
    <n v="108474.041665"/>
    <m/>
    <m/>
  </r>
  <r>
    <s v="On the Moors"/>
    <n v="1"/>
    <s v="Walker's"/>
    <s v="Walker's IPA"/>
    <x v="4"/>
    <s v="Walker's Brand Films"/>
    <s v="Armistice Edit"/>
    <x v="1"/>
    <s v="On the Moors"/>
    <s v="Armistace_OntheMoors_Edit"/>
    <s v="Original"/>
    <n v="123152.925"/>
    <s v="firm-bid"/>
    <n v="108474.0417"/>
    <m/>
    <m/>
    <m/>
    <m/>
    <m/>
    <m/>
    <x v="2"/>
    <n v="0"/>
    <n v="108474.041665"/>
    <n v="123152.925"/>
    <n v="123152.925"/>
  </r>
  <r>
    <s v="On the Moors"/>
    <n v="0"/>
    <s v="Walker's"/>
    <s v="Walker's IPA"/>
    <x v="4"/>
    <s v="Walker's Brand Films"/>
    <s v=""/>
    <x v="3"/>
    <s v="Here &amp; Now for &quot;On the Moors&quot;"/>
    <s v="HereandNow_OntheMoors_Finishing"/>
    <s v="Original"/>
    <n v="40900"/>
    <s v="firm-bid"/>
    <m/>
    <m/>
    <m/>
    <m/>
    <n v="1"/>
    <m/>
    <m/>
    <x v="2"/>
    <n v="0"/>
    <n v="31766.666666666664"/>
    <m/>
    <m/>
  </r>
  <r>
    <s v="On the Moors"/>
    <n v="1"/>
    <s v="Walker's"/>
    <s v="Walker's IPA"/>
    <x v="4"/>
    <s v="Walker's Brand Films"/>
    <s v="Evan Bander LLC"/>
    <x v="3"/>
    <s v="EB &quot;On the Moors&quot;"/>
    <s v="EvanBanderLLC_OntheMoors_Finishing"/>
    <s v="Original"/>
    <n v="35150"/>
    <s v="firm-bid"/>
    <n v="31766.666669999999"/>
    <m/>
    <m/>
    <m/>
    <n v="1"/>
    <m/>
    <n v="1"/>
    <x v="2"/>
    <n v="0"/>
    <n v="31766.666666666664"/>
    <n v="35150"/>
    <n v="35150"/>
  </r>
  <r>
    <s v="On the Moors"/>
    <n v="0"/>
    <s v="Walker's"/>
    <s v="Walker's IPA"/>
    <x v="4"/>
    <s v="Walker's Brand Films"/>
    <s v=""/>
    <x v="3"/>
    <s v="&quot;On the Moors&quot; RSD #452078"/>
    <s v="RackspaceDigital_OntheMoors_Finishing"/>
    <s v="Original"/>
    <n v="19250"/>
    <s v="firm-bid"/>
    <m/>
    <m/>
    <m/>
    <m/>
    <m/>
    <m/>
    <m/>
    <x v="2"/>
    <n v="0"/>
    <n v="31766.666666666664"/>
    <m/>
    <m/>
  </r>
  <r>
    <s v="On the Moors"/>
    <n v="0"/>
    <s v="Walker's"/>
    <s v="Walker's IPA"/>
    <x v="4"/>
    <s v="Walker's Brand Films"/>
    <s v=""/>
    <x v="10"/>
    <s v="On the Moors"/>
    <s v="Level12_OntheMoors_BTS"/>
    <s v="Original"/>
    <n v="12604"/>
    <s v="firm-bid"/>
    <m/>
    <m/>
    <n v="1"/>
    <m/>
    <m/>
    <m/>
    <m/>
    <x v="2"/>
    <n v="0"/>
    <n v="16726.558333333334"/>
    <m/>
    <m/>
  </r>
  <r>
    <s v="On the Moors"/>
    <n v="0"/>
    <s v="Walker's"/>
    <s v="Walker's IPA"/>
    <x v="4"/>
    <s v="Walker's Brand Films"/>
    <s v=""/>
    <x v="10"/>
    <s v="Moors"/>
    <s v="Petulant_OntheMoors_BTS"/>
    <s v="Original"/>
    <n v="20166.400000000001"/>
    <s v="firm-bid"/>
    <m/>
    <n v="1"/>
    <m/>
    <m/>
    <m/>
    <m/>
    <m/>
    <x v="42"/>
    <n v="0"/>
    <n v="16726.558333333334"/>
    <m/>
    <m/>
  </r>
  <r>
    <s v="On the Moors"/>
    <n v="1"/>
    <s v="Walker's"/>
    <s v="Walker's IPA"/>
    <x v="4"/>
    <s v="Walker's Brand Films"/>
    <s v="Open Frameworks Image Creation"/>
    <x v="10"/>
    <s v="On the Moors"/>
    <s v="OpenFrameworks_OntheMoors_BTS"/>
    <s v="Original"/>
    <n v="17409.275000000001"/>
    <s v="firm-bid"/>
    <n v="16726.55833"/>
    <n v="1"/>
    <n v="1"/>
    <m/>
    <m/>
    <m/>
    <m/>
    <x v="43"/>
    <n v="17409.275000000001"/>
    <n v="16726.558333333334"/>
    <n v="17409.275000000001"/>
    <n v="17409.275000000001"/>
  </r>
  <r>
    <s v="Trapeze"/>
    <n v="1"/>
    <s v="Walker's"/>
    <s v="Walker's IPA"/>
    <x v="4"/>
    <s v="Walker Lives!"/>
    <s v="My Audio Fantasy"/>
    <x v="2"/>
    <s v="AudioFantasy&quot;Trapeze&quot;"/>
    <s v="AudioFantasyBid"/>
    <s v="Original"/>
    <n v="28010"/>
    <s v="firm-bid"/>
    <n v="27166.666669999999"/>
    <m/>
    <m/>
    <m/>
    <m/>
    <m/>
    <m/>
    <x v="2"/>
    <n v="0"/>
    <n v="27166.666666666668"/>
    <n v="28010"/>
    <n v="28010"/>
  </r>
  <r>
    <s v="Trapeze"/>
    <n v="0"/>
    <s v="Walker's"/>
    <s v="Walker's IPA"/>
    <x v="4"/>
    <s v="Walker Lives!"/>
    <s v=""/>
    <x v="2"/>
    <s v="Arsonist&quot;Trapeze&quot;"/>
    <s v="Arsonist"/>
    <s v="Original"/>
    <n v="23450"/>
    <s v="firm-bid"/>
    <m/>
    <m/>
    <n v="1"/>
    <m/>
    <m/>
    <n v="1"/>
    <m/>
    <x v="2"/>
    <n v="0"/>
    <n v="27166.666666666668"/>
    <m/>
    <m/>
  </r>
  <r>
    <s v="Trapeze"/>
    <n v="0"/>
    <s v="Walker's"/>
    <s v="Walker's IPA"/>
    <x v="4"/>
    <s v="Walker Lives!"/>
    <s v=""/>
    <x v="2"/>
    <s v="Audio Labs &quot;Trapeze&quot;"/>
    <s v="Audio_88"/>
    <s v="Original"/>
    <n v="30040"/>
    <s v="firm-bid"/>
    <m/>
    <m/>
    <m/>
    <m/>
    <m/>
    <m/>
    <m/>
    <x v="2"/>
    <n v="0"/>
    <n v="27166.666666666668"/>
    <m/>
    <m/>
  </r>
  <r>
    <s v="Trapeze"/>
    <n v="0"/>
    <s v="Walker's"/>
    <s v="Walker's IPA"/>
    <x v="4"/>
    <s v="Walker Lives!"/>
    <s v=""/>
    <x v="0"/>
    <s v="Trapeze"/>
    <s v="CHAW_Trapeze_LiveAction"/>
    <s v="Original"/>
    <n v="724100.86499999999"/>
    <s v="firm-bid"/>
    <m/>
    <m/>
    <m/>
    <m/>
    <m/>
    <m/>
    <n v="1"/>
    <x v="2"/>
    <n v="0"/>
    <n v="836563.7093333333"/>
    <m/>
    <m/>
  </r>
  <r>
    <s v="Trapeze"/>
    <n v="1"/>
    <s v="Walker's"/>
    <s v="Walker's IPA"/>
    <x v="4"/>
    <s v="Walker Lives!"/>
    <s v="Test Flight Productions"/>
    <x v="0"/>
    <s v="Trapeze"/>
    <s v="TestFlight_Trapeze_LiveAction"/>
    <s v="Original"/>
    <n v="879045.36300000001"/>
    <s v="firm-bid"/>
    <n v="836563.70929999999"/>
    <m/>
    <n v="1"/>
    <m/>
    <m/>
    <m/>
    <n v="1"/>
    <x v="2"/>
    <n v="0"/>
    <n v="836563.7093333333"/>
    <n v="879045.36300000001"/>
    <n v="879045.36300000001"/>
  </r>
  <r>
    <s v="Trapeze"/>
    <n v="0"/>
    <s v="Walker's"/>
    <s v="Walker's IPA"/>
    <x v="4"/>
    <s v="Walker Lives!"/>
    <s v=""/>
    <x v="0"/>
    <s v="Trapeze"/>
    <s v="Petulant_Trapeze_LiveAction"/>
    <s v="Original"/>
    <n v="906544.9"/>
    <s v="firm-bid"/>
    <m/>
    <m/>
    <m/>
    <m/>
    <m/>
    <m/>
    <m/>
    <x v="2"/>
    <n v="0"/>
    <n v="836563.7093333333"/>
    <m/>
    <m/>
  </r>
  <r>
    <s v="Trapeze"/>
    <n v="0"/>
    <s v="Walker's"/>
    <s v="Walker's IPA"/>
    <x v="4"/>
    <s v="Walker Lives!"/>
    <s v=""/>
    <x v="4"/>
    <s v="Trapeze"/>
    <s v="CHAW_Trapeze_Covid"/>
    <s v="Original"/>
    <n v="11382.987499999999"/>
    <s v="firm-bid"/>
    <m/>
    <m/>
    <m/>
    <m/>
    <m/>
    <m/>
    <n v="1"/>
    <x v="2"/>
    <n v="0"/>
    <n v="10274.885833333334"/>
    <m/>
    <m/>
  </r>
  <r>
    <s v="Trapeze"/>
    <n v="1"/>
    <s v="Walker's"/>
    <s v="Walker's IPA"/>
    <x v="4"/>
    <s v="Walker Lives!"/>
    <s v="Test Flight Productions"/>
    <x v="4"/>
    <s v="Trapeze"/>
    <s v="TestFlight_Trapeze_Covid"/>
    <s v="Original"/>
    <n v="10303.77"/>
    <s v="firm-bid"/>
    <n v="10274.885829999999"/>
    <m/>
    <n v="1"/>
    <m/>
    <m/>
    <m/>
    <n v="1"/>
    <x v="2"/>
    <n v="0"/>
    <n v="10274.885833333334"/>
    <n v="10303.77"/>
    <n v="10303.77"/>
  </r>
  <r>
    <s v="Trapeze"/>
    <n v="0"/>
    <s v="Walker's"/>
    <s v="Walker's IPA"/>
    <x v="4"/>
    <s v="Walker Lives!"/>
    <s v=""/>
    <x v="4"/>
    <s v="Trapeze"/>
    <s v="Petulant_Trapeze_Covid"/>
    <s v="Original"/>
    <n v="9137.9"/>
    <s v="firm-bid"/>
    <m/>
    <m/>
    <m/>
    <m/>
    <m/>
    <m/>
    <m/>
    <x v="2"/>
    <n v="0"/>
    <n v="10274.885833333334"/>
    <m/>
    <m/>
  </r>
  <r>
    <s v="Trapeze"/>
    <n v="0"/>
    <s v="Walker's"/>
    <s v="Walker's IPA"/>
    <x v="4"/>
    <s v="Walker Lives!"/>
    <s v=""/>
    <x v="5"/>
    <s v="Trapeze"/>
    <s v="CHAW_Trapeze_Green"/>
    <s v="Original"/>
    <n v="13696"/>
    <s v="firm-bid"/>
    <m/>
    <m/>
    <m/>
    <m/>
    <m/>
    <m/>
    <n v="1"/>
    <x v="2"/>
    <n v="0"/>
    <n v="8960"/>
    <m/>
    <m/>
  </r>
  <r>
    <s v="Trapeze"/>
    <n v="1"/>
    <s v="Walker's"/>
    <s v="Walker's IPA"/>
    <x v="4"/>
    <s v="Walker Lives!"/>
    <s v="Test Flight Productions"/>
    <x v="5"/>
    <s v="Trapeze"/>
    <s v="TestFlight_Trapeze_Green"/>
    <s v="Original"/>
    <n v="6656"/>
    <s v="firm-bid"/>
    <n v="8960"/>
    <m/>
    <n v="1"/>
    <m/>
    <m/>
    <m/>
    <n v="1"/>
    <x v="2"/>
    <n v="0"/>
    <n v="8960"/>
    <n v="6656"/>
    <n v="6656"/>
  </r>
  <r>
    <s v="Trapeze"/>
    <n v="0"/>
    <s v="Walker's"/>
    <s v="Walker's IPA"/>
    <x v="4"/>
    <s v="Walker Lives!"/>
    <s v=""/>
    <x v="5"/>
    <s v="Trapeze"/>
    <s v="Petulant_Trapeze_Green"/>
    <s v="Original"/>
    <n v="6528"/>
    <s v="firm-bid"/>
    <m/>
    <m/>
    <m/>
    <m/>
    <m/>
    <m/>
    <m/>
    <x v="2"/>
    <n v="0"/>
    <n v="8960"/>
    <m/>
    <m/>
  </r>
  <r>
    <s v="Trapeze"/>
    <n v="0"/>
    <s v="Walker's"/>
    <s v="Walker's IPA"/>
    <x v="4"/>
    <s v="Walker Lives!"/>
    <s v=""/>
    <x v="1"/>
    <s v="Trapeze"/>
    <s v="TheCloset_Trapeze_Edit"/>
    <s v="Original"/>
    <n v="131904.32500000001"/>
    <s v="firm-bid"/>
    <m/>
    <m/>
    <m/>
    <m/>
    <m/>
    <n v="1"/>
    <n v="1"/>
    <x v="2"/>
    <n v="0"/>
    <n v="108672.35555666668"/>
    <m/>
    <m/>
  </r>
  <r>
    <s v="Trapeze"/>
    <n v="0"/>
    <s v="Walker's"/>
    <s v="Walker's IPA"/>
    <x v="4"/>
    <s v="Walker Lives!"/>
    <s v=""/>
    <x v="1"/>
    <s v="TBLLC - Trapeze 11/12"/>
    <s v="TimeBomb_Trapeze_Edit"/>
    <s v="Original"/>
    <n v="85172.616670000003"/>
    <s v="firm-bid"/>
    <m/>
    <m/>
    <m/>
    <m/>
    <m/>
    <m/>
    <m/>
    <x v="2"/>
    <n v="0"/>
    <n v="108672.35555666668"/>
    <m/>
    <m/>
  </r>
  <r>
    <s v="Trapeze"/>
    <n v="1"/>
    <s v="Walker's"/>
    <s v="Walker's IPA"/>
    <x v="4"/>
    <s v="Walker Lives!"/>
    <s v="Total Cuts Post"/>
    <x v="1"/>
    <s v="Trapeze"/>
    <s v="TotalCuts_Trapeze_Edit"/>
    <s v="Original"/>
    <n v="108940.125"/>
    <s v="firm-bid"/>
    <n v="108672.3556"/>
    <m/>
    <m/>
    <m/>
    <m/>
    <m/>
    <m/>
    <x v="2"/>
    <n v="0"/>
    <n v="108672.35555666668"/>
    <n v="108940.125"/>
    <n v="108940.125"/>
  </r>
  <r>
    <s v="Trapeze"/>
    <n v="0"/>
    <s v="Walker's"/>
    <s v="Walker's IPA"/>
    <x v="4"/>
    <s v="Walker Lives!"/>
    <s v=""/>
    <x v="3"/>
    <s v="&quot;Trapeze&quot; RSD #452045"/>
    <s v="RackspaceDigital_Trapeze_Finishing"/>
    <s v="Original"/>
    <n v="19100"/>
    <s v="firm-bid"/>
    <m/>
    <m/>
    <m/>
    <m/>
    <m/>
    <m/>
    <m/>
    <x v="2"/>
    <n v="0"/>
    <n v="24616.666666666668"/>
    <m/>
    <m/>
  </r>
  <r>
    <s v="Trapeze"/>
    <n v="0"/>
    <s v="Walker's"/>
    <s v="Walker's IPA"/>
    <x v="4"/>
    <s v="Walker Lives!"/>
    <s v=""/>
    <x v="3"/>
    <s v="EB &quot;Trapeze&quot;"/>
    <s v="EvanBanderLLC_Trapeze_Finishing"/>
    <s v="Original"/>
    <n v="24250"/>
    <s v="firm-bid"/>
    <m/>
    <m/>
    <m/>
    <m/>
    <n v="1"/>
    <m/>
    <n v="1"/>
    <x v="2"/>
    <n v="0"/>
    <n v="24616.666666666668"/>
    <m/>
    <m/>
  </r>
  <r>
    <s v="Trapeze"/>
    <n v="1"/>
    <s v="Walker's"/>
    <s v="Walker's IPA"/>
    <x v="3"/>
    <s v="Walker Lives!"/>
    <s v="The Dub House"/>
    <x v="3"/>
    <s v="‚ÄúTrapeze‚Äù | Dub House"/>
    <s v="TheDubHouse_Trapeze_Finishing"/>
    <s v="Original"/>
    <n v="30500"/>
    <s v="firm-bid"/>
    <n v="24616.666669999999"/>
    <m/>
    <m/>
    <m/>
    <n v="1"/>
    <m/>
    <m/>
    <x v="2"/>
    <n v="0"/>
    <n v="24616.666666666668"/>
    <n v="30500"/>
    <n v="30500"/>
  </r>
  <r>
    <s v="Trapeze"/>
    <n v="0"/>
    <s v="Walker's"/>
    <s v="Walker's IPA"/>
    <x v="3"/>
    <s v="Walker Lives!"/>
    <s v=""/>
    <x v="8"/>
    <s v="&quot;Trapeze&quot; - Special Oaks Music"/>
    <s v="SpecialOaks_Trapeze_Music"/>
    <s v="Original"/>
    <n v="52050"/>
    <s v="firm-bid"/>
    <m/>
    <m/>
    <m/>
    <m/>
    <m/>
    <m/>
    <n v="1"/>
    <x v="2"/>
    <n v="0"/>
    <n v="45025"/>
    <m/>
    <m/>
  </r>
  <r>
    <s v="Trapeze"/>
    <n v="1"/>
    <s v="Walker's"/>
    <s v="Walker's IPA"/>
    <x v="3"/>
    <s v="Walker Lives!"/>
    <s v="Arnold Esther Music"/>
    <x v="8"/>
    <s v="AEM &quot;Walker's || Walker Lives! (Trapeze)&quot;"/>
    <s v="ArnoldEstherMusic_Trapeze_Music"/>
    <s v="Original"/>
    <n v="38000"/>
    <s v="firm-bid"/>
    <n v="45025"/>
    <m/>
    <m/>
    <m/>
    <m/>
    <m/>
    <m/>
    <x v="2"/>
    <n v="0"/>
    <n v="45025"/>
    <n v="38000"/>
    <n v="38000"/>
  </r>
  <r>
    <s v="Trapeze"/>
    <n v="0"/>
    <s v="Walker's"/>
    <s v="Walker's IPA"/>
    <x v="3"/>
    <s v="Walker Lives!"/>
    <s v=""/>
    <x v="10"/>
    <s v="Trapeze"/>
    <s v="CHAW_Trapeze_BTS"/>
    <s v="Original"/>
    <n v="19693.75"/>
    <s v="firm-bid"/>
    <m/>
    <m/>
    <m/>
    <m/>
    <m/>
    <m/>
    <n v="1"/>
    <x v="2"/>
    <n v="0"/>
    <n v="15807.516666666666"/>
    <m/>
    <m/>
  </r>
  <r>
    <s v="Trapeze"/>
    <n v="1"/>
    <s v="Walker's"/>
    <s v="Walker's IPA"/>
    <x v="3"/>
    <s v="Walker Lives!"/>
    <s v="Test Flight Productions"/>
    <x v="10"/>
    <s v="Trapeze"/>
    <s v="TestFlight_Trapeze_BTS"/>
    <s v="Original"/>
    <n v="13155.424999999999"/>
    <s v="firm-bid"/>
    <n v="15807.516670000001"/>
    <m/>
    <n v="1"/>
    <m/>
    <m/>
    <m/>
    <n v="1"/>
    <x v="2"/>
    <n v="0"/>
    <n v="15807.516666666666"/>
    <n v="13155.424999999999"/>
    <n v="13155.424999999999"/>
  </r>
  <r>
    <s v="Trapeze"/>
    <n v="0"/>
    <s v="Walker's"/>
    <s v="Walker's IPA"/>
    <x v="3"/>
    <s v="Walker Lives!"/>
    <s v=""/>
    <x v="10"/>
    <s v="Trapeze"/>
    <s v="Petulant_Trapeze_BTS"/>
    <s v="Original"/>
    <n v="14573.375"/>
    <s v="firm-bid"/>
    <m/>
    <m/>
    <m/>
    <m/>
    <m/>
    <m/>
    <m/>
    <x v="2"/>
    <n v="0"/>
    <n v="15807.516666666666"/>
    <m/>
    <m/>
  </r>
  <r>
    <s v="New Parachute"/>
    <n v="0"/>
    <s v="Walker's"/>
    <s v="Walker's IPA"/>
    <x v="3"/>
    <s v="Walker Lives!"/>
    <s v=""/>
    <x v="2"/>
    <s v="Sound Monster"/>
    <s v="SOUND MONSTER"/>
    <s v="Original"/>
    <n v="68240"/>
    <s v="firm-bid"/>
    <m/>
    <m/>
    <m/>
    <m/>
    <m/>
    <m/>
    <m/>
    <x v="2"/>
    <n v="0"/>
    <n v="42320"/>
    <m/>
    <m/>
  </r>
  <r>
    <s v="New Parachute"/>
    <n v="1"/>
    <s v="Walker's"/>
    <s v="Walker's IPA"/>
    <x v="3"/>
    <s v="Walker Lives!"/>
    <s v="My Audio Fantasy"/>
    <x v="2"/>
    <s v="AudioFantasy&quot;NewParachute&quot;"/>
    <s v="AudioFantasyBid"/>
    <s v="Original"/>
    <n v="28520"/>
    <s v="firm-bid"/>
    <n v="42320"/>
    <m/>
    <m/>
    <m/>
    <m/>
    <m/>
    <m/>
    <x v="2"/>
    <n v="0"/>
    <n v="42320"/>
    <n v="28520"/>
    <n v="28520"/>
  </r>
  <r>
    <s v="New Parachute"/>
    <n v="0"/>
    <s v="Walker's"/>
    <s v="Walker's IPA"/>
    <x v="3"/>
    <s v="Walker Lives!"/>
    <s v=""/>
    <x v="2"/>
    <s v="audio lab &quot;New Parachute&quot;"/>
    <s v="Audio_90"/>
    <s v="Original"/>
    <n v="30200"/>
    <s v="firm-bid"/>
    <m/>
    <m/>
    <m/>
    <m/>
    <m/>
    <m/>
    <m/>
    <x v="2"/>
    <n v="0"/>
    <n v="42320"/>
    <m/>
    <m/>
  </r>
  <r>
    <s v="New Parachute"/>
    <n v="0"/>
    <s v="Walker's"/>
    <s v="Walker's IPA"/>
    <x v="3"/>
    <s v="Walker Lives!"/>
    <s v=""/>
    <x v="0"/>
    <s v="New Parachute"/>
    <s v="OpenFrameworks_NewParachute_LiveAction"/>
    <s v="Original"/>
    <n v="828919.11840000004"/>
    <s v="firm-bid"/>
    <m/>
    <m/>
    <m/>
    <m/>
    <m/>
    <m/>
    <m/>
    <x v="2"/>
    <n v="0"/>
    <n v="786422.47120000003"/>
    <m/>
    <m/>
  </r>
  <r>
    <s v="New Parachute"/>
    <n v="1"/>
    <s v="Walker's"/>
    <s v="Walker's IPA"/>
    <x v="3"/>
    <s v="Walker Lives!"/>
    <s v="CHAW Creative"/>
    <x v="0"/>
    <s v="NP"/>
    <s v="CHAW_NewParachute_LiveAction"/>
    <s v="Original"/>
    <n v="743925.82400000002"/>
    <s v="firm-bid"/>
    <n v="786422.47120000003"/>
    <m/>
    <m/>
    <m/>
    <m/>
    <m/>
    <n v="1"/>
    <x v="2"/>
    <n v="0"/>
    <n v="786422.47120000003"/>
    <n v="743925.82400000002"/>
    <n v="743925.82400000002"/>
  </r>
  <r>
    <s v="New Parachute"/>
    <n v="0"/>
    <s v="Walker's"/>
    <s v="Walker's IPA"/>
    <x v="3"/>
    <s v="Walker Lives!"/>
    <s v=""/>
    <x v="4"/>
    <s v="New Parachute"/>
    <s v="OpenFrameworks_NewParachute_Covid"/>
    <s v="Original"/>
    <n v="12273.145"/>
    <s v="firm-bid"/>
    <m/>
    <m/>
    <m/>
    <m/>
    <m/>
    <m/>
    <m/>
    <x v="2"/>
    <n v="0"/>
    <n v="8015.3562500000007"/>
    <m/>
    <m/>
  </r>
  <r>
    <s v="New Parachute"/>
    <n v="1"/>
    <s v="Walker's"/>
    <s v="Walker's IPA"/>
    <x v="3"/>
    <s v="Walker Lives!"/>
    <s v="CHAW Creative"/>
    <x v="4"/>
    <s v="NP"/>
    <s v="CHAW_NewParachute_Covid"/>
    <s v="Original"/>
    <n v="3757.5675000000001"/>
    <s v="firm-bid"/>
    <n v="8015.3562499999998"/>
    <m/>
    <m/>
    <m/>
    <m/>
    <m/>
    <n v="1"/>
    <x v="2"/>
    <n v="0"/>
    <n v="8015.3562500000007"/>
    <n v="3757.5675000000001"/>
    <n v="3757.5675000000001"/>
  </r>
  <r>
    <s v="New Parachute"/>
    <n v="0"/>
    <s v="Walker's"/>
    <s v="Walker's IPA"/>
    <x v="3"/>
    <s v="Walker Lives!"/>
    <s v=""/>
    <x v="5"/>
    <s v="New Parachute"/>
    <s v="OpenFrameworks_NewParachute_Green"/>
    <s v="Original"/>
    <n v="17766"/>
    <s v="firm-bid"/>
    <m/>
    <m/>
    <m/>
    <m/>
    <m/>
    <m/>
    <m/>
    <x v="2"/>
    <n v="0"/>
    <n v="15561"/>
    <m/>
    <m/>
  </r>
  <r>
    <s v="New Parachute"/>
    <n v="1"/>
    <s v="Walker's"/>
    <s v="Walker's IPA"/>
    <x v="3"/>
    <s v="Walker Lives!"/>
    <s v="CHAW Creative"/>
    <x v="5"/>
    <s v="NP"/>
    <s v="CHAW_NewParachute_Green"/>
    <s v="Original"/>
    <n v="13356"/>
    <s v="firm-bid"/>
    <n v="15561"/>
    <m/>
    <m/>
    <m/>
    <m/>
    <m/>
    <n v="1"/>
    <x v="2"/>
    <n v="0"/>
    <n v="15561"/>
    <n v="13356"/>
    <n v="13356"/>
  </r>
  <r>
    <s v="New Parachute"/>
    <n v="0"/>
    <s v="Walker's"/>
    <s v="Walker's IPA"/>
    <x v="3"/>
    <s v="Walker Lives!"/>
    <s v=""/>
    <x v="1"/>
    <s v="New Parachute"/>
    <s v="Armistace_NewParachute_Edit"/>
    <s v="Original"/>
    <n v="111646.15"/>
    <s v="firm-bid"/>
    <m/>
    <m/>
    <m/>
    <m/>
    <m/>
    <m/>
    <m/>
    <x v="2"/>
    <n v="0"/>
    <n v="131253.17914999998"/>
    <m/>
    <m/>
  </r>
  <r>
    <s v="New Parachute"/>
    <n v="1"/>
    <s v="Walker's"/>
    <s v="Walker's IPA"/>
    <x v="3"/>
    <s v="Walker Lives!"/>
    <s v="Time Bomb LLC"/>
    <x v="1"/>
    <s v="New Parachute / TBLLC v5"/>
    <s v="TimeBomb_NewParachute_Edit"/>
    <s v="Original"/>
    <n v="150860.2083"/>
    <s v="firm-bid"/>
    <n v="131253.17920000001"/>
    <m/>
    <m/>
    <m/>
    <m/>
    <m/>
    <m/>
    <x v="2"/>
    <n v="0"/>
    <n v="131253.17914999998"/>
    <n v="150860.2083"/>
    <n v="150860.2083"/>
  </r>
  <r>
    <s v="New Parachute"/>
    <n v="0"/>
    <s v="Walker's"/>
    <s v="Walker's IPA"/>
    <x v="3"/>
    <s v="Walker Lives!"/>
    <s v=""/>
    <x v="3"/>
    <s v="‚ÄúNew Parachute‚Äù | Dub House"/>
    <s v="TheDubHouse_NewParachute_Finishing"/>
    <s v="Original"/>
    <n v="37350"/>
    <s v="firm-bid"/>
    <m/>
    <m/>
    <m/>
    <m/>
    <n v="1"/>
    <m/>
    <m/>
    <x v="2"/>
    <n v="0"/>
    <n v="36783.333333333336"/>
    <m/>
    <m/>
  </r>
  <r>
    <s v="New Parachute"/>
    <n v="1"/>
    <s v="Walker's"/>
    <s v="Walker's IPA"/>
    <x v="3"/>
    <s v="Walker Lives!"/>
    <s v="Witness"/>
    <x v="3"/>
    <s v="WITNESS:: New Parachute"/>
    <s v="Witness_NewParachute_Finishing"/>
    <s v="Original"/>
    <n v="47650"/>
    <s v="firm-bid"/>
    <n v="36783.333330000001"/>
    <m/>
    <m/>
    <n v="1"/>
    <n v="1"/>
    <m/>
    <m/>
    <x v="2"/>
    <n v="0"/>
    <n v="36783.333333333336"/>
    <n v="47650"/>
    <n v="47650"/>
  </r>
  <r>
    <s v="New Parachute"/>
    <n v="0"/>
    <s v="Walker's"/>
    <s v="Walker's IPA"/>
    <x v="3"/>
    <s v="Walker Lives!"/>
    <s v=""/>
    <x v="3"/>
    <s v="colorMaven &quot;New Parachute&quot;"/>
    <s v="ColorMaven_NewParachute_Finishing"/>
    <s v="Original"/>
    <n v="25350"/>
    <s v="firm-bid"/>
    <m/>
    <m/>
    <m/>
    <n v="1"/>
    <m/>
    <n v="1"/>
    <m/>
    <x v="2"/>
    <n v="0"/>
    <n v="36783.333333333336"/>
    <m/>
    <m/>
  </r>
  <r>
    <s v="The Big Guy"/>
    <n v="0"/>
    <s v="Walker's"/>
    <s v="Tread Lightly by Walker"/>
    <x v="3"/>
    <s v="Party Light"/>
    <s v=""/>
    <x v="2"/>
    <s v="FunnyRabbit&quot;The Big Guy&quot;"/>
    <s v="Audio_32"/>
    <s v="Original"/>
    <n v="25640"/>
    <s v="firm-bid"/>
    <m/>
    <m/>
    <n v="1"/>
    <n v="1"/>
    <m/>
    <m/>
    <n v="1"/>
    <x v="2"/>
    <n v="0"/>
    <n v="26493.333333333332"/>
    <m/>
    <m/>
  </r>
  <r>
    <s v="The Big Guy"/>
    <n v="0"/>
    <s v="Walker's"/>
    <s v="Tread Lightly by Walker"/>
    <x v="3"/>
    <s v="Party Light"/>
    <s v=""/>
    <x v="2"/>
    <s v="Arsonist&quot;The Big Guy&quot;"/>
    <s v="Arsonist"/>
    <s v="Original"/>
    <n v="31420"/>
    <s v="firm-bid"/>
    <m/>
    <m/>
    <m/>
    <m/>
    <m/>
    <m/>
    <m/>
    <x v="2"/>
    <n v="0"/>
    <n v="26493.333333333332"/>
    <m/>
    <m/>
  </r>
  <r>
    <s v="The Big Guy"/>
    <n v="1"/>
    <s v="Walker's"/>
    <s v="Tread Lightly by Walker"/>
    <x v="3"/>
    <s v="Party Light"/>
    <s v="My Audio Fantasy"/>
    <x v="2"/>
    <s v="AudioFantasy&quot;TheBigGuy&quot;"/>
    <s v="AudioFantasyBid"/>
    <s v="Original"/>
    <n v="22420"/>
    <s v="firm-bid"/>
    <n v="26493.333330000001"/>
    <m/>
    <m/>
    <m/>
    <m/>
    <m/>
    <m/>
    <x v="2"/>
    <n v="0"/>
    <n v="26493.333333333332"/>
    <n v="22420"/>
    <n v="22420"/>
  </r>
  <r>
    <s v="The Big Guy"/>
    <n v="0"/>
    <s v="Walker's"/>
    <s v="Tread Lightly by Walker"/>
    <x v="3"/>
    <s v="Party Light"/>
    <s v=""/>
    <x v="8"/>
    <s v="Frequency Presentation for &quot;The Big Guy&quot;"/>
    <s v="Frequency_TheBigGuy_Music"/>
    <s v="Original"/>
    <n v="41950"/>
    <s v="firm-bid"/>
    <m/>
    <m/>
    <m/>
    <m/>
    <m/>
    <m/>
    <m/>
    <x v="2"/>
    <n v="0"/>
    <n v="33925"/>
    <m/>
    <m/>
  </r>
  <r>
    <s v="The Big Guy"/>
    <n v="1"/>
    <s v="Walker's"/>
    <s v="Tread Lightly by Walker"/>
    <x v="3"/>
    <s v="Party Light"/>
    <s v="Special Oaks"/>
    <x v="8"/>
    <s v="&quot;The Big Guy&quot; - Special Oaks Music"/>
    <s v="SpecialOaks_TheBigGuy_Music"/>
    <s v="Original"/>
    <n v="25900"/>
    <s v="firm-bid"/>
    <n v="33925"/>
    <m/>
    <m/>
    <m/>
    <m/>
    <m/>
    <n v="1"/>
    <x v="2"/>
    <n v="0"/>
    <n v="33925"/>
    <n v="25900"/>
    <n v="25900"/>
  </r>
  <r>
    <s v="The Big Guy"/>
    <n v="0"/>
    <s v="Walker's"/>
    <s v="Tread Lightly by Walker"/>
    <x v="3"/>
    <s v="Party Light"/>
    <s v=""/>
    <x v="7"/>
    <s v="&quot;The Big Guy&quot; Stills - Furrier"/>
    <s v="Furrier_TheBigGuy_Stills"/>
    <s v="Original"/>
    <n v="175300.40669999999"/>
    <s v="firm-bid"/>
    <m/>
    <m/>
    <m/>
    <m/>
    <m/>
    <m/>
    <m/>
    <x v="2"/>
    <n v="0"/>
    <n v="169276.77456666666"/>
    <m/>
    <m/>
  </r>
  <r>
    <s v="The Big Guy"/>
    <n v="0"/>
    <s v="Walker's"/>
    <s v="Tread Lightly by Walker"/>
    <x v="3"/>
    <s v="Party Light"/>
    <s v=""/>
    <x v="7"/>
    <s v="Buck &amp; Archie &quot;Walker's:The Big Guy&quot; v3"/>
    <s v="BuckandArchie_TheBigGuy_Stills"/>
    <s v="Original"/>
    <n v="147033.4357"/>
    <s v="firm-bid"/>
    <m/>
    <m/>
    <m/>
    <m/>
    <m/>
    <m/>
    <m/>
    <x v="2"/>
    <n v="0"/>
    <n v="169276.77456666666"/>
    <m/>
    <m/>
  </r>
  <r>
    <s v="The Big Guy"/>
    <n v="1"/>
    <s v="Walker's"/>
    <s v="Tread Lightly by Walker"/>
    <x v="3"/>
    <s v="Party Light"/>
    <s v="Kent Wilson Studio"/>
    <x v="7"/>
    <s v="Kent Wilson Studio Estimate for &quot;The Big Guy&quot; #1 v2 (2 days)"/>
    <s v="KentWilsonStudio_TheBigGuy_Stills"/>
    <s v="Original"/>
    <n v="185496.48130000001"/>
    <s v="firm-bid"/>
    <n v="169276.7746"/>
    <m/>
    <n v="1"/>
    <m/>
    <m/>
    <m/>
    <m/>
    <x v="2"/>
    <n v="0"/>
    <n v="169276.77456666666"/>
    <n v="185496.48130000001"/>
    <n v="185496.48130000001"/>
  </r>
  <r>
    <s v="The Big Guy"/>
    <n v="0"/>
    <s v="Walker's"/>
    <s v="Tread Lightly by Walker"/>
    <x v="3"/>
    <s v="Party Light"/>
    <s v=""/>
    <x v="9"/>
    <s v="Edith Mayer ‚ÄúParty Light/The Big Guy‚Äù V1"/>
    <s v="EdithMayerCo_TheBigGuy_VFX"/>
    <s v="Original"/>
    <n v="131202.5"/>
    <s v="firm-bid"/>
    <m/>
    <m/>
    <m/>
    <m/>
    <m/>
    <m/>
    <m/>
    <x v="2"/>
    <n v="0"/>
    <n v="116983.75"/>
    <m/>
    <m/>
  </r>
  <r>
    <s v="The Big Guy"/>
    <n v="1"/>
    <s v="Walker's"/>
    <s v="Tread Lightly by Walker"/>
    <x v="3"/>
    <s v="Party Light"/>
    <s v="The Alliance"/>
    <x v="9"/>
    <s v="The Big Guy"/>
    <s v="TheAlliance_TheBigGuy_VFX"/>
    <s v="Original"/>
    <n v="102765"/>
    <s v="firm-bid"/>
    <n v="116983.75"/>
    <m/>
    <m/>
    <m/>
    <m/>
    <m/>
    <m/>
    <x v="2"/>
    <n v="0"/>
    <n v="116983.75"/>
    <n v="102765"/>
    <n v="102765"/>
  </r>
  <r>
    <s v="The Big Guy"/>
    <n v="0"/>
    <s v="Walker's"/>
    <s v="Tread Lightly by Walker"/>
    <x v="3"/>
    <s v="Party Light"/>
    <s v=""/>
    <x v="0"/>
    <s v="The Big Guy"/>
    <s v="TestFlight_TheBigGuy_LiveAction"/>
    <s v="Original"/>
    <n v="651508.09499999997"/>
    <s v="firm-bid"/>
    <m/>
    <m/>
    <n v="1"/>
    <m/>
    <m/>
    <m/>
    <n v="1"/>
    <x v="2"/>
    <n v="0"/>
    <n v="758314.41500000004"/>
    <m/>
    <m/>
  </r>
  <r>
    <s v="The Big Guy"/>
    <n v="1"/>
    <s v="Walker's"/>
    <s v="Tread Lightly by Walker"/>
    <x v="3"/>
    <s v="Party Light"/>
    <s v="Open Frameworks Image Creation"/>
    <x v="0"/>
    <s v="TBG"/>
    <s v="OpenFrameworks_TheBigGuy_LiveAction"/>
    <s v="Original"/>
    <n v="746640.52500000002"/>
    <s v="firm-bid"/>
    <n v="758314.41500000004"/>
    <m/>
    <m/>
    <m/>
    <m/>
    <m/>
    <m/>
    <x v="2"/>
    <n v="0"/>
    <n v="758314.41500000004"/>
    <n v="746640.52500000002"/>
    <n v="746640.52500000002"/>
  </r>
  <r>
    <s v="The Big Guy"/>
    <n v="0"/>
    <s v="Walker's"/>
    <s v="Tread Lightly by Walker"/>
    <x v="3"/>
    <s v="Party Light"/>
    <s v=""/>
    <x v="0"/>
    <s v="TBG"/>
    <s v="CHAW_TheBigGuy_LiveAction"/>
    <s v="Original"/>
    <n v="876794.625"/>
    <s v="firm-bid"/>
    <m/>
    <m/>
    <n v="1"/>
    <m/>
    <m/>
    <m/>
    <n v="1"/>
    <x v="2"/>
    <n v="0"/>
    <n v="758314.41500000004"/>
    <m/>
    <m/>
  </r>
  <r>
    <s v="The Big Guy"/>
    <n v="0"/>
    <s v="Walker's"/>
    <s v="Tread Lightly by Walker"/>
    <x v="3"/>
    <s v="Party Light"/>
    <s v=""/>
    <x v="4"/>
    <s v="The Big Guy"/>
    <s v="TestFlight_TheBigGuy_Covid"/>
    <s v="Original"/>
    <n v="6207.47"/>
    <s v="firm-bid"/>
    <m/>
    <m/>
    <n v="1"/>
    <m/>
    <m/>
    <m/>
    <n v="1"/>
    <x v="2"/>
    <n v="0"/>
    <n v="4912.9341666666669"/>
    <m/>
    <m/>
  </r>
  <r>
    <s v="The Big Guy"/>
    <n v="1"/>
    <s v="Walker's"/>
    <s v="Tread Lightly by Walker"/>
    <x v="3"/>
    <s v="Party Light"/>
    <s v="Open Frameworks Image Creation"/>
    <x v="4"/>
    <s v="TBG"/>
    <s v="OpenFrameworks_TheBigGuy_Covid"/>
    <s v="Original"/>
    <n v="5356.7"/>
    <s v="firm-bid"/>
    <n v="4912.9341670000003"/>
    <m/>
    <m/>
    <m/>
    <m/>
    <m/>
    <m/>
    <x v="2"/>
    <n v="0"/>
    <n v="4912.9341666666669"/>
    <n v="5356.7"/>
    <n v="5356.7"/>
  </r>
  <r>
    <s v="The Big Guy"/>
    <n v="0"/>
    <s v="Walker's"/>
    <s v="Tread Lightly by Walker"/>
    <x v="3"/>
    <s v="Party Light"/>
    <s v=""/>
    <x v="4"/>
    <s v="TBG"/>
    <s v="CHAW_TheBigGuy_Covid"/>
    <s v="Original"/>
    <n v="3174.6325000000002"/>
    <s v="firm-bid"/>
    <m/>
    <m/>
    <n v="1"/>
    <m/>
    <m/>
    <m/>
    <n v="1"/>
    <x v="2"/>
    <n v="0"/>
    <n v="4912.9341666666669"/>
    <m/>
    <m/>
  </r>
  <r>
    <s v="The Big Guy"/>
    <n v="0"/>
    <s v="Walker's"/>
    <s v="Tread Lightly by Walker"/>
    <x v="3"/>
    <s v="Party Light"/>
    <s v=""/>
    <x v="5"/>
    <s v="The Big Guy"/>
    <s v="TestFlight_TheBigGuy_Green"/>
    <s v="Original"/>
    <n v="19592"/>
    <s v="firm-bid"/>
    <m/>
    <m/>
    <n v="1"/>
    <m/>
    <m/>
    <m/>
    <n v="1"/>
    <x v="2"/>
    <n v="0"/>
    <n v="14893"/>
    <m/>
    <m/>
  </r>
  <r>
    <s v="The Big Guy"/>
    <n v="1"/>
    <s v="Walker's"/>
    <s v="Tread Lightly by Walker"/>
    <x v="3"/>
    <s v="Party Light"/>
    <s v="Open Frameworks Image Creation"/>
    <x v="5"/>
    <s v="TBG"/>
    <s v="OpenFrameworks_TheBigGuy_Green"/>
    <s v="Original"/>
    <n v="8704"/>
    <s v="firm-bid"/>
    <n v="14893"/>
    <m/>
    <m/>
    <m/>
    <m/>
    <m/>
    <m/>
    <x v="2"/>
    <n v="0"/>
    <n v="14893"/>
    <n v="8704"/>
    <n v="8704"/>
  </r>
  <r>
    <s v="The Big Guy"/>
    <n v="0"/>
    <s v="Walker's"/>
    <s v="Tread Lightly by Walker"/>
    <x v="3"/>
    <s v="Party Light"/>
    <s v=""/>
    <x v="5"/>
    <s v="TBG"/>
    <s v="CHAW_TheBigGuy_Green"/>
    <s v="Original"/>
    <n v="16383"/>
    <s v="firm-bid"/>
    <m/>
    <m/>
    <n v="1"/>
    <m/>
    <m/>
    <m/>
    <n v="1"/>
    <x v="2"/>
    <n v="0"/>
    <n v="14893"/>
    <m/>
    <m/>
  </r>
  <r>
    <s v="The Big Guy"/>
    <n v="0"/>
    <s v="Walker's"/>
    <s v="Tread Lightly by Walker"/>
    <x v="3"/>
    <s v="Party Light"/>
    <s v=""/>
    <x v="6"/>
    <s v="&quot;The Big Guy&quot; Stills - Furrier"/>
    <s v="Furrier_TheBigGuy_Retouching"/>
    <s v="Original"/>
    <n v="38700"/>
    <s v="firm-bid"/>
    <m/>
    <m/>
    <m/>
    <m/>
    <m/>
    <m/>
    <m/>
    <x v="2"/>
    <n v="0"/>
    <n v="47966.666666666664"/>
    <m/>
    <m/>
  </r>
  <r>
    <s v="The Big Guy"/>
    <n v="0"/>
    <s v="Walker's"/>
    <s v="Tread Lightly by Walker"/>
    <x v="3"/>
    <s v="Party Light"/>
    <s v=""/>
    <x v="6"/>
    <s v="Buck &amp; Archie &quot;Walker's:The Big Guy&quot; v3"/>
    <s v="BuckandArchie_TheBigGuy_Retouching"/>
    <s v="Original"/>
    <n v="50000"/>
    <s v="firm-bid"/>
    <m/>
    <m/>
    <m/>
    <m/>
    <m/>
    <m/>
    <m/>
    <x v="2"/>
    <n v="0"/>
    <n v="47966.666666666664"/>
    <m/>
    <m/>
  </r>
  <r>
    <s v="The Big Guy"/>
    <n v="1"/>
    <s v="Walker's"/>
    <s v="Tread Lightly by Walker"/>
    <x v="3"/>
    <s v="Party Light"/>
    <s v="Kent Wilson Studio"/>
    <x v="6"/>
    <s v="Kent Wilson Studio Estimate for &quot;The Big Guy&quot; #1 v2 (2 days)"/>
    <s v="KentWilsonStudio_TheBigGuy_Retouching"/>
    <s v="Original"/>
    <n v="55200"/>
    <s v="firm-bid"/>
    <n v="47966.666669999999"/>
    <m/>
    <n v="1"/>
    <m/>
    <m/>
    <m/>
    <m/>
    <x v="2"/>
    <n v="0"/>
    <n v="47966.666666666664"/>
    <n v="55200"/>
    <n v="55200"/>
  </r>
  <r>
    <s v="A Better Birthday"/>
    <n v="0"/>
    <s v="Walker's"/>
    <s v="Tread Lightly by Walker"/>
    <x v="3"/>
    <s v="Party Light"/>
    <s v=""/>
    <x v="2"/>
    <s v="Sound Monster"/>
    <s v="Audio_70"/>
    <s v="Original"/>
    <n v="24500"/>
    <s v="firm-bid"/>
    <m/>
    <n v="1"/>
    <n v="1"/>
    <n v="1"/>
    <m/>
    <m/>
    <n v="1"/>
    <x v="44"/>
    <n v="0"/>
    <n v="25766.666666666668"/>
    <m/>
    <m/>
  </r>
  <r>
    <s v="A Better Birthday"/>
    <n v="1"/>
    <s v="Walker's"/>
    <s v="Tread Lightly by Walker"/>
    <x v="3"/>
    <s v="Party Light"/>
    <s v="Earwax"/>
    <x v="2"/>
    <s v="Earwax &quot;A Better Birthday&quot;"/>
    <s v="Earwax"/>
    <s v="Original"/>
    <n v="20690"/>
    <s v="firm-bid"/>
    <n v="25766.666669999999"/>
    <n v="1"/>
    <m/>
    <m/>
    <m/>
    <n v="1"/>
    <n v="1"/>
    <x v="45"/>
    <n v="20690"/>
    <n v="25766.666666666668"/>
    <n v="20690"/>
    <n v="20690"/>
  </r>
  <r>
    <s v="A Better Birthday"/>
    <n v="0"/>
    <s v="Walker's"/>
    <s v="Tread Lightly by Walker"/>
    <x v="3"/>
    <s v="Party Light"/>
    <s v=""/>
    <x v="2"/>
    <s v="audio Labs &quot;A Better Birthday&quot;"/>
    <s v="Audio_92"/>
    <s v="Original"/>
    <n v="32110"/>
    <s v="firm-bid"/>
    <m/>
    <m/>
    <m/>
    <m/>
    <m/>
    <m/>
    <m/>
    <x v="2"/>
    <n v="0"/>
    <n v="25766.666666666668"/>
    <m/>
    <m/>
  </r>
  <r>
    <s v="A Better Birthday"/>
    <n v="0"/>
    <s v="Walker's"/>
    <s v="Tread Lightly by Walker"/>
    <x v="3"/>
    <s v="Party Light"/>
    <s v=""/>
    <x v="0"/>
    <s v="A Better Birthday"/>
    <s v="TestFlight_ABetterBirthday_LiveAction"/>
    <s v="Original"/>
    <n v="783241.875"/>
    <s v="firm-bid"/>
    <m/>
    <m/>
    <n v="1"/>
    <m/>
    <m/>
    <m/>
    <n v="1"/>
    <x v="2"/>
    <n v="0"/>
    <n v="711043.51246666664"/>
    <m/>
    <m/>
  </r>
  <r>
    <s v="A Better Birthday"/>
    <n v="1"/>
    <s v="Walker's"/>
    <s v="Tread Lightly by Walker"/>
    <x v="3"/>
    <s v="Party Light"/>
    <s v="Harmony &amp; Light"/>
    <x v="0"/>
    <s v="A Better Birthday"/>
    <s v="harmony_and_Light_ABetterBirthday_LiveAction"/>
    <s v="Original"/>
    <n v="613851.47239999997"/>
    <s v="firm-bid"/>
    <n v="711043.51249999995"/>
    <m/>
    <m/>
    <m/>
    <m/>
    <m/>
    <m/>
    <x v="2"/>
    <n v="0"/>
    <n v="711043.51246666664"/>
    <n v="613851.47239999997"/>
    <n v="613851.47239999997"/>
  </r>
  <r>
    <s v="A Better Birthday"/>
    <n v="0"/>
    <s v="Walker's"/>
    <s v="Tread Lightly by Walker"/>
    <x v="3"/>
    <s v="Party Light"/>
    <s v=""/>
    <x v="0"/>
    <s v="A Better Birthday"/>
    <s v="Interstate_ABetterBirthday_LiveAction"/>
    <s v="Original"/>
    <n v="736037.19"/>
    <s v="firm-bid"/>
    <m/>
    <m/>
    <m/>
    <m/>
    <m/>
    <n v="1"/>
    <m/>
    <x v="2"/>
    <n v="0"/>
    <n v="711043.51246666664"/>
    <m/>
    <m/>
  </r>
  <r>
    <s v="A Better Birthday"/>
    <n v="0"/>
    <s v="Walker's"/>
    <s v="Tread Lightly by Walker"/>
    <x v="3"/>
    <s v="Party Light"/>
    <s v=""/>
    <x v="4"/>
    <s v="A Better Birthday"/>
    <s v="TestFlight_ABetterBirthday_Covid"/>
    <s v="Original"/>
    <n v="3883.6075000000001"/>
    <s v="firm-bid"/>
    <m/>
    <m/>
    <n v="1"/>
    <m/>
    <m/>
    <m/>
    <n v="1"/>
    <x v="2"/>
    <n v="0"/>
    <n v="5621.9091666666673"/>
    <m/>
    <m/>
  </r>
  <r>
    <s v="A Better Birthday"/>
    <n v="1"/>
    <s v="Walker's"/>
    <s v="Tread Lightly by Walker"/>
    <x v="3"/>
    <s v="Party Light"/>
    <s v="Harmony &amp; Light"/>
    <x v="4"/>
    <s v="A Better Birthday"/>
    <s v="harmony_and_Light_ABetterBirthday_Covid"/>
    <s v="Original"/>
    <n v="7207.9125000000004"/>
    <s v="firm-bid"/>
    <n v="5621.9091669999998"/>
    <m/>
    <m/>
    <m/>
    <m/>
    <m/>
    <m/>
    <x v="2"/>
    <n v="0"/>
    <n v="5621.9091666666673"/>
    <n v="7207.9125000000004"/>
    <n v="7207.9125000000004"/>
  </r>
  <r>
    <s v="A Better Birthday"/>
    <n v="0"/>
    <s v="Walker's"/>
    <s v="Tread Lightly by Walker"/>
    <x v="3"/>
    <s v="Party Light"/>
    <s v=""/>
    <x v="4"/>
    <s v="A Better Birthday"/>
    <s v="Interstate_ABetterBirthday_Covid"/>
    <s v="Original"/>
    <n v="5774.2075000000004"/>
    <s v="firm-bid"/>
    <m/>
    <m/>
    <m/>
    <m/>
    <m/>
    <n v="1"/>
    <m/>
    <x v="2"/>
    <n v="0"/>
    <n v="5621.9091666666673"/>
    <m/>
    <m/>
  </r>
  <r>
    <s v="A Better Birthday"/>
    <n v="0"/>
    <s v="Walker's"/>
    <s v="Tread Lightly by Walker"/>
    <x v="3"/>
    <s v="Party Light"/>
    <s v=""/>
    <x v="5"/>
    <s v="A Better Birthday"/>
    <s v="TestFlight_ABetterBirthday_Green"/>
    <s v="Original"/>
    <n v="9271"/>
    <s v="firm-bid"/>
    <m/>
    <m/>
    <n v="1"/>
    <m/>
    <m/>
    <m/>
    <n v="1"/>
    <x v="2"/>
    <n v="0"/>
    <n v="16903.666666666668"/>
    <m/>
    <m/>
  </r>
  <r>
    <s v="A Better Birthday"/>
    <n v="1"/>
    <s v="Walker's"/>
    <s v="Tread Lightly by Walker"/>
    <x v="3"/>
    <s v="Party Light"/>
    <s v="Harmony &amp; Light"/>
    <x v="5"/>
    <s v="A Better Birthday"/>
    <s v="harmony_and_Light_ABetterBirthday_Green"/>
    <s v="Original"/>
    <n v="20320"/>
    <s v="firm-bid"/>
    <n v="16903.666669999999"/>
    <m/>
    <m/>
    <m/>
    <m/>
    <m/>
    <m/>
    <x v="2"/>
    <n v="0"/>
    <n v="16903.666666666668"/>
    <n v="20320"/>
    <n v="20320"/>
  </r>
  <r>
    <s v="A Better Birthday"/>
    <n v="0"/>
    <s v="Walker's"/>
    <s v="Tread Lightly by Walker"/>
    <x v="3"/>
    <s v="Party Light"/>
    <s v=""/>
    <x v="5"/>
    <s v="A Better Birthday"/>
    <s v="Interstate_ABetterBirthday_Green"/>
    <s v="Original"/>
    <n v="21120"/>
    <s v="firm-bid"/>
    <m/>
    <m/>
    <m/>
    <m/>
    <m/>
    <n v="1"/>
    <m/>
    <x v="2"/>
    <n v="0"/>
    <n v="16903.666666666668"/>
    <m/>
    <m/>
  </r>
  <r>
    <s v="A Better Birthday"/>
    <n v="0"/>
    <s v="Walker's"/>
    <s v="Tread Lightly by Walker"/>
    <x v="3"/>
    <s v="Party Light"/>
    <s v=""/>
    <x v="1"/>
    <s v="A Better Birthday"/>
    <s v="MyrtleRow_ABetterBirthday_Edit"/>
    <s v="Original"/>
    <n v="115561.25"/>
    <s v="firm-bid"/>
    <m/>
    <m/>
    <m/>
    <m/>
    <m/>
    <m/>
    <n v="1"/>
    <x v="2"/>
    <n v="0"/>
    <n v="147026.44443333332"/>
    <m/>
    <m/>
  </r>
  <r>
    <s v="A Better Birthday"/>
    <n v="1"/>
    <s v="Walker's"/>
    <s v="Tread Lightly by Walker"/>
    <x v="3"/>
    <s v="Party Light"/>
    <s v="Toto"/>
    <x v="1"/>
    <s v="A Better Birthday"/>
    <s v="ToTo_ABetterBirthday_Edit"/>
    <s v="Original"/>
    <n v="173646.2"/>
    <s v="firm-bid"/>
    <n v="147026.44440000001"/>
    <m/>
    <m/>
    <n v="1"/>
    <m/>
    <m/>
    <m/>
    <x v="2"/>
    <n v="0"/>
    <n v="147026.44443333332"/>
    <n v="173646.2"/>
    <n v="173646.2"/>
  </r>
  <r>
    <s v="A Better Birthday"/>
    <n v="0"/>
    <s v="Walker's"/>
    <s v="Tread Lightly by Walker"/>
    <x v="5"/>
    <s v="Party Light"/>
    <s v=""/>
    <x v="1"/>
    <s v="TIme Bomb - A Better Birthday"/>
    <s v="TimeBomb_ABetterBirthday_Edit"/>
    <s v="Original"/>
    <n v="151871.88329999999"/>
    <s v="firm-bid"/>
    <m/>
    <m/>
    <m/>
    <m/>
    <m/>
    <m/>
    <m/>
    <x v="2"/>
    <n v="0"/>
    <n v="147026.44443333332"/>
    <m/>
    <m/>
  </r>
  <r>
    <s v="A Better Birthday"/>
    <n v="1"/>
    <s v="Walker's"/>
    <s v="Tread Lightly by Walker"/>
    <x v="5"/>
    <s v="Party Light"/>
    <s v="Here &amp; Now"/>
    <x v="3"/>
    <s v="Here &amp; Now for¬†&quot;A Better Birthday&quot;"/>
    <s v="HereandNow_ABetterBirthday_Finishing"/>
    <s v="Original"/>
    <n v="56650"/>
    <s v="firm-bid"/>
    <n v="36483.333330000001"/>
    <m/>
    <m/>
    <m/>
    <m/>
    <m/>
    <m/>
    <x v="2"/>
    <n v="0"/>
    <n v="36483.333333333328"/>
    <n v="56650"/>
    <n v="56650"/>
  </r>
  <r>
    <s v="A Better Birthday"/>
    <n v="0"/>
    <s v="Walker's"/>
    <s v="Tread Lightly by Walker"/>
    <x v="5"/>
    <s v="Party Light"/>
    <s v=""/>
    <x v="3"/>
    <s v="WITNESS:: A Better Birthday"/>
    <s v="Witness_ABetterBirthday_Finishing"/>
    <s v="Original"/>
    <n v="21950"/>
    <s v="firm-bid"/>
    <m/>
    <m/>
    <m/>
    <m/>
    <m/>
    <m/>
    <m/>
    <x v="2"/>
    <n v="0"/>
    <n v="36483.333333333328"/>
    <m/>
    <m/>
  </r>
  <r>
    <s v="A Better Birthday"/>
    <n v="0"/>
    <s v="Walker's"/>
    <s v="Tread Lightly by Walker"/>
    <x v="5"/>
    <s v="Party Light"/>
    <s v=""/>
    <x v="3"/>
    <s v="A Better Birthday - Burnish"/>
    <s v="Burnish_ABetterBirthday_Finishing"/>
    <s v="Original"/>
    <n v="30850"/>
    <s v="firm-bid"/>
    <m/>
    <m/>
    <m/>
    <m/>
    <m/>
    <n v="1"/>
    <m/>
    <x v="2"/>
    <n v="0"/>
    <n v="36483.333333333328"/>
    <m/>
    <m/>
  </r>
  <r>
    <s v="The Reunion Gig"/>
    <n v="1"/>
    <s v="Walker's"/>
    <s v="Tread Lightly by Walker"/>
    <x v="5"/>
    <s v="Party Light"/>
    <s v="Open Frameworks Image Creation"/>
    <x v="0"/>
    <s v="The Reunion Gig"/>
    <s v="OpenFrameworks_TheReunionGig_LiveAction"/>
    <s v="Original"/>
    <n v="1025091.738"/>
    <s v="firm-bid"/>
    <n v="791032.91899999999"/>
    <m/>
    <m/>
    <m/>
    <m/>
    <m/>
    <m/>
    <x v="2"/>
    <n v="0"/>
    <n v="791032.91916666669"/>
    <n v="1025091.738"/>
    <n v="1025091.738"/>
  </r>
  <r>
    <s v="The Reunion Gig"/>
    <n v="0"/>
    <s v="Walker's"/>
    <s v="Tread Lightly by Walker"/>
    <x v="5"/>
    <s v="Party Light"/>
    <s v=""/>
    <x v="0"/>
    <s v="The Reunion Gig"/>
    <s v="harmony_and_Light_TheReunionGig_LiveAction"/>
    <s v="Original"/>
    <n v="726861.22089999996"/>
    <s v="firm-bid"/>
    <m/>
    <m/>
    <m/>
    <m/>
    <m/>
    <m/>
    <m/>
    <x v="2"/>
    <n v="0"/>
    <n v="791032.91916666669"/>
    <m/>
    <m/>
  </r>
  <r>
    <s v="The Reunion Gig"/>
    <n v="0"/>
    <s v="Walker's"/>
    <s v="Tread Lightly by Walker"/>
    <x v="5"/>
    <s v="Party Light"/>
    <s v=""/>
    <x v="0"/>
    <s v="TRG"/>
    <s v="Petulant_TheReunionGig_LiveAction"/>
    <s v="Original"/>
    <n v="621145.79859999998"/>
    <s v="firm-bid"/>
    <m/>
    <m/>
    <m/>
    <m/>
    <m/>
    <m/>
    <m/>
    <x v="2"/>
    <n v="0"/>
    <n v="791032.91916666669"/>
    <m/>
    <m/>
  </r>
  <r>
    <s v="The Reunion Gig"/>
    <n v="1"/>
    <s v="Walker's"/>
    <s v="Tread Lightly by Walker"/>
    <x v="5"/>
    <s v="Party Light"/>
    <s v="Audio Lab Technologies"/>
    <x v="2"/>
    <s v="AUdio Labs  &quot;The Reunion Gig&quot;"/>
    <s v="Audio_93"/>
    <s v="Original"/>
    <n v="27850"/>
    <s v="firm-bid"/>
    <n v="38780"/>
    <m/>
    <m/>
    <m/>
    <n v="1"/>
    <m/>
    <n v="1"/>
    <x v="2"/>
    <n v="0"/>
    <n v="38780"/>
    <n v="27850"/>
    <n v="27850"/>
  </r>
  <r>
    <s v="The Reunion Gig"/>
    <n v="0"/>
    <s v="Walker's"/>
    <s v="Tread Lightly by Walker"/>
    <x v="5"/>
    <s v="Party Light"/>
    <s v=""/>
    <x v="2"/>
    <s v="Arsonist&quot;The Reunion Gig&quot;"/>
    <s v="Arsonist"/>
    <s v="Original"/>
    <n v="49710"/>
    <s v="firm-bid"/>
    <m/>
    <m/>
    <m/>
    <n v="1"/>
    <n v="1"/>
    <m/>
    <m/>
    <x v="2"/>
    <n v="0"/>
    <n v="38780"/>
    <m/>
    <m/>
  </r>
  <r>
    <s v="The Reunion Gig"/>
    <n v="1"/>
    <s v="Walker's"/>
    <s v="Tread Lightly by Walker"/>
    <x v="5"/>
    <s v="Party Light"/>
    <s v="Open Frameworks Image Creation"/>
    <x v="4"/>
    <s v="The Reunion Gig"/>
    <s v="OpenFrameworks_TheReunionGig_Covid"/>
    <s v="Original"/>
    <n v="10327.4025"/>
    <s v="firm-bid"/>
    <n v="10028.057500000001"/>
    <m/>
    <m/>
    <m/>
    <m/>
    <m/>
    <m/>
    <x v="2"/>
    <n v="0"/>
    <n v="10028.057500000001"/>
    <n v="10327.4025"/>
    <n v="10327.4025"/>
  </r>
  <r>
    <s v="The Reunion Gig"/>
    <n v="0"/>
    <s v="Walker's"/>
    <s v="Tread Lightly by Walker"/>
    <x v="5"/>
    <s v="Party Light"/>
    <s v=""/>
    <x v="4"/>
    <s v="The Reunion Gig"/>
    <s v="harmony_and_Light_TheReunionGig_Covid"/>
    <s v="Original"/>
    <n v="6168.0825000000004"/>
    <s v="firm-bid"/>
    <m/>
    <m/>
    <m/>
    <m/>
    <m/>
    <m/>
    <m/>
    <x v="2"/>
    <n v="0"/>
    <n v="10028.057500000001"/>
    <m/>
    <m/>
  </r>
  <r>
    <s v="The Reunion Gig"/>
    <n v="0"/>
    <s v="Walker's"/>
    <s v="Tread Lightly by Walker"/>
    <x v="4"/>
    <s v="Party Light"/>
    <s v=""/>
    <x v="4"/>
    <s v="TRG"/>
    <s v="Petulant_TheReunionGig_Covid"/>
    <s v="Original"/>
    <n v="13588.6875"/>
    <s v="firm-bid"/>
    <m/>
    <m/>
    <m/>
    <m/>
    <m/>
    <m/>
    <m/>
    <x v="2"/>
    <n v="0"/>
    <n v="10028.057500000001"/>
    <m/>
    <m/>
  </r>
  <r>
    <s v="The Reunion Gig"/>
    <n v="1"/>
    <s v="Walker's"/>
    <s v="Tread Lightly by Walker"/>
    <x v="4"/>
    <s v="Party Light"/>
    <s v="Open Frameworks Image Creation"/>
    <x v="5"/>
    <s v="The Reunion Gig"/>
    <s v="OpenFrameworks_TheReunionGig_Green"/>
    <s v="Original"/>
    <n v="18576"/>
    <s v="firm-bid"/>
    <n v="16579.333330000001"/>
    <m/>
    <m/>
    <m/>
    <m/>
    <m/>
    <m/>
    <x v="2"/>
    <n v="0"/>
    <n v="16579.333333333332"/>
    <n v="18576"/>
    <n v="18576"/>
  </r>
  <r>
    <s v="The Reunion Gig"/>
    <n v="0"/>
    <s v="Walker's"/>
    <s v="Tread Lightly by Walker"/>
    <x v="4"/>
    <s v="Party Light"/>
    <s v=""/>
    <x v="5"/>
    <s v="The Reunion Gig"/>
    <s v="harmony_and_Light_TheReunionGig_Green"/>
    <s v="Original"/>
    <n v="12474"/>
    <s v="firm-bid"/>
    <m/>
    <m/>
    <m/>
    <m/>
    <m/>
    <m/>
    <m/>
    <x v="2"/>
    <n v="0"/>
    <n v="16579.333333333332"/>
    <m/>
    <m/>
  </r>
  <r>
    <s v="The Reunion Gig"/>
    <n v="0"/>
    <s v="Walker's"/>
    <s v="Tread Lightly by Walker"/>
    <x v="4"/>
    <s v="Party Light"/>
    <s v=""/>
    <x v="5"/>
    <s v="TRG"/>
    <s v="Petulant_TheReunionGig_Green"/>
    <s v="Original"/>
    <n v="18688"/>
    <s v="firm-bid"/>
    <m/>
    <m/>
    <m/>
    <m/>
    <m/>
    <m/>
    <m/>
    <x v="2"/>
    <n v="0"/>
    <n v="16579.333333333332"/>
    <m/>
    <m/>
  </r>
  <r>
    <s v="The Reunion Gig"/>
    <n v="1"/>
    <s v="Walker's"/>
    <s v="Tread Lightly by Walker"/>
    <x v="4"/>
    <s v="Party Light"/>
    <s v="Fight Club"/>
    <x v="1"/>
    <s v="The Reunion Gig"/>
    <s v="Fightclub_TheReunionGig_Edit"/>
    <s v="Original"/>
    <n v="86910.833329999994"/>
    <s v="firm-bid"/>
    <n v="91396.2"/>
    <m/>
    <m/>
    <m/>
    <m/>
    <m/>
    <m/>
    <x v="2"/>
    <n v="0"/>
    <n v="91396.2"/>
    <n v="86910.833329999994"/>
    <n v="86910.833329999994"/>
  </r>
  <r>
    <s v="The Reunion Gig"/>
    <n v="0"/>
    <s v="Walker's"/>
    <s v="Tread Lightly by Walker"/>
    <x v="4"/>
    <s v="Party Light"/>
    <s v=""/>
    <x v="1"/>
    <s v="TRG v4"/>
    <s v="TotalCuts_TheReunionGig_Edit"/>
    <s v="Original"/>
    <n v="95881.56667"/>
    <s v="firm-bid"/>
    <m/>
    <m/>
    <m/>
    <m/>
    <m/>
    <m/>
    <m/>
    <x v="2"/>
    <n v="0"/>
    <n v="91396.2"/>
    <m/>
    <m/>
  </r>
  <r>
    <s v="The Reunion Gig"/>
    <n v="0"/>
    <s v="Walker's"/>
    <s v="Tread Lightly by Walker"/>
    <x v="4"/>
    <s v="Party Light"/>
    <s v=""/>
    <x v="3"/>
    <s v="‚ÄúThe Reunion Gig‚Äù | Dub House"/>
    <s v="TheDubHouse_TheReunionGig_Finishing"/>
    <s v="Original"/>
    <n v="36850"/>
    <s v="firm-bid"/>
    <m/>
    <m/>
    <m/>
    <m/>
    <m/>
    <m/>
    <m/>
    <x v="2"/>
    <n v="0"/>
    <n v="28966.666666666668"/>
    <m/>
    <m/>
  </r>
  <r>
    <s v="The Reunion Gig"/>
    <n v="1"/>
    <s v="Walker's"/>
    <s v="Tread Lightly by Walker"/>
    <x v="4"/>
    <s v="Party Light"/>
    <s v="Andiamo Images"/>
    <x v="3"/>
    <s v="&quot;The Reunion Gig&quot; Andiamo"/>
    <s v="AndiamoImages_TheReunionGig_Finishing"/>
    <s v="Original"/>
    <n v="29550"/>
    <s v="firm-bid"/>
    <n v="28966.666669999999"/>
    <m/>
    <m/>
    <n v="1"/>
    <m/>
    <n v="1"/>
    <m/>
    <x v="2"/>
    <n v="0"/>
    <n v="28966.666666666668"/>
    <n v="29550"/>
    <n v="29550"/>
  </r>
  <r>
    <s v="The Reunion Gig"/>
    <n v="0"/>
    <s v="Walker's"/>
    <s v="Tread Lightly by Walker"/>
    <x v="4"/>
    <s v="Party Light"/>
    <s v=""/>
    <x v="3"/>
    <s v="EB  &quot;The Reunion Gig&quot;"/>
    <s v="EvanBanderLLC_TheReunionGig_Finishing"/>
    <s v="Original"/>
    <n v="20500"/>
    <s v="firm-bid"/>
    <m/>
    <m/>
    <m/>
    <m/>
    <n v="1"/>
    <m/>
    <n v="1"/>
    <x v="2"/>
    <n v="0"/>
    <n v="28966.666666666668"/>
    <m/>
    <m/>
  </r>
  <r>
    <s v="Ethically Tarnished"/>
    <n v="0"/>
    <s v="Color Guard"/>
    <s v="Color Guard Finishers"/>
    <x v="4"/>
    <s v="Dirty John"/>
    <s v=""/>
    <x v="1"/>
    <s v="Ethically Tarnished"/>
    <s v="Armistace_EthicallyTarnished_Edit"/>
    <s v="Original"/>
    <n v="153774.6"/>
    <s v="firm-bid"/>
    <m/>
    <m/>
    <m/>
    <m/>
    <m/>
    <m/>
    <m/>
    <x v="2"/>
    <n v="0"/>
    <n v="143791.27776666667"/>
    <m/>
    <m/>
  </r>
  <r>
    <s v="Ethically Tarnished"/>
    <n v="0"/>
    <s v="Color Guard"/>
    <s v="Color Guard Finishers"/>
    <x v="4"/>
    <s v="Dirty John"/>
    <s v=""/>
    <x v="1"/>
    <s v="Ethically Tarnished"/>
    <s v="TotalCuts_EthicallyTarnished_Edit"/>
    <s v="Original"/>
    <n v="145154.79999999999"/>
    <s v="firm-bid"/>
    <m/>
    <m/>
    <m/>
    <m/>
    <m/>
    <m/>
    <m/>
    <x v="2"/>
    <n v="0"/>
    <n v="143791.27776666667"/>
    <m/>
    <m/>
  </r>
  <r>
    <s v="Ethically Tarnished"/>
    <n v="1"/>
    <s v="Color Guard"/>
    <s v="Color Guard Finishers"/>
    <x v="4"/>
    <s v="Dirty John"/>
    <s v="Margin Five"/>
    <x v="1"/>
    <s v="Ethically Tarnished"/>
    <s v="Margin5_EthicallyTarnished_Edit"/>
    <s v="Original"/>
    <n v="132444.4333"/>
    <s v="firm-bid"/>
    <n v="143791.27780000001"/>
    <m/>
    <m/>
    <m/>
    <m/>
    <m/>
    <m/>
    <x v="2"/>
    <n v="0"/>
    <n v="143791.27776666667"/>
    <n v="132444.4333"/>
    <n v="132444.4333"/>
  </r>
  <r>
    <s v="Moral Stains"/>
    <n v="0"/>
    <s v="Color Guard"/>
    <s v="Color Guard Finishers"/>
    <x v="4"/>
    <s v="Dirty John"/>
    <s v=""/>
    <x v="2"/>
    <s v="Arosnist&quot;Moral Stains&quot;"/>
    <s v="Arsonist"/>
    <s v="Original"/>
    <n v="50780"/>
    <s v="firm-bid"/>
    <m/>
    <m/>
    <m/>
    <m/>
    <m/>
    <m/>
    <m/>
    <x v="2"/>
    <n v="0"/>
    <n v="52585"/>
    <m/>
    <m/>
  </r>
  <r>
    <s v="Moral Stains"/>
    <n v="1"/>
    <s v="Color Guard"/>
    <s v="Color Guard Finishers"/>
    <x v="4"/>
    <s v="Dirty John"/>
    <s v="Love Language"/>
    <x v="2"/>
    <s v="Love Language &quot;Moral Stains&quot;"/>
    <s v="Love133"/>
    <s v="Original"/>
    <n v="54390"/>
    <s v="firm-bid"/>
    <n v="52585"/>
    <m/>
    <m/>
    <m/>
    <m/>
    <m/>
    <m/>
    <x v="2"/>
    <n v="0"/>
    <n v="52585"/>
    <n v="54390"/>
    <n v="54390"/>
  </r>
  <r>
    <s v="Moral Stains"/>
    <n v="0"/>
    <s v="Color Guard"/>
    <s v="Color Guard Finishers"/>
    <x v="4"/>
    <s v="Dirty John"/>
    <s v=""/>
    <x v="0"/>
    <s v="Moral Stains"/>
    <s v="TestFlight_MoralStains_LiveAction"/>
    <s v="Original"/>
    <n v="766626.6825"/>
    <s v="firm-bid"/>
    <m/>
    <m/>
    <n v="1"/>
    <m/>
    <m/>
    <m/>
    <n v="1"/>
    <x v="2"/>
    <n v="0"/>
    <n v="825872.91529999999"/>
    <m/>
    <m/>
  </r>
  <r>
    <s v="Moral Stains"/>
    <n v="0"/>
    <s v="Color Guard"/>
    <s v="Color Guard Finishers"/>
    <x v="4"/>
    <s v="Dirty John"/>
    <s v=""/>
    <x v="0"/>
    <s v="Moral Stains"/>
    <s v="OpenFrameworks_MoralStains_LiveAction"/>
    <s v="Original"/>
    <n v="942912.96"/>
    <s v="firm-bid"/>
    <m/>
    <m/>
    <m/>
    <m/>
    <m/>
    <m/>
    <m/>
    <x v="2"/>
    <n v="0"/>
    <n v="825872.91529999999"/>
    <m/>
    <m/>
  </r>
  <r>
    <s v="Moral Stains"/>
    <n v="1"/>
    <s v="Color Guard"/>
    <s v="Color Guard Finishers"/>
    <x v="4"/>
    <s v="Dirty John"/>
    <s v="CHAW Creative"/>
    <x v="0"/>
    <s v="Moral Stains"/>
    <s v="CHAW_MoralStains_LiveAction"/>
    <s v="Original"/>
    <n v="768079.10340000002"/>
    <s v="firm-bid"/>
    <n v="825872.91529999999"/>
    <m/>
    <n v="1"/>
    <m/>
    <m/>
    <m/>
    <n v="1"/>
    <x v="2"/>
    <n v="0"/>
    <n v="825872.91529999999"/>
    <n v="768079.10340000002"/>
    <n v="768079.10340000002"/>
  </r>
  <r>
    <s v="Moral Stains"/>
    <n v="0"/>
    <s v="Color Guard"/>
    <s v="Color Guard Finishers"/>
    <x v="4"/>
    <s v="Dirty John"/>
    <s v=""/>
    <x v="4"/>
    <s v="Moral Stains"/>
    <s v="TestFlight_MoralStains_Covid"/>
    <s v="Original"/>
    <n v="11107.275"/>
    <s v="firm-bid"/>
    <m/>
    <m/>
    <n v="1"/>
    <m/>
    <m/>
    <m/>
    <n v="1"/>
    <x v="2"/>
    <n v="0"/>
    <n v="7738.3308333333334"/>
    <m/>
    <m/>
  </r>
  <r>
    <s v="Moral Stains"/>
    <n v="0"/>
    <s v="Color Guard"/>
    <s v="Color Guard Finishers"/>
    <x v="4"/>
    <s v="Dirty John"/>
    <s v=""/>
    <x v="4"/>
    <s v="Moral Stains"/>
    <s v="OpenFrameworks_MoralStains_Covid"/>
    <s v="Original"/>
    <n v="4852.54"/>
    <s v="firm-bid"/>
    <m/>
    <m/>
    <m/>
    <m/>
    <m/>
    <m/>
    <m/>
    <x v="2"/>
    <n v="0"/>
    <n v="7738.3308333333334"/>
    <m/>
    <m/>
  </r>
  <r>
    <s v="Moral Stains"/>
    <n v="1"/>
    <s v="Color Guard"/>
    <s v="Color Guard Finishers"/>
    <x v="4"/>
    <s v="Dirty John"/>
    <s v="CHAW Creative"/>
    <x v="4"/>
    <s v="Moral Stains"/>
    <s v="CHAW_MoralStains_Covid"/>
    <s v="Original"/>
    <n v="7255.1774999999998"/>
    <s v="firm-bid"/>
    <n v="7738.330833"/>
    <m/>
    <n v="1"/>
    <m/>
    <m/>
    <m/>
    <n v="1"/>
    <x v="2"/>
    <n v="0"/>
    <n v="7738.3308333333334"/>
    <n v="7255.1774999999998"/>
    <n v="7255.1774999999998"/>
  </r>
  <r>
    <s v="Moral Stains"/>
    <n v="0"/>
    <s v="Color Guard"/>
    <s v="Color Guard Finishers"/>
    <x v="4"/>
    <s v="Dirty John"/>
    <s v=""/>
    <x v="1"/>
    <s v="SAKS for Moral Stains"/>
    <s v="SaksStreetEdit_MoralStains_Edit"/>
    <s v="Original"/>
    <n v="122741.675"/>
    <s v="firm-bid"/>
    <m/>
    <m/>
    <m/>
    <m/>
    <n v="1"/>
    <m/>
    <n v="1"/>
    <x v="2"/>
    <n v="0"/>
    <n v="133351.01110999999"/>
    <m/>
    <m/>
  </r>
  <r>
    <s v="Moral Stains"/>
    <n v="1"/>
    <s v="Color Guard"/>
    <s v="Color Guard Finishers"/>
    <x v="4"/>
    <s v="Dirty John"/>
    <s v="The Closet"/>
    <x v="1"/>
    <s v="Moral Stains"/>
    <s v="TheCloset_MoralStains_Edit"/>
    <s v="Original"/>
    <n v="95547.083329999994"/>
    <s v="firm-bid"/>
    <n v="133351.0111"/>
    <m/>
    <m/>
    <m/>
    <m/>
    <n v="1"/>
    <n v="1"/>
    <x v="2"/>
    <n v="0"/>
    <n v="133351.01110999999"/>
    <n v="95547.083329999994"/>
    <n v="95547.083329999994"/>
  </r>
  <r>
    <s v="Moral Stains"/>
    <n v="0"/>
    <s v="Color Guard"/>
    <s v="Color Guard Finishers"/>
    <x v="4"/>
    <s v="Dirty John"/>
    <s v=""/>
    <x v="1"/>
    <s v="Moral Stains"/>
    <s v="Armistace_MoralStains_Edit"/>
    <s v="Original"/>
    <n v="181764.27499999999"/>
    <s v="firm-bid"/>
    <m/>
    <m/>
    <m/>
    <m/>
    <m/>
    <m/>
    <m/>
    <x v="2"/>
    <n v="0"/>
    <n v="133351.01110999999"/>
    <m/>
    <m/>
  </r>
  <r>
    <s v="Moral Stains"/>
    <n v="1"/>
    <s v="Color Guard"/>
    <s v="Color Guard Finishers"/>
    <x v="4"/>
    <s v="Dirty John"/>
    <s v="Rackspace Digital"/>
    <x v="3"/>
    <s v="&quot;Moral Stains&quot; RSD #452034"/>
    <s v="RackspaceDigital_MoralStains_Finishing"/>
    <s v="Original"/>
    <n v="32300"/>
    <s v="firm-bid"/>
    <n v="30325"/>
    <m/>
    <m/>
    <n v="1"/>
    <m/>
    <m/>
    <m/>
    <x v="2"/>
    <n v="0"/>
    <n v="30325"/>
    <n v="32300"/>
    <n v="32300"/>
  </r>
  <r>
    <s v="Moral Stains"/>
    <n v="0"/>
    <s v="Color Guard"/>
    <s v="Color Guard Finishers"/>
    <x v="4"/>
    <s v="Dirty John"/>
    <s v=""/>
    <x v="3"/>
    <s v="EB &quot;Moral Stains&quot;"/>
    <s v="EvanBanderLLC_MoralStains_Finishing"/>
    <s v="Original"/>
    <n v="28350"/>
    <s v="firm-bid"/>
    <m/>
    <m/>
    <m/>
    <m/>
    <n v="1"/>
    <m/>
    <n v="1"/>
    <x v="2"/>
    <n v="0"/>
    <n v="30325"/>
    <m/>
    <m/>
  </r>
  <r>
    <s v="A Horse of a Different Color"/>
    <n v="0"/>
    <s v="Color Guard"/>
    <s v="Color Guard Finishers"/>
    <x v="4"/>
    <s v="Dirty John"/>
    <s v=""/>
    <x v="1"/>
    <s v="A Horse of a Different Color"/>
    <s v="Margin5_AHorseofaDifferentColor_Edit"/>
    <s v="Original"/>
    <n v="144247.3083"/>
    <s v="firm-bid"/>
    <m/>
    <m/>
    <m/>
    <m/>
    <m/>
    <m/>
    <m/>
    <x v="2"/>
    <n v="0"/>
    <n v="138920.25"/>
    <m/>
    <m/>
  </r>
  <r>
    <s v="A Horse of a Different Color"/>
    <n v="1"/>
    <s v="Color Guard"/>
    <s v="Color Guard Finishers"/>
    <x v="4"/>
    <s v="Dirty John"/>
    <s v="Time Bomb LLC"/>
    <x v="1"/>
    <s v="TimeBomb - A Horse of a Different Color"/>
    <s v="TimeBomb_AHorseofaDifferentColor_Edit"/>
    <s v="Original"/>
    <n v="161621.25"/>
    <s v="firm-bid"/>
    <n v="138920.25"/>
    <m/>
    <m/>
    <m/>
    <m/>
    <m/>
    <m/>
    <x v="2"/>
    <n v="0"/>
    <n v="138920.25"/>
    <n v="161621.25"/>
    <n v="161621.25"/>
  </r>
  <r>
    <s v="A Horse of a Different Color"/>
    <n v="0"/>
    <s v="Color Guard"/>
    <s v="Color Guard Finishers"/>
    <x v="4"/>
    <s v="Dirty John"/>
    <s v=""/>
    <x v="1"/>
    <s v="A Horse of a Different Color"/>
    <s v="Fightclub_AHorseofaDifferentColor_Edit"/>
    <s v="Original"/>
    <n v="110892.1917"/>
    <s v="firm-bid"/>
    <m/>
    <m/>
    <m/>
    <m/>
    <m/>
    <m/>
    <m/>
    <x v="2"/>
    <n v="0"/>
    <n v="138920.25"/>
    <m/>
    <m/>
  </r>
  <r>
    <s v="Stay Colorful"/>
    <n v="0"/>
    <s v="Color Guard"/>
    <s v="Color Guard Vivid"/>
    <x v="4"/>
    <s v="Dirty John"/>
    <s v=""/>
    <x v="2"/>
    <s v="Audio Labs &quot;Stay Colorful&quot;"/>
    <s v="Audio_94"/>
    <s v="Original"/>
    <n v="13050"/>
    <s v="firm-bid"/>
    <m/>
    <m/>
    <m/>
    <m/>
    <m/>
    <m/>
    <m/>
    <x v="2"/>
    <n v="0"/>
    <n v="28613.333333333336"/>
    <m/>
    <m/>
  </r>
  <r>
    <s v="Stay Colorful"/>
    <n v="1"/>
    <s v="Color Guard"/>
    <s v="Color Guard Vivid"/>
    <x v="4"/>
    <s v="Dirty John"/>
    <s v="Funny Rabbit"/>
    <x v="2"/>
    <s v="FunnyRabbit&quot;Stay Colorful&quot;"/>
    <s v="FunnyRabbit"/>
    <s v="Original"/>
    <n v="27240"/>
    <s v="firm-bid"/>
    <n v="28613.333330000001"/>
    <m/>
    <m/>
    <m/>
    <m/>
    <m/>
    <m/>
    <x v="2"/>
    <n v="0"/>
    <n v="28613.333333333336"/>
    <n v="27240"/>
    <n v="27240"/>
  </r>
  <r>
    <s v="Stay Colorful"/>
    <n v="0"/>
    <s v="Color Guard"/>
    <s v="Color Guard Vivid"/>
    <x v="4"/>
    <s v="Dirty John"/>
    <s v=""/>
    <x v="2"/>
    <s v="Earwax &quot;Stay Colorful&quot;"/>
    <s v="Earwax"/>
    <s v="Original"/>
    <n v="45550"/>
    <s v="firm-bid"/>
    <m/>
    <m/>
    <m/>
    <m/>
    <m/>
    <n v="1"/>
    <m/>
    <x v="2"/>
    <n v="0"/>
    <n v="28613.333333333336"/>
    <m/>
    <m/>
  </r>
  <r>
    <s v="Stay Colorful"/>
    <n v="1"/>
    <s v="Color Guard"/>
    <s v="Color Guard Vivid"/>
    <x v="4"/>
    <s v="Dirty John"/>
    <s v="Here &amp; Now"/>
    <x v="3"/>
    <s v="Here &amp; Now for¬†&quot;Stay Colorful&quot;"/>
    <s v="HereandNow_StayColorful_Finishing"/>
    <s v="Original"/>
    <n v="14200"/>
    <s v="firm-bid"/>
    <n v="23825"/>
    <m/>
    <m/>
    <n v="1"/>
    <n v="1"/>
    <m/>
    <m/>
    <x v="2"/>
    <n v="0"/>
    <n v="23825"/>
    <n v="14200"/>
    <n v="14200"/>
  </r>
  <r>
    <s v="Stay Colorful"/>
    <n v="0"/>
    <s v="Color Guard"/>
    <s v="Color Guard Vivid"/>
    <x v="4"/>
    <s v="Dirty John"/>
    <s v=""/>
    <x v="3"/>
    <s v="&quot;Stay Colorful&quot; RSD #452099"/>
    <s v="RackspaceDigital_StayColorful_Finishing"/>
    <s v="Original"/>
    <n v="33450"/>
    <s v="firm-bid"/>
    <m/>
    <m/>
    <m/>
    <m/>
    <m/>
    <m/>
    <m/>
    <x v="2"/>
    <n v="0"/>
    <n v="23825"/>
    <m/>
    <m/>
  </r>
  <r>
    <s v="Stay Colorful"/>
    <n v="1"/>
    <s v="Color Guard"/>
    <s v="Color Guard Vivid"/>
    <x v="4"/>
    <s v="Dirty John"/>
    <s v="Fight Club"/>
    <x v="1"/>
    <s v="Stay Colorful"/>
    <s v="Fightclub_StayColorful_Edit"/>
    <s v="Original"/>
    <n v="145993.75"/>
    <s v="firm-bid"/>
    <n v="127258.5708"/>
    <m/>
    <m/>
    <n v="1"/>
    <m/>
    <m/>
    <m/>
    <x v="2"/>
    <n v="0"/>
    <n v="127258.57084999999"/>
    <n v="145993.75"/>
    <n v="145993.75"/>
  </r>
  <r>
    <s v="Stay Colorful"/>
    <n v="0"/>
    <s v="Color Guard"/>
    <s v="Color Guard Vivid"/>
    <x v="4"/>
    <s v="Dirty John"/>
    <s v=""/>
    <x v="1"/>
    <s v="Stay Colorful"/>
    <s v="MyrtleRow_StayColorful_Edit"/>
    <s v="Original"/>
    <n v="108523.39169999999"/>
    <s v="firm-bid"/>
    <m/>
    <m/>
    <m/>
    <m/>
    <m/>
    <m/>
    <n v="1"/>
    <x v="2"/>
    <n v="0"/>
    <n v="127258.57084999999"/>
    <m/>
    <m/>
  </r>
  <r>
    <s v="Stay Colorful"/>
    <n v="1"/>
    <s v="Color Guard"/>
    <s v="Color Guard Vivid"/>
    <x v="4"/>
    <s v="Dirty John"/>
    <s v="Petulant Pictures"/>
    <x v="4"/>
    <s v="Stay Colorful"/>
    <s v="Petulant_StayColorful_Covid"/>
    <s v="Original"/>
    <n v="9350.5925000000007"/>
    <s v="firm-bid"/>
    <n v="8098.07"/>
    <m/>
    <m/>
    <m/>
    <m/>
    <m/>
    <m/>
    <x v="2"/>
    <n v="0"/>
    <n v="8098.07"/>
    <n v="9350.5925000000007"/>
    <n v="9350.5925000000007"/>
  </r>
  <r>
    <s v="Stay Colorful"/>
    <n v="0"/>
    <s v="Color Guard"/>
    <s v="Color Guard Vivid"/>
    <x v="6"/>
    <s v="Dirty John"/>
    <s v=""/>
    <x v="4"/>
    <s v="Stay Colorful"/>
    <s v="Interstate_StayColorful_Covid"/>
    <s v="Original"/>
    <n v="6845.5474999999997"/>
    <s v="firm-bid"/>
    <m/>
    <m/>
    <m/>
    <m/>
    <m/>
    <n v="1"/>
    <m/>
    <x v="2"/>
    <n v="0"/>
    <n v="8098.07"/>
    <m/>
    <m/>
  </r>
  <r>
    <s v="Stay Colorful"/>
    <n v="1"/>
    <s v="Color Guard"/>
    <s v="Color Guard Vivid"/>
    <x v="6"/>
    <s v="Dirty John"/>
    <s v="Petulant Pictures"/>
    <x v="0"/>
    <s v="Stay Colorful"/>
    <s v="Petulant_StayColorful_LiveAction"/>
    <s v="Original"/>
    <n v="895921.25"/>
    <s v="firm-bid"/>
    <n v="775087.81499999994"/>
    <m/>
    <m/>
    <m/>
    <m/>
    <m/>
    <m/>
    <x v="2"/>
    <n v="0"/>
    <n v="775087.81499999994"/>
    <n v="895921.25"/>
    <n v="895921.25"/>
  </r>
  <r>
    <s v="Stay Colorful"/>
    <n v="0"/>
    <s v="Color Guard"/>
    <s v="Color Guard Vivid"/>
    <x v="6"/>
    <s v="Dirty John"/>
    <s v=""/>
    <x v="0"/>
    <s v="Stay Colorful"/>
    <s v="Interstate_StayColorful_LiveAction"/>
    <s v="Original"/>
    <n v="654254.38"/>
    <s v="firm-bid"/>
    <m/>
    <m/>
    <m/>
    <m/>
    <m/>
    <n v="1"/>
    <m/>
    <x v="2"/>
    <n v="0"/>
    <n v="775087.81499999994"/>
    <m/>
    <m/>
  </r>
  <r>
    <s v="Not My Baby"/>
    <n v="0"/>
    <s v="Tinkerbell"/>
    <s v="Tinkerbell Cling-Free Dryer Sheets"/>
    <x v="6"/>
    <s v="The Mom Show"/>
    <s v=""/>
    <x v="2"/>
    <s v="FunnyRabbit &quot;Not My Baby&quot;"/>
    <s v="FunnyRabbit"/>
    <s v="Original"/>
    <n v="34420"/>
    <s v="firm-bid"/>
    <m/>
    <m/>
    <m/>
    <n v="1"/>
    <m/>
    <m/>
    <m/>
    <x v="2"/>
    <n v="0"/>
    <n v="32550"/>
    <m/>
    <m/>
  </r>
  <r>
    <s v="Not My Baby"/>
    <n v="0"/>
    <s v="Tinkerbell"/>
    <s v="Tinkerbell Cling-Free Dryer Sheets"/>
    <x v="6"/>
    <s v="The Mom Show"/>
    <s v=""/>
    <x v="2"/>
    <s v="Audio Labs &quot;Not My Baby&quot;"/>
    <s v="Audio_95"/>
    <s v="Original"/>
    <n v="34780"/>
    <s v="firm-bid"/>
    <m/>
    <m/>
    <n v="1"/>
    <m/>
    <n v="1"/>
    <m/>
    <m/>
    <x v="2"/>
    <n v="0"/>
    <n v="32550"/>
    <m/>
    <m/>
  </r>
  <r>
    <s v="Not My Baby"/>
    <n v="1"/>
    <s v="Tinkerbell"/>
    <s v="Tinkerbell Cling-Free Dryer Sheets"/>
    <x v="6"/>
    <s v="The Mom Show"/>
    <s v="Arsonist Post"/>
    <x v="2"/>
    <s v="Arsonist&quot;Not My Baby&quot;"/>
    <s v="Arsonist"/>
    <s v="Original"/>
    <n v="28450"/>
    <s v="firm-bid"/>
    <n v="32550"/>
    <m/>
    <m/>
    <m/>
    <m/>
    <n v="1"/>
    <m/>
    <x v="2"/>
    <n v="0"/>
    <n v="32550"/>
    <n v="28450"/>
    <n v="28450"/>
  </r>
  <r>
    <s v="Not My Baby"/>
    <n v="0"/>
    <s v="Tinkerbell"/>
    <s v="Tinkerbell Cling-Free Dryer Sheets"/>
    <x v="6"/>
    <s v="The Mom Show"/>
    <s v=""/>
    <x v="10"/>
    <s v="Not My Baby"/>
    <s v="Mighty_NotMyBaby_BTS"/>
    <s v="Original"/>
    <n v="15439.9"/>
    <s v="firm-bid"/>
    <m/>
    <m/>
    <m/>
    <m/>
    <m/>
    <m/>
    <m/>
    <x v="2"/>
    <n v="0"/>
    <n v="16175.133333333333"/>
    <m/>
    <m/>
  </r>
  <r>
    <s v="Not My Baby"/>
    <n v="1"/>
    <s v="Tinkerbell"/>
    <s v="Tinkerbell Cling-Free Dryer Sheets"/>
    <x v="6"/>
    <s v="The Mom Show"/>
    <s v="Petulant Pictures"/>
    <x v="10"/>
    <s v="Not My Baby"/>
    <s v="Petulant_NotMyBaby_BTS"/>
    <s v="Original"/>
    <n v="13549.3"/>
    <s v="firm-bid"/>
    <n v="16175.133330000001"/>
    <m/>
    <m/>
    <m/>
    <m/>
    <m/>
    <m/>
    <x v="2"/>
    <n v="0"/>
    <n v="16175.133333333333"/>
    <n v="13549.3"/>
    <n v="13549.3"/>
  </r>
  <r>
    <s v="Not My Baby"/>
    <n v="0"/>
    <s v="Tinkerbell"/>
    <s v="Tinkerbell Cling-Free Dryer Sheets"/>
    <x v="6"/>
    <s v="The Mom Show"/>
    <s v=""/>
    <x v="10"/>
    <s v="Not My Baby"/>
    <s v="harmony_and_Light_NotMyBaby_BTS"/>
    <s v="Original"/>
    <n v="19536.2"/>
    <s v="firm-bid"/>
    <m/>
    <m/>
    <m/>
    <m/>
    <m/>
    <m/>
    <m/>
    <x v="2"/>
    <n v="0"/>
    <n v="16175.133333333333"/>
    <m/>
    <m/>
  </r>
  <r>
    <s v="Not My Baby"/>
    <n v="1"/>
    <s v="Tinkerbell"/>
    <s v="Tinkerbell Cling-Free Dryer Sheets"/>
    <x v="6"/>
    <s v="The Mom Show"/>
    <s v="The Dub House"/>
    <x v="3"/>
    <s v="‚ÄúNot My Baby‚Äù | Dub House"/>
    <s v="TheDubHouse_NotMyBaby_Finishing"/>
    <s v="Original"/>
    <n v="34400"/>
    <s v="firm-bid"/>
    <n v="30133.333330000001"/>
    <m/>
    <m/>
    <m/>
    <m/>
    <m/>
    <m/>
    <x v="2"/>
    <n v="0"/>
    <n v="30133.333333333332"/>
    <n v="34400"/>
    <n v="34400"/>
  </r>
  <r>
    <s v="Not My Baby"/>
    <n v="0"/>
    <s v="Tinkerbell"/>
    <s v="Tinkerbell Cling-Free Dryer Sheets"/>
    <x v="6"/>
    <s v="The Mom Show"/>
    <s v=""/>
    <x v="3"/>
    <s v="Not My Baby - Burnish"/>
    <s v="Burnish_NotMyBaby_Finishing"/>
    <s v="Original"/>
    <n v="23350"/>
    <s v="firm-bid"/>
    <m/>
    <m/>
    <m/>
    <m/>
    <m/>
    <n v="1"/>
    <m/>
    <x v="2"/>
    <n v="0"/>
    <n v="30133.333333333332"/>
    <m/>
    <m/>
  </r>
  <r>
    <s v="Not My Baby"/>
    <n v="0"/>
    <s v="Tinkerbell"/>
    <s v="Tinkerbell Cling-Free Dryer Sheets"/>
    <x v="6"/>
    <s v="The Mom Show"/>
    <s v=""/>
    <x v="3"/>
    <s v="colorMaven &quot;Not My Baby&quot; v3"/>
    <s v="ColorMaven_NotMyBaby_Finishing"/>
    <s v="Original"/>
    <n v="32650"/>
    <s v="firm-bid"/>
    <m/>
    <m/>
    <m/>
    <n v="1"/>
    <m/>
    <n v="1"/>
    <m/>
    <x v="2"/>
    <n v="0"/>
    <n v="30133.333333333332"/>
    <m/>
    <m/>
  </r>
  <r>
    <s v="Not My Baby"/>
    <n v="1"/>
    <s v="Tinkerbell"/>
    <s v="Tinkerbell Cling-Free Dryer Sheets"/>
    <x v="6"/>
    <s v="The Mom Show"/>
    <s v="Total Cuts Post"/>
    <x v="1"/>
    <s v="Not My Baby"/>
    <s v="TotalCuts_NotMyBaby_Edit"/>
    <s v="Original"/>
    <n v="76794.083329999994"/>
    <s v="firm-bid"/>
    <n v="87986.9375"/>
    <m/>
    <m/>
    <m/>
    <n v="1"/>
    <m/>
    <m/>
    <x v="2"/>
    <n v="0"/>
    <n v="87986.9375"/>
    <n v="76794.083329999994"/>
    <n v="76794.083329999994"/>
  </r>
  <r>
    <s v="Not My Baby"/>
    <n v="0"/>
    <s v="Tinkerbell"/>
    <s v="Tinkerbell Cling-Free Dryer Sheets"/>
    <x v="6"/>
    <s v="The Mom Show"/>
    <s v=""/>
    <x v="1"/>
    <s v="Not My Baby"/>
    <s v="Armistace_NotMyBaby_Edit"/>
    <s v="Original"/>
    <n v="99179.791670000006"/>
    <s v="firm-bid"/>
    <m/>
    <m/>
    <m/>
    <m/>
    <m/>
    <m/>
    <m/>
    <x v="2"/>
    <n v="0"/>
    <n v="87986.9375"/>
    <m/>
    <m/>
  </r>
  <r>
    <s v="Not My Baby"/>
    <n v="0"/>
    <s v="Tinkerbell"/>
    <s v="Tinkerbell Cling-Free Dryer Sheets"/>
    <x v="6"/>
    <s v="The Mom Show"/>
    <s v=""/>
    <x v="5"/>
    <s v="Not My Baby"/>
    <s v="Mighty_NotMyBaby_Green"/>
    <s v="Original"/>
    <n v="12065"/>
    <s v="firm-bid"/>
    <m/>
    <m/>
    <m/>
    <m/>
    <m/>
    <m/>
    <m/>
    <x v="2"/>
    <n v="0"/>
    <n v="14816.666666666666"/>
    <m/>
    <m/>
  </r>
  <r>
    <s v="Not My Baby"/>
    <n v="1"/>
    <s v="Tinkerbell"/>
    <s v="Tinkerbell Cling-Free Dryer Sheets"/>
    <x v="6"/>
    <s v="The Mom Show"/>
    <s v="Petulant Pictures"/>
    <x v="5"/>
    <s v="Not My Baby"/>
    <s v="Petulant_NotMyBaby_Green"/>
    <s v="Original"/>
    <n v="18288"/>
    <s v="firm-bid"/>
    <n v="14816.666670000001"/>
    <m/>
    <m/>
    <m/>
    <m/>
    <m/>
    <m/>
    <x v="2"/>
    <n v="0"/>
    <n v="14816.666666666666"/>
    <n v="18288"/>
    <n v="18288"/>
  </r>
  <r>
    <s v="Not My Baby"/>
    <n v="0"/>
    <s v="Tinkerbell"/>
    <s v="Tinkerbell Cling-Free Dryer Sheets"/>
    <x v="6"/>
    <s v="The Mom Show"/>
    <s v=""/>
    <x v="5"/>
    <s v="Not My Baby"/>
    <s v="harmony_and_Light_NotMyBaby_Green"/>
    <s v="Original"/>
    <n v="14097"/>
    <s v="firm-bid"/>
    <m/>
    <m/>
    <m/>
    <m/>
    <m/>
    <m/>
    <m/>
    <x v="2"/>
    <n v="0"/>
    <n v="14816.666666666666"/>
    <m/>
    <m/>
  </r>
  <r>
    <s v="Not My Baby"/>
    <n v="0"/>
    <s v="Tinkerbell"/>
    <s v="Tinkerbell Cling-Free Dryer Sheets"/>
    <x v="6"/>
    <s v="The Mom Show"/>
    <s v=""/>
    <x v="4"/>
    <s v="Not My Baby"/>
    <s v="Mighty_NotMyBaby_Covid"/>
    <s v="Original"/>
    <n v="10083.200000000001"/>
    <s v="firm-bid"/>
    <m/>
    <m/>
    <m/>
    <m/>
    <m/>
    <m/>
    <m/>
    <x v="2"/>
    <n v="0"/>
    <n v="7780.3441666666668"/>
    <m/>
    <m/>
  </r>
  <r>
    <s v="Not My Baby"/>
    <n v="1"/>
    <s v="Tinkerbell"/>
    <s v="Tinkerbell Cling-Free Dryer Sheets"/>
    <x v="6"/>
    <s v="The Mom Show"/>
    <s v="Petulant Pictures"/>
    <x v="4"/>
    <s v="Not My Baby"/>
    <s v="Petulant_NotMyBaby_Covid"/>
    <s v="Original"/>
    <n v="8736.1474999999991"/>
    <s v="firm-bid"/>
    <n v="7780.3441670000002"/>
    <m/>
    <m/>
    <m/>
    <m/>
    <m/>
    <m/>
    <x v="2"/>
    <n v="0"/>
    <n v="7780.3441666666668"/>
    <n v="8736.1474999999991"/>
    <n v="8736.1474999999991"/>
  </r>
  <r>
    <s v="Not My Baby"/>
    <n v="0"/>
    <s v="Tinkerbell"/>
    <s v="Tinkerbell Cling-Free Dryer Sheets"/>
    <x v="6"/>
    <s v="The Mom Show"/>
    <s v=""/>
    <x v="4"/>
    <s v="Not My Baby"/>
    <s v="harmony_and_Light_NotMyBaby_Covid"/>
    <s v="Original"/>
    <n v="4521.6850000000004"/>
    <s v="firm-bid"/>
    <m/>
    <m/>
    <m/>
    <m/>
    <m/>
    <m/>
    <m/>
    <x v="2"/>
    <n v="0"/>
    <n v="7780.3441666666668"/>
    <m/>
    <m/>
  </r>
  <r>
    <s v="Not My Baby"/>
    <n v="0"/>
    <s v="Tinkerbell"/>
    <s v="Tinkerbell Cling-Free Dryer Sheets"/>
    <x v="6"/>
    <s v="The Mom Show"/>
    <s v=""/>
    <x v="0"/>
    <s v="Not My Baby"/>
    <s v="Mighty_NotMyBaby_LiveAction"/>
    <s v="Original"/>
    <n v="891654.0625"/>
    <s v="firm-bid"/>
    <m/>
    <m/>
    <m/>
    <m/>
    <m/>
    <m/>
    <m/>
    <x v="2"/>
    <n v="0"/>
    <n v="834064.01939999999"/>
    <m/>
    <m/>
  </r>
  <r>
    <s v="Not My Baby"/>
    <n v="1"/>
    <s v="Tinkerbell"/>
    <s v="Tinkerbell Cling-Free Dryer Sheets"/>
    <x v="6"/>
    <s v="The Mom Show"/>
    <s v="Petulant Pictures"/>
    <x v="0"/>
    <s v="Not My Baby"/>
    <s v="Petulant_NotMyBaby_LiveAction"/>
    <s v="Original"/>
    <n v="805591.46250000002"/>
    <s v="firm-bid"/>
    <n v="834064.01939999999"/>
    <m/>
    <m/>
    <m/>
    <m/>
    <m/>
    <m/>
    <x v="2"/>
    <n v="0"/>
    <n v="834064.01939999999"/>
    <n v="805591.46250000002"/>
    <n v="805591.46250000002"/>
  </r>
  <r>
    <s v="Not My Baby"/>
    <n v="0"/>
    <s v="Tinkerbell"/>
    <s v="Tinkerbell Cling-Free Dryer Sheets"/>
    <x v="6"/>
    <s v="The Mom Show"/>
    <s v=""/>
    <x v="0"/>
    <s v="Not My Baby"/>
    <s v="harmony_and_Light_NotMyBaby_LiveAction"/>
    <s v="Original"/>
    <n v="804946.53319999995"/>
    <s v="firm-bid"/>
    <m/>
    <m/>
    <m/>
    <m/>
    <m/>
    <m/>
    <m/>
    <x v="2"/>
    <n v="0"/>
    <n v="834064.01939999999"/>
    <m/>
    <m/>
  </r>
  <r>
    <s v="Hold the Ketchup!"/>
    <n v="1"/>
    <s v="Tinkerbell"/>
    <s v="Tinkerbell Crystal Clear"/>
    <x v="6"/>
    <s v="The Mom Show"/>
    <s v="Love Language"/>
    <x v="2"/>
    <s v="Love Language &quot;Hold the Ketchup!&quot;"/>
    <s v="Love135"/>
    <s v="Original"/>
    <n v="30170"/>
    <s v="firm-bid"/>
    <n v="38485"/>
    <n v="1"/>
    <m/>
    <m/>
    <m/>
    <m/>
    <m/>
    <x v="46"/>
    <n v="30170"/>
    <n v="38485"/>
    <n v="30170"/>
    <n v="30170"/>
  </r>
  <r>
    <s v="Hold the Ketchup!"/>
    <n v="0"/>
    <s v="Tinkerbell"/>
    <s v="Tinkerbell Crystal Clear"/>
    <x v="6"/>
    <s v="The Mom Show"/>
    <s v=""/>
    <x v="2"/>
    <s v="FunnyRabbit"/>
    <s v="FunnyRabbit"/>
    <s v="Original"/>
    <n v="46800"/>
    <s v="firm-bid"/>
    <m/>
    <m/>
    <m/>
    <m/>
    <m/>
    <m/>
    <m/>
    <x v="2"/>
    <n v="0"/>
    <n v="38485"/>
    <m/>
    <m/>
  </r>
  <r>
    <s v="Hold the Ketchup!"/>
    <n v="0"/>
    <s v="Tinkerbell"/>
    <s v="Tinkerbell Crystal Clear"/>
    <x v="6"/>
    <s v="The Mom Show"/>
    <s v=""/>
    <x v="0"/>
    <s v="Hold the Ketchup!"/>
    <s v="TestFlight_HoldtheKetchup_LiveAction"/>
    <s v="Original"/>
    <n v="767907.3125"/>
    <s v="firm-bid"/>
    <m/>
    <m/>
    <n v="1"/>
    <m/>
    <m/>
    <m/>
    <m/>
    <x v="2"/>
    <n v="0"/>
    <n v="831311.73625000007"/>
    <m/>
    <m/>
  </r>
  <r>
    <s v="Hold the Ketchup!"/>
    <n v="1"/>
    <s v="Tinkerbell"/>
    <s v="Tinkerbell Crystal Clear"/>
    <x v="6"/>
    <s v="The Mom Show"/>
    <s v="Open Frameworks Image Creation"/>
    <x v="0"/>
    <s v="Ketchup"/>
    <s v="OpenFrameworks_HoldtheKetchup_LiveAction"/>
    <s v="Original"/>
    <n v="894716.16"/>
    <s v="firm-bid"/>
    <n v="831311.73629999999"/>
    <m/>
    <m/>
    <m/>
    <m/>
    <m/>
    <m/>
    <x v="2"/>
    <n v="0"/>
    <n v="831311.73625000007"/>
    <n v="894716.16"/>
    <n v="894716.16"/>
  </r>
  <r>
    <s v="Hold the Ketchup!"/>
    <n v="0"/>
    <s v="Tinkerbell"/>
    <s v="Tinkerbell Crystal Clear"/>
    <x v="6"/>
    <s v="The Mom Show"/>
    <s v=""/>
    <x v="1"/>
    <s v="Hold the Ketchup!"/>
    <s v="Margin5_HoldtheKetchup_Edit"/>
    <s v="Original"/>
    <n v="103909.1667"/>
    <s v="firm-bid"/>
    <m/>
    <m/>
    <m/>
    <n v="1"/>
    <m/>
    <m/>
    <m/>
    <x v="2"/>
    <n v="0"/>
    <n v="122096.46946666666"/>
    <m/>
    <m/>
  </r>
  <r>
    <s v="Hold the Ketchup!"/>
    <n v="1"/>
    <s v="Tinkerbell"/>
    <s v="Tinkerbell Crystal Clear"/>
    <x v="6"/>
    <s v="The Mom Show"/>
    <s v="Fight Club"/>
    <x v="1"/>
    <s v="Hold the Ketchup!"/>
    <s v="Fightclub_HoldtheKetchup_Edit"/>
    <s v="Original"/>
    <n v="109025.1167"/>
    <s v="firm-bid"/>
    <n v="122096.4694"/>
    <m/>
    <m/>
    <m/>
    <m/>
    <m/>
    <m/>
    <x v="2"/>
    <n v="0"/>
    <n v="122096.46946666666"/>
    <n v="109025.1167"/>
    <n v="109025.1167"/>
  </r>
  <r>
    <s v="Hold the Ketchup!"/>
    <n v="0"/>
    <s v="Tinkerbell"/>
    <s v="Tinkerbell Crystal Clear"/>
    <x v="6"/>
    <s v="The Mom Show"/>
    <s v=""/>
    <x v="1"/>
    <s v="SAKS - Hold the Ketchup! 5/12 v3"/>
    <s v="SaksStreetEdit_HoldtheKetchup_Edit"/>
    <s v="Original"/>
    <n v="153355.125"/>
    <s v="firm-bid"/>
    <m/>
    <m/>
    <m/>
    <m/>
    <n v="1"/>
    <m/>
    <n v="1"/>
    <x v="2"/>
    <n v="0"/>
    <n v="122096.46946666666"/>
    <m/>
    <m/>
  </r>
  <r>
    <s v="Hold the Ketchup!"/>
    <n v="0"/>
    <s v="Tinkerbell"/>
    <s v="Tinkerbell Crystal Clear"/>
    <x v="6"/>
    <s v="The Mom Show"/>
    <s v=""/>
    <x v="3"/>
    <s v="‚ÄúHold the Ketchup!‚Äù | Dub House"/>
    <s v="TheDubHouse_HoldtheKetchup_Finishing"/>
    <s v="Original"/>
    <n v="16750"/>
    <s v="firm-bid"/>
    <m/>
    <m/>
    <m/>
    <n v="1"/>
    <m/>
    <m/>
    <m/>
    <x v="2"/>
    <n v="0"/>
    <n v="23066.666666666668"/>
    <m/>
    <m/>
  </r>
  <r>
    <s v="Hold the Ketchup!"/>
    <n v="1"/>
    <s v="Tinkerbell"/>
    <s v="Tinkerbell Crystal Clear"/>
    <x v="6"/>
    <s v="The Mom Show"/>
    <s v="Rackspace Digital"/>
    <x v="3"/>
    <s v="&quot;Hold the Ketchup!&quot;  RSD #452088"/>
    <s v="RackspaceDigital_HoldtheKetchup_Finishing"/>
    <s v="Original"/>
    <n v="30450"/>
    <s v="firm-bid"/>
    <n v="23066.666669999999"/>
    <m/>
    <m/>
    <m/>
    <m/>
    <m/>
    <m/>
    <x v="2"/>
    <n v="0"/>
    <n v="23066.666666666668"/>
    <n v="30450"/>
    <n v="30450"/>
  </r>
  <r>
    <s v="Hold the Ketchup!"/>
    <n v="0"/>
    <s v="Tinkerbell"/>
    <s v="Tinkerbell Crystal Clear"/>
    <x v="6"/>
    <s v="The Mom Show"/>
    <s v=""/>
    <x v="3"/>
    <s v="Hold the Ketchup Finishing -  Burnish"/>
    <s v="Burnish_HoldtheKetchup_Finishing"/>
    <s v="Original"/>
    <n v="22000"/>
    <s v="firm-bid"/>
    <m/>
    <m/>
    <m/>
    <m/>
    <m/>
    <n v="1"/>
    <m/>
    <x v="2"/>
    <n v="0"/>
    <n v="23066.666666666668"/>
    <m/>
    <m/>
  </r>
  <r>
    <s v="Hold the Ketchup!"/>
    <n v="0"/>
    <s v="Tinkerbell"/>
    <s v="Tinkerbell Crystal Clear"/>
    <x v="6"/>
    <s v="The Mom Show"/>
    <s v=""/>
    <x v="4"/>
    <s v="Hold the Ketchup!"/>
    <s v="TestFlight_HoldtheKetchup_Covid"/>
    <s v="Original"/>
    <n v="13147.547500000001"/>
    <s v="firm-bid"/>
    <m/>
    <m/>
    <n v="1"/>
    <m/>
    <m/>
    <m/>
    <m/>
    <x v="2"/>
    <n v="0"/>
    <n v="9449.0612500000007"/>
    <m/>
    <m/>
  </r>
  <r>
    <s v="Hold the Ketchup!"/>
    <n v="1"/>
    <s v="Tinkerbell"/>
    <s v="Tinkerbell Crystal Clear"/>
    <x v="6"/>
    <s v="The Mom Show"/>
    <s v="Open Frameworks Image Creation"/>
    <x v="4"/>
    <s v="Ketchup"/>
    <s v="OpenFrameworks_HoldtheKetchup_Covid"/>
    <s v="Original"/>
    <n v="5750.5749999999998"/>
    <s v="firm-bid"/>
    <n v="9449.0612500000007"/>
    <m/>
    <m/>
    <m/>
    <m/>
    <m/>
    <m/>
    <x v="2"/>
    <n v="0"/>
    <n v="9449.0612500000007"/>
    <n v="5750.5749999999998"/>
    <n v="5750.5749999999998"/>
  </r>
  <r>
    <s v="Hold the Ketchup!"/>
    <n v="0"/>
    <s v="Tinkerbell"/>
    <s v="Tinkerbell Crystal Clear"/>
    <x v="6"/>
    <s v="The Mom Show"/>
    <s v=""/>
    <x v="5"/>
    <s v="Hold the Ketchup!"/>
    <s v="TestFlight_HoldtheKetchup_Green"/>
    <s v="Original"/>
    <n v="7680"/>
    <s v="firm-bid"/>
    <m/>
    <m/>
    <n v="1"/>
    <m/>
    <m/>
    <m/>
    <m/>
    <x v="2"/>
    <n v="0"/>
    <n v="13794"/>
    <m/>
    <m/>
  </r>
  <r>
    <s v="Hold the Ketchup!"/>
    <n v="1"/>
    <s v="Tinkerbell"/>
    <s v="Tinkerbell Crystal Clear"/>
    <x v="6"/>
    <s v="The Mom Show"/>
    <s v="Open Frameworks Image Creation"/>
    <x v="5"/>
    <s v="Ketchup"/>
    <s v="OpenFrameworks_HoldtheKetchup_Green"/>
    <s v="Original"/>
    <n v="19908"/>
    <s v="firm-bid"/>
    <n v="13794"/>
    <m/>
    <m/>
    <m/>
    <m/>
    <m/>
    <m/>
    <x v="2"/>
    <n v="0"/>
    <n v="13794"/>
    <n v="19908"/>
    <n v="19908"/>
  </r>
  <r>
    <s v="Hold the Ketchup!"/>
    <n v="0"/>
    <s v="Tinkerbell"/>
    <s v="Tinkerbell Crystal Clear"/>
    <x v="6"/>
    <s v="The Mom Show"/>
    <s v=""/>
    <x v="10"/>
    <s v="Hold the Ketchup!"/>
    <s v="TestFlight_HoldtheKetchup_BTS"/>
    <s v="Original"/>
    <n v="19299.875"/>
    <s v="firm-bid"/>
    <m/>
    <m/>
    <n v="1"/>
    <m/>
    <m/>
    <m/>
    <m/>
    <x v="2"/>
    <n v="0"/>
    <n v="20323.95"/>
    <m/>
    <m/>
  </r>
  <r>
    <s v="Hold the Ketchup!"/>
    <n v="1"/>
    <s v="Tinkerbell"/>
    <s v="Tinkerbell Crystal Clear"/>
    <x v="6"/>
    <s v="The Mom Show"/>
    <s v="Open Frameworks Image Creation"/>
    <x v="10"/>
    <s v="Ketchup"/>
    <s v="OpenFrameworks_HoldtheKetchup_BTS"/>
    <s v="Original"/>
    <n v="21348.025000000001"/>
    <s v="firm-bid"/>
    <n v="20323.95"/>
    <m/>
    <m/>
    <m/>
    <m/>
    <m/>
    <m/>
    <x v="2"/>
    <n v="0"/>
    <n v="20323.95"/>
    <n v="21348.025000000001"/>
    <n v="21348.025000000001"/>
  </r>
  <r>
    <s v="I'll Take Your Word For It"/>
    <n v="0"/>
    <s v="Ultra White"/>
    <s v="Ultra White Plus"/>
    <x v="6"/>
    <s v="Blindingly Bright"/>
    <s v=""/>
    <x v="2"/>
    <s v="Audio Labs &quot;I'll Take Your Word For It&quot;"/>
    <s v="Audio_97"/>
    <s v="Original"/>
    <n v="77780"/>
    <s v="firm-bid"/>
    <m/>
    <m/>
    <m/>
    <n v="1"/>
    <m/>
    <m/>
    <n v="1"/>
    <x v="2"/>
    <n v="0"/>
    <n v="65180"/>
    <m/>
    <m/>
  </r>
  <r>
    <s v="I'll Take Your Word For It"/>
    <n v="1"/>
    <s v="Ultra White"/>
    <s v="Ultra White Plus"/>
    <x v="6"/>
    <s v="Blindingly Bright"/>
    <s v="Sound Monster"/>
    <x v="2"/>
    <s v="Sound Monster &quot;I'll Take Your Word For It&quot;"/>
    <s v="Sound Monster"/>
    <s v="Original"/>
    <n v="52580"/>
    <s v="firm-bid"/>
    <n v="65180"/>
    <m/>
    <m/>
    <m/>
    <m/>
    <m/>
    <m/>
    <x v="2"/>
    <n v="0"/>
    <n v="65180"/>
    <n v="52580"/>
    <n v="52580"/>
  </r>
  <r>
    <s v="I'll Take Your Word For It"/>
    <n v="0"/>
    <s v="Ultra White"/>
    <s v="Ultra White Plus"/>
    <x v="6"/>
    <s v="Blindingly Bright"/>
    <s v=""/>
    <x v="3"/>
    <s v="‚ÄúI'll Take Your Word For It‚Äù | Dub House"/>
    <s v="TheDubHouse_IllTakeYourWordForIt_Finishing"/>
    <s v="Original"/>
    <n v="29750"/>
    <s v="firm-bid"/>
    <m/>
    <m/>
    <m/>
    <m/>
    <m/>
    <m/>
    <m/>
    <x v="2"/>
    <n v="0"/>
    <n v="36666.666666666664"/>
    <m/>
    <m/>
  </r>
  <r>
    <s v="I'll Take Your Word For It"/>
    <n v="0"/>
    <s v="Ultra White"/>
    <s v="Ultra White Plus"/>
    <x v="6"/>
    <s v="Blindingly Bright"/>
    <s v=""/>
    <x v="3"/>
    <s v="colorMaven &quot;I'll Take Your Word For It&quot;"/>
    <s v="ColorMaven_IllTakeYourWordForIt_Finishing"/>
    <s v="Original"/>
    <n v="16600"/>
    <s v="firm-bid"/>
    <m/>
    <m/>
    <m/>
    <m/>
    <m/>
    <n v="1"/>
    <m/>
    <x v="2"/>
    <n v="0"/>
    <n v="36666.666666666664"/>
    <m/>
    <m/>
  </r>
  <r>
    <s v="I'll Take Your Word For It"/>
    <n v="1"/>
    <s v="Ultra White"/>
    <s v="Ultra White Plus"/>
    <x v="6"/>
    <s v="Blindingly Bright"/>
    <s v="Evan Bander LLC"/>
    <x v="3"/>
    <s v="EB &quot;I'll Take Your Word For It&quot;"/>
    <s v="EvanBanderLLC_IllTakeYourWordForIt_Finishing"/>
    <s v="Original"/>
    <n v="63650"/>
    <s v="firm-bid"/>
    <n v="36666.666669999999"/>
    <m/>
    <m/>
    <m/>
    <n v="1"/>
    <m/>
    <n v="1"/>
    <x v="2"/>
    <n v="0"/>
    <n v="36666.666666666664"/>
    <n v="63650"/>
    <n v="63650"/>
  </r>
  <r>
    <s v="I'll Take Your Word For It"/>
    <n v="0"/>
    <s v="Ultra White"/>
    <s v="Ultra White Plus"/>
    <x v="6"/>
    <s v="Blindingly Bright"/>
    <s v=""/>
    <x v="1"/>
    <s v="&quot;I'll Take Your Word For It&quot; V2"/>
    <s v="Margin5_IllTakeYourWordForIt_Edit"/>
    <s v="Original"/>
    <n v="110045.01669999999"/>
    <s v="firm-bid"/>
    <m/>
    <m/>
    <m/>
    <m/>
    <m/>
    <m/>
    <m/>
    <x v="2"/>
    <n v="0"/>
    <n v="116541.85279999999"/>
    <m/>
    <m/>
  </r>
  <r>
    <s v="I'll Take Your Word For It"/>
    <n v="1"/>
    <s v="Ultra White"/>
    <s v="Ultra White Plus"/>
    <x v="6"/>
    <s v="Blindingly Bright"/>
    <s v="Time Bomb LLC"/>
    <x v="1"/>
    <s v="ITYWFI - TimeBomb"/>
    <s v="TimeBomb_IllTakeYourWordForIt_Edit"/>
    <s v="Original"/>
    <n v="112271.25"/>
    <s v="firm-bid"/>
    <n v="116541.85279999999"/>
    <m/>
    <m/>
    <m/>
    <m/>
    <m/>
    <m/>
    <x v="2"/>
    <n v="0"/>
    <n v="116541.85279999999"/>
    <n v="112271.25"/>
    <n v="112271.25"/>
  </r>
  <r>
    <s v="I'll Take Your Word For It"/>
    <n v="0"/>
    <s v="Ultra White"/>
    <s v="Ultra White Plus"/>
    <x v="6"/>
    <s v="Blindingly Bright"/>
    <s v=""/>
    <x v="1"/>
    <s v="&quot;I'll Take Your Word For It&quot; Rev 3"/>
    <s v="Fightclub_IllTakeYourWordForIt_Edit"/>
    <s v="Original"/>
    <n v="127309.2917"/>
    <s v="firm-bid"/>
    <m/>
    <m/>
    <m/>
    <n v="1"/>
    <n v="1"/>
    <m/>
    <m/>
    <x v="2"/>
    <n v="0"/>
    <n v="116541.85279999999"/>
    <m/>
    <m/>
  </r>
  <r>
    <s v="I'll Take Your Word For It"/>
    <n v="1"/>
    <s v="Ultra White"/>
    <s v="Ultra White Plus"/>
    <x v="6"/>
    <s v="Blindingly Bright"/>
    <s v="Mighty Industry"/>
    <x v="0"/>
    <s v="I'll Take Your Word For It"/>
    <s v="Mighty_IllTakeYourWordForIt_LiveAction"/>
    <s v="Original"/>
    <n v="696940.44"/>
    <s v="firm-bid"/>
    <n v="729332.05169999995"/>
    <m/>
    <m/>
    <m/>
    <m/>
    <m/>
    <m/>
    <x v="2"/>
    <n v="0"/>
    <n v="729332.05169999995"/>
    <n v="696940.44"/>
    <n v="696940.44"/>
  </r>
  <r>
    <s v="I'll Take Your Word For It"/>
    <n v="0"/>
    <s v="Ultra White"/>
    <s v="Ultra White Plus"/>
    <x v="6"/>
    <s v="Blindingly Bright"/>
    <s v=""/>
    <x v="0"/>
    <s v="ITYWFI"/>
    <s v="Petulant_IllTakeYourWordForIt_LiveAction"/>
    <s v="Original"/>
    <n v="761723.66339999996"/>
    <s v="firm-bid"/>
    <m/>
    <m/>
    <m/>
    <m/>
    <m/>
    <m/>
    <m/>
    <x v="2"/>
    <n v="0"/>
    <n v="729332.05169999995"/>
    <m/>
    <m/>
  </r>
  <r>
    <s v="Crash"/>
    <n v="1"/>
    <s v="Ultra White"/>
    <s v="Ultra White Plus"/>
    <x v="6"/>
    <s v="Blindingly Bright"/>
    <s v="Earwax"/>
    <x v="2"/>
    <s v="Earwax&quot;Crash&quot;"/>
    <s v="Earwax"/>
    <s v="Original"/>
    <n v="31110"/>
    <s v="firm-bid"/>
    <n v="29100"/>
    <m/>
    <m/>
    <m/>
    <m/>
    <m/>
    <m/>
    <x v="2"/>
    <n v="0"/>
    <n v="29100"/>
    <n v="31110"/>
    <n v="31110"/>
  </r>
  <r>
    <s v="Crash"/>
    <n v="0"/>
    <s v="Ultra White"/>
    <s v="Ultra White Plus"/>
    <x v="6"/>
    <s v="Blindingly Bright"/>
    <s v=""/>
    <x v="2"/>
    <s v="Love language &quot;Crash&quot;"/>
    <s v="Love136"/>
    <s v="Original"/>
    <n v="27090"/>
    <s v="firm-bid"/>
    <m/>
    <m/>
    <m/>
    <m/>
    <m/>
    <m/>
    <m/>
    <x v="2"/>
    <n v="0"/>
    <n v="29100"/>
    <m/>
    <m/>
  </r>
  <r>
    <s v="Crash"/>
    <n v="0"/>
    <s v="Ultra White"/>
    <s v="Ultra White Plus"/>
    <x v="6"/>
    <s v="Blindingly Bright"/>
    <s v=""/>
    <x v="3"/>
    <s v="Crash - Burnish"/>
    <s v="Burnish_Crash_Finishing"/>
    <s v="Original"/>
    <n v="34400"/>
    <s v="firm-bid"/>
    <m/>
    <m/>
    <m/>
    <m/>
    <m/>
    <n v="1"/>
    <m/>
    <x v="2"/>
    <n v="0"/>
    <n v="30216.666666666668"/>
    <m/>
    <m/>
  </r>
  <r>
    <s v="Crash"/>
    <n v="1"/>
    <s v="Ultra White"/>
    <s v="Ultra White Plus"/>
    <x v="6"/>
    <s v="Blindingly Bright"/>
    <s v="Here &amp; Now"/>
    <x v="3"/>
    <s v="Here &amp; Now for¬†&quot;Crash&quot;"/>
    <s v="HereandNow_Crash_Finishing"/>
    <s v="Original"/>
    <n v="35000"/>
    <s v="firm-bid"/>
    <n v="30216.666669999999"/>
    <m/>
    <m/>
    <m/>
    <m/>
    <m/>
    <m/>
    <x v="2"/>
    <n v="0"/>
    <n v="30216.666666666668"/>
    <n v="35000"/>
    <n v="35000"/>
  </r>
  <r>
    <s v="Crash"/>
    <n v="0"/>
    <s v="Ultra White"/>
    <s v="Ultra White Plus"/>
    <x v="6"/>
    <s v="Blindingly Bright"/>
    <s v=""/>
    <x v="3"/>
    <s v="&quot;Crash&quot; RSD #452077"/>
    <s v="RackspaceDigital_Crash_Finishing"/>
    <s v="Original"/>
    <n v="21250"/>
    <s v="firm-bid"/>
    <m/>
    <m/>
    <m/>
    <m/>
    <m/>
    <m/>
    <m/>
    <x v="2"/>
    <n v="0"/>
    <n v="30216.666666666668"/>
    <m/>
    <m/>
  </r>
  <r>
    <s v="Crash"/>
    <n v="0"/>
    <s v="Ultra White"/>
    <s v="Ultra White Plus"/>
    <x v="6"/>
    <s v="Blindingly Bright"/>
    <s v=""/>
    <x v="1"/>
    <s v="Crash"/>
    <s v="TheCloset_Crash_Edit"/>
    <s v="Original"/>
    <n v="101570.52499999999"/>
    <s v="firm-bid"/>
    <m/>
    <m/>
    <m/>
    <m/>
    <m/>
    <n v="1"/>
    <n v="1"/>
    <x v="2"/>
    <n v="0"/>
    <n v="109087.2611"/>
    <m/>
    <m/>
  </r>
  <r>
    <s v="Crash"/>
    <n v="1"/>
    <s v="Ultra White"/>
    <s v="Ultra White Plus"/>
    <x v="6"/>
    <s v="Blindingly Bright"/>
    <s v="Fight Club"/>
    <x v="1"/>
    <s v="Crash"/>
    <s v="Fightclub_Crash_Edit"/>
    <s v="Original"/>
    <n v="109992.925"/>
    <s v="firm-bid"/>
    <n v="109087.2611"/>
    <m/>
    <m/>
    <m/>
    <m/>
    <m/>
    <m/>
    <x v="2"/>
    <n v="0"/>
    <n v="109087.2611"/>
    <n v="109992.925"/>
    <n v="109992.925"/>
  </r>
  <r>
    <s v="Crash"/>
    <n v="0"/>
    <s v="Ultra White"/>
    <s v="Ultra White Plus"/>
    <x v="6"/>
    <s v="Blindingly Bright"/>
    <s v=""/>
    <x v="1"/>
    <s v="Crash/SAKS"/>
    <s v="SaksStreetEdit_Crash_Edit"/>
    <s v="Original"/>
    <n v="115698.3333"/>
    <s v="firm-bid"/>
    <m/>
    <m/>
    <m/>
    <m/>
    <m/>
    <m/>
    <n v="1"/>
    <x v="2"/>
    <n v="0"/>
    <n v="109087.2611"/>
    <m/>
    <m/>
  </r>
  <r>
    <s v="Crash"/>
    <n v="0"/>
    <s v="Ultra White"/>
    <s v="Ultra White Plus"/>
    <x v="6"/>
    <s v="Blindingly Bright"/>
    <s v=""/>
    <x v="0"/>
    <s v="Crash"/>
    <s v="Mighty_Crash_LiveAction"/>
    <s v="Original"/>
    <n v="797565.82929999998"/>
    <s v="firm-bid"/>
    <m/>
    <m/>
    <m/>
    <m/>
    <m/>
    <m/>
    <m/>
    <x v="2"/>
    <n v="0"/>
    <n v="801505.2209666667"/>
    <m/>
    <m/>
  </r>
  <r>
    <s v="Crash"/>
    <n v="0"/>
    <s v="Ultra White"/>
    <s v="Ultra White Plus"/>
    <x v="6"/>
    <s v="Blindingly Bright"/>
    <s v=""/>
    <x v="0"/>
    <s v="Crash"/>
    <s v="Level12_Crash_LiveAction"/>
    <s v="Original"/>
    <n v="808227.59360000002"/>
    <s v="firm-bid"/>
    <m/>
    <m/>
    <m/>
    <m/>
    <m/>
    <m/>
    <m/>
    <x v="2"/>
    <n v="0"/>
    <n v="801505.2209666667"/>
    <m/>
    <m/>
  </r>
  <r>
    <s v="Crash"/>
    <n v="1"/>
    <s v="Ultra White"/>
    <s v="Ultra White Plus"/>
    <x v="6"/>
    <s v="Blindingly Bright"/>
    <s v="Harmony &amp; Light"/>
    <x v="0"/>
    <s v="Crash"/>
    <s v="harmony_and_Light_Crash_LiveAction"/>
    <s v="Original"/>
    <n v="798722.24"/>
    <s v="firm-bid"/>
    <n v="801505.22100000002"/>
    <m/>
    <m/>
    <m/>
    <m/>
    <m/>
    <m/>
    <x v="2"/>
    <n v="0"/>
    <n v="801505.2209666667"/>
    <n v="798722.24"/>
    <n v="798722.24"/>
  </r>
  <r>
    <s v="One Time Hero"/>
    <n v="0"/>
    <s v="Ultra White"/>
    <s v="Ultra White Singles"/>
    <x v="6"/>
    <s v="Blindingly Bright"/>
    <s v=""/>
    <x v="2"/>
    <s v="Earwax&quot;One Time Hero&quot;"/>
    <s v="Earwax"/>
    <s v="Original"/>
    <n v="38480"/>
    <s v="firm-bid"/>
    <m/>
    <m/>
    <n v="1"/>
    <m/>
    <m/>
    <m/>
    <m/>
    <x v="2"/>
    <n v="0"/>
    <n v="48485"/>
    <m/>
    <m/>
  </r>
  <r>
    <s v="One Time Hero"/>
    <n v="1"/>
    <s v="Ultra White"/>
    <s v="Ultra White Singles"/>
    <x v="6"/>
    <s v="Blindingly Bright"/>
    <s v="Arsonist Post"/>
    <x v="2"/>
    <s v="Arsonist&quot;One Time Hero&quot;"/>
    <s v="Arsonist"/>
    <s v="Original"/>
    <n v="58490"/>
    <s v="firm-bid"/>
    <n v="48485"/>
    <n v="1"/>
    <m/>
    <m/>
    <n v="1"/>
    <n v="1"/>
    <m/>
    <x v="47"/>
    <n v="58490"/>
    <n v="48485"/>
    <n v="58490"/>
    <n v="58490"/>
  </r>
  <r>
    <s v="One Time Hero"/>
    <n v="1"/>
    <s v="Ultra White"/>
    <s v="Ultra White Singles"/>
    <x v="6"/>
    <s v="Blindingly Bright"/>
    <s v="Witness"/>
    <x v="3"/>
    <s v="WITNESS:: OTH"/>
    <s v="Witness_OneTimeHero_Finishing"/>
    <s v="Original"/>
    <n v="47100"/>
    <s v="firm-bid"/>
    <n v="29333.333330000001"/>
    <m/>
    <m/>
    <m/>
    <m/>
    <m/>
    <m/>
    <x v="2"/>
    <n v="0"/>
    <n v="29333.333333333332"/>
    <n v="47100"/>
    <n v="47100"/>
  </r>
  <r>
    <s v="One Time Hero"/>
    <n v="0"/>
    <s v="Ultra White"/>
    <s v="Ultra White Singles"/>
    <x v="6"/>
    <s v="Blindingly Bright"/>
    <s v=""/>
    <x v="3"/>
    <s v="colorMaven &quot;One Time Hero&quot;"/>
    <s v="ColorMaven_OneTimeHero_Finishing"/>
    <s v="Original"/>
    <n v="22650"/>
    <s v="firm-bid"/>
    <m/>
    <m/>
    <m/>
    <m/>
    <m/>
    <n v="1"/>
    <m/>
    <x v="2"/>
    <n v="0"/>
    <n v="29333.333333333332"/>
    <m/>
    <m/>
  </r>
  <r>
    <s v="One Time Hero"/>
    <n v="0"/>
    <s v="Ultra White"/>
    <s v="Ultra White Singles"/>
    <x v="6"/>
    <s v="Blindingly Bright"/>
    <s v=""/>
    <x v="3"/>
    <s v="Here &amp; Now for¬†&quot;One Time Hero&quot;"/>
    <s v="HereandNow_OneTimeHero_Finishing"/>
    <s v="Original"/>
    <n v="18250"/>
    <s v="firm-bid"/>
    <m/>
    <m/>
    <m/>
    <m/>
    <n v="1"/>
    <m/>
    <m/>
    <x v="2"/>
    <n v="0"/>
    <n v="29333.333333333332"/>
    <m/>
    <m/>
  </r>
  <r>
    <s v="One Time Hero"/>
    <n v="1"/>
    <s v="Ultra White"/>
    <s v="Ultra White Singles"/>
    <x v="6"/>
    <s v="Blindingly Bright"/>
    <s v="Time Bomb LLC"/>
    <x v="1"/>
    <s v="One Time Hero TBLLC"/>
    <s v="TimeBomb_OneTimeHero_Edit"/>
    <s v="Original"/>
    <n v="128682.8667"/>
    <s v="firm-bid"/>
    <n v="128325.07919999999"/>
    <m/>
    <m/>
    <m/>
    <m/>
    <m/>
    <m/>
    <x v="2"/>
    <n v="0"/>
    <n v="128325.07920000001"/>
    <n v="128682.8667"/>
    <n v="128682.8667"/>
  </r>
  <r>
    <s v="One Time Hero"/>
    <n v="0"/>
    <s v="Ultra White"/>
    <s v="Ultra White Singles"/>
    <x v="6"/>
    <s v="Blindingly Bright"/>
    <s v=""/>
    <x v="1"/>
    <s v="One Time Hero"/>
    <s v="Armistace_OneTimeHero_Edit"/>
    <s v="Original"/>
    <n v="127967.2917"/>
    <s v="firm-bid"/>
    <m/>
    <m/>
    <m/>
    <m/>
    <m/>
    <m/>
    <m/>
    <x v="2"/>
    <n v="0"/>
    <n v="128325.07920000001"/>
    <m/>
    <m/>
  </r>
  <r>
    <s v="One Time Hero"/>
    <n v="0"/>
    <s v="Ultra White"/>
    <s v="Ultra White Singles"/>
    <x v="6"/>
    <s v="Blindingly Bright"/>
    <s v=""/>
    <x v="0"/>
    <s v="O.T.H."/>
    <s v="OpenFrameworks_OneTimeHero_LiveAction"/>
    <s v="Original"/>
    <n v="921879.46180000005"/>
    <s v="firm-bid"/>
    <m/>
    <m/>
    <m/>
    <m/>
    <m/>
    <m/>
    <m/>
    <x v="2"/>
    <n v="0"/>
    <n v="752620.27560000005"/>
    <m/>
    <m/>
  </r>
  <r>
    <s v="One Time Hero"/>
    <n v="0"/>
    <s v="Ultra White"/>
    <s v="Ultra White Singles"/>
    <x v="6"/>
    <s v="Blindingly Bright"/>
    <s v=""/>
    <x v="0"/>
    <s v="One TIme Hero"/>
    <s v="Interstate_OneTimeHero_LiveAction"/>
    <s v="Original"/>
    <n v="664739.125"/>
    <s v="firm-bid"/>
    <m/>
    <m/>
    <m/>
    <m/>
    <m/>
    <n v="1"/>
    <m/>
    <x v="2"/>
    <n v="0"/>
    <n v="752620.27560000005"/>
    <m/>
    <m/>
  </r>
  <r>
    <s v="One Time Hero"/>
    <n v="1"/>
    <s v="Ultra White"/>
    <s v="Ultra White Singles"/>
    <x v="6"/>
    <s v="Blindingly Bright"/>
    <s v="CHAW Creative"/>
    <x v="0"/>
    <s v="OTH"/>
    <s v="CHAW_OneTimeHero_LiveAction"/>
    <s v="Original"/>
    <n v="671242.23999999999"/>
    <s v="firm-bid"/>
    <n v="752620.27560000005"/>
    <m/>
    <n v="1"/>
    <m/>
    <m/>
    <m/>
    <n v="1"/>
    <x v="2"/>
    <n v="0"/>
    <n v="752620.27560000005"/>
    <n v="671242.23999999999"/>
    <n v="671242.23999999999"/>
  </r>
  <r>
    <s v="Never Say Never (ever)"/>
    <n v="0"/>
    <s v="Ultra White"/>
    <s v="Ultra White Singles"/>
    <x v="6"/>
    <s v="Blindingly Bright"/>
    <s v=""/>
    <x v="2"/>
    <s v="FunnyRabbit&quot;Never Say Never (ever)&quot;"/>
    <s v="FunnyRabbit"/>
    <s v="Original"/>
    <n v="38410"/>
    <s v="firm-bid"/>
    <m/>
    <m/>
    <m/>
    <m/>
    <n v="1"/>
    <n v="1"/>
    <m/>
    <x v="2"/>
    <n v="0"/>
    <n v="40866.666666666664"/>
    <m/>
    <m/>
  </r>
  <r>
    <s v="Never Say Never (ever)"/>
    <n v="1"/>
    <s v="Ultra White"/>
    <s v="Ultra White Singles"/>
    <x v="6"/>
    <s v="Blindingly Bright"/>
    <s v="Sound Monster"/>
    <x v="2"/>
    <s v="Sound Monster"/>
    <s v="Sound Monster"/>
    <s v="Original"/>
    <n v="55620"/>
    <s v="firm-bid"/>
    <n v="40866.666669999999"/>
    <n v="1"/>
    <m/>
    <m/>
    <n v="1"/>
    <m/>
    <m/>
    <x v="48"/>
    <n v="55620"/>
    <n v="40866.666666666664"/>
    <n v="55620"/>
    <n v="55620"/>
  </r>
  <r>
    <s v="Never Say Never (ever)"/>
    <n v="0"/>
    <s v="Ultra White"/>
    <s v="Ultra White Singles"/>
    <x v="6"/>
    <s v="Blindingly Bright"/>
    <s v=""/>
    <x v="2"/>
    <s v="Audio Fantasy &quot;Never Say Never (ever)&quot;"/>
    <s v="AudioFantasyBid"/>
    <s v="Original"/>
    <n v="28570"/>
    <s v="firm-bid"/>
    <m/>
    <m/>
    <n v="1"/>
    <m/>
    <n v="1"/>
    <m/>
    <n v="1"/>
    <x v="2"/>
    <n v="0"/>
    <n v="40866.666666666664"/>
    <m/>
    <m/>
  </r>
  <r>
    <s v="Never Say Never (ever)"/>
    <n v="0"/>
    <s v="Ultra White"/>
    <s v="Ultra White Singles"/>
    <x v="6"/>
    <s v="Blindingly Bright"/>
    <s v=""/>
    <x v="3"/>
    <s v="EB &quot;Never Say Never (ever)&quot;"/>
    <s v="EvanBanderLLC_NeverSayNever(ever)_Finishing"/>
    <s v="Original"/>
    <n v="20550"/>
    <s v="firm-bid"/>
    <m/>
    <m/>
    <m/>
    <m/>
    <n v="1"/>
    <m/>
    <n v="1"/>
    <x v="2"/>
    <n v="0"/>
    <n v="27483.333333333332"/>
    <m/>
    <m/>
  </r>
  <r>
    <s v="Never Say Never (ever)"/>
    <n v="1"/>
    <s v="Ultra White"/>
    <s v="Ultra White Singles"/>
    <x v="6"/>
    <s v="Blindingly Bright"/>
    <s v="Here &amp; Now"/>
    <x v="3"/>
    <s v="Here &amp; Now for¬†&quot;Never Say Never (ever)&quot;"/>
    <s v="HereandNow_NeverSayNever(ever)_Finishing"/>
    <s v="Original"/>
    <n v="28950"/>
    <s v="firm-bid"/>
    <n v="27483.333330000001"/>
    <m/>
    <m/>
    <m/>
    <m/>
    <m/>
    <m/>
    <x v="2"/>
    <n v="0"/>
    <n v="27483.333333333332"/>
    <n v="28950"/>
    <n v="28950"/>
  </r>
  <r>
    <s v="Never Say Never (ever)"/>
    <n v="0"/>
    <s v="Ultra White"/>
    <s v="Ultra White Singles"/>
    <x v="6"/>
    <s v="Blindingly Bright"/>
    <s v=""/>
    <x v="3"/>
    <s v="‚ÄúNever Say Never (ever) ‚Äù - POI"/>
    <s v="PersonsofInterest_NeverSayNever(ever)_Finishing"/>
    <s v="Original"/>
    <n v="32950"/>
    <s v="firm-bid"/>
    <m/>
    <m/>
    <m/>
    <m/>
    <m/>
    <m/>
    <m/>
    <x v="2"/>
    <n v="0"/>
    <n v="27483.333333333332"/>
    <m/>
    <m/>
  </r>
  <r>
    <s v="Never Say Never (ever)"/>
    <n v="0"/>
    <s v="Ultra White"/>
    <s v="Ultra White Singles"/>
    <x v="6"/>
    <s v="Blindingly Bright"/>
    <s v=""/>
    <x v="1"/>
    <s v="Never Say Never (ever)"/>
    <s v="ToTo_NeverSayNever(ever)_Edit"/>
    <s v="Original"/>
    <n v="96361.358330000003"/>
    <s v="firm-bid"/>
    <m/>
    <m/>
    <m/>
    <n v="1"/>
    <m/>
    <m/>
    <m/>
    <x v="2"/>
    <n v="0"/>
    <n v="112854.31111"/>
    <m/>
    <m/>
  </r>
  <r>
    <s v="Never Say Never (ever)"/>
    <n v="0"/>
    <s v="Ultra White"/>
    <s v="Ultra White Singles"/>
    <x v="6"/>
    <s v="Blindingly Bright"/>
    <s v=""/>
    <x v="1"/>
    <s v="Never Say Never"/>
    <s v="TotalCuts_NeverSayNever(ever)_Edit"/>
    <s v="Original"/>
    <n v="169632.4"/>
    <s v="firm-bid"/>
    <m/>
    <m/>
    <m/>
    <n v="1"/>
    <m/>
    <m/>
    <m/>
    <x v="2"/>
    <n v="0"/>
    <n v="112854.31111"/>
    <m/>
    <m/>
  </r>
  <r>
    <s v="Never Say Never (ever)"/>
    <n v="1"/>
    <s v="Ultra White"/>
    <s v="Ultra White Singles"/>
    <x v="6"/>
    <s v="Blindingly Bright"/>
    <s v="Myrtle Row Editorial"/>
    <x v="1"/>
    <s v="Never Say Never (ever)"/>
    <s v="MyrtleRow_NeverSayNever(ever)_Edit"/>
    <s v="Original"/>
    <n v="72569.175000000003"/>
    <s v="firm-bid"/>
    <n v="112854.31110000001"/>
    <m/>
    <m/>
    <m/>
    <m/>
    <m/>
    <n v="1"/>
    <x v="2"/>
    <n v="0"/>
    <n v="112854.31111"/>
    <n v="72569.175000000003"/>
    <n v="72569.175000000003"/>
  </r>
  <r>
    <s v="Never Say Never (ever)"/>
    <n v="0"/>
    <s v="Ultra White"/>
    <s v="Ultra White Singles"/>
    <x v="6"/>
    <s v="Blindingly Bright"/>
    <s v=""/>
    <x v="0"/>
    <s v="Never Say Never (ever)"/>
    <s v="harmony_and_Light_NeverSayNeverever_LiveAction"/>
    <s v="Original"/>
    <n v="718279.31240000005"/>
    <s v="firm-bid"/>
    <m/>
    <m/>
    <m/>
    <m/>
    <m/>
    <m/>
    <m/>
    <x v="2"/>
    <n v="0"/>
    <n v="815339.00746666675"/>
    <m/>
    <m/>
  </r>
  <r>
    <s v="Never Say Never (ever)"/>
    <n v="1"/>
    <s v="Ultra White"/>
    <s v="Ultra White Singles"/>
    <x v="6"/>
    <s v="Blindingly Bright"/>
    <s v="Level 12 Shooters Inc"/>
    <x v="0"/>
    <s v="NSN(e)"/>
    <s v="Level12_NeverSayNeverever_LiveAction"/>
    <s v="Original"/>
    <n v="787930.41"/>
    <s v="firm-bid"/>
    <n v="815339.00749999995"/>
    <m/>
    <n v="1"/>
    <m/>
    <m/>
    <m/>
    <m/>
    <x v="2"/>
    <n v="0"/>
    <n v="815339.00746666675"/>
    <n v="787930.41"/>
    <n v="787930.41"/>
  </r>
  <r>
    <s v="Never Say Never (ever)"/>
    <n v="0"/>
    <s v="Ultra White"/>
    <s v="Ultra White Singles"/>
    <x v="6"/>
    <s v="Blindingly Bright"/>
    <s v=""/>
    <x v="0"/>
    <s v="NSNe"/>
    <s v="OpenFrameworks_NeverSayNeverever_LiveAction"/>
    <s v="Original"/>
    <n v="939807.3"/>
    <s v="firm-bid"/>
    <m/>
    <m/>
    <m/>
    <m/>
    <m/>
    <m/>
    <m/>
    <x v="2"/>
    <n v="0"/>
    <n v="815339.00746666675"/>
    <m/>
    <m/>
  </r>
  <r>
    <s v="I Slipped"/>
    <n v="1"/>
    <s v="Ultra White"/>
    <s v="Ultra White Tile &amp; Tub"/>
    <x v="6"/>
    <s v="Blindingly Bright"/>
    <s v="Special Oaks"/>
    <x v="2"/>
    <s v="Special Oaks"/>
    <s v="Special Oaks"/>
    <s v="Original"/>
    <n v="39180"/>
    <s v="firm-bid"/>
    <n v="39333.333330000001"/>
    <n v="1"/>
    <m/>
    <m/>
    <m/>
    <m/>
    <m/>
    <x v="49"/>
    <n v="39180"/>
    <n v="39333.333333333336"/>
    <n v="39180"/>
    <n v="39180"/>
  </r>
  <r>
    <s v="I Slipped"/>
    <n v="0"/>
    <s v="Ultra White"/>
    <s v="Ultra White Tile &amp; Tub"/>
    <x v="6"/>
    <s v="Blindingly Bright"/>
    <s v=""/>
    <x v="2"/>
    <s v="Arsonist&quot;I Slipped&quot;"/>
    <s v="Arsonist"/>
    <s v="Original"/>
    <n v="41010"/>
    <s v="firm-bid"/>
    <m/>
    <n v="1"/>
    <n v="1"/>
    <n v="1"/>
    <n v="1"/>
    <n v="1"/>
    <n v="1"/>
    <x v="50"/>
    <n v="0"/>
    <n v="39333.333333333336"/>
    <m/>
    <m/>
  </r>
  <r>
    <s v="I Slipped"/>
    <n v="0"/>
    <s v="Ultra White"/>
    <s v="Ultra White Tile &amp; Tub"/>
    <x v="6"/>
    <s v="Blindingly Bright"/>
    <s v=""/>
    <x v="2"/>
    <s v="Earwax &quot;I Slipped&quot;"/>
    <s v="Earwax"/>
    <s v="Original"/>
    <n v="37810"/>
    <s v="firm-bid"/>
    <m/>
    <m/>
    <m/>
    <m/>
    <m/>
    <m/>
    <m/>
    <x v="2"/>
    <n v="0"/>
    <n v="39333.333333333336"/>
    <m/>
    <m/>
  </r>
  <r>
    <s v="I Slipped"/>
    <n v="0"/>
    <s v="Ultra White"/>
    <s v="Ultra White Tile &amp; Tub"/>
    <x v="6"/>
    <s v="Blindingly Bright"/>
    <s v=""/>
    <x v="3"/>
    <s v="&quot;I Slipped&quot;"/>
    <s v="AndiamoImages_ISlipped_Finishing"/>
    <s v="Original"/>
    <n v="21400"/>
    <s v="firm-bid"/>
    <m/>
    <m/>
    <m/>
    <m/>
    <m/>
    <n v="1"/>
    <m/>
    <x v="2"/>
    <n v="0"/>
    <n v="34116.666666666664"/>
    <m/>
    <m/>
  </r>
  <r>
    <s v="I Slipped"/>
    <n v="0"/>
    <s v="Ultra White"/>
    <s v="Ultra White Tile &amp; Tub"/>
    <x v="6"/>
    <s v="Blindingly Bright"/>
    <s v=""/>
    <x v="3"/>
    <s v="WITNESS::  Slipped"/>
    <s v="Witness_ISlipped_Finishing"/>
    <s v="Original"/>
    <n v="30950"/>
    <s v="firm-bid"/>
    <m/>
    <m/>
    <m/>
    <n v="1"/>
    <n v="1"/>
    <m/>
    <m/>
    <x v="2"/>
    <n v="0"/>
    <n v="34116.666666666664"/>
    <m/>
    <m/>
  </r>
  <r>
    <s v="I Slipped"/>
    <n v="1"/>
    <s v="Ultra White"/>
    <s v="Ultra White Tile &amp; Tub"/>
    <x v="6"/>
    <s v="Blindingly Bright"/>
    <s v="ColorMaven"/>
    <x v="3"/>
    <s v="colorMaven &quot;I Slipped&quot;"/>
    <s v="ColorMaven_ISlipped_Finishing"/>
    <s v="Original"/>
    <n v="50000"/>
    <s v="firm-bid"/>
    <n v="34116.666669999999"/>
    <m/>
    <m/>
    <m/>
    <m/>
    <n v="1"/>
    <m/>
    <x v="2"/>
    <n v="0"/>
    <n v="34116.666666666664"/>
    <n v="50000"/>
    <n v="50000"/>
  </r>
  <r>
    <s v="I Slipped"/>
    <n v="0"/>
    <s v="Ultra White"/>
    <s v="Ultra White Tile &amp; Tub"/>
    <x v="6"/>
    <s v="Blindingly Bright"/>
    <s v=""/>
    <x v="1"/>
    <s v="I Slipped"/>
    <s v="Margin5_ISlipped_Edit"/>
    <s v="Original"/>
    <n v="114637.3083"/>
    <s v="firm-bid"/>
    <m/>
    <m/>
    <m/>
    <m/>
    <m/>
    <m/>
    <m/>
    <x v="2"/>
    <n v="0"/>
    <n v="100280.11387666667"/>
    <m/>
    <m/>
  </r>
  <r>
    <s v="I Slipped"/>
    <n v="0"/>
    <s v="Ultra White"/>
    <s v="Ultra White Tile &amp; Tub"/>
    <x v="6"/>
    <s v="Blindingly Bright"/>
    <s v=""/>
    <x v="1"/>
    <s v="TBLLC I Slipped"/>
    <s v="TimeBomb_ISlipped_Edit"/>
    <s v="Original"/>
    <n v="101759.7"/>
    <s v="firm-bid"/>
    <m/>
    <m/>
    <m/>
    <m/>
    <m/>
    <m/>
    <m/>
    <x v="2"/>
    <n v="0"/>
    <n v="100280.11387666667"/>
    <m/>
    <m/>
  </r>
  <r>
    <s v="I Slipped"/>
    <n v="1"/>
    <s v="Ultra White"/>
    <s v="Ultra White Tile &amp; Tub"/>
    <x v="6"/>
    <s v="Blindingly Bright"/>
    <s v="Toto"/>
    <x v="1"/>
    <s v="I Slipped"/>
    <s v="ToTo_ISlipped_Edit"/>
    <s v="Original"/>
    <n v="84443.333329999994"/>
    <s v="firm-bid"/>
    <n v="100280.1139"/>
    <m/>
    <m/>
    <m/>
    <m/>
    <m/>
    <m/>
    <x v="2"/>
    <n v="0"/>
    <n v="100280.11387666667"/>
    <n v="84443.333329999994"/>
    <n v="84443.333329999994"/>
  </r>
  <r>
    <s v="I Slipped"/>
    <n v="1"/>
    <s v="Ultra White"/>
    <s v="Ultra White Tile &amp; Tub"/>
    <x v="6"/>
    <s v="Blindingly Bright"/>
    <s v="Interstate"/>
    <x v="0"/>
    <s v="I Slipped"/>
    <s v="Interstate_ISlipped_LiveAction"/>
    <s v="Original"/>
    <n v="695741.97759999998"/>
    <s v="firm-bid"/>
    <n v="747040.61529999995"/>
    <m/>
    <m/>
    <m/>
    <m/>
    <n v="1"/>
    <m/>
    <x v="2"/>
    <n v="0"/>
    <n v="747040.61526666663"/>
    <n v="695741.97759999998"/>
    <n v="695741.97759999998"/>
  </r>
  <r>
    <s v="I Slipped"/>
    <n v="0"/>
    <s v="Ultra White"/>
    <s v="Ultra White Tile &amp; Tub"/>
    <x v="6"/>
    <s v="Blindingly Bright"/>
    <s v=""/>
    <x v="0"/>
    <s v="I Slipped"/>
    <s v="Petulant_ISlipped_LiveAction"/>
    <s v="Original"/>
    <n v="873108.54399999999"/>
    <s v="firm-bid"/>
    <m/>
    <m/>
    <n v="1"/>
    <m/>
    <m/>
    <m/>
    <m/>
    <x v="2"/>
    <n v="0"/>
    <n v="747040.61526666663"/>
    <m/>
    <m/>
  </r>
  <r>
    <s v="I Slipped"/>
    <n v="0"/>
    <s v="Ultra White"/>
    <s v="Ultra White Tile &amp; Tub"/>
    <x v="6"/>
    <s v="Blindingly Bright"/>
    <s v=""/>
    <x v="0"/>
    <s v="I Slipped"/>
    <s v="Level12_ISlipped_LiveAction"/>
    <s v="Original"/>
    <n v="672271.32420000003"/>
    <s v="firm-bid"/>
    <m/>
    <n v="1"/>
    <m/>
    <m/>
    <m/>
    <m/>
    <m/>
    <x v="51"/>
    <n v="0"/>
    <n v="747040.61526666663"/>
    <m/>
    <m/>
  </r>
  <r>
    <s v="I Slipped"/>
    <n v="1"/>
    <s v="Ultra White"/>
    <s v="Ultra White Tile &amp; Tub"/>
    <x v="6"/>
    <s v="Blindingly Bright"/>
    <s v="Interstate"/>
    <x v="4"/>
    <s v="I Slipped"/>
    <s v="Interstate_ISlipped_Covid"/>
    <s v="Original"/>
    <n v="13817.135"/>
    <s v="firm-bid"/>
    <n v="10621.49583"/>
    <m/>
    <m/>
    <m/>
    <m/>
    <n v="1"/>
    <m/>
    <x v="2"/>
    <n v="0"/>
    <n v="10621.495833333334"/>
    <n v="13817.135"/>
    <n v="13817.135"/>
  </r>
  <r>
    <s v="I Slipped"/>
    <n v="0"/>
    <s v="Ultra White"/>
    <s v="Ultra White Tile &amp; Tub"/>
    <x v="6"/>
    <s v="Blindingly Bright"/>
    <s v=""/>
    <x v="4"/>
    <s v="I Slipped"/>
    <s v="Petulant_ISlipped_Covid"/>
    <s v="Original"/>
    <n v="9098.5125000000007"/>
    <s v="firm-bid"/>
    <m/>
    <m/>
    <n v="1"/>
    <m/>
    <m/>
    <m/>
    <m/>
    <x v="2"/>
    <n v="0"/>
    <n v="10621.495833333334"/>
    <m/>
    <m/>
  </r>
  <r>
    <s v="I Slipped"/>
    <n v="0"/>
    <s v="Ultra White"/>
    <s v="Ultra White Tile &amp; Tub"/>
    <x v="6"/>
    <s v="Blindingly Bright"/>
    <s v=""/>
    <x v="4"/>
    <s v="I Slipped"/>
    <s v="Level12_ISlipped_Covid"/>
    <s v="Original"/>
    <n v="8948.84"/>
    <s v="firm-bid"/>
    <m/>
    <n v="1"/>
    <m/>
    <m/>
    <m/>
    <m/>
    <m/>
    <x v="52"/>
    <n v="0"/>
    <n v="10621.495833333334"/>
    <m/>
    <m/>
  </r>
  <r>
    <s v="I Slipped"/>
    <n v="1"/>
    <s v="Ultra White"/>
    <s v="Ultra White Tile &amp; Tub"/>
    <x v="6"/>
    <s v="Blindingly Bright"/>
    <s v="Interstate"/>
    <x v="5"/>
    <s v="I Slipped"/>
    <s v="Interstate_ISlipped_Green"/>
    <s v="Original"/>
    <n v="9300"/>
    <s v="firm-bid"/>
    <n v="11143.333329999999"/>
    <m/>
    <m/>
    <m/>
    <m/>
    <n v="1"/>
    <m/>
    <x v="2"/>
    <n v="0"/>
    <n v="11143.333333333334"/>
    <n v="9300"/>
    <n v="9300"/>
  </r>
  <r>
    <s v="I Slipped"/>
    <n v="0"/>
    <s v="Ultra White"/>
    <s v="Ultra White Tile &amp; Tub"/>
    <x v="6"/>
    <s v="Blindingly Bright"/>
    <s v=""/>
    <x v="5"/>
    <s v="I Slipped"/>
    <s v="Petulant_ISlipped_Green"/>
    <s v="Original"/>
    <n v="9250"/>
    <s v="firm-bid"/>
    <m/>
    <m/>
    <n v="1"/>
    <m/>
    <m/>
    <m/>
    <m/>
    <x v="2"/>
    <n v="0"/>
    <n v="11143.333333333334"/>
    <m/>
    <m/>
  </r>
  <r>
    <s v="I Slipped"/>
    <n v="0"/>
    <s v="Ultra White"/>
    <s v="Ultra White Tile &amp; Tub"/>
    <x v="6"/>
    <s v="Blindingly Bright"/>
    <s v=""/>
    <x v="5"/>
    <s v="I Slipped"/>
    <s v="Level12_ISlipped_Green"/>
    <s v="Original"/>
    <n v="14880"/>
    <s v="firm-bid"/>
    <m/>
    <n v="1"/>
    <m/>
    <m/>
    <m/>
    <m/>
    <m/>
    <x v="53"/>
    <n v="0"/>
    <n v="11143.333333333334"/>
    <m/>
    <m/>
  </r>
  <r>
    <s v="As Cold as it Gets"/>
    <n v="1"/>
    <s v="Ultra White"/>
    <s v="Ultra White Tile &amp; Tub"/>
    <x v="6"/>
    <s v="Blindingly Bright"/>
    <s v="Special Oaks"/>
    <x v="2"/>
    <s v="Special Oaks&quot;As Cold as it Gets&quot;"/>
    <s v="Special Oaks"/>
    <s v="Original"/>
    <n v="28890"/>
    <s v="firm-bid"/>
    <n v="37863.333330000001"/>
    <m/>
    <m/>
    <m/>
    <n v="1"/>
    <m/>
    <m/>
    <x v="2"/>
    <n v="0"/>
    <n v="37863.333333333336"/>
    <n v="28890"/>
    <n v="28890"/>
  </r>
  <r>
    <s v="As Cold as it Gets"/>
    <n v="0"/>
    <s v="Ultra White"/>
    <s v="Ultra White Tile &amp; Tub"/>
    <x v="6"/>
    <s v="Blindingly Bright"/>
    <s v=""/>
    <x v="2"/>
    <s v="Audio Labs &quot;As Cold as it Gets&quot;"/>
    <s v="Audio_99"/>
    <s v="Original"/>
    <n v="43020"/>
    <s v="firm-bid"/>
    <m/>
    <m/>
    <m/>
    <n v="1"/>
    <m/>
    <m/>
    <m/>
    <x v="2"/>
    <n v="0"/>
    <n v="37863.333333333336"/>
    <m/>
    <m/>
  </r>
  <r>
    <s v="As Cold as it Gets"/>
    <n v="0"/>
    <s v="Ultra White"/>
    <s v="Ultra White Tile &amp; Tub"/>
    <x v="6"/>
    <s v="Blindingly Bright"/>
    <s v=""/>
    <x v="2"/>
    <s v="Sound Monster&quot;As Cold as it Gets&quot;"/>
    <s v="Sound Monster"/>
    <s v="Original"/>
    <n v="41680"/>
    <s v="firm-bid"/>
    <m/>
    <m/>
    <m/>
    <m/>
    <m/>
    <m/>
    <m/>
    <x v="2"/>
    <n v="0"/>
    <n v="37863.333333333336"/>
    <m/>
    <m/>
  </r>
  <r>
    <s v="As Cold as it Gets"/>
    <n v="0"/>
    <s v="Ultra White"/>
    <s v="Ultra White Tile &amp; Tub"/>
    <x v="6"/>
    <s v="Blindingly Bright"/>
    <s v=""/>
    <x v="3"/>
    <s v="&quot;As Cold as it Gets&quot;"/>
    <s v="AndiamoImages_AsColdasitGets_Finishing"/>
    <s v="Original"/>
    <n v="26750"/>
    <s v="firm-bid"/>
    <m/>
    <m/>
    <m/>
    <m/>
    <m/>
    <n v="1"/>
    <m/>
    <x v="2"/>
    <n v="0"/>
    <n v="31400"/>
    <m/>
    <m/>
  </r>
  <r>
    <s v="As Cold as it Gets"/>
    <n v="1"/>
    <s v="Ultra White"/>
    <s v="Ultra White Tile &amp; Tub"/>
    <x v="6"/>
    <s v="Blindingly Bright"/>
    <s v="Witness"/>
    <x v="3"/>
    <s v="WITNESS:: As Cold as it Gets"/>
    <s v="Witness_AsColdasitGets_Finishing"/>
    <s v="Original"/>
    <n v="36050"/>
    <s v="firm-bid"/>
    <n v="31400"/>
    <m/>
    <m/>
    <m/>
    <m/>
    <m/>
    <m/>
    <x v="2"/>
    <n v="0"/>
    <n v="31400"/>
    <n v="36050"/>
    <n v="36050"/>
  </r>
  <r>
    <s v="As Cold as it Gets"/>
    <n v="0"/>
    <s v="Ultra White"/>
    <s v="Ultra White Tile &amp; Tub"/>
    <x v="6"/>
    <s v="Blindingly Bright"/>
    <s v=""/>
    <x v="1"/>
    <s v="SAKS As Cold as it Gets V1"/>
    <s v="SaksStreetEdit_AsColdasitGets_Edit"/>
    <s v="Original"/>
    <n v="154630"/>
    <s v="firm-bid"/>
    <m/>
    <m/>
    <m/>
    <n v="1"/>
    <m/>
    <m/>
    <n v="1"/>
    <x v="2"/>
    <n v="0"/>
    <n v="154258.96113333333"/>
    <m/>
    <m/>
  </r>
  <r>
    <s v="As Cold as it Gets"/>
    <n v="1"/>
    <s v="Ultra White"/>
    <s v="Ultra White Tile &amp; Tub"/>
    <x v="6"/>
    <s v="Blindingly Bright"/>
    <s v="Time Bomb LLC"/>
    <x v="1"/>
    <s v="TimeBombe - As Cold as it Gets v2 1/12/22"/>
    <s v="TimeBomb_AsColdasitGets_Edit"/>
    <s v="Original"/>
    <n v="135575.4167"/>
    <s v="firm-bid"/>
    <n v="154258.96109999999"/>
    <m/>
    <m/>
    <m/>
    <m/>
    <m/>
    <m/>
    <x v="2"/>
    <n v="0"/>
    <n v="154258.96113333333"/>
    <n v="135575.4167"/>
    <n v="135575.4167"/>
  </r>
  <r>
    <s v="As Cold as it Gets"/>
    <n v="0"/>
    <s v="Ultra White"/>
    <s v="Ultra White Tile &amp; Tub"/>
    <x v="6"/>
    <s v="Blindingly Bright"/>
    <s v=""/>
    <x v="1"/>
    <s v="As Cold as it Gets"/>
    <s v="TheCloset_AsColdasitGets_Edit"/>
    <s v="Original"/>
    <n v="172571.46669999999"/>
    <s v="firm-bid"/>
    <m/>
    <m/>
    <m/>
    <m/>
    <m/>
    <n v="1"/>
    <n v="1"/>
    <x v="2"/>
    <n v="0"/>
    <n v="154258.96113333333"/>
    <m/>
    <m/>
  </r>
  <r>
    <s v="As Cold as it Gets"/>
    <n v="0"/>
    <s v="Ultra White"/>
    <s v="Ultra White Tile &amp; Tub"/>
    <x v="6"/>
    <s v="Blindingly Bright"/>
    <s v=""/>
    <x v="5"/>
    <s v="As Cold As It Gets"/>
    <s v="CHAW_AsColdasitGets_Green"/>
    <s v="Original"/>
    <n v="12750"/>
    <s v="firm-bid"/>
    <m/>
    <m/>
    <n v="1"/>
    <m/>
    <m/>
    <m/>
    <n v="1"/>
    <x v="2"/>
    <n v="0"/>
    <n v="15299.666666666666"/>
    <m/>
    <m/>
  </r>
  <r>
    <s v="As Cold as it Gets"/>
    <n v="1"/>
    <s v="Ultra White"/>
    <s v="Ultra White Tile &amp; Tub"/>
    <x v="6"/>
    <s v="Blindingly Bright"/>
    <s v="Test Flight Productions"/>
    <x v="5"/>
    <s v="As Cold as it Gets"/>
    <s v="TestFlight_AsColdasitGets_Green"/>
    <s v="Original"/>
    <n v="14375"/>
    <s v="firm-bid"/>
    <n v="15299.666670000001"/>
    <m/>
    <n v="1"/>
    <m/>
    <m/>
    <m/>
    <n v="1"/>
    <x v="2"/>
    <n v="0"/>
    <n v="15299.666666666666"/>
    <n v="14375"/>
    <n v="14375"/>
  </r>
  <r>
    <s v="As Cold as it Gets"/>
    <n v="0"/>
    <s v="Ultra White"/>
    <s v="Ultra White Tile &amp; Tub"/>
    <x v="6"/>
    <s v="Blindingly Bright"/>
    <s v=""/>
    <x v="5"/>
    <s v="As Cold as it Gets"/>
    <s v=""/>
    <s v="Original"/>
    <n v="18774"/>
    <s v="firm-bid"/>
    <m/>
    <m/>
    <m/>
    <m/>
    <m/>
    <n v="1"/>
    <m/>
    <x v="2"/>
    <n v="0"/>
    <n v="15299.666666666666"/>
    <m/>
    <m/>
  </r>
  <r>
    <s v="As Cold as it Gets"/>
    <n v="0"/>
    <s v="Ultra White"/>
    <s v="Ultra White Tile &amp; Tub"/>
    <x v="6"/>
    <s v="Blindingly Bright"/>
    <s v=""/>
    <x v="4"/>
    <s v="As Cold As It Gets"/>
    <s v="CHAW_AsColdasitGets_Covid"/>
    <s v="Original"/>
    <n v="10839.44"/>
    <s v="firm-bid"/>
    <m/>
    <m/>
    <n v="1"/>
    <m/>
    <m/>
    <m/>
    <n v="1"/>
    <x v="2"/>
    <n v="0"/>
    <n v="10064.819166666666"/>
    <m/>
    <m/>
  </r>
  <r>
    <s v="As Cold as it Gets"/>
    <n v="1"/>
    <s v="Ultra White"/>
    <s v="Ultra White Tile &amp; Tub"/>
    <x v="6"/>
    <s v="Blindingly Bright"/>
    <s v="Test Flight Productions"/>
    <x v="4"/>
    <s v="As Cold as it Gets"/>
    <s v="TestFlight_AsColdasitGets_Covid"/>
    <s v="Original"/>
    <n v="10926.092500000001"/>
    <s v="firm-bid"/>
    <n v="10064.819170000001"/>
    <m/>
    <n v="1"/>
    <m/>
    <m/>
    <m/>
    <n v="1"/>
    <x v="2"/>
    <n v="0"/>
    <n v="10064.819166666666"/>
    <n v="10926.092500000001"/>
    <n v="10926.092500000001"/>
  </r>
  <r>
    <s v="As Cold as it Gets"/>
    <n v="0"/>
    <s v="Ultra White"/>
    <s v="Ultra White Tile &amp; Tub"/>
    <x v="6"/>
    <s v="Blindingly Bright"/>
    <s v=""/>
    <x v="4"/>
    <s v="As Cold as it Gets"/>
    <s v="Interstate_AsColdasitGets_Covid"/>
    <s v="Original"/>
    <n v="8428.9249999999993"/>
    <s v="firm-bid"/>
    <m/>
    <m/>
    <m/>
    <m/>
    <m/>
    <n v="1"/>
    <m/>
    <x v="2"/>
    <n v="0"/>
    <n v="10064.819166666666"/>
    <m/>
    <m/>
  </r>
  <r>
    <s v="As Cold as it Gets"/>
    <n v="0"/>
    <s v="Ultra White"/>
    <s v="Ultra White Tile &amp; Tub"/>
    <x v="6"/>
    <s v="Blindingly Bright"/>
    <s v=""/>
    <x v="0"/>
    <s v="As Cold As It Gets"/>
    <s v="CHAW_AsColdasitGets_LiveAction"/>
    <s v="Original"/>
    <n v="654508.57499999995"/>
    <s v="firm-bid"/>
    <m/>
    <m/>
    <n v="1"/>
    <m/>
    <m/>
    <m/>
    <n v="1"/>
    <x v="2"/>
    <n v="0"/>
    <n v="706387.15280000004"/>
    <m/>
    <m/>
  </r>
  <r>
    <s v="As Cold as it Gets"/>
    <n v="1"/>
    <s v="Ultra White"/>
    <s v="Ultra White Tile &amp; Tub"/>
    <x v="6"/>
    <s v="Blindingly Bright"/>
    <s v="Test Flight Productions"/>
    <x v="0"/>
    <s v="As Cold as it Gets"/>
    <s v="TestFlight_AsColdasitGets_LiveAction"/>
    <s v="Original"/>
    <n v="831998.99340000004"/>
    <s v="firm-bid"/>
    <n v="706387.15280000004"/>
    <m/>
    <n v="1"/>
    <m/>
    <m/>
    <m/>
    <n v="1"/>
    <x v="2"/>
    <n v="0"/>
    <n v="706387.15280000004"/>
    <n v="831998.99340000004"/>
    <n v="831998.99340000004"/>
  </r>
  <r>
    <s v="As Cold as it Gets"/>
    <n v="0"/>
    <s v="Ultra White"/>
    <s v="Ultra White Tile &amp; Tub"/>
    <x v="6"/>
    <s v="Blindingly Bright"/>
    <s v=""/>
    <x v="0"/>
    <s v="As Cold as it Gets"/>
    <s v="Interstate_AsColdasitGets_LiveAction"/>
    <s v="Original"/>
    <n v="632653.89"/>
    <s v="firm-bid"/>
    <m/>
    <m/>
    <m/>
    <m/>
    <m/>
    <n v="1"/>
    <m/>
    <x v="2"/>
    <n v="0"/>
    <n v="706387.15280000004"/>
    <m/>
    <m/>
  </r>
  <r>
    <s v="ENVY"/>
    <n v="0"/>
    <s v="Big Chew"/>
    <s v="Big Chew Sugarless"/>
    <x v="2"/>
    <s v="The Seven Deadly Sins"/>
    <s v=""/>
    <x v="2"/>
    <s v="Earwax &quot;ENVY&quot;"/>
    <s v="Earwax"/>
    <s v="Original"/>
    <n v="26570"/>
    <s v="firm-bid"/>
    <m/>
    <m/>
    <m/>
    <m/>
    <m/>
    <m/>
    <m/>
    <x v="2"/>
    <n v="0"/>
    <n v="46565"/>
    <m/>
    <m/>
  </r>
  <r>
    <s v="ENVY"/>
    <n v="1"/>
    <s v="Big Chew"/>
    <s v="Big Chew Sugarless"/>
    <x v="2"/>
    <s v="The Seven Deadly Sins"/>
    <s v="Sound Monster"/>
    <x v="2"/>
    <s v="SOund Monster"/>
    <s v="Sound Monster"/>
    <s v="Original"/>
    <n v="66560"/>
    <s v="firm-bid"/>
    <n v="46565"/>
    <m/>
    <m/>
    <m/>
    <m/>
    <m/>
    <m/>
    <x v="2"/>
    <n v="0"/>
    <n v="46565"/>
    <n v="66560"/>
    <n v="66560"/>
  </r>
  <r>
    <s v="ENVY"/>
    <n v="1"/>
    <s v="Big Chew"/>
    <s v="Big Chew Sugarless"/>
    <x v="2"/>
    <s v="The Seven Deadly Sins"/>
    <s v="Interstate"/>
    <x v="6"/>
    <s v="ENVY"/>
    <s v="Interstate_ENVY_Retouching"/>
    <s v="Original"/>
    <n v="42850"/>
    <s v="firm-bid"/>
    <n v="31316.666669999999"/>
    <m/>
    <m/>
    <m/>
    <m/>
    <n v="1"/>
    <m/>
    <x v="2"/>
    <n v="0"/>
    <n v="31316.666666666664"/>
    <n v="42850"/>
    <n v="42850"/>
  </r>
  <r>
    <s v="ENVY"/>
    <n v="0"/>
    <s v="Big Chew"/>
    <s v="Big Chew Sugarless"/>
    <x v="2"/>
    <s v="The Seven Deadly Sins"/>
    <s v=""/>
    <x v="6"/>
    <s v="&quot;ENVY&quot; Stills - Furrier"/>
    <s v="Furrier_ENVY_Retouching"/>
    <s v="Original"/>
    <n v="23200"/>
    <s v="firm-bid"/>
    <m/>
    <n v="1"/>
    <m/>
    <m/>
    <m/>
    <m/>
    <m/>
    <x v="54"/>
    <n v="0"/>
    <n v="31316.666666666664"/>
    <m/>
    <m/>
  </r>
  <r>
    <s v="ENVY"/>
    <n v="0"/>
    <s v="Big Chew"/>
    <s v="Big Chew Sugarless"/>
    <x v="2"/>
    <s v="The Seven Deadly Sins"/>
    <s v=""/>
    <x v="6"/>
    <s v="ENVY"/>
    <s v="CHAW_ENVY_Retouching"/>
    <s v="Original"/>
    <n v="27900"/>
    <s v="firm-bid"/>
    <m/>
    <m/>
    <n v="1"/>
    <m/>
    <m/>
    <m/>
    <n v="1"/>
    <x v="2"/>
    <n v="0"/>
    <n v="31316.666666666664"/>
    <m/>
    <m/>
  </r>
  <r>
    <s v="ENVY"/>
    <n v="1"/>
    <s v="Big Chew"/>
    <s v="Big Chew Sugarless"/>
    <x v="2"/>
    <s v="The Seven Deadly Sins"/>
    <s v="Interstate"/>
    <x v="7"/>
    <s v="ENVY"/>
    <s v="Interstate_ENVY_Stills"/>
    <s v="Original"/>
    <n v="193795.97099999999"/>
    <s v="firm-bid"/>
    <n v="182920.4215"/>
    <m/>
    <m/>
    <m/>
    <m/>
    <n v="1"/>
    <m/>
    <x v="2"/>
    <n v="0"/>
    <n v="182920.4215"/>
    <n v="193795.97099999999"/>
    <n v="193795.97099999999"/>
  </r>
  <r>
    <s v="ENVY"/>
    <n v="0"/>
    <s v="Big Chew"/>
    <s v="Big Chew Sugarless"/>
    <x v="2"/>
    <s v="The Seven Deadly Sins"/>
    <s v=""/>
    <x v="7"/>
    <s v="&quot;ENVY&quot; Stills - Furrier"/>
    <s v="Furrier_ENVY_Stills"/>
    <s v="Original"/>
    <n v="170725.97829999999"/>
    <s v="firm-bid"/>
    <m/>
    <n v="1"/>
    <m/>
    <m/>
    <m/>
    <m/>
    <m/>
    <x v="55"/>
    <n v="0"/>
    <n v="182920.4215"/>
    <m/>
    <m/>
  </r>
  <r>
    <s v="ENVY"/>
    <n v="0"/>
    <s v="Big Chew"/>
    <s v="Big Chew Sugarless"/>
    <x v="2"/>
    <s v="The Seven Deadly Sins"/>
    <s v=""/>
    <x v="7"/>
    <s v="ENVY"/>
    <s v="CHAW_ENVY_Stills"/>
    <s v="Original"/>
    <n v="184239.31520000001"/>
    <s v="firm-bid"/>
    <m/>
    <m/>
    <n v="1"/>
    <m/>
    <m/>
    <m/>
    <n v="1"/>
    <x v="2"/>
    <n v="0"/>
    <n v="182920.4215"/>
    <m/>
    <m/>
  </r>
  <r>
    <s v="ENVY"/>
    <n v="0"/>
    <s v="Big Chew"/>
    <s v="Big Chew Sugarless"/>
    <x v="2"/>
    <s v="The Seven Deadly Sins"/>
    <s v=""/>
    <x v="9"/>
    <s v="EFXvfx \\ &quot;ENVY&quot; \\ v1.1"/>
    <s v="EFXVFX_ENVY_VFX"/>
    <s v="Original"/>
    <n v="108745"/>
    <s v="firm-bid"/>
    <m/>
    <m/>
    <m/>
    <m/>
    <m/>
    <m/>
    <m/>
    <x v="2"/>
    <n v="0"/>
    <n v="98085"/>
    <m/>
    <m/>
  </r>
  <r>
    <s v="ENVY"/>
    <n v="1"/>
    <s v="Big Chew"/>
    <s v="Big Chew Sugarless"/>
    <x v="2"/>
    <s v="The Seven Deadly Sins"/>
    <s v="Sorcery"/>
    <x v="9"/>
    <s v="v1 - &quot;ENVY&quot; //SORCERY"/>
    <s v="Sorcery_ENVY_VFX"/>
    <s v="Original"/>
    <n v="87425"/>
    <s v="firm-bid"/>
    <n v="98085"/>
    <m/>
    <m/>
    <m/>
    <m/>
    <m/>
    <m/>
    <x v="2"/>
    <n v="0"/>
    <n v="98085"/>
    <n v="87425"/>
    <n v="87425"/>
  </r>
  <r>
    <s v="ENVY"/>
    <n v="1"/>
    <s v="Big Chew"/>
    <s v="Big Chew Sugarless"/>
    <x v="2"/>
    <s v="The Seven Deadly Sins"/>
    <s v="The Dub House"/>
    <x v="3"/>
    <s v="‚ÄúENVY‚Äù | Dub House"/>
    <s v="TheDubHouse_ENVY_Finishing"/>
    <s v="Original"/>
    <n v="51900"/>
    <s v="firm-bid"/>
    <n v="44125"/>
    <m/>
    <m/>
    <n v="1"/>
    <m/>
    <m/>
    <m/>
    <x v="2"/>
    <n v="0"/>
    <n v="44125"/>
    <n v="51900"/>
    <n v="51900"/>
  </r>
  <r>
    <s v="ENVY"/>
    <n v="0"/>
    <s v="Big Chew"/>
    <s v="Big Chew Sugarless"/>
    <x v="2"/>
    <s v="The Seven Deadly Sins"/>
    <s v=""/>
    <x v="3"/>
    <s v="WITNESS:: ENVY"/>
    <s v="Witness_ENVY_Finishing"/>
    <s v="Original"/>
    <n v="36350"/>
    <s v="firm-bid"/>
    <m/>
    <m/>
    <m/>
    <m/>
    <m/>
    <m/>
    <m/>
    <x v="2"/>
    <n v="0"/>
    <n v="44125"/>
    <m/>
    <m/>
  </r>
  <r>
    <s v="ENVY"/>
    <n v="0"/>
    <s v="Big Chew"/>
    <s v="Big Chew Sugarless"/>
    <x v="2"/>
    <s v="The Seven Deadly Sins"/>
    <s v=""/>
    <x v="1"/>
    <s v="ENVY"/>
    <s v="Armistace_ENVY_Edit"/>
    <s v="Original"/>
    <n v="125431.25"/>
    <s v="firm-bid"/>
    <m/>
    <m/>
    <m/>
    <m/>
    <m/>
    <m/>
    <m/>
    <x v="2"/>
    <n v="0"/>
    <n v="97059.569433333338"/>
    <m/>
    <m/>
  </r>
  <r>
    <s v="ENVY"/>
    <n v="0"/>
    <s v="Big Chew"/>
    <s v="Big Chew Sugarless"/>
    <x v="2"/>
    <s v="The Seven Deadly Sins"/>
    <s v=""/>
    <x v="1"/>
    <s v="ENVY"/>
    <s v="ToTo_ENVY_Edit"/>
    <s v="Original"/>
    <n v="65076.2"/>
    <s v="firm-bid"/>
    <m/>
    <m/>
    <m/>
    <m/>
    <m/>
    <m/>
    <m/>
    <x v="2"/>
    <n v="0"/>
    <n v="97059.569433333338"/>
    <m/>
    <m/>
  </r>
  <r>
    <s v="ENVY"/>
    <n v="1"/>
    <s v="Big Chew"/>
    <s v="Big Chew Sugarless"/>
    <x v="2"/>
    <s v="The Seven Deadly Sins"/>
    <s v="Time Bomb LLC"/>
    <x v="1"/>
    <s v="TBomb ENVY"/>
    <s v="TimeBomb_ENVY_Edit"/>
    <s v="Original"/>
    <n v="100671.2583"/>
    <s v="firm-bid"/>
    <n v="97059.569440000007"/>
    <m/>
    <m/>
    <m/>
    <m/>
    <m/>
    <m/>
    <x v="2"/>
    <n v="0"/>
    <n v="97059.569433333338"/>
    <n v="100671.2583"/>
    <n v="100671.2583"/>
  </r>
  <r>
    <s v="ENVY"/>
    <n v="0"/>
    <s v="Big Chew"/>
    <s v="Big Chew Sugarless"/>
    <x v="2"/>
    <s v="The Seven Deadly Sins"/>
    <s v=""/>
    <x v="5"/>
    <s v="ENVY"/>
    <s v="TestFlight_ENVY_Green"/>
    <s v="Original"/>
    <n v="11532"/>
    <s v="firm-bid"/>
    <m/>
    <m/>
    <n v="1"/>
    <m/>
    <m/>
    <m/>
    <n v="1"/>
    <x v="2"/>
    <n v="0"/>
    <n v="10374.666666666666"/>
    <m/>
    <m/>
  </r>
  <r>
    <s v="ENVY"/>
    <n v="1"/>
    <s v="Big Chew"/>
    <s v="Big Chew Sugarless"/>
    <x v="2"/>
    <s v="The Seven Deadly Sins"/>
    <s v="Petulant Pictures"/>
    <x v="5"/>
    <s v="ENVY"/>
    <s v="Petulant_ENVY_Green"/>
    <s v="Original"/>
    <n v="12032"/>
    <s v="firm-bid"/>
    <n v="10374.666670000001"/>
    <m/>
    <n v="1"/>
    <m/>
    <m/>
    <m/>
    <m/>
    <x v="2"/>
    <n v="0"/>
    <n v="10374.666666666666"/>
    <n v="12032"/>
    <n v="12032"/>
  </r>
  <r>
    <s v="ENVY"/>
    <n v="0"/>
    <s v="Big Chew"/>
    <s v="Big Chew Sugarless"/>
    <x v="2"/>
    <s v="The Seven Deadly Sins"/>
    <s v=""/>
    <x v="5"/>
    <s v="ENVY"/>
    <s v="Level12_ENVY_Green"/>
    <s v="Original"/>
    <n v="7560"/>
    <s v="firm-bid"/>
    <m/>
    <m/>
    <m/>
    <m/>
    <m/>
    <m/>
    <m/>
    <x v="2"/>
    <n v="0"/>
    <n v="10374.666666666666"/>
    <m/>
    <m/>
  </r>
  <r>
    <s v="ENVY"/>
    <n v="0"/>
    <s v="Big Chew"/>
    <s v="Big Chew Sugarless"/>
    <x v="2"/>
    <s v="The Seven Deadly Sins"/>
    <s v=""/>
    <x v="4"/>
    <s v="ENVY"/>
    <s v="TestFlight_ENVY_Covid"/>
    <s v="Original"/>
    <n v="5340.9449999999997"/>
    <s v="firm-bid"/>
    <m/>
    <m/>
    <n v="1"/>
    <m/>
    <m/>
    <m/>
    <n v="1"/>
    <x v="2"/>
    <n v="0"/>
    <n v="7102.8791666666666"/>
    <m/>
    <m/>
  </r>
  <r>
    <s v="ENVY"/>
    <n v="1"/>
    <s v="Big Chew"/>
    <s v="Big Chew Sugarless"/>
    <x v="2"/>
    <s v="The Seven Deadly Sins"/>
    <s v="Petulant Pictures"/>
    <x v="4"/>
    <s v="ENVY"/>
    <s v="Petulant_ENVY_Covid"/>
    <s v="Original"/>
    <n v="10996.99"/>
    <s v="firm-bid"/>
    <n v="7102.8791670000001"/>
    <m/>
    <n v="1"/>
    <m/>
    <m/>
    <m/>
    <m/>
    <x v="2"/>
    <n v="0"/>
    <n v="7102.8791666666666"/>
    <n v="10996.99"/>
    <n v="10996.99"/>
  </r>
  <r>
    <s v="ENVY"/>
    <n v="0"/>
    <s v="Big Chew"/>
    <s v="Big Chew Sugarless"/>
    <x v="2"/>
    <s v="The Seven Deadly Sins"/>
    <s v=""/>
    <x v="4"/>
    <s v="ENVY"/>
    <s v="Level12_ENVY_Covid"/>
    <s v="Original"/>
    <n v="4970.7025000000003"/>
    <s v="firm-bid"/>
    <m/>
    <m/>
    <m/>
    <m/>
    <m/>
    <m/>
    <m/>
    <x v="2"/>
    <n v="0"/>
    <n v="7102.8791666666666"/>
    <m/>
    <m/>
  </r>
  <r>
    <s v="ENVY"/>
    <n v="0"/>
    <s v="Big Chew"/>
    <s v="Big Chew Sugarless"/>
    <x v="2"/>
    <s v="The Seven Deadly Sins"/>
    <s v=""/>
    <x v="0"/>
    <s v="ENVY"/>
    <s v="TestFlight_ENVY_LiveAction"/>
    <s v="Original"/>
    <n v="804761.98400000005"/>
    <s v="firm-bid"/>
    <m/>
    <m/>
    <n v="1"/>
    <m/>
    <m/>
    <m/>
    <n v="1"/>
    <x v="2"/>
    <n v="0"/>
    <n v="823789.01633333333"/>
    <m/>
    <m/>
  </r>
  <r>
    <s v="ENVY"/>
    <n v="1"/>
    <s v="Big Chew"/>
    <s v="Big Chew Sugarless"/>
    <x v="2"/>
    <s v="The Seven Deadly Sins"/>
    <s v="Petulant Pictures"/>
    <x v="0"/>
    <s v="ENVY"/>
    <s v="Petulant_ENVY_LiveAction"/>
    <s v="Original"/>
    <n v="881024.64"/>
    <s v="firm-bid"/>
    <n v="823789.01630000002"/>
    <m/>
    <n v="1"/>
    <m/>
    <m/>
    <m/>
    <m/>
    <x v="2"/>
    <n v="0"/>
    <n v="823789.01633333333"/>
    <n v="881024.64"/>
    <n v="881024.64"/>
  </r>
  <r>
    <s v="ENVY"/>
    <n v="0"/>
    <s v="Big Chew"/>
    <s v="Big Chew Sugarless"/>
    <x v="2"/>
    <s v="The Seven Deadly Sins"/>
    <s v=""/>
    <x v="0"/>
    <s v="ENVY"/>
    <s v="Level12_ENVY_LiveAction"/>
    <s v="Original"/>
    <n v="785580.42500000005"/>
    <s v="firm-bid"/>
    <m/>
    <m/>
    <m/>
    <m/>
    <m/>
    <m/>
    <m/>
    <x v="2"/>
    <n v="0"/>
    <n v="823789.01633333333"/>
    <m/>
    <m/>
  </r>
  <r>
    <s v="GLUTTONY"/>
    <n v="0"/>
    <s v="Big Chew"/>
    <s v="Big Chew Sugarless"/>
    <x v="2"/>
    <s v="The Seven Deadly Sins"/>
    <s v=""/>
    <x v="2"/>
    <s v="Sound Monster"/>
    <s v="Sound Monster"/>
    <s v="Original"/>
    <n v="32510"/>
    <s v="firm-bid"/>
    <m/>
    <m/>
    <m/>
    <n v="1"/>
    <m/>
    <n v="1"/>
    <m/>
    <x v="2"/>
    <n v="0"/>
    <n v="26410"/>
    <m/>
    <m/>
  </r>
  <r>
    <s v="GLUTTONY"/>
    <n v="1"/>
    <s v="Big Chew"/>
    <s v="Big Chew Sugarless"/>
    <x v="2"/>
    <s v="The Seven Deadly Sins"/>
    <s v="Love Language"/>
    <x v="2"/>
    <s v="Love Language &quot;GLUTTONY&quot;"/>
    <s v="Love127"/>
    <s v="Original"/>
    <n v="20310"/>
    <s v="firm-bid"/>
    <n v="26410"/>
    <m/>
    <m/>
    <n v="1"/>
    <m/>
    <m/>
    <n v="1"/>
    <x v="2"/>
    <n v="0"/>
    <n v="26410"/>
    <n v="20310"/>
    <n v="20310"/>
  </r>
  <r>
    <s v="GLUTTONY"/>
    <n v="0"/>
    <s v="Big Chew"/>
    <s v="Big Chew Sugarless"/>
    <x v="2"/>
    <s v="The Seven Deadly Sins"/>
    <s v=""/>
    <x v="10"/>
    <s v="GLUTTONY"/>
    <s v="Club101_GLUTTONY_BTS"/>
    <s v="Original"/>
    <n v="17960.7"/>
    <s v="firm-bid"/>
    <m/>
    <m/>
    <m/>
    <m/>
    <m/>
    <m/>
    <m/>
    <x v="2"/>
    <n v="0"/>
    <n v="19142.325000000001"/>
    <m/>
    <m/>
  </r>
  <r>
    <s v="GLUTTONY"/>
    <n v="1"/>
    <s v="Big Chew"/>
    <s v="Big Chew Sugarless"/>
    <x v="2"/>
    <s v="The Seven Deadly Sins"/>
    <s v="Petulant Pictures"/>
    <x v="10"/>
    <s v="Gluttony"/>
    <s v="Petulant_GLUTTONY_BTS"/>
    <s v="Original"/>
    <n v="20323.95"/>
    <s v="firm-bid"/>
    <n v="19142.325000000001"/>
    <m/>
    <n v="1"/>
    <m/>
    <m/>
    <m/>
    <m/>
    <x v="2"/>
    <n v="0"/>
    <n v="19142.325000000001"/>
    <n v="20323.95"/>
    <n v="20323.95"/>
  </r>
  <r>
    <s v="GLUTTONY"/>
    <n v="1"/>
    <s v="Big Chew"/>
    <s v="Big Chew Sugarless"/>
    <x v="2"/>
    <s v="The Seven Deadly Sins"/>
    <s v="Interstate"/>
    <x v="7"/>
    <s v="GLUTTONY"/>
    <s v="Interstate_GLUTTONY_Stills"/>
    <s v="Original"/>
    <n v="145024.3322"/>
    <s v="firm-bid"/>
    <n v="151042.9981"/>
    <m/>
    <m/>
    <m/>
    <m/>
    <n v="1"/>
    <m/>
    <x v="2"/>
    <n v="0"/>
    <n v="151042.9981"/>
    <n v="145024.3322"/>
    <n v="145024.3322"/>
  </r>
  <r>
    <s v="GLUTTONY"/>
    <n v="0"/>
    <s v="Big Chew"/>
    <s v="Big Chew Sugarless"/>
    <x v="2"/>
    <s v="The Seven Deadly Sins"/>
    <s v=""/>
    <x v="7"/>
    <s v="&quot;GLUTTONY&quot; Stills - Furrier"/>
    <s v="Furrier_GLUTTONY_Stills"/>
    <s v="Original"/>
    <n v="157061.66399999999"/>
    <s v="firm-bid"/>
    <m/>
    <n v="1"/>
    <m/>
    <m/>
    <m/>
    <m/>
    <m/>
    <x v="56"/>
    <n v="0"/>
    <n v="151042.9981"/>
    <m/>
    <m/>
  </r>
  <r>
    <s v="GLUTTONY"/>
    <n v="1"/>
    <s v="Big Chew"/>
    <s v="Big Chew Sugarless"/>
    <x v="2"/>
    <s v="The Seven Deadly Sins"/>
    <s v="The Alliance"/>
    <x v="9"/>
    <s v="GLUTTONY"/>
    <s v="TheAlliance_GLUTTONY_VFX"/>
    <s v="Original"/>
    <n v="87009"/>
    <s v="firm-bid"/>
    <n v="127887.5"/>
    <m/>
    <m/>
    <m/>
    <m/>
    <m/>
    <m/>
    <x v="2"/>
    <n v="0"/>
    <n v="127887.5"/>
    <n v="87009"/>
    <n v="87009"/>
  </r>
  <r>
    <s v="GLUTTONY"/>
    <n v="0"/>
    <s v="Big Chew"/>
    <s v="Big Chew Sugarless"/>
    <x v="2"/>
    <s v="The Seven Deadly Sins"/>
    <s v=""/>
    <x v="9"/>
    <s v="&quot;GLUTTONY&quot; JOB #3987"/>
    <s v="TerminalOutput_GLUTTONY_VFX"/>
    <s v="Original"/>
    <n v="168766"/>
    <s v="firm-bid"/>
    <m/>
    <m/>
    <m/>
    <m/>
    <m/>
    <m/>
    <m/>
    <x v="2"/>
    <n v="0"/>
    <n v="127887.5"/>
    <m/>
    <m/>
  </r>
  <r>
    <s v="GLUTTONY"/>
    <n v="0"/>
    <s v="Big Chew"/>
    <s v="Big Chew Sugarless"/>
    <x v="2"/>
    <s v="The Seven Deadly Sins"/>
    <s v=""/>
    <x v="3"/>
    <s v="&quot;GLUTTONY&quot; RSD #452021"/>
    <s v="RackspaceDigital_GLUTTONY_Finishing"/>
    <s v="Original"/>
    <n v="34500"/>
    <s v="firm-bid"/>
    <m/>
    <m/>
    <m/>
    <n v="1"/>
    <n v="1"/>
    <m/>
    <m/>
    <x v="2"/>
    <n v="0"/>
    <n v="39187.5"/>
    <m/>
    <m/>
  </r>
  <r>
    <s v="GLUTTONY"/>
    <n v="1"/>
    <s v="Big Chew"/>
    <s v="Big Chew Sugarless"/>
    <x v="2"/>
    <s v="The Seven Deadly Sins"/>
    <s v="Andiamo Images"/>
    <x v="3"/>
    <s v="&quot;Gluttony&quot;"/>
    <s v="AndiamoImages_GLUTTONY_Finishing"/>
    <s v="Original"/>
    <n v="35150"/>
    <s v="firm-bid"/>
    <n v="39187.5"/>
    <m/>
    <m/>
    <n v="1"/>
    <m/>
    <n v="1"/>
    <m/>
    <x v="2"/>
    <n v="0"/>
    <n v="39187.5"/>
    <n v="35150"/>
    <n v="35150"/>
  </r>
  <r>
    <s v="GLUTTONY"/>
    <n v="0"/>
    <s v="Big Chew"/>
    <s v="Big Chew Sugarless"/>
    <x v="2"/>
    <s v="The Seven Deadly Sins"/>
    <s v=""/>
    <x v="3"/>
    <s v="‚ÄúGLUTTONY‚Äù | Dub House"/>
    <s v="TheDubHouse_GLUTTONY_Finishing"/>
    <s v="Original"/>
    <n v="43550"/>
    <s v="firm-bid"/>
    <m/>
    <m/>
    <m/>
    <m/>
    <m/>
    <m/>
    <m/>
    <x v="2"/>
    <n v="0"/>
    <n v="39187.5"/>
    <m/>
    <m/>
  </r>
  <r>
    <s v="GLUTTONY"/>
    <n v="0"/>
    <s v="Big Chew"/>
    <s v="Big Chew Sugarless"/>
    <x v="2"/>
    <s v="The Seven Deadly Sins"/>
    <s v=""/>
    <x v="3"/>
    <s v="‚ÄúGLUTTONY‚Äù | Dub House"/>
    <s v="TheDubHouse_GLUTTONY_Finishing"/>
    <s v="Original"/>
    <n v="43550"/>
    <s v="firm-bid"/>
    <m/>
    <m/>
    <m/>
    <m/>
    <m/>
    <m/>
    <m/>
    <x v="2"/>
    <n v="0"/>
    <n v="39187.5"/>
    <m/>
    <m/>
  </r>
  <r>
    <s v="GLUTTONY"/>
    <n v="1"/>
    <s v="Big Chew"/>
    <s v="Big Chew Sugarless"/>
    <x v="2"/>
    <s v="The Seven Deadly Sins"/>
    <s v="Myrtle Row Editorial"/>
    <x v="1"/>
    <s v="GLUTTONY"/>
    <s v="MyrtleRow_GLUTTONY_Edit"/>
    <s v="Original"/>
    <n v="131994.79999999999"/>
    <s v="firm-bid"/>
    <n v="92026.783330000006"/>
    <m/>
    <m/>
    <m/>
    <m/>
    <m/>
    <n v="1"/>
    <x v="2"/>
    <n v="0"/>
    <n v="92026.783334999986"/>
    <n v="131994.79999999999"/>
    <n v="131994.79999999999"/>
  </r>
  <r>
    <s v="GLUTTONY"/>
    <n v="0"/>
    <s v="Big Chew"/>
    <s v="Big Chew Sugarless"/>
    <x v="2"/>
    <s v="The Seven Deadly Sins"/>
    <s v=""/>
    <x v="1"/>
    <s v="Gluttony"/>
    <s v="TheCloset_GLUTTONY_Edit"/>
    <s v="Original"/>
    <n v="52058.766669999997"/>
    <s v="firm-bid"/>
    <m/>
    <m/>
    <m/>
    <m/>
    <m/>
    <n v="1"/>
    <n v="1"/>
    <x v="2"/>
    <n v="0"/>
    <n v="92026.783334999986"/>
    <m/>
    <m/>
  </r>
  <r>
    <s v="GLUTTONY"/>
    <n v="0"/>
    <s v="Big Chew"/>
    <s v="Big Chew Sugarless"/>
    <x v="2"/>
    <s v="The Seven Deadly Sins"/>
    <s v=""/>
    <x v="0"/>
    <s v="GLUTTONY"/>
    <s v="Club101_GLUTTONY_LiveAction"/>
    <s v="Original"/>
    <n v="814542.45"/>
    <s v="firm-bid"/>
    <m/>
    <m/>
    <m/>
    <m/>
    <m/>
    <m/>
    <m/>
    <x v="2"/>
    <n v="0"/>
    <n v="865895.91999999993"/>
    <m/>
    <m/>
  </r>
  <r>
    <s v="GLUTTONY"/>
    <n v="1"/>
    <s v="Big Chew"/>
    <s v="Big Chew Sugarless"/>
    <x v="2"/>
    <s v="The Seven Deadly Sins"/>
    <s v="Petulant Pictures"/>
    <x v="0"/>
    <s v="Gluttony"/>
    <s v="Petulant_GLUTTONY_LiveAction"/>
    <s v="Original"/>
    <n v="917249.39"/>
    <s v="firm-bid"/>
    <n v="865895.92"/>
    <m/>
    <n v="1"/>
    <m/>
    <m/>
    <m/>
    <m/>
    <x v="2"/>
    <n v="0"/>
    <n v="865895.91999999993"/>
    <n v="917249.39"/>
    <n v="917249.39"/>
  </r>
  <r>
    <s v="GLUTTONY"/>
    <n v="0"/>
    <s v="Big Chew"/>
    <s v="Big Chew Sugarless"/>
    <x v="2"/>
    <s v="The Seven Deadly Sins"/>
    <s v=""/>
    <x v="4"/>
    <s v="GLUTTONY"/>
    <s v="Club101_GLUTTONY_Covid"/>
    <s v="Original"/>
    <n v="9334.8374999999996"/>
    <s v="firm-bid"/>
    <m/>
    <m/>
    <m/>
    <m/>
    <m/>
    <m/>
    <m/>
    <x v="2"/>
    <n v="0"/>
    <n v="8224.11"/>
    <m/>
    <m/>
  </r>
  <r>
    <s v="GLUTTONY"/>
    <n v="1"/>
    <s v="Big Chew"/>
    <s v="Big Chew Sugarless"/>
    <x v="2"/>
    <s v="The Seven Deadly Sins"/>
    <s v="Petulant Pictures"/>
    <x v="4"/>
    <s v="Gluttony"/>
    <s v="Petulant_GLUTTONY_Covid"/>
    <s v="Original"/>
    <n v="7113.3824999999997"/>
    <s v="firm-bid"/>
    <n v="8224.11"/>
    <m/>
    <n v="1"/>
    <m/>
    <m/>
    <m/>
    <m/>
    <x v="2"/>
    <n v="0"/>
    <n v="8224.11"/>
    <n v="7113.3824999999997"/>
    <n v="7113.3824999999997"/>
  </r>
  <r>
    <s v="GLUTTONY"/>
    <n v="0"/>
    <s v="Big Chew"/>
    <s v="Big Chew Sugarless"/>
    <x v="2"/>
    <s v="The Seven Deadly Sins"/>
    <s v=""/>
    <x v="5"/>
    <s v="GLUTTONY"/>
    <s v="Club101_GLUTTONY_Green"/>
    <s v="Original"/>
    <n v="13335"/>
    <s v="firm-bid"/>
    <m/>
    <m/>
    <m/>
    <m/>
    <m/>
    <m/>
    <m/>
    <x v="2"/>
    <n v="0"/>
    <n v="17917.5"/>
    <m/>
    <m/>
  </r>
  <r>
    <s v="GLUTTONY"/>
    <n v="1"/>
    <s v="Big Chew"/>
    <s v="Big Chew Sugarless"/>
    <x v="2"/>
    <s v="The Seven Deadly Sins"/>
    <s v="Petulant Pictures"/>
    <x v="5"/>
    <s v="Gluttony"/>
    <s v="Petulant_GLUTTONY_Green"/>
    <s v="Original"/>
    <n v="22500"/>
    <s v="firm-bid"/>
    <n v="17917.5"/>
    <m/>
    <n v="1"/>
    <m/>
    <m/>
    <m/>
    <m/>
    <x v="2"/>
    <n v="0"/>
    <n v="17917.5"/>
    <n v="22500"/>
    <n v="22500"/>
  </r>
  <r>
    <s v="GLUTTONY"/>
    <n v="1"/>
    <s v="Big Chew"/>
    <s v="Big Chew Sugarless"/>
    <x v="2"/>
    <s v="The Seven Deadly Sins"/>
    <s v="Interstate"/>
    <x v="6"/>
    <s v="GLUTTONY"/>
    <s v="Interstate_GLUTTONY_Retouching"/>
    <s v="Original"/>
    <n v="46350"/>
    <s v="firm-bid"/>
    <n v="46475"/>
    <m/>
    <m/>
    <m/>
    <m/>
    <n v="1"/>
    <m/>
    <x v="2"/>
    <n v="0"/>
    <n v="46475"/>
    <n v="46350"/>
    <n v="46350"/>
  </r>
  <r>
    <s v="GLUTTONY"/>
    <n v="0"/>
    <s v="Big Chew"/>
    <s v="Big Chew Sugarless"/>
    <x v="2"/>
    <s v="The Seven Deadly Sins"/>
    <s v=""/>
    <x v="6"/>
    <s v="&quot;GLUTTONY&quot; Stills - Furrier"/>
    <s v="Furrier_GLUTTONY_Retouching"/>
    <s v="Original"/>
    <n v="46600"/>
    <s v="firm-bid"/>
    <m/>
    <n v="1"/>
    <m/>
    <m/>
    <m/>
    <m/>
    <m/>
    <x v="57"/>
    <n v="0"/>
    <n v="46475"/>
    <m/>
    <m/>
  </r>
  <r>
    <s v="Suspicion"/>
    <n v="0"/>
    <s v="Giggles"/>
    <s v="Poppers"/>
    <x v="3"/>
    <s v="Cry Fighters"/>
    <s v=""/>
    <x v="2"/>
    <s v="Audio Labs &quot;Suspicion&quot;"/>
    <s v="Audio_103"/>
    <s v="Original"/>
    <n v="27510"/>
    <s v="firm-bid"/>
    <m/>
    <m/>
    <m/>
    <m/>
    <m/>
    <m/>
    <m/>
    <x v="2"/>
    <n v="0"/>
    <n v="28400"/>
    <m/>
    <m/>
  </r>
  <r>
    <s v="Suspicion"/>
    <n v="1"/>
    <s v="Giggles"/>
    <s v="Poppers"/>
    <x v="3"/>
    <s v="Cry Fighters"/>
    <s v="Earwax"/>
    <x v="2"/>
    <s v="Earwax"/>
    <s v="Earwax"/>
    <s v="Original"/>
    <n v="29290"/>
    <s v="firm-bid"/>
    <n v="28400"/>
    <m/>
    <m/>
    <m/>
    <m/>
    <m/>
    <m/>
    <x v="2"/>
    <n v="0"/>
    <n v="28400"/>
    <n v="29290"/>
    <n v="29290"/>
  </r>
  <r>
    <s v="Suspicion"/>
    <n v="0"/>
    <s v="Giggles"/>
    <s v="Poppers"/>
    <x v="3"/>
    <s v="Cry Fighters"/>
    <s v=""/>
    <x v="9"/>
    <s v="&quot;Suspicion&quot; by CJ #2"/>
    <s v="CalamityJane_Suspicion_VFX"/>
    <s v="Original"/>
    <n v="118137.5"/>
    <s v="firm-bid"/>
    <m/>
    <m/>
    <m/>
    <m/>
    <m/>
    <n v="1"/>
    <m/>
    <x v="2"/>
    <n v="0"/>
    <n v="98628.833333333328"/>
    <m/>
    <m/>
  </r>
  <r>
    <s v="Suspicion"/>
    <n v="0"/>
    <s v="Giggles"/>
    <s v="Poppers"/>
    <x v="3"/>
    <s v="Cry Fighters"/>
    <s v=""/>
    <x v="9"/>
    <s v="Suspicion"/>
    <s v="TheAlliance_Suspicion_VFX"/>
    <s v="Original"/>
    <n v="75952.5"/>
    <s v="firm-bid"/>
    <m/>
    <m/>
    <m/>
    <m/>
    <m/>
    <m/>
    <m/>
    <x v="2"/>
    <n v="0"/>
    <n v="98628.833333333328"/>
    <m/>
    <m/>
  </r>
  <r>
    <s v="Suspicion"/>
    <n v="1"/>
    <s v="Giggles"/>
    <s v="Poppers"/>
    <x v="3"/>
    <s v="Cry Fighters"/>
    <s v="Edith Mayer Co"/>
    <x v="9"/>
    <s v="Edith Mayer ‚ÄúCRY FIGHTERS/Suspicion‚Äù v2"/>
    <s v="EdithMayerCo_Suspicion_VFX"/>
    <s v="Original"/>
    <n v="101796.5"/>
    <s v="firm-bid"/>
    <n v="98628.833329999994"/>
    <m/>
    <m/>
    <m/>
    <m/>
    <m/>
    <m/>
    <x v="2"/>
    <n v="0"/>
    <n v="98628.833333333328"/>
    <n v="101796.5"/>
    <n v="101796.5"/>
  </r>
  <r>
    <s v="Suspicion"/>
    <n v="0"/>
    <s v="Giggles"/>
    <s v="Poppers"/>
    <x v="3"/>
    <s v="Cry Fighters"/>
    <s v=""/>
    <x v="3"/>
    <s v="‚ÄúSuspicion‚Äù - POI"/>
    <s v="PersonsofInterest_Suspicion_Finishing"/>
    <s v="Original"/>
    <n v="31800"/>
    <s v="firm-bid"/>
    <m/>
    <m/>
    <m/>
    <m/>
    <m/>
    <m/>
    <m/>
    <x v="2"/>
    <n v="0"/>
    <n v="38150"/>
    <m/>
    <m/>
  </r>
  <r>
    <s v="Suspicion"/>
    <n v="0"/>
    <s v="Giggles"/>
    <s v="Poppers"/>
    <x v="3"/>
    <s v="Cry Fighters"/>
    <s v=""/>
    <x v="3"/>
    <s v="&quot;Suspicion&quot;"/>
    <s v="AndiamoImages_Suspicion_Finishing"/>
    <s v="Original"/>
    <n v="17250"/>
    <s v="firm-bid"/>
    <m/>
    <m/>
    <m/>
    <m/>
    <m/>
    <n v="1"/>
    <m/>
    <x v="2"/>
    <n v="0"/>
    <n v="38150"/>
    <m/>
    <m/>
  </r>
  <r>
    <s v="Suspicion"/>
    <n v="1"/>
    <s v="Giggles"/>
    <s v="Poppers"/>
    <x v="3"/>
    <s v="Cry Fighters"/>
    <s v="Evan Bander LLC"/>
    <x v="3"/>
    <s v="EB &quot;Suspicion&quot;"/>
    <s v="EvanBanderLLC_Suspicion_Finishing"/>
    <s v="Original"/>
    <n v="65400"/>
    <s v="firm-bid"/>
    <n v="38150"/>
    <m/>
    <m/>
    <m/>
    <n v="1"/>
    <m/>
    <n v="1"/>
    <x v="2"/>
    <n v="0"/>
    <n v="38150"/>
    <n v="65400"/>
    <n v="65400"/>
  </r>
  <r>
    <s v="Suspicion"/>
    <n v="0"/>
    <s v="Giggles"/>
    <s v="Poppers"/>
    <x v="3"/>
    <s v="Cry Fighters"/>
    <s v=""/>
    <x v="1"/>
    <s v="Suspicion"/>
    <s v="Fightclub_Suspicion_Edit"/>
    <s v="Original"/>
    <n v="160661.6667"/>
    <s v="firm-bid"/>
    <m/>
    <m/>
    <m/>
    <m/>
    <n v="1"/>
    <m/>
    <m/>
    <x v="2"/>
    <n v="0"/>
    <n v="127133.82501"/>
    <m/>
    <m/>
  </r>
  <r>
    <s v="Suspicion"/>
    <n v="0"/>
    <s v="Giggles"/>
    <s v="Poppers"/>
    <x v="3"/>
    <s v="Cry Fighters"/>
    <s v=""/>
    <x v="1"/>
    <s v="Suspicion"/>
    <s v="MyrtleRow_Suspicion_Edit"/>
    <s v="Original"/>
    <n v="124164.6"/>
    <s v="firm-bid"/>
    <m/>
    <m/>
    <m/>
    <m/>
    <m/>
    <m/>
    <n v="1"/>
    <x v="2"/>
    <n v="0"/>
    <n v="127133.82501"/>
    <m/>
    <m/>
  </r>
  <r>
    <s v="Suspicion"/>
    <n v="1"/>
    <s v="Giggles"/>
    <s v="Poppers"/>
    <x v="3"/>
    <s v="Cry Fighters"/>
    <s v="Toto"/>
    <x v="1"/>
    <s v="Suspicion"/>
    <s v="ToTo_Suspicion_Edit"/>
    <s v="Original"/>
    <n v="96575.208329999994"/>
    <s v="firm-bid"/>
    <n v="127133.825"/>
    <m/>
    <m/>
    <m/>
    <m/>
    <m/>
    <m/>
    <x v="2"/>
    <n v="0"/>
    <n v="127133.82501"/>
    <n v="96575.208329999994"/>
    <n v="96575.208329999994"/>
  </r>
  <r>
    <s v="Suspicion"/>
    <n v="0"/>
    <s v="Giggles"/>
    <s v="Poppers"/>
    <x v="3"/>
    <s v="Cry Fighters"/>
    <s v=""/>
    <x v="5"/>
    <s v="Suspicion"/>
    <s v="Petulant_Suspicion_Green"/>
    <s v="Original"/>
    <n v="16380"/>
    <s v="firm-bid"/>
    <m/>
    <m/>
    <n v="1"/>
    <m/>
    <m/>
    <m/>
    <m/>
    <x v="2"/>
    <n v="0"/>
    <n v="12223"/>
    <m/>
    <m/>
  </r>
  <r>
    <s v="Suspicion"/>
    <n v="1"/>
    <s v="Giggles"/>
    <s v="Poppers"/>
    <x v="3"/>
    <s v="Cry Fighters"/>
    <s v="Level 12 Shooters Inc"/>
    <x v="5"/>
    <s v="Suspicion"/>
    <s v="Level12_Suspicion_Green"/>
    <s v="Original"/>
    <n v="9625"/>
    <s v="firm-bid"/>
    <n v="12223"/>
    <m/>
    <m/>
    <m/>
    <m/>
    <m/>
    <m/>
    <x v="2"/>
    <n v="0"/>
    <n v="12223"/>
    <n v="9625"/>
    <n v="9625"/>
  </r>
  <r>
    <s v="Suspicion"/>
    <n v="0"/>
    <s v="Giggles"/>
    <s v="Poppers"/>
    <x v="3"/>
    <s v="Cry Fighters"/>
    <s v=""/>
    <x v="5"/>
    <s v="Suspicion"/>
    <s v="harmony_and_Light_Suspicion_Green"/>
    <s v="Original"/>
    <n v="10664"/>
    <s v="firm-bid"/>
    <m/>
    <m/>
    <m/>
    <m/>
    <m/>
    <m/>
    <m/>
    <x v="2"/>
    <n v="0"/>
    <n v="12223"/>
    <m/>
    <m/>
  </r>
  <r>
    <s v="Suspicion"/>
    <n v="0"/>
    <s v="Giggles"/>
    <s v="Poppers"/>
    <x v="3"/>
    <s v="Cry Fighters"/>
    <s v=""/>
    <x v="4"/>
    <s v="Suspicion"/>
    <s v="Petulant_Suspicion_Covid"/>
    <s v="Original"/>
    <n v="12036.82"/>
    <s v="firm-bid"/>
    <m/>
    <m/>
    <n v="1"/>
    <m/>
    <m/>
    <m/>
    <m/>
    <x v="2"/>
    <n v="0"/>
    <n v="11025.874166666666"/>
    <m/>
    <m/>
  </r>
  <r>
    <s v="Suspicion"/>
    <n v="1"/>
    <s v="Giggles"/>
    <s v="Poppers"/>
    <x v="3"/>
    <s v="Cry Fighters"/>
    <s v="Level 12 Shooters Inc"/>
    <x v="4"/>
    <s v="Suspicion"/>
    <s v="Level12_Suspicion_Covid"/>
    <s v="Original"/>
    <n v="11824.127500000001"/>
    <s v="firm-bid"/>
    <n v="11025.874169999999"/>
    <m/>
    <m/>
    <m/>
    <m/>
    <m/>
    <m/>
    <x v="2"/>
    <n v="0"/>
    <n v="11025.874166666666"/>
    <n v="11824.127500000001"/>
    <n v="11824.127500000001"/>
  </r>
  <r>
    <s v="Suspicion"/>
    <n v="0"/>
    <s v="Giggles"/>
    <s v="Poppers"/>
    <x v="3"/>
    <s v="Cry Fighters"/>
    <s v=""/>
    <x v="4"/>
    <s v="Suspicion"/>
    <s v="harmony_and_Light_Suspicion_Covid"/>
    <s v="Original"/>
    <n v="9216.6749999999993"/>
    <s v="firm-bid"/>
    <m/>
    <m/>
    <m/>
    <m/>
    <m/>
    <m/>
    <m/>
    <x v="2"/>
    <n v="0"/>
    <n v="11025.874166666666"/>
    <m/>
    <m/>
  </r>
  <r>
    <s v="Suspicion"/>
    <n v="0"/>
    <s v="Giggles"/>
    <s v="Poppers"/>
    <x v="3"/>
    <s v="Cry Fighters"/>
    <s v=""/>
    <x v="0"/>
    <s v="Suspicion"/>
    <s v="Petulant_Suspicion_LiveAction"/>
    <s v="Original"/>
    <n v="727670.19180000003"/>
    <s v="firm-bid"/>
    <m/>
    <m/>
    <n v="1"/>
    <m/>
    <m/>
    <m/>
    <m/>
    <x v="2"/>
    <n v="0"/>
    <n v="723920.4031"/>
    <m/>
    <m/>
  </r>
  <r>
    <s v="Suspicion"/>
    <n v="1"/>
    <s v="Giggles"/>
    <s v="Poppers"/>
    <x v="3"/>
    <s v="Cry Fighters"/>
    <s v="Level 12 Shooters Inc"/>
    <x v="0"/>
    <s v="Suspicion"/>
    <s v="Level12_Suspicion_LiveAction"/>
    <s v="Original"/>
    <n v="798377.58"/>
    <s v="firm-bid"/>
    <n v="723920.4031"/>
    <m/>
    <m/>
    <m/>
    <m/>
    <m/>
    <m/>
    <x v="2"/>
    <n v="0"/>
    <n v="723920.4031"/>
    <n v="798377.58"/>
    <n v="798377.58"/>
  </r>
  <r>
    <s v="Suspicion"/>
    <n v="0"/>
    <s v="Giggles"/>
    <s v="Poppers"/>
    <x v="3"/>
    <s v="Cry Fighters"/>
    <s v=""/>
    <x v="0"/>
    <s v="Suspicion"/>
    <s v="harmony_and_Light_Suspicion_LiveAction"/>
    <s v="Original"/>
    <n v="645713.4375"/>
    <s v="firm-bid"/>
    <m/>
    <m/>
    <m/>
    <m/>
    <m/>
    <m/>
    <m/>
    <x v="2"/>
    <n v="0"/>
    <n v="723920.4031"/>
    <m/>
    <m/>
  </r>
  <r>
    <s v="You Suck!"/>
    <n v="0"/>
    <s v="Giggles"/>
    <s v="Sour Giggles"/>
    <x v="3"/>
    <s v="Kidding (not kidding)"/>
    <s v=""/>
    <x v="2"/>
    <s v="FunnyRabbit"/>
    <s v="FunnyRabbit"/>
    <s v="Original"/>
    <n v="44140"/>
    <s v="firm-bid"/>
    <m/>
    <m/>
    <n v="1"/>
    <n v="1"/>
    <n v="1"/>
    <n v="1"/>
    <m/>
    <x v="2"/>
    <n v="0"/>
    <n v="33080"/>
    <m/>
    <m/>
  </r>
  <r>
    <s v="You Suck!"/>
    <n v="1"/>
    <s v="Giggles"/>
    <s v="Sour Giggles"/>
    <x v="3"/>
    <s v="Kidding (not kidding)"/>
    <s v="Arsonist Post"/>
    <x v="2"/>
    <s v="Arsonist&quot;You Suck!&quot;"/>
    <s v="Arsonist"/>
    <s v="Original"/>
    <n v="36360"/>
    <s v="firm-bid"/>
    <n v="33080"/>
    <m/>
    <m/>
    <m/>
    <m/>
    <m/>
    <m/>
    <x v="2"/>
    <n v="0"/>
    <n v="33080"/>
    <n v="36360"/>
    <n v="36360"/>
  </r>
  <r>
    <s v="You Suck!"/>
    <n v="0"/>
    <s v="Giggles"/>
    <s v="Sour Giggles"/>
    <x v="3"/>
    <s v="Kidding (not kidding)"/>
    <s v=""/>
    <x v="2"/>
    <s v="Special Oaks&quot;You Suck!&quot;"/>
    <s v="Special Oaks"/>
    <s v="Original"/>
    <n v="18740"/>
    <s v="firm-bid"/>
    <m/>
    <n v="1"/>
    <n v="1"/>
    <m/>
    <n v="1"/>
    <m/>
    <m/>
    <x v="58"/>
    <n v="0"/>
    <n v="33080"/>
    <m/>
    <m/>
  </r>
  <r>
    <s v="You Suck!"/>
    <n v="0"/>
    <s v="Giggles"/>
    <s v="Sour Giggles"/>
    <x v="3"/>
    <s v="Kidding (not kidding)"/>
    <s v=""/>
    <x v="0"/>
    <s v="You Suck!"/>
    <s v="TestFlight_YouSuck_LiveAction"/>
    <s v="Original"/>
    <n v="923882.24"/>
    <s v="firm-bid"/>
    <m/>
    <m/>
    <n v="1"/>
    <m/>
    <m/>
    <m/>
    <n v="1"/>
    <x v="2"/>
    <n v="0"/>
    <n v="884250.9711666666"/>
    <m/>
    <m/>
  </r>
  <r>
    <s v="You Suck!"/>
    <n v="1"/>
    <s v="Giggles"/>
    <s v="Sour Giggles"/>
    <x v="3"/>
    <s v="Kidding (not kidding)"/>
    <s v="Level 12 Shooters Inc"/>
    <x v="0"/>
    <s v="You Suck!"/>
    <s v="Level12_YouSuck_LiveAction"/>
    <s v="Original"/>
    <n v="955820.34"/>
    <s v="firm-bid"/>
    <n v="884250.97120000003"/>
    <m/>
    <m/>
    <m/>
    <m/>
    <m/>
    <m/>
    <x v="2"/>
    <n v="0"/>
    <n v="884250.9711666666"/>
    <n v="955820.34"/>
    <n v="955820.34"/>
  </r>
  <r>
    <s v="You Suck!"/>
    <n v="0"/>
    <s v="Giggles"/>
    <s v="Sour Giggles"/>
    <x v="3"/>
    <s v="Kidding (not kidding)"/>
    <s v=""/>
    <x v="0"/>
    <s v="You Suck!"/>
    <s v="Club101_YouSuck_LiveAction"/>
    <s v="Original"/>
    <n v="773050.33349999995"/>
    <s v="firm-bid"/>
    <m/>
    <m/>
    <m/>
    <m/>
    <m/>
    <m/>
    <m/>
    <x v="2"/>
    <n v="0"/>
    <n v="884250.9711666666"/>
    <m/>
    <m/>
  </r>
  <r>
    <s v="You Suck!"/>
    <n v="0"/>
    <s v="Giggles"/>
    <s v="Sour Giggles"/>
    <x v="3"/>
    <s v="Kidding (not kidding)"/>
    <s v=""/>
    <x v="4"/>
    <s v="You Suck!"/>
    <s v="TestFlight_YouSuck_Covid"/>
    <s v="Original"/>
    <n v="8578.5974999999999"/>
    <s v="firm-bid"/>
    <m/>
    <m/>
    <n v="1"/>
    <m/>
    <m/>
    <m/>
    <n v="1"/>
    <x v="2"/>
    <n v="0"/>
    <n v="6467.4274999999998"/>
    <m/>
    <m/>
  </r>
  <r>
    <s v="You Suck!"/>
    <n v="1"/>
    <s v="Giggles"/>
    <s v="Sour Giggles"/>
    <x v="3"/>
    <s v="Kidding (not kidding)"/>
    <s v="Level 12 Shooters Inc"/>
    <x v="4"/>
    <s v="You Suck!"/>
    <s v="Level12_YouSuck_Covid"/>
    <s v="Original"/>
    <n v="8255.6200000000008"/>
    <s v="firm-bid"/>
    <n v="6467.4274999999998"/>
    <m/>
    <m/>
    <m/>
    <m/>
    <m/>
    <m/>
    <x v="2"/>
    <n v="0"/>
    <n v="6467.4274999999998"/>
    <n v="8255.6200000000008"/>
    <n v="8255.6200000000008"/>
  </r>
  <r>
    <s v="You Suck!"/>
    <n v="0"/>
    <s v="Giggles"/>
    <s v="Sour Giggles"/>
    <x v="3"/>
    <s v="Kidding (not kidding)"/>
    <s v=""/>
    <x v="4"/>
    <s v="You Suck!"/>
    <s v="Club101_YouSuck_Covid"/>
    <s v="Original"/>
    <n v="2568.0650000000001"/>
    <s v="firm-bid"/>
    <m/>
    <m/>
    <m/>
    <m/>
    <m/>
    <m/>
    <m/>
    <x v="2"/>
    <n v="0"/>
    <n v="6467.4274999999998"/>
    <m/>
    <m/>
  </r>
  <r>
    <s v="You Suck!"/>
    <n v="0"/>
    <s v="Giggles"/>
    <s v="Sour Giggles"/>
    <x v="3"/>
    <s v="Kidding (not kidding)"/>
    <s v=""/>
    <x v="5"/>
    <s v="You Suck!"/>
    <s v="TestFlight_YouSuck_Green"/>
    <s v="Original"/>
    <n v="9198"/>
    <s v="firm-bid"/>
    <m/>
    <m/>
    <n v="1"/>
    <m/>
    <m/>
    <m/>
    <n v="1"/>
    <x v="2"/>
    <n v="0"/>
    <n v="9930"/>
    <m/>
    <m/>
  </r>
  <r>
    <s v="You Suck!"/>
    <n v="1"/>
    <s v="Giggles"/>
    <s v="Sour Giggles"/>
    <x v="3"/>
    <s v="Kidding (not kidding)"/>
    <s v="Level 12 Shooters Inc"/>
    <x v="5"/>
    <s v="You Suck!"/>
    <s v="Level12_YouSuck_Green"/>
    <s v="Original"/>
    <n v="11592"/>
    <s v="firm-bid"/>
    <n v="9930"/>
    <m/>
    <m/>
    <m/>
    <m/>
    <m/>
    <m/>
    <x v="2"/>
    <n v="0"/>
    <n v="9930"/>
    <n v="11592"/>
    <n v="11592"/>
  </r>
  <r>
    <s v="You Suck!"/>
    <n v="0"/>
    <s v="Giggles"/>
    <s v="Sour Giggles"/>
    <x v="3"/>
    <s v="Kidding (not kidding)"/>
    <s v=""/>
    <x v="5"/>
    <s v="You Suck!"/>
    <s v="Club101_YouSuck_Green"/>
    <s v="Original"/>
    <n v="9000"/>
    <s v="firm-bid"/>
    <m/>
    <m/>
    <m/>
    <m/>
    <m/>
    <m/>
    <m/>
    <x v="2"/>
    <n v="0"/>
    <n v="9930"/>
    <m/>
    <m/>
  </r>
  <r>
    <s v="You Suck!"/>
    <n v="1"/>
    <s v="Giggles"/>
    <s v="Sour Giggles"/>
    <x v="3"/>
    <s v="Kidding (not kidding)"/>
    <s v="Toto"/>
    <x v="1"/>
    <s v="You Suck"/>
    <s v="ToTo_YouSuck_Edit"/>
    <s v="Original"/>
    <n v="120548.3417"/>
    <s v="firm-bid"/>
    <n v="135828.56390000001"/>
    <m/>
    <m/>
    <m/>
    <n v="1"/>
    <m/>
    <m/>
    <x v="2"/>
    <n v="0"/>
    <n v="135828.56390000001"/>
    <n v="120548.3417"/>
    <n v="120548.3417"/>
  </r>
  <r>
    <s v="You Suck!"/>
    <n v="0"/>
    <s v="Giggles"/>
    <s v="Sour Giggles"/>
    <x v="3"/>
    <s v="Kidding (not kidding)"/>
    <s v=""/>
    <x v="1"/>
    <s v="You Suck!"/>
    <s v="TheCloset_YouSuck_Edit"/>
    <s v="Original"/>
    <n v="124425.0583"/>
    <s v="firm-bid"/>
    <m/>
    <m/>
    <m/>
    <m/>
    <m/>
    <n v="1"/>
    <n v="1"/>
    <x v="2"/>
    <n v="0"/>
    <n v="135828.56390000001"/>
    <m/>
    <m/>
  </r>
  <r>
    <s v="You Suck!"/>
    <n v="0"/>
    <s v="Giggles"/>
    <s v="Sour Giggles"/>
    <x v="3"/>
    <s v="Kidding (not kidding)"/>
    <s v=""/>
    <x v="1"/>
    <s v="Sour Giggles / You Suck sse"/>
    <s v="SaksStreetEdit_YouSuck_Edit"/>
    <s v="Original"/>
    <n v="162512.2917"/>
    <s v="firm-bid"/>
    <m/>
    <m/>
    <m/>
    <m/>
    <m/>
    <m/>
    <n v="1"/>
    <x v="2"/>
    <n v="0"/>
    <n v="135828.56390000001"/>
    <m/>
    <m/>
  </r>
  <r>
    <s v="You Suck!"/>
    <n v="1"/>
    <s v="Giggles"/>
    <s v="Sour Giggles"/>
    <x v="3"/>
    <s v="Kidding (not kidding)"/>
    <s v="Andiamo Images"/>
    <x v="3"/>
    <s v="&quot;YS&quot;"/>
    <s v="AndiamoImages_YouSuck_Finishing"/>
    <s v="Original"/>
    <n v="22550"/>
    <s v="firm-bid"/>
    <n v="21600"/>
    <m/>
    <m/>
    <m/>
    <m/>
    <n v="1"/>
    <m/>
    <x v="2"/>
    <n v="0"/>
    <n v="21600"/>
    <n v="22550"/>
    <n v="22550"/>
  </r>
  <r>
    <s v="You Suck!"/>
    <n v="0"/>
    <s v="Giggles"/>
    <s v="Sour Giggles"/>
    <x v="3"/>
    <s v="Kidding (not kidding)"/>
    <s v=""/>
    <x v="3"/>
    <s v="‚ÄúYou Suck!‚Äù | Dub House"/>
    <s v="TheDubHouse_YouSuck_Finishing"/>
    <s v="Original"/>
    <n v="20650"/>
    <s v="firm-bid"/>
    <m/>
    <m/>
    <m/>
    <m/>
    <m/>
    <m/>
    <m/>
    <x v="2"/>
    <n v="0"/>
    <n v="21600"/>
    <m/>
    <m/>
  </r>
  <r>
    <s v="You Suck!"/>
    <n v="1"/>
    <s v="Giggles"/>
    <s v="Sour Giggles"/>
    <x v="3"/>
    <s v="Kidding (not kidding)"/>
    <s v="Furrier"/>
    <x v="7"/>
    <s v="&quot;You Suck!&quot; Stills - Furrier¬†"/>
    <s v="Furrier_YouSuck_Stills"/>
    <s v="Original"/>
    <n v="187823.6317"/>
    <s v="firm-bid"/>
    <n v="151739.2697"/>
    <n v="1"/>
    <m/>
    <m/>
    <m/>
    <m/>
    <m/>
    <x v="59"/>
    <n v="187823.6317"/>
    <n v="151739.2697"/>
    <n v="187823.6317"/>
    <n v="187823.6317"/>
  </r>
  <r>
    <s v="You Suck!"/>
    <n v="0"/>
    <s v="Giggles"/>
    <s v="Sour Giggles"/>
    <x v="3"/>
    <s v="Kidding (not kidding)"/>
    <s v=""/>
    <x v="7"/>
    <s v="You Suck!"/>
    <s v="Interstate_YouSuck_Stills"/>
    <s v="Original"/>
    <n v="115654.9077"/>
    <s v="firm-bid"/>
    <m/>
    <m/>
    <m/>
    <m/>
    <m/>
    <n v="1"/>
    <m/>
    <x v="2"/>
    <n v="0"/>
    <n v="151739.2697"/>
    <m/>
    <m/>
  </r>
  <r>
    <s v="You Suck!"/>
    <n v="1"/>
    <s v="Giggles"/>
    <s v="Sour Giggles"/>
    <x v="3"/>
    <s v="Kidding (not kidding)"/>
    <s v="Furrier"/>
    <x v="6"/>
    <s v="&quot;You Suck!&quot; Stills - Furrier¬†"/>
    <s v="Furrier_YouSuck_Retouching"/>
    <s v="Original"/>
    <n v="12500"/>
    <s v="firm-bid"/>
    <n v="26250"/>
    <n v="1"/>
    <m/>
    <m/>
    <m/>
    <m/>
    <m/>
    <x v="60"/>
    <n v="12500"/>
    <n v="26250"/>
    <n v="12500"/>
    <n v="12500"/>
  </r>
  <r>
    <s v="You Suck!"/>
    <n v="0"/>
    <s v="Giggles"/>
    <s v="Sour Giggles"/>
    <x v="3"/>
    <s v="Kidding (not kidding)"/>
    <s v=""/>
    <x v="6"/>
    <s v="You Suck!"/>
    <s v="Interstate_YouSuck_Retouching"/>
    <s v="Original"/>
    <n v="40000"/>
    <s v="firm-bid"/>
    <m/>
    <m/>
    <m/>
    <m/>
    <m/>
    <n v="1"/>
    <m/>
    <x v="2"/>
    <n v="0"/>
    <n v="26250"/>
    <m/>
    <m/>
  </r>
  <r>
    <s v="Funeral"/>
    <n v="0"/>
    <s v="Huffman's"/>
    <s v="Waffle Chips"/>
    <x v="2"/>
    <s v="Louder"/>
    <s v=""/>
    <x v="2"/>
    <s v="Arsonist&quot;Funeral&quot;"/>
    <s v="Arsonist"/>
    <s v="Original"/>
    <n v="21840"/>
    <s v="firm-bid"/>
    <m/>
    <m/>
    <m/>
    <n v="1"/>
    <m/>
    <m/>
    <m/>
    <x v="2"/>
    <n v="0"/>
    <n v="37666.666666666664"/>
    <m/>
    <m/>
  </r>
  <r>
    <s v="Funeral"/>
    <n v="0"/>
    <s v="Huffman's"/>
    <s v="Waffle Chips"/>
    <x v="2"/>
    <s v="Louder"/>
    <s v=""/>
    <x v="2"/>
    <s v="Special Oaks &quot;Funeral&quot;"/>
    <s v="Special Oaks"/>
    <s v="Original"/>
    <n v="23630"/>
    <s v="firm-bid"/>
    <m/>
    <m/>
    <m/>
    <n v="1"/>
    <m/>
    <n v="1"/>
    <n v="1"/>
    <x v="2"/>
    <n v="0"/>
    <n v="37666.666666666664"/>
    <m/>
    <m/>
  </r>
  <r>
    <s v="Funeral"/>
    <n v="1"/>
    <s v="Huffman's"/>
    <s v="Waffle Chips"/>
    <x v="2"/>
    <s v="Louder"/>
    <s v="Earwax"/>
    <x v="2"/>
    <s v="Earwax&quot;Funeral&quot;"/>
    <s v="Earwax"/>
    <s v="Original"/>
    <n v="67530"/>
    <s v="firm-bid"/>
    <n v="37666.666669999999"/>
    <m/>
    <m/>
    <m/>
    <m/>
    <m/>
    <m/>
    <x v="2"/>
    <n v="0"/>
    <n v="37666.666666666664"/>
    <n v="67530"/>
    <n v="67530"/>
  </r>
  <r>
    <s v="Funeral"/>
    <n v="1"/>
    <s v="Huffman's"/>
    <s v="Waffle Chips"/>
    <x v="2"/>
    <s v="Louder"/>
    <s v="CHAW Creative"/>
    <x v="6"/>
    <s v="FUNERAL"/>
    <s v="CHAW_Funeral_Retouching"/>
    <s v="Original"/>
    <n v="40100"/>
    <s v="firm-bid"/>
    <n v="39225"/>
    <m/>
    <m/>
    <m/>
    <m/>
    <m/>
    <n v="1"/>
    <x v="2"/>
    <n v="0"/>
    <n v="39225"/>
    <n v="40100"/>
    <n v="40100"/>
  </r>
  <r>
    <s v="Funeral"/>
    <n v="0"/>
    <s v="Huffman's"/>
    <s v="Waffle Chips"/>
    <x v="2"/>
    <s v="Louder"/>
    <s v=""/>
    <x v="6"/>
    <s v="Funeral"/>
    <s v="Interstate_Funeral_Retouching"/>
    <s v="Original"/>
    <n v="38350"/>
    <s v="firm-bid"/>
    <m/>
    <m/>
    <m/>
    <m/>
    <m/>
    <n v="1"/>
    <m/>
    <x v="2"/>
    <n v="0"/>
    <n v="39225"/>
    <m/>
    <m/>
  </r>
  <r>
    <s v="Funeral"/>
    <n v="1"/>
    <s v="Huffman's"/>
    <s v="Waffle Chips"/>
    <x v="2"/>
    <s v="Louder"/>
    <s v="CHAW Creative"/>
    <x v="7"/>
    <s v="FUNERAL"/>
    <s v="CHAW_Funeral_Stills"/>
    <s v="Original"/>
    <n v="151817.5208"/>
    <s v="firm-bid"/>
    <n v="142410.3443"/>
    <m/>
    <m/>
    <m/>
    <m/>
    <m/>
    <n v="1"/>
    <x v="2"/>
    <n v="0"/>
    <n v="142410.3443"/>
    <n v="151817.5208"/>
    <n v="151817.5208"/>
  </r>
  <r>
    <s v="Funeral"/>
    <n v="0"/>
    <s v="Huffman's"/>
    <s v="Waffle Chips"/>
    <x v="2"/>
    <s v="Louder"/>
    <s v=""/>
    <x v="7"/>
    <s v="Funeral"/>
    <s v="Interstate_Funeral_Stills"/>
    <s v="Original"/>
    <n v="133003.1678"/>
    <s v="firm-bid"/>
    <m/>
    <m/>
    <m/>
    <m/>
    <m/>
    <n v="1"/>
    <m/>
    <x v="2"/>
    <n v="0"/>
    <n v="142410.3443"/>
    <m/>
    <m/>
  </r>
  <r>
    <s v="Funeral"/>
    <n v="1"/>
    <s v="Huffman's"/>
    <s v="Waffle Chips"/>
    <x v="2"/>
    <s v="Louder"/>
    <s v="Tone &amp; Logic"/>
    <x v="8"/>
    <s v="T+L for ‚ÄúHuffman's - The Funeral&quot;"/>
    <s v="ToneandLogic_Funeral_Music"/>
    <s v="Original"/>
    <n v="40800"/>
    <s v="firm-bid"/>
    <n v="30116.666669999999"/>
    <m/>
    <m/>
    <m/>
    <m/>
    <m/>
    <n v="1"/>
    <x v="2"/>
    <n v="0"/>
    <n v="30116.666666666664"/>
    <n v="40800"/>
    <n v="40800"/>
  </r>
  <r>
    <s v="Funeral"/>
    <n v="0"/>
    <s v="Huffman's"/>
    <s v="Waffle Chips"/>
    <x v="2"/>
    <s v="Louder"/>
    <s v=""/>
    <x v="8"/>
    <s v="Love Language &quot;Funeral&quot;"/>
    <s v="LoveLanguage_Funeral_Music"/>
    <s v="Original"/>
    <n v="22400"/>
    <s v="firm-bid"/>
    <m/>
    <m/>
    <m/>
    <m/>
    <m/>
    <m/>
    <m/>
    <x v="2"/>
    <n v="0"/>
    <n v="30116.666666666664"/>
    <m/>
    <m/>
  </r>
  <r>
    <s v="Funeral"/>
    <n v="0"/>
    <s v="Huffman's"/>
    <s v="Waffle Chips"/>
    <x v="2"/>
    <s v="Louder"/>
    <s v=""/>
    <x v="8"/>
    <s v="Frequency Presentation for &quot;The Funeral&quot; (Bluesy Version)"/>
    <s v="Frequency_Funeral_Music"/>
    <s v="Original"/>
    <n v="27150"/>
    <s v="firm-bid"/>
    <m/>
    <m/>
    <m/>
    <m/>
    <m/>
    <m/>
    <m/>
    <x v="2"/>
    <n v="0"/>
    <n v="30116.666666666664"/>
    <m/>
    <m/>
  </r>
  <r>
    <s v="Funeral"/>
    <n v="0"/>
    <s v="Huffman's"/>
    <s v="Waffle Chips"/>
    <x v="2"/>
    <s v="Louder"/>
    <s v=""/>
    <x v="3"/>
    <s v="‚ÄúFuneral ‚Äù | Dub House"/>
    <s v="TheDubHouse_Funeral_Finishing"/>
    <s v="Original"/>
    <n v="27450"/>
    <s v="firm-bid"/>
    <m/>
    <m/>
    <m/>
    <m/>
    <m/>
    <m/>
    <m/>
    <x v="2"/>
    <n v="0"/>
    <n v="33800"/>
    <m/>
    <m/>
  </r>
  <r>
    <s v="Funeral"/>
    <n v="1"/>
    <s v="Huffman's"/>
    <s v="Waffle Chips"/>
    <x v="2"/>
    <s v="Louder"/>
    <s v="ColorMaven"/>
    <x v="3"/>
    <s v="colorMaven &quot;Funeral&quot; v4"/>
    <s v="ColorMaven_Funeral_Finishing"/>
    <s v="Original"/>
    <n v="40150"/>
    <s v="firm-bid"/>
    <n v="33800"/>
    <m/>
    <m/>
    <m/>
    <m/>
    <n v="1"/>
    <m/>
    <x v="2"/>
    <n v="0"/>
    <n v="33800"/>
    <n v="40150"/>
    <n v="40150"/>
  </r>
  <r>
    <s v="Funeral"/>
    <n v="0"/>
    <s v="Huffman's"/>
    <s v="Waffle Chips"/>
    <x v="2"/>
    <s v="Louder"/>
    <s v=""/>
    <x v="1"/>
    <s v="Funeral"/>
    <s v="TotalCuts_Funeral_Edit"/>
    <s v="Original"/>
    <n v="119010.26669999999"/>
    <s v="firm-bid"/>
    <m/>
    <m/>
    <m/>
    <m/>
    <n v="1"/>
    <m/>
    <m/>
    <x v="2"/>
    <n v="0"/>
    <n v="112430.26669999999"/>
    <m/>
    <m/>
  </r>
  <r>
    <s v="Funeral"/>
    <n v="1"/>
    <s v="Huffman's"/>
    <s v="Waffle Chips"/>
    <x v="2"/>
    <s v="Louder"/>
    <s v="Myrtle Row Editorial"/>
    <x v="1"/>
    <s v="Funeral"/>
    <s v="MyrtleRow_Funeral_Edit"/>
    <s v="Original"/>
    <n v="105850.26669999999"/>
    <s v="firm-bid"/>
    <n v="112430.26669999999"/>
    <m/>
    <m/>
    <m/>
    <m/>
    <m/>
    <n v="1"/>
    <x v="2"/>
    <n v="0"/>
    <n v="112430.26669999999"/>
    <n v="105850.26669999999"/>
    <n v="105850.26669999999"/>
  </r>
  <r>
    <s v="Funeral"/>
    <n v="0"/>
    <s v="Huffman's"/>
    <s v="Waffle Chips"/>
    <x v="2"/>
    <s v="Louder"/>
    <s v=""/>
    <x v="5"/>
    <s v="Funeral"/>
    <s v="Petulant_Funeral_Green"/>
    <s v="Original"/>
    <n v="13986"/>
    <s v="firm-bid"/>
    <m/>
    <m/>
    <m/>
    <m/>
    <m/>
    <m/>
    <m/>
    <x v="2"/>
    <n v="0"/>
    <n v="12233"/>
    <m/>
    <m/>
  </r>
  <r>
    <s v="Funeral"/>
    <n v="1"/>
    <s v="Huffman's"/>
    <s v="Waffle Chips"/>
    <x v="2"/>
    <s v="Louder"/>
    <s v="Test Flight Productions"/>
    <x v="5"/>
    <s v="Funeral"/>
    <s v="TestFlight_Funeral_Green"/>
    <s v="Original"/>
    <n v="11088"/>
    <s v="firm-bid"/>
    <n v="12233"/>
    <m/>
    <n v="1"/>
    <m/>
    <m/>
    <m/>
    <n v="1"/>
    <x v="2"/>
    <n v="0"/>
    <n v="12233"/>
    <n v="11088"/>
    <n v="11088"/>
  </r>
  <r>
    <s v="Funeral"/>
    <n v="0"/>
    <s v="Huffman's"/>
    <s v="Waffle Chips"/>
    <x v="2"/>
    <s v="Louder"/>
    <s v=""/>
    <x v="5"/>
    <s v="Funeral"/>
    <s v="harmony_and_Light_Funeral_Green"/>
    <s v="Original"/>
    <n v="11625"/>
    <s v="firm-bid"/>
    <m/>
    <m/>
    <m/>
    <m/>
    <m/>
    <m/>
    <m/>
    <x v="2"/>
    <n v="0"/>
    <n v="12233"/>
    <m/>
    <m/>
  </r>
  <r>
    <s v="Funeral"/>
    <n v="0"/>
    <s v="Huffman's"/>
    <s v="Waffle Chips"/>
    <x v="2"/>
    <s v="Louder"/>
    <s v=""/>
    <x v="4"/>
    <s v="Funeral"/>
    <s v="Petulant_Funeral_Covid"/>
    <s v="Original"/>
    <n v="7010.9750000000004"/>
    <s v="firm-bid"/>
    <m/>
    <m/>
    <m/>
    <m/>
    <m/>
    <m/>
    <m/>
    <x v="2"/>
    <n v="0"/>
    <n v="7084.498333333333"/>
    <m/>
    <m/>
  </r>
  <r>
    <s v="Funeral"/>
    <n v="1"/>
    <s v="Huffman's"/>
    <s v="Waffle Chips"/>
    <x v="2"/>
    <s v="Louder"/>
    <s v="Test Flight Productions"/>
    <x v="4"/>
    <s v="Funeral"/>
    <s v="TestFlight_Funeral_Covid"/>
    <s v="Original"/>
    <n v="3552.7525000000001"/>
    <s v="firm-bid"/>
    <n v="7084.4983329999995"/>
    <m/>
    <n v="1"/>
    <m/>
    <m/>
    <m/>
    <n v="1"/>
    <x v="2"/>
    <n v="0"/>
    <n v="7084.498333333333"/>
    <n v="3552.7525000000001"/>
    <n v="3552.7525000000001"/>
  </r>
  <r>
    <s v="Funeral"/>
    <n v="0"/>
    <s v="Huffman's"/>
    <s v="Waffle Chips"/>
    <x v="2"/>
    <s v="Louder"/>
    <s v=""/>
    <x v="4"/>
    <s v="Funeral"/>
    <s v="harmony_and_Light_Funeral_Covid"/>
    <s v="Original"/>
    <n v="10689.7675"/>
    <s v="firm-bid"/>
    <m/>
    <m/>
    <m/>
    <m/>
    <m/>
    <m/>
    <m/>
    <x v="2"/>
    <n v="0"/>
    <n v="7084.498333333333"/>
    <m/>
    <m/>
  </r>
  <r>
    <s v="Funeral"/>
    <n v="0"/>
    <s v="Huffman's"/>
    <s v="Waffle Chips"/>
    <x v="2"/>
    <s v="Louder"/>
    <s v=""/>
    <x v="0"/>
    <s v="Funeral"/>
    <s v="Petulant_Funeral_LiveAction"/>
    <s v="Original"/>
    <n v="609308.48"/>
    <s v="firm-bid"/>
    <m/>
    <m/>
    <m/>
    <m/>
    <m/>
    <m/>
    <m/>
    <x v="2"/>
    <n v="0"/>
    <n v="706071.20166666666"/>
    <m/>
    <m/>
  </r>
  <r>
    <s v="Funeral"/>
    <n v="1"/>
    <s v="Huffman's"/>
    <s v="Waffle Chips"/>
    <x v="2"/>
    <s v="Louder"/>
    <s v="Test Flight Productions"/>
    <x v="0"/>
    <s v="Funeral"/>
    <s v="TestFlight_Funeral_LiveAction"/>
    <s v="Original"/>
    <n v="650063.18000000005"/>
    <s v="firm-bid"/>
    <n v="706071.20169999998"/>
    <m/>
    <n v="1"/>
    <m/>
    <m/>
    <m/>
    <n v="1"/>
    <x v="2"/>
    <n v="0"/>
    <n v="706071.20166666666"/>
    <n v="650063.18000000005"/>
    <n v="650063.18000000005"/>
  </r>
  <r>
    <s v="Funeral"/>
    <n v="0"/>
    <s v="Huffman's"/>
    <s v="Waffle Chips"/>
    <x v="2"/>
    <s v="Louder"/>
    <s v=""/>
    <x v="0"/>
    <s v="Funeral"/>
    <s v="harmony_and_Light_Funeral_LiveAction"/>
    <s v="Original"/>
    <n v="858841.94499999995"/>
    <s v="firm-bid"/>
    <m/>
    <m/>
    <m/>
    <m/>
    <m/>
    <m/>
    <m/>
    <x v="2"/>
    <n v="0"/>
    <n v="706071.20166666666"/>
    <m/>
    <m/>
  </r>
  <r>
    <s v="GOAL!"/>
    <n v="1"/>
    <s v="Huffman's"/>
    <s v="Dipping Dust"/>
    <x v="2"/>
    <s v="Messy Messi"/>
    <s v="Audio Lab Technologies"/>
    <x v="2"/>
    <s v="Audio Labs &quot;GOAL!&quot;"/>
    <s v="Audio_105"/>
    <s v="Original"/>
    <n v="16840"/>
    <s v="firm-bid"/>
    <n v="39090"/>
    <m/>
    <n v="1"/>
    <n v="1"/>
    <n v="1"/>
    <m/>
    <n v="1"/>
    <x v="2"/>
    <n v="0"/>
    <n v="39090"/>
    <n v="16840"/>
    <n v="16840"/>
  </r>
  <r>
    <s v="GOAL!"/>
    <n v="0"/>
    <s v="Huffman's"/>
    <s v="Dipping Dust"/>
    <x v="2"/>
    <s v="Messy Messi"/>
    <s v=""/>
    <x v="2"/>
    <s v="Love Language &quot;GOAL!&quot;"/>
    <s v="Love138"/>
    <s v="Original"/>
    <n v="61340"/>
    <s v="firm-bid"/>
    <m/>
    <n v="1"/>
    <m/>
    <m/>
    <n v="1"/>
    <m/>
    <m/>
    <x v="61"/>
    <n v="0"/>
    <n v="39090"/>
    <m/>
    <m/>
  </r>
  <r>
    <s v="GOAL!"/>
    <n v="0"/>
    <s v="Huffman's"/>
    <s v="Dipping Dust"/>
    <x v="2"/>
    <s v="Messy Messi"/>
    <s v=""/>
    <x v="0"/>
    <s v="GOAL!"/>
    <s v="OpenFrameworks_GOAL_LiveAction"/>
    <s v="Original"/>
    <n v="845325.12"/>
    <s v="firm-bid"/>
    <m/>
    <m/>
    <m/>
    <m/>
    <m/>
    <m/>
    <m/>
    <x v="2"/>
    <n v="0"/>
    <n v="887785.07706666668"/>
    <m/>
    <m/>
  </r>
  <r>
    <s v="GOAL!"/>
    <n v="1"/>
    <s v="Huffman's"/>
    <s v="Dipping Dust"/>
    <x v="2"/>
    <s v="Messy Messi"/>
    <s v="Petulant Pictures"/>
    <x v="0"/>
    <s v="GOAL!"/>
    <s v="Petulant_GOAL_LiveAction"/>
    <s v="Original"/>
    <n v="924169.75"/>
    <s v="firm-bid"/>
    <n v="887785.07709999999"/>
    <m/>
    <m/>
    <m/>
    <m/>
    <m/>
    <m/>
    <x v="2"/>
    <n v="0"/>
    <n v="887785.07706666668"/>
    <n v="924169.75"/>
    <n v="924169.75"/>
  </r>
  <r>
    <s v="GOAL!"/>
    <n v="0"/>
    <s v="Huffman's"/>
    <s v="Dipping Dust"/>
    <x v="2"/>
    <s v="Messy Messi"/>
    <s v=""/>
    <x v="0"/>
    <s v="GOAL!"/>
    <s v="Level12_GOAL_LiveAction"/>
    <s v="Original"/>
    <n v="893860.36120000004"/>
    <s v="firm-bid"/>
    <m/>
    <m/>
    <m/>
    <m/>
    <m/>
    <m/>
    <m/>
    <x v="2"/>
    <n v="0"/>
    <n v="887785.07706666668"/>
    <m/>
    <m/>
  </r>
  <r>
    <s v="GOAL!"/>
    <n v="0"/>
    <s v="Huffman's"/>
    <s v="Dipping Dust"/>
    <x v="2"/>
    <s v="Messy Messi"/>
    <s v=""/>
    <x v="4"/>
    <s v="GOAL!"/>
    <s v="OpenFrameworks_GOAL_Covid"/>
    <s v="Original"/>
    <n v="1339.175"/>
    <s v="firm-bid"/>
    <m/>
    <m/>
    <m/>
    <m/>
    <m/>
    <m/>
    <m/>
    <x v="2"/>
    <n v="0"/>
    <n v="7530.8900000000012"/>
    <m/>
    <m/>
  </r>
  <r>
    <s v="GOAL!"/>
    <n v="1"/>
    <s v="Huffman's"/>
    <s v="Dipping Dust"/>
    <x v="2"/>
    <s v="Messy Messi"/>
    <s v="Petulant Pictures"/>
    <x v="4"/>
    <s v="GOAL!"/>
    <s v="Petulant_GOAL_Covid"/>
    <s v="Original"/>
    <n v="9886.2625000000007"/>
    <s v="firm-bid"/>
    <n v="7530.89"/>
    <m/>
    <m/>
    <m/>
    <m/>
    <m/>
    <m/>
    <x v="2"/>
    <n v="0"/>
    <n v="7530.8900000000012"/>
    <n v="9886.2625000000007"/>
    <n v="9886.2625000000007"/>
  </r>
  <r>
    <s v="GOAL!"/>
    <n v="0"/>
    <s v="Huffman's"/>
    <s v="Dipping Dust"/>
    <x v="2"/>
    <s v="Messy Messi"/>
    <s v=""/>
    <x v="4"/>
    <s v="GOAL!"/>
    <s v="Level12_GOAL_Covid"/>
    <s v="Original"/>
    <n v="11367.2325"/>
    <s v="firm-bid"/>
    <m/>
    <m/>
    <m/>
    <m/>
    <m/>
    <m/>
    <m/>
    <x v="2"/>
    <n v="0"/>
    <n v="7530.8900000000012"/>
    <m/>
    <m/>
  </r>
  <r>
    <s v="GOAL!"/>
    <n v="0"/>
    <s v="Huffman's"/>
    <s v="Dipping Dust"/>
    <x v="2"/>
    <s v="Messy Messi"/>
    <s v=""/>
    <x v="5"/>
    <s v="GOAL!"/>
    <s v="OpenFrameworks_GOAL_Green"/>
    <s v="Original"/>
    <n v="20736"/>
    <s v="firm-bid"/>
    <m/>
    <m/>
    <m/>
    <m/>
    <m/>
    <m/>
    <m/>
    <x v="2"/>
    <n v="0"/>
    <n v="12357"/>
    <m/>
    <m/>
  </r>
  <r>
    <s v="GOAL!"/>
    <n v="1"/>
    <s v="Huffman's"/>
    <s v="Dipping Dust"/>
    <x v="2"/>
    <s v="Messy Messi"/>
    <s v="Petulant Pictures"/>
    <x v="5"/>
    <s v="GOAL!"/>
    <s v="Petulant_GOAL_Green"/>
    <s v="Original"/>
    <n v="7434"/>
    <s v="firm-bid"/>
    <n v="12357"/>
    <m/>
    <m/>
    <m/>
    <m/>
    <m/>
    <m/>
    <x v="2"/>
    <n v="0"/>
    <n v="12357"/>
    <n v="7434"/>
    <n v="7434"/>
  </r>
  <r>
    <s v="GOAL!"/>
    <n v="0"/>
    <s v="Huffman's"/>
    <s v="Dipping Dust"/>
    <x v="2"/>
    <s v="Messy Messi"/>
    <s v=""/>
    <x v="5"/>
    <s v="GOAL!"/>
    <s v="Level12_GOAL_Green"/>
    <s v="Original"/>
    <n v="8901"/>
    <s v="firm-bid"/>
    <m/>
    <m/>
    <m/>
    <m/>
    <m/>
    <m/>
    <m/>
    <x v="2"/>
    <n v="0"/>
    <n v="12357"/>
    <m/>
    <m/>
  </r>
  <r>
    <s v="GOAL!"/>
    <n v="0"/>
    <s v="Huffman's"/>
    <s v="Dipping Dust"/>
    <x v="2"/>
    <s v="Messy Messi"/>
    <s v=""/>
    <x v="1"/>
    <s v="TBLLC - GOAL"/>
    <s v="TimeBomb_GOAL_Edit"/>
    <s v="Original"/>
    <n v="113916.25"/>
    <s v="firm-bid"/>
    <m/>
    <m/>
    <m/>
    <m/>
    <m/>
    <m/>
    <m/>
    <x v="2"/>
    <n v="0"/>
    <n v="114682.08887666666"/>
    <m/>
    <m/>
  </r>
  <r>
    <s v="GOAL!"/>
    <n v="0"/>
    <s v="Huffman's"/>
    <s v="Dipping Dust"/>
    <x v="2"/>
    <s v="Messy Messi"/>
    <s v=""/>
    <x v="1"/>
    <s v="GOAL!"/>
    <s v="Armistace_GOAL_Edit"/>
    <s v="Original"/>
    <n v="42051.68333"/>
    <s v="firm-bid"/>
    <m/>
    <m/>
    <m/>
    <m/>
    <m/>
    <m/>
    <m/>
    <x v="2"/>
    <n v="0"/>
    <n v="114682.08887666666"/>
    <m/>
    <m/>
  </r>
  <r>
    <s v="GOAL!"/>
    <n v="1"/>
    <s v="Huffman's"/>
    <s v="Dipping Dust"/>
    <x v="2"/>
    <s v="Messy Messi"/>
    <s v="Toto"/>
    <x v="1"/>
    <s v="GOAL!"/>
    <s v="ToTo_GOAL_Edit"/>
    <s v="Original"/>
    <n v="188078.3333"/>
    <s v="firm-bid"/>
    <n v="114682.0889"/>
    <m/>
    <m/>
    <m/>
    <n v="1"/>
    <m/>
    <m/>
    <x v="2"/>
    <n v="0"/>
    <n v="114682.08887666666"/>
    <n v="188078.3333"/>
    <n v="188078.3333"/>
  </r>
  <r>
    <s v="GOAL!"/>
    <n v="0"/>
    <s v="Huffman's"/>
    <s v="Dipping Dust"/>
    <x v="2"/>
    <s v="Messy Messi"/>
    <s v=""/>
    <x v="3"/>
    <s v="Here &amp; Now for ‚ÄúGOAL!‚Äù"/>
    <s v="HereandNow_GOAL_Finishing"/>
    <s v="Original"/>
    <n v="50400"/>
    <s v="firm-bid"/>
    <m/>
    <m/>
    <m/>
    <m/>
    <m/>
    <m/>
    <m/>
    <x v="2"/>
    <n v="0"/>
    <n v="35100"/>
    <m/>
    <m/>
  </r>
  <r>
    <s v="GOAL!"/>
    <n v="1"/>
    <s v="Huffman's"/>
    <s v="Dipping Dust"/>
    <x v="2"/>
    <s v="Messy Messi"/>
    <s v="Persons of Interest"/>
    <x v="3"/>
    <s v="‚ÄúGOAL!‚Äù - POI"/>
    <s v="PersonsofInterest_GOAL_Finishing"/>
    <s v="Original"/>
    <n v="19800"/>
    <s v="firm-bid"/>
    <n v="35100"/>
    <m/>
    <m/>
    <m/>
    <m/>
    <m/>
    <m/>
    <x v="2"/>
    <n v="0"/>
    <n v="35100"/>
    <n v="19800"/>
    <n v="19800"/>
  </r>
  <r>
    <s v="Alerts"/>
    <n v="1"/>
    <s v="Huffman's"/>
    <s v="ZingNuts"/>
    <x v="2"/>
    <s v="Emergency Response System"/>
    <s v="Sound Monster"/>
    <x v="2"/>
    <s v="Sound Monster&quot;Wedding&quot;"/>
    <s v="Sound Monster"/>
    <s v="Original"/>
    <n v="26860"/>
    <s v="firm-bid"/>
    <n v="29703.333330000001"/>
    <m/>
    <m/>
    <m/>
    <m/>
    <m/>
    <m/>
    <x v="2"/>
    <n v="0"/>
    <n v="29703.333333333332"/>
    <n v="26860"/>
    <n v="26860"/>
  </r>
  <r>
    <s v="Alerts"/>
    <n v="0"/>
    <s v="Huffman's"/>
    <s v="ZingNuts"/>
    <x v="2"/>
    <s v="Emergency Response System"/>
    <s v=""/>
    <x v="2"/>
    <s v="Earwax"/>
    <s v="Earwax"/>
    <s v="Original"/>
    <n v="35140"/>
    <s v="firm-bid"/>
    <m/>
    <m/>
    <m/>
    <m/>
    <m/>
    <m/>
    <m/>
    <x v="2"/>
    <n v="0"/>
    <n v="29703.333333333332"/>
    <m/>
    <m/>
  </r>
  <r>
    <s v="Alerts"/>
    <n v="0"/>
    <s v="Huffman's"/>
    <s v="ZingNuts"/>
    <x v="2"/>
    <s v="Emergency Response System"/>
    <s v=""/>
    <x v="2"/>
    <s v="Special Oaks &quot;Alerts&quot;"/>
    <s v="Special Oaks"/>
    <s v="Original"/>
    <n v="27110"/>
    <s v="firm-bid"/>
    <m/>
    <m/>
    <m/>
    <m/>
    <m/>
    <n v="1"/>
    <n v="1"/>
    <x v="2"/>
    <n v="0"/>
    <n v="29703.333333333332"/>
    <m/>
    <m/>
  </r>
  <r>
    <s v="Alerts"/>
    <n v="0"/>
    <s v="Huffman's"/>
    <s v="ZingNuts"/>
    <x v="2"/>
    <s v="Emergency Response System"/>
    <s v=""/>
    <x v="0"/>
    <s v="Alerts"/>
    <s v="CHAW_Alerts_LiveAction"/>
    <s v="Original"/>
    <n v="747478.50249999994"/>
    <s v="firm-bid"/>
    <m/>
    <m/>
    <m/>
    <m/>
    <m/>
    <m/>
    <n v="1"/>
    <x v="2"/>
    <n v="0"/>
    <n v="874857.81183333334"/>
    <m/>
    <m/>
  </r>
  <r>
    <s v="Alerts"/>
    <n v="1"/>
    <s v="Huffman's"/>
    <s v="ZingNuts"/>
    <x v="2"/>
    <s v="Emergency Response System"/>
    <s v="Harmony &amp; Light"/>
    <x v="0"/>
    <s v="Alerts"/>
    <s v="harmony_and_Light_Alerts_LiveAction"/>
    <s v="Original"/>
    <n v="1004959.898"/>
    <s v="firm-bid"/>
    <n v="874857.81169999996"/>
    <m/>
    <m/>
    <m/>
    <m/>
    <m/>
    <m/>
    <x v="2"/>
    <n v="0"/>
    <n v="874857.81183333334"/>
    <n v="1004959.898"/>
    <n v="1004959.898"/>
  </r>
  <r>
    <s v="Alerts"/>
    <n v="0"/>
    <s v="Huffman's"/>
    <s v="ZingNuts"/>
    <x v="2"/>
    <s v="Emergency Response System"/>
    <s v=""/>
    <x v="0"/>
    <s v="Alerts"/>
    <s v="Club101_Alerts_LiveAction"/>
    <s v="Original"/>
    <n v="872135.03500000003"/>
    <s v="firm-bid"/>
    <m/>
    <m/>
    <m/>
    <m/>
    <m/>
    <m/>
    <m/>
    <x v="2"/>
    <n v="0"/>
    <n v="874857.81183333334"/>
    <m/>
    <m/>
  </r>
  <r>
    <s v="Alerts"/>
    <n v="0"/>
    <s v="Huffman's"/>
    <s v="ZingNuts"/>
    <x v="2"/>
    <s v="Emergency Response System"/>
    <s v=""/>
    <x v="4"/>
    <s v="Alerts"/>
    <s v="CHAW_Alerts_Covid"/>
    <s v="Original"/>
    <n v="7089.75"/>
    <s v="firm-bid"/>
    <m/>
    <m/>
    <m/>
    <m/>
    <m/>
    <m/>
    <n v="1"/>
    <x v="2"/>
    <n v="0"/>
    <n v="9665.6924999999992"/>
    <m/>
    <m/>
  </r>
  <r>
    <s v="Alerts"/>
    <n v="1"/>
    <s v="Huffman's"/>
    <s v="ZingNuts"/>
    <x v="2"/>
    <s v="Emergency Response System"/>
    <s v="Harmony &amp; Light"/>
    <x v="4"/>
    <s v="Alerts"/>
    <s v="harmony_and_Light_Alerts_Covid"/>
    <s v="Original"/>
    <n v="11453.885"/>
    <s v="firm-bid"/>
    <n v="9665.6924999999992"/>
    <m/>
    <m/>
    <m/>
    <m/>
    <m/>
    <m/>
    <x v="2"/>
    <n v="0"/>
    <n v="9665.6924999999992"/>
    <n v="11453.885"/>
    <n v="11453.885"/>
  </r>
  <r>
    <s v="Alerts"/>
    <n v="0"/>
    <s v="Huffman's"/>
    <s v="ZingNuts"/>
    <x v="2"/>
    <s v="Emergency Response System"/>
    <s v=""/>
    <x v="4"/>
    <s v="Alerts"/>
    <s v="Club101_Alerts_Covid"/>
    <s v="Original"/>
    <n v="10453.442499999999"/>
    <s v="firm-bid"/>
    <m/>
    <m/>
    <m/>
    <m/>
    <m/>
    <m/>
    <m/>
    <x v="2"/>
    <n v="0"/>
    <n v="9665.6924999999992"/>
    <m/>
    <m/>
  </r>
  <r>
    <s v="Alerts"/>
    <n v="0"/>
    <s v="Huffman's"/>
    <s v="ZingNuts"/>
    <x v="2"/>
    <s v="Emergency Response System"/>
    <s v=""/>
    <x v="5"/>
    <s v="Alerts"/>
    <s v="CHAW_Alerts_Green"/>
    <s v="Original"/>
    <n v="16256"/>
    <s v="firm-bid"/>
    <m/>
    <m/>
    <m/>
    <m/>
    <m/>
    <m/>
    <n v="1"/>
    <x v="2"/>
    <n v="0"/>
    <n v="13940.666666666666"/>
    <m/>
    <m/>
  </r>
  <r>
    <s v="Alerts"/>
    <n v="1"/>
    <s v="Huffman's"/>
    <s v="ZingNuts"/>
    <x v="2"/>
    <s v="Emergency Response System"/>
    <s v="Harmony &amp; Light"/>
    <x v="5"/>
    <s v="Alerts"/>
    <s v="harmony_and_Light_Alerts_Green"/>
    <s v="Original"/>
    <n v="9828"/>
    <s v="firm-bid"/>
    <n v="13940.666670000001"/>
    <m/>
    <m/>
    <m/>
    <m/>
    <m/>
    <m/>
    <x v="2"/>
    <n v="0"/>
    <n v="13940.666666666666"/>
    <n v="9828"/>
    <n v="9828"/>
  </r>
  <r>
    <s v="Alerts"/>
    <n v="0"/>
    <s v="Huffman's"/>
    <s v="ZingNuts"/>
    <x v="2"/>
    <s v="Emergency Response System"/>
    <s v=""/>
    <x v="5"/>
    <s v="Alerts"/>
    <s v="Club101_Alerts_Green"/>
    <s v="Original"/>
    <n v="15738"/>
    <s v="firm-bid"/>
    <m/>
    <m/>
    <m/>
    <m/>
    <m/>
    <m/>
    <m/>
    <x v="2"/>
    <n v="0"/>
    <n v="13940.666666666666"/>
    <m/>
    <m/>
  </r>
  <r>
    <s v="Alerts"/>
    <n v="1"/>
    <s v="Huffman's"/>
    <s v="ZingNuts"/>
    <x v="2"/>
    <s v="Emergency Response System"/>
    <s v="Armistice Edit"/>
    <x v="1"/>
    <s v="Alerts"/>
    <s v="Armistace_Alerts_Edit"/>
    <s v="Original"/>
    <n v="126939.1667"/>
    <s v="firm-bid"/>
    <n v="115215.8"/>
    <m/>
    <m/>
    <m/>
    <m/>
    <m/>
    <m/>
    <x v="2"/>
    <n v="0"/>
    <n v="115215.80002333333"/>
    <n v="126939.1667"/>
    <n v="126939.1667"/>
  </r>
  <r>
    <s v="Alerts"/>
    <n v="0"/>
    <s v="Huffman's"/>
    <s v="ZingNuts"/>
    <x v="2"/>
    <s v="Emergency Response System"/>
    <s v=""/>
    <x v="1"/>
    <s v="Alerts"/>
    <s v="TotalCuts_Alerts_Edit"/>
    <s v="Original"/>
    <n v="98974.166670000006"/>
    <s v="firm-bid"/>
    <m/>
    <m/>
    <m/>
    <m/>
    <m/>
    <m/>
    <m/>
    <x v="2"/>
    <n v="0"/>
    <n v="115215.80002333333"/>
    <m/>
    <m/>
  </r>
  <r>
    <s v="Alerts"/>
    <n v="0"/>
    <s v="Huffman's"/>
    <s v="ZingNuts"/>
    <x v="2"/>
    <s v="Emergency Response System"/>
    <s v=""/>
    <x v="1"/>
    <s v="Alerts"/>
    <s v="MyrtleRow_Alerts_Edit"/>
    <s v="Original"/>
    <n v="119734.0667"/>
    <s v="firm-bid"/>
    <m/>
    <m/>
    <m/>
    <m/>
    <m/>
    <m/>
    <m/>
    <x v="2"/>
    <n v="0"/>
    <n v="115215.80002333333"/>
    <m/>
    <m/>
  </r>
  <r>
    <s v="Alerts"/>
    <n v="1"/>
    <s v="Huffman's"/>
    <s v="ZingNuts"/>
    <x v="2"/>
    <s v="Emergency Response System"/>
    <s v="ColorMaven"/>
    <x v="3"/>
    <s v="colorMaven &quot;Alerts&quot;"/>
    <s v="ColorMaven_Alerts_Finishing"/>
    <s v="Original"/>
    <n v="61200"/>
    <s v="firm-bid"/>
    <n v="55050"/>
    <m/>
    <m/>
    <m/>
    <m/>
    <n v="1"/>
    <m/>
    <x v="2"/>
    <n v="0"/>
    <n v="55050"/>
    <n v="61200"/>
    <n v="61200"/>
  </r>
  <r>
    <s v="Alerts"/>
    <n v="0"/>
    <s v="Huffman's"/>
    <s v="ZingNuts"/>
    <x v="2"/>
    <s v="Emergency Response System"/>
    <s v=""/>
    <x v="3"/>
    <s v="&quot;Alerts&quot;"/>
    <s v="AndiamoImages_Alerts_Finishing"/>
    <s v="Original"/>
    <n v="48900"/>
    <s v="firm-bid"/>
    <m/>
    <m/>
    <m/>
    <m/>
    <m/>
    <n v="1"/>
    <m/>
    <x v="2"/>
    <n v="0"/>
    <n v="55050"/>
    <m/>
    <m/>
  </r>
  <r>
    <s v="Alerts"/>
    <n v="0"/>
    <s v="Huffman's"/>
    <s v="ZingNuts"/>
    <x v="2"/>
    <s v="Emergency Response System"/>
    <s v=""/>
    <x v="7"/>
    <s v="Alerts"/>
    <s v="CHAW_Alerts_Stills"/>
    <s v="Original"/>
    <n v="105544.1578"/>
    <s v="firm-bid"/>
    <m/>
    <m/>
    <m/>
    <m/>
    <m/>
    <m/>
    <n v="1"/>
    <x v="2"/>
    <n v="0"/>
    <n v="128176.29536666667"/>
    <m/>
    <m/>
  </r>
  <r>
    <s v="Alerts"/>
    <n v="1"/>
    <s v="Huffman's"/>
    <s v="ZingNuts"/>
    <x v="2"/>
    <s v="Emergency Response System"/>
    <s v="Kent Wilson Studio"/>
    <x v="7"/>
    <s v="Kent Wilson Studio Estimate for &quot;Alerts&quot; #2"/>
    <s v="KentWilsonStudio_Alerts_Stills"/>
    <s v="Original"/>
    <n v="133961.44750000001"/>
    <s v="firm-bid"/>
    <n v="128176.2954"/>
    <m/>
    <n v="1"/>
    <m/>
    <m/>
    <m/>
    <m/>
    <x v="2"/>
    <n v="0"/>
    <n v="128176.29536666667"/>
    <n v="133961.44750000001"/>
    <n v="133961.44750000001"/>
  </r>
  <r>
    <s v="Alerts"/>
    <n v="0"/>
    <s v="Huffman's"/>
    <s v="ZingNuts"/>
    <x v="2"/>
    <s v="Emergency Response System"/>
    <s v=""/>
    <x v="7"/>
    <s v="&quot;Alerts&quot; Stills - Furrier¬†"/>
    <s v="Furrier_Alerts_Stills"/>
    <s v="Original"/>
    <n v="145023.28080000001"/>
    <s v="firm-bid"/>
    <m/>
    <n v="1"/>
    <m/>
    <m/>
    <m/>
    <m/>
    <m/>
    <x v="62"/>
    <n v="0"/>
    <n v="128176.29536666667"/>
    <m/>
    <m/>
  </r>
  <r>
    <s v="Alerts"/>
    <n v="0"/>
    <s v="Huffman's"/>
    <s v="ZingNuts"/>
    <x v="2"/>
    <s v="Emergency Response System"/>
    <s v=""/>
    <x v="6"/>
    <s v="Alerts"/>
    <s v="CHAW_Alerts_Retouching"/>
    <s v="Original"/>
    <n v="23500"/>
    <s v="firm-bid"/>
    <m/>
    <m/>
    <m/>
    <m/>
    <m/>
    <m/>
    <n v="1"/>
    <x v="2"/>
    <n v="0"/>
    <n v="30533.333333333332"/>
    <m/>
    <m/>
  </r>
  <r>
    <s v="Alerts"/>
    <n v="1"/>
    <s v="Huffman's"/>
    <s v="ZingNuts"/>
    <x v="2"/>
    <s v="Emergency Response System"/>
    <s v="Kent Wilson Studio"/>
    <x v="6"/>
    <s v="Kent Wilson Studio Estimate for &quot;Alerts&quot; #2"/>
    <s v="KentWilsonStudio_Alerts_Retouching"/>
    <s v="Original"/>
    <n v="36150"/>
    <s v="firm-bid"/>
    <n v="30533.333330000001"/>
    <m/>
    <n v="1"/>
    <m/>
    <m/>
    <m/>
    <m/>
    <x v="2"/>
    <n v="0"/>
    <n v="30533.333333333332"/>
    <n v="36150"/>
    <n v="36150"/>
  </r>
  <r>
    <s v="Alerts"/>
    <n v="0"/>
    <s v="Huffman's"/>
    <s v="ZingNuts"/>
    <x v="2"/>
    <s v="Emergency Response System"/>
    <s v=""/>
    <x v="6"/>
    <s v="&quot;Alerts&quot; Stills - Furrier¬†"/>
    <s v="Furrier_Alerts_Retouching"/>
    <s v="Original"/>
    <n v="31950"/>
    <s v="firm-bid"/>
    <m/>
    <n v="1"/>
    <m/>
    <m/>
    <m/>
    <m/>
    <m/>
    <x v="63"/>
    <n v="0"/>
    <n v="30533.33333333333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n v="318"/>
    <d v="2023-07-19T19:14:00"/>
    <s v="Summer Fun"/>
    <s v="Alcoholic Beverages"/>
    <s v="APAC"/>
    <n v="1"/>
    <x v="0"/>
    <s v="Kelly Summer Spritzer"/>
    <x v="0"/>
    <x v="0"/>
    <s v="Petulant Pictures"/>
    <s v="Film &amp; Video Production"/>
    <s v="Summer Fun"/>
    <s v="Petulant_SummerFun_LiveAction"/>
    <s v="Original"/>
    <n v="960207.05279999995"/>
    <s v="firm-bid"/>
    <n v="745866.46849999996"/>
    <n v="1"/>
    <m/>
    <m/>
    <m/>
    <m/>
    <m/>
    <m/>
    <n v="36250.5"/>
    <n v="4200"/>
    <m/>
    <m/>
    <m/>
    <s v=""/>
    <m/>
    <s v=""/>
    <s v=""/>
    <n v="240000"/>
    <s v=""/>
    <s v=""/>
    <n v="0"/>
    <m/>
    <n v="0"/>
    <m/>
    <n v="16550"/>
    <s v=""/>
    <n v="3000"/>
    <m/>
    <s v=""/>
    <s v=""/>
    <s v=""/>
    <n v="37115"/>
    <s v=""/>
    <n v="5000"/>
    <m/>
    <s v=""/>
    <s v=""/>
    <n v="25950"/>
    <n v="141212.5"/>
    <m/>
    <m/>
    <s v=""/>
    <n v="48000"/>
    <n v="163923.76"/>
    <s v=""/>
    <s v=""/>
    <m/>
    <s v=""/>
    <m/>
    <m/>
    <n v="28960"/>
    <n v="0"/>
    <n v="0"/>
    <s v=""/>
    <s v=""/>
    <n v="960207.05279999995"/>
    <n v="960207.05279999995"/>
    <n v="745866.46846666664"/>
  </r>
  <r>
    <n v="318"/>
    <d v="2023-07-19T19:14:00"/>
    <s v="Summer Fun"/>
    <s v="Alcoholic Beverages"/>
    <s v="APAC"/>
    <n v="0"/>
    <x v="0"/>
    <s v="Kelly Summer Spritzer"/>
    <x v="0"/>
    <x v="0"/>
    <s v=""/>
    <s v="Film &amp; Video Production"/>
    <s v="Summer Fun"/>
    <s v="OpenFrameworks_SummerFun_LiveAction"/>
    <s v="Original"/>
    <n v="662457.18420000002"/>
    <s v="firm-bid"/>
    <m/>
    <n v="1"/>
    <n v="1"/>
    <m/>
    <m/>
    <m/>
    <m/>
    <m/>
    <m/>
    <m/>
    <m/>
    <m/>
    <m/>
    <s v=""/>
    <m/>
    <s v=""/>
    <s v=""/>
    <m/>
    <s v=""/>
    <s v=""/>
    <m/>
    <m/>
    <m/>
    <m/>
    <m/>
    <s v=""/>
    <m/>
    <m/>
    <s v=""/>
    <s v=""/>
    <s v=""/>
    <m/>
    <s v=""/>
    <m/>
    <m/>
    <s v=""/>
    <s v=""/>
    <m/>
    <m/>
    <m/>
    <m/>
    <s v=""/>
    <m/>
    <m/>
    <s v=""/>
    <s v=""/>
    <m/>
    <s v=""/>
    <m/>
    <m/>
    <m/>
    <m/>
    <m/>
    <s v=""/>
    <s v=""/>
    <n v="662457.18420000002"/>
    <n v="0"/>
    <n v="745866.46846666664"/>
  </r>
  <r>
    <n v="318"/>
    <d v="2023-07-19T19:14:00"/>
    <s v="Summer Fun"/>
    <s v="Alcoholic Beverages"/>
    <s v="APAC"/>
    <n v="0"/>
    <x v="0"/>
    <s v="Kelly Summer Spritzer"/>
    <x v="0"/>
    <x v="0"/>
    <s v=""/>
    <s v="Film &amp; Video Production"/>
    <s v="Summer Fun"/>
    <s v="Club101_SummerFun_LiveAction"/>
    <s v="Original"/>
    <n v="614935.16839999997"/>
    <s v="firm-bid"/>
    <m/>
    <m/>
    <m/>
    <m/>
    <m/>
    <m/>
    <m/>
    <m/>
    <m/>
    <m/>
    <m/>
    <m/>
    <m/>
    <s v=""/>
    <m/>
    <s v=""/>
    <s v=""/>
    <m/>
    <s v=""/>
    <s v=""/>
    <m/>
    <m/>
    <m/>
    <m/>
    <m/>
    <s v=""/>
    <m/>
    <m/>
    <s v=""/>
    <s v=""/>
    <s v=""/>
    <m/>
    <s v=""/>
    <m/>
    <m/>
    <s v=""/>
    <s v=""/>
    <m/>
    <m/>
    <m/>
    <m/>
    <s v=""/>
    <m/>
    <m/>
    <s v=""/>
    <s v=""/>
    <m/>
    <s v=""/>
    <m/>
    <m/>
    <m/>
    <m/>
    <m/>
    <s v=""/>
    <s v=""/>
    <n v="0"/>
    <n v="0"/>
    <n v="745866.46846666664"/>
  </r>
  <r>
    <n v="318"/>
    <d v="2023-07-19T19:14:00"/>
    <s v="Summer Fun"/>
    <s v="Alcoholic Beverages"/>
    <s v="APAC"/>
    <n v="0"/>
    <x v="0"/>
    <s v="Kelly Summer Spritzer"/>
    <x v="0"/>
    <x v="0"/>
    <s v=""/>
    <s v="Editorial"/>
    <s v="Summer Fun"/>
    <s v="ToTo_SummerFun_Edit"/>
    <s v="Original"/>
    <n v="107610.4167"/>
    <s v="firm-bid"/>
    <m/>
    <m/>
    <m/>
    <m/>
    <m/>
    <m/>
    <m/>
    <m/>
    <m/>
    <m/>
    <m/>
    <m/>
    <m/>
    <s v=""/>
    <m/>
    <s v=""/>
    <s v=""/>
    <m/>
    <s v=""/>
    <s v=""/>
    <m/>
    <m/>
    <m/>
    <m/>
    <m/>
    <s v=""/>
    <m/>
    <m/>
    <s v=""/>
    <s v=""/>
    <s v=""/>
    <m/>
    <s v=""/>
    <m/>
    <m/>
    <s v=""/>
    <s v=""/>
    <m/>
    <m/>
    <m/>
    <m/>
    <s v=""/>
    <m/>
    <m/>
    <s v=""/>
    <s v=""/>
    <m/>
    <s v=""/>
    <m/>
    <m/>
    <m/>
    <m/>
    <m/>
    <s v=""/>
    <s v=""/>
    <n v="0"/>
    <n v="0"/>
    <n v="109194.18611"/>
  </r>
  <r>
    <n v="318"/>
    <d v="2023-07-19T19:14:00"/>
    <s v="Summer Fun"/>
    <s v="Alcoholic Beverages"/>
    <s v="APAC"/>
    <n v="0"/>
    <x v="0"/>
    <s v="Kelly Summer Spritzer"/>
    <x v="0"/>
    <x v="0"/>
    <s v=""/>
    <s v="Editorial"/>
    <s v="Summer Fun"/>
    <s v="MyrtleRow_SummerFun_Edit"/>
    <s v="Original"/>
    <n v="133998.9583"/>
    <s v="firm-bid"/>
    <m/>
    <m/>
    <m/>
    <n v="1"/>
    <m/>
    <m/>
    <n v="1"/>
    <m/>
    <m/>
    <m/>
    <m/>
    <m/>
    <m/>
    <s v=""/>
    <m/>
    <s v=""/>
    <s v=""/>
    <m/>
    <s v=""/>
    <s v=""/>
    <m/>
    <m/>
    <m/>
    <m/>
    <m/>
    <s v=""/>
    <m/>
    <m/>
    <s v=""/>
    <s v=""/>
    <s v=""/>
    <m/>
    <s v=""/>
    <m/>
    <m/>
    <s v=""/>
    <s v=""/>
    <m/>
    <m/>
    <m/>
    <m/>
    <s v=""/>
    <m/>
    <m/>
    <s v=""/>
    <s v=""/>
    <m/>
    <s v=""/>
    <m/>
    <m/>
    <m/>
    <m/>
    <m/>
    <s v=""/>
    <s v=""/>
    <n v="0"/>
    <n v="0"/>
    <n v="109194.18611"/>
  </r>
  <r>
    <n v="318"/>
    <d v="2023-07-19T19:14:00"/>
    <s v="Summer Fun"/>
    <s v="Alcoholic Beverages"/>
    <s v="APAC"/>
    <n v="1"/>
    <x v="0"/>
    <s v="Kelly Summer Spritzer"/>
    <x v="0"/>
    <x v="0"/>
    <s v="Saks Street Edit"/>
    <s v="Editorial"/>
    <s v="Summer Fun"/>
    <s v="SaksStreetEdit_SummerFun_Edit"/>
    <s v="Original"/>
    <n v="85973.18333"/>
    <s v="firm-bid"/>
    <n v="109194.18610000001"/>
    <m/>
    <m/>
    <m/>
    <m/>
    <m/>
    <n v="1"/>
    <m/>
    <m/>
    <m/>
    <m/>
    <m/>
    <m/>
    <s v=""/>
    <m/>
    <s v=""/>
    <s v=""/>
    <m/>
    <s v=""/>
    <s v=""/>
    <n v="13200"/>
    <n v="28800"/>
    <n v="10550"/>
    <n v="10166"/>
    <m/>
    <s v=""/>
    <m/>
    <m/>
    <s v=""/>
    <s v=""/>
    <s v=""/>
    <m/>
    <s v=""/>
    <m/>
    <m/>
    <s v=""/>
    <s v=""/>
    <m/>
    <m/>
    <m/>
    <m/>
    <s v=""/>
    <m/>
    <m/>
    <s v=""/>
    <s v=""/>
    <m/>
    <s v=""/>
    <m/>
    <m/>
    <m/>
    <m/>
    <m/>
    <s v=""/>
    <s v=""/>
    <n v="0"/>
    <n v="0"/>
    <n v="109194.18611"/>
  </r>
  <r>
    <n v="318"/>
    <d v="2023-07-19T19:14:00"/>
    <s v="Summer Fun"/>
    <s v="Alcoholic Beverages"/>
    <s v="APAC"/>
    <n v="0"/>
    <x v="0"/>
    <s v="Kelly Summer Spritzer"/>
    <x v="0"/>
    <x v="0"/>
    <s v=""/>
    <s v="Audio Post"/>
    <s v="Audio Bid"/>
    <s v="Audio Bid"/>
    <s v="Original"/>
    <n v="14510"/>
    <s v="firm-bid"/>
    <m/>
    <m/>
    <m/>
    <m/>
    <m/>
    <m/>
    <m/>
    <m/>
    <m/>
    <m/>
    <m/>
    <m/>
    <m/>
    <s v=""/>
    <m/>
    <s v=""/>
    <s v=""/>
    <m/>
    <s v=""/>
    <s v=""/>
    <m/>
    <m/>
    <m/>
    <m/>
    <m/>
    <s v=""/>
    <m/>
    <m/>
    <s v=""/>
    <s v=""/>
    <s v=""/>
    <m/>
    <s v=""/>
    <m/>
    <m/>
    <s v=""/>
    <s v=""/>
    <m/>
    <m/>
    <m/>
    <m/>
    <s v=""/>
    <m/>
    <m/>
    <s v=""/>
    <s v=""/>
    <m/>
    <s v=""/>
    <m/>
    <m/>
    <m/>
    <m/>
    <m/>
    <s v=""/>
    <s v=""/>
    <n v="0"/>
    <n v="0"/>
    <n v="21656.666666666668"/>
  </r>
  <r>
    <n v="318"/>
    <d v="2023-07-19T19:14:00"/>
    <s v="Summer Fun"/>
    <s v="Alcoholic Beverages"/>
    <s v="APAC"/>
    <n v="1"/>
    <x v="0"/>
    <s v="Kelly Summer Spritzer"/>
    <x v="0"/>
    <x v="0"/>
    <s v="My Audio Fantasy"/>
    <s v="Audio Post"/>
    <s v="My Audio Fantasy"/>
    <s v="AudioFantasybBid"/>
    <s v="Original"/>
    <n v="21040"/>
    <s v="firm-bid"/>
    <n v="21656.666669999999"/>
    <n v="1"/>
    <m/>
    <m/>
    <n v="1"/>
    <m/>
    <m/>
    <m/>
    <m/>
    <m/>
    <n v="21040"/>
    <m/>
    <m/>
    <s v=""/>
    <m/>
    <s v=""/>
    <s v=""/>
    <m/>
    <s v=""/>
    <s v=""/>
    <m/>
    <m/>
    <m/>
    <m/>
    <m/>
    <s v=""/>
    <m/>
    <m/>
    <s v=""/>
    <s v=""/>
    <s v=""/>
    <m/>
    <s v=""/>
    <m/>
    <m/>
    <s v=""/>
    <s v=""/>
    <m/>
    <m/>
    <m/>
    <m/>
    <s v=""/>
    <m/>
    <m/>
    <s v=""/>
    <s v=""/>
    <m/>
    <s v=""/>
    <m/>
    <m/>
    <m/>
    <m/>
    <m/>
    <s v=""/>
    <s v=""/>
    <n v="21040"/>
    <n v="21040"/>
    <n v="21656.666666666668"/>
  </r>
  <r>
    <n v="318"/>
    <d v="2023-07-19T19:14:00"/>
    <s v="Summer Fun"/>
    <s v="Alcoholic Beverages"/>
    <s v="APAC"/>
    <n v="0"/>
    <x v="0"/>
    <s v="Kelly Summer Spritzer"/>
    <x v="0"/>
    <x v="0"/>
    <s v=""/>
    <s v="Audio Post"/>
    <s v="Love Language&quot;Summer Fun&quot;"/>
    <s v="Love124"/>
    <s v="Original"/>
    <n v="29420"/>
    <s v="firm-bid"/>
    <m/>
    <m/>
    <m/>
    <m/>
    <m/>
    <m/>
    <m/>
    <m/>
    <m/>
    <m/>
    <m/>
    <m/>
    <m/>
    <s v=""/>
    <m/>
    <s v=""/>
    <s v=""/>
    <m/>
    <s v=""/>
    <s v=""/>
    <m/>
    <m/>
    <m/>
    <m/>
    <m/>
    <s v=""/>
    <m/>
    <m/>
    <s v=""/>
    <s v=""/>
    <s v=""/>
    <m/>
    <s v=""/>
    <m/>
    <m/>
    <s v=""/>
    <s v=""/>
    <m/>
    <m/>
    <m/>
    <m/>
    <s v=""/>
    <m/>
    <m/>
    <s v=""/>
    <s v=""/>
    <m/>
    <s v=""/>
    <m/>
    <m/>
    <m/>
    <m/>
    <m/>
    <s v=""/>
    <s v=""/>
    <n v="0"/>
    <n v="0"/>
    <n v="21656.666666666668"/>
  </r>
  <r>
    <n v="318"/>
    <d v="2023-07-19T19:14:00"/>
    <s v="Summer Fun"/>
    <s v="Alcoholic Beverages"/>
    <s v="APAC"/>
    <n v="0"/>
    <x v="0"/>
    <s v="Kelly Summer Spritzer"/>
    <x v="0"/>
    <x v="0"/>
    <s v=""/>
    <s v="Finishing"/>
    <s v="colorMaven for Summer Fun v1"/>
    <s v="ColorMaven_SummerFun_Finishing"/>
    <s v="Original"/>
    <n v="52850"/>
    <s v="firm-bid"/>
    <m/>
    <m/>
    <m/>
    <m/>
    <m/>
    <n v="1"/>
    <m/>
    <m/>
    <m/>
    <m/>
    <m/>
    <m/>
    <m/>
    <s v=""/>
    <m/>
    <s v=""/>
    <s v=""/>
    <m/>
    <s v=""/>
    <s v=""/>
    <m/>
    <m/>
    <m/>
    <m/>
    <m/>
    <s v=""/>
    <m/>
    <m/>
    <s v=""/>
    <s v=""/>
    <s v=""/>
    <m/>
    <s v=""/>
    <m/>
    <m/>
    <s v=""/>
    <s v=""/>
    <m/>
    <m/>
    <m/>
    <m/>
    <s v=""/>
    <m/>
    <m/>
    <s v=""/>
    <s v=""/>
    <m/>
    <s v=""/>
    <m/>
    <m/>
    <m/>
    <m/>
    <m/>
    <s v=""/>
    <s v=""/>
    <n v="0"/>
    <n v="0"/>
    <n v="37833.333333333336"/>
  </r>
  <r>
    <n v="318"/>
    <d v="2023-07-19T19:14:00"/>
    <s v="Summer Fun"/>
    <s v="Alcoholic Beverages"/>
    <s v="APAC"/>
    <n v="0"/>
    <x v="0"/>
    <s v="Kelly Summer Spritzer"/>
    <x v="0"/>
    <x v="0"/>
    <s v=""/>
    <s v="Finishing"/>
    <s v="Andiamo for &quot;Summer Fun&quot;"/>
    <s v="AndiamoImages_SummerFun_Finishing"/>
    <s v="Original"/>
    <n v="20700"/>
    <s v="firm-bid"/>
    <m/>
    <m/>
    <m/>
    <n v="1"/>
    <m/>
    <n v="1"/>
    <m/>
    <m/>
    <m/>
    <m/>
    <m/>
    <m/>
    <m/>
    <s v=""/>
    <m/>
    <s v=""/>
    <s v=""/>
    <m/>
    <s v=""/>
    <s v=""/>
    <m/>
    <m/>
    <m/>
    <m/>
    <m/>
    <s v=""/>
    <m/>
    <m/>
    <s v=""/>
    <s v=""/>
    <s v=""/>
    <m/>
    <s v=""/>
    <m/>
    <m/>
    <s v=""/>
    <s v=""/>
    <m/>
    <m/>
    <m/>
    <m/>
    <s v=""/>
    <m/>
    <m/>
    <s v=""/>
    <s v=""/>
    <m/>
    <s v=""/>
    <m/>
    <m/>
    <m/>
    <m/>
    <m/>
    <s v=""/>
    <s v=""/>
    <n v="0"/>
    <n v="0"/>
    <n v="37833.333333333336"/>
  </r>
  <r>
    <n v="318"/>
    <d v="2023-07-19T19:14:00"/>
    <s v="Summer Fun"/>
    <s v="Alcoholic Beverages"/>
    <s v="APAC"/>
    <n v="1"/>
    <x v="0"/>
    <s v="Kelly Summer Spritzer"/>
    <x v="0"/>
    <x v="0"/>
    <s v="Evan Bander LLC"/>
    <s v="Finishing"/>
    <s v="EB &quot;Summer Fun&quot;"/>
    <s v="EvanBanderLLC_SummerFun_Finishing"/>
    <s v="Original"/>
    <n v="39950"/>
    <s v="firm-bid"/>
    <n v="37833.333330000001"/>
    <m/>
    <m/>
    <m/>
    <n v="1"/>
    <m/>
    <n v="1"/>
    <m/>
    <m/>
    <m/>
    <m/>
    <m/>
    <m/>
    <s v=""/>
    <m/>
    <s v=""/>
    <s v=""/>
    <m/>
    <s v=""/>
    <s v=""/>
    <m/>
    <m/>
    <m/>
    <m/>
    <m/>
    <s v=""/>
    <m/>
    <n v="39950"/>
    <s v=""/>
    <s v=""/>
    <s v=""/>
    <m/>
    <s v=""/>
    <m/>
    <m/>
    <s v=""/>
    <s v=""/>
    <m/>
    <m/>
    <m/>
    <m/>
    <s v=""/>
    <m/>
    <m/>
    <s v=""/>
    <s v=""/>
    <m/>
    <s v=""/>
    <m/>
    <m/>
    <m/>
    <m/>
    <m/>
    <s v=""/>
    <s v=""/>
    <n v="0"/>
    <n v="0"/>
    <n v="37833.333333333336"/>
  </r>
  <r>
    <n v="318"/>
    <d v="2023-07-19T19:14:00"/>
    <s v="Summer Fun"/>
    <s v="Alcoholic Beverages"/>
    <s v="APAC"/>
    <n v="1"/>
    <x v="0"/>
    <s v="Kelly Summer Spritzer"/>
    <x v="0"/>
    <x v="0"/>
    <s v="Petulant Pictures"/>
    <s v="Sanitary Production Costs"/>
    <s v="Summer Fun"/>
    <s v="Petulant_SummerFun_Covid"/>
    <s v="Original"/>
    <n v="4805.2749999999996"/>
    <s v="firm-bid"/>
    <n v="7050.3625000000002"/>
    <n v="1"/>
    <m/>
    <m/>
    <m/>
    <m/>
    <m/>
    <m/>
    <m/>
    <m/>
    <m/>
    <m/>
    <m/>
    <s v=""/>
    <n v="2000"/>
    <s v=""/>
    <s v=""/>
    <m/>
    <s v=""/>
    <s v=""/>
    <m/>
    <m/>
    <m/>
    <m/>
    <m/>
    <s v=""/>
    <m/>
    <m/>
    <s v=""/>
    <s v=""/>
    <s v=""/>
    <m/>
    <s v=""/>
    <m/>
    <m/>
    <s v=""/>
    <s v=""/>
    <m/>
    <m/>
    <n v="1050"/>
    <m/>
    <s v=""/>
    <m/>
    <m/>
    <s v=""/>
    <s v=""/>
    <m/>
    <s v=""/>
    <m/>
    <m/>
    <m/>
    <m/>
    <m/>
    <s v=""/>
    <s v=""/>
    <n v="4805.2749999999996"/>
    <n v="4805.2749999999996"/>
    <n v="7050.3624999999993"/>
  </r>
  <r>
    <n v="318"/>
    <d v="2023-07-19T19:14:00"/>
    <s v="Summer Fun"/>
    <s v="Alcoholic Beverages"/>
    <s v="APAC"/>
    <n v="0"/>
    <x v="0"/>
    <s v="Kelly Summer Spritzer"/>
    <x v="0"/>
    <x v="0"/>
    <s v=""/>
    <s v="Sanitary Production Costs"/>
    <s v="Summer Fun"/>
    <s v="OpenFrameworks_SummerFun_Covid"/>
    <s v="Original"/>
    <n v="10043.8125"/>
    <s v="firm-bid"/>
    <m/>
    <n v="1"/>
    <n v="1"/>
    <m/>
    <m/>
    <m/>
    <m/>
    <m/>
    <m/>
    <m/>
    <m/>
    <m/>
    <m/>
    <s v=""/>
    <m/>
    <s v=""/>
    <s v=""/>
    <m/>
    <s v=""/>
    <s v=""/>
    <m/>
    <m/>
    <m/>
    <m/>
    <m/>
    <s v=""/>
    <m/>
    <m/>
    <s v=""/>
    <s v=""/>
    <s v=""/>
    <m/>
    <s v=""/>
    <m/>
    <m/>
    <s v=""/>
    <s v=""/>
    <m/>
    <m/>
    <m/>
    <m/>
    <s v=""/>
    <m/>
    <m/>
    <s v=""/>
    <s v=""/>
    <m/>
    <s v=""/>
    <m/>
    <m/>
    <m/>
    <m/>
    <m/>
    <s v=""/>
    <s v=""/>
    <n v="10043.8125"/>
    <n v="0"/>
    <n v="7050.3624999999993"/>
  </r>
  <r>
    <n v="318"/>
    <d v="2023-07-19T19:14:00"/>
    <s v="Summer Fun"/>
    <s v="Alcoholic Beverages"/>
    <s v="APAC"/>
    <n v="0"/>
    <x v="0"/>
    <s v="Kelly Summer Spritzer"/>
    <x v="0"/>
    <x v="0"/>
    <s v=""/>
    <s v="Sanitary Production Costs"/>
    <s v="Summer Fun"/>
    <s v="Club101_SummerFun_Covid"/>
    <s v="Original"/>
    <n v="6302"/>
    <s v="firm-bid"/>
    <m/>
    <m/>
    <m/>
    <m/>
    <m/>
    <m/>
    <m/>
    <m/>
    <m/>
    <m/>
    <m/>
    <m/>
    <m/>
    <s v=""/>
    <m/>
    <s v=""/>
    <s v=""/>
    <m/>
    <s v=""/>
    <s v=""/>
    <m/>
    <m/>
    <m/>
    <m/>
    <m/>
    <s v=""/>
    <m/>
    <m/>
    <s v=""/>
    <s v=""/>
    <s v=""/>
    <m/>
    <s v=""/>
    <m/>
    <m/>
    <s v=""/>
    <s v=""/>
    <m/>
    <m/>
    <m/>
    <m/>
    <s v=""/>
    <m/>
    <m/>
    <s v=""/>
    <s v=""/>
    <m/>
    <s v=""/>
    <m/>
    <m/>
    <m/>
    <m/>
    <m/>
    <s v=""/>
    <s v=""/>
    <n v="0"/>
    <n v="0"/>
    <n v="7050.3624999999993"/>
  </r>
  <r>
    <n v="318"/>
    <d v="2023-07-19T19:14:00"/>
    <s v="Summer Fun"/>
    <s v="Alcoholic Beverages"/>
    <s v="APAC"/>
    <n v="1"/>
    <x v="0"/>
    <s v="Kelly Summer Spritzer"/>
    <x v="0"/>
    <x v="0"/>
    <s v="Petulant Pictures"/>
    <s v="Green Production Costs"/>
    <s v="Summer Fun"/>
    <s v="Petulant_SummerFun_Green"/>
    <s v="Original"/>
    <n v="18176"/>
    <s v="firm-bid"/>
    <n v="14980"/>
    <n v="1"/>
    <m/>
    <m/>
    <m/>
    <m/>
    <m/>
    <m/>
    <n v="0"/>
    <n v="0"/>
    <m/>
    <m/>
    <m/>
    <s v=""/>
    <m/>
    <s v=""/>
    <s v=""/>
    <n v="0"/>
    <s v=""/>
    <s v=""/>
    <n v="0"/>
    <m/>
    <n v="0"/>
    <m/>
    <n v="0"/>
    <s v=""/>
    <n v="0"/>
    <m/>
    <s v=""/>
    <s v=""/>
    <s v=""/>
    <n v="0"/>
    <s v=""/>
    <n v="14200"/>
    <m/>
    <s v=""/>
    <s v=""/>
    <n v="0"/>
    <n v="0"/>
    <m/>
    <m/>
    <s v=""/>
    <n v="0"/>
    <n v="0"/>
    <s v=""/>
    <s v=""/>
    <m/>
    <s v=""/>
    <m/>
    <m/>
    <n v="0"/>
    <n v="0"/>
    <n v="0"/>
    <s v=""/>
    <s v=""/>
    <n v="18176"/>
    <n v="18176"/>
    <n v="14980"/>
  </r>
  <r>
    <n v="318"/>
    <d v="2023-07-19T19:14:00"/>
    <s v="Summer Fun"/>
    <s v="Alcoholic Beverages"/>
    <s v="APAC"/>
    <n v="0"/>
    <x v="0"/>
    <s v="Kelly Summer Spritzer"/>
    <x v="0"/>
    <x v="0"/>
    <s v=""/>
    <s v="Green Production Costs"/>
    <s v="Summer Fun"/>
    <s v="OpenFrameworks_SummerFun_Green"/>
    <s v="Original"/>
    <n v="14364"/>
    <s v="firm-bid"/>
    <m/>
    <n v="1"/>
    <n v="1"/>
    <m/>
    <m/>
    <m/>
    <m/>
    <m/>
    <m/>
    <m/>
    <m/>
    <m/>
    <m/>
    <s v=""/>
    <m/>
    <s v=""/>
    <s v=""/>
    <m/>
    <s v=""/>
    <s v=""/>
    <m/>
    <m/>
    <m/>
    <m/>
    <m/>
    <s v=""/>
    <m/>
    <m/>
    <s v=""/>
    <s v=""/>
    <s v=""/>
    <m/>
    <s v=""/>
    <m/>
    <m/>
    <s v=""/>
    <s v=""/>
    <m/>
    <m/>
    <m/>
    <m/>
    <s v=""/>
    <m/>
    <m/>
    <s v=""/>
    <s v=""/>
    <m/>
    <s v=""/>
    <m/>
    <m/>
    <m/>
    <m/>
    <m/>
    <s v=""/>
    <s v=""/>
    <n v="14364"/>
    <n v="0"/>
    <n v="14980"/>
  </r>
  <r>
    <n v="318"/>
    <d v="2023-07-19T19:14:00"/>
    <s v="Summer Fun"/>
    <s v="Alcoholic Beverages"/>
    <s v="APAC"/>
    <n v="0"/>
    <x v="0"/>
    <s v="Kelly Summer Spritzer"/>
    <x v="0"/>
    <x v="0"/>
    <s v=""/>
    <s v="Green Production Costs"/>
    <s v="Summer Fun"/>
    <s v="Club101_SummerFun_Green"/>
    <s v="Original"/>
    <n v="12400"/>
    <s v="firm-bid"/>
    <m/>
    <m/>
    <m/>
    <m/>
    <m/>
    <m/>
    <m/>
    <m/>
    <m/>
    <m/>
    <m/>
    <m/>
    <m/>
    <s v=""/>
    <m/>
    <s v=""/>
    <s v=""/>
    <m/>
    <s v=""/>
    <s v=""/>
    <m/>
    <m/>
    <m/>
    <m/>
    <m/>
    <s v=""/>
    <m/>
    <m/>
    <s v=""/>
    <s v=""/>
    <s v=""/>
    <m/>
    <s v=""/>
    <m/>
    <m/>
    <s v=""/>
    <s v=""/>
    <m/>
    <m/>
    <m/>
    <m/>
    <s v=""/>
    <m/>
    <m/>
    <s v=""/>
    <s v=""/>
    <m/>
    <s v=""/>
    <m/>
    <m/>
    <m/>
    <m/>
    <m/>
    <s v=""/>
    <s v=""/>
    <n v="0"/>
    <n v="0"/>
    <n v="14980"/>
  </r>
  <r>
    <n v="318"/>
    <d v="2023-07-19T19:14:00"/>
    <s v="Summer Fun"/>
    <s v="Alcoholic Beverages"/>
    <s v="APAC"/>
    <n v="0"/>
    <x v="0"/>
    <s v="Kelly Summer Spritzer"/>
    <x v="0"/>
    <x v="0"/>
    <s v=""/>
    <s v="Photo Retouching &amp; Post"/>
    <s v="Kent Wilson Studio Estimate for &quot;Summer Fun&quot; #1"/>
    <s v="KentWilsonStudio_SummerFun_Retouching"/>
    <s v="Original"/>
    <n v="39250"/>
    <s v="firm-bid"/>
    <m/>
    <m/>
    <n v="1"/>
    <m/>
    <m/>
    <m/>
    <m/>
    <m/>
    <m/>
    <m/>
    <m/>
    <m/>
    <m/>
    <s v=""/>
    <m/>
    <s v=""/>
    <s v=""/>
    <m/>
    <s v=""/>
    <s v=""/>
    <m/>
    <m/>
    <m/>
    <m/>
    <m/>
    <s v=""/>
    <m/>
    <m/>
    <s v=""/>
    <s v=""/>
    <s v=""/>
    <m/>
    <s v=""/>
    <m/>
    <m/>
    <s v=""/>
    <s v=""/>
    <m/>
    <m/>
    <m/>
    <m/>
    <s v=""/>
    <m/>
    <m/>
    <s v=""/>
    <s v=""/>
    <m/>
    <s v=""/>
    <m/>
    <m/>
    <m/>
    <m/>
    <m/>
    <s v=""/>
    <s v=""/>
    <n v="0"/>
    <n v="0"/>
    <n v="37483.333333333336"/>
  </r>
  <r>
    <n v="318"/>
    <d v="2023-07-19T19:14:00"/>
    <s v="Summer Fun"/>
    <s v="Alcoholic Beverages"/>
    <s v="APAC"/>
    <n v="0"/>
    <x v="0"/>
    <s v="Kelly Summer Spritzer"/>
    <x v="0"/>
    <x v="0"/>
    <s v=""/>
    <s v="Photo Retouching &amp; Post"/>
    <s v="Summer Fun"/>
    <s v="Interstate_SummerFun_Retouching"/>
    <s v="Original"/>
    <n v="36200"/>
    <s v="firm-bid"/>
    <m/>
    <m/>
    <m/>
    <m/>
    <m/>
    <n v="1"/>
    <m/>
    <m/>
    <m/>
    <m/>
    <m/>
    <m/>
    <m/>
    <s v=""/>
    <m/>
    <s v=""/>
    <s v=""/>
    <m/>
    <s v=""/>
    <s v=""/>
    <m/>
    <m/>
    <m/>
    <m/>
    <m/>
    <s v=""/>
    <m/>
    <m/>
    <s v=""/>
    <s v=""/>
    <s v=""/>
    <m/>
    <s v=""/>
    <m/>
    <m/>
    <s v=""/>
    <s v=""/>
    <m/>
    <m/>
    <m/>
    <m/>
    <s v=""/>
    <m/>
    <m/>
    <s v=""/>
    <s v=""/>
    <m/>
    <s v=""/>
    <m/>
    <m/>
    <m/>
    <m/>
    <m/>
    <s v=""/>
    <s v=""/>
    <n v="0"/>
    <n v="0"/>
    <n v="37483.333333333336"/>
  </r>
  <r>
    <n v="318"/>
    <d v="2023-07-19T19:14:00"/>
    <s v="Summer Fun"/>
    <s v="Alcoholic Beverages"/>
    <s v="APAC"/>
    <n v="1"/>
    <x v="0"/>
    <s v="Kelly Summer Spritzer"/>
    <x v="0"/>
    <x v="0"/>
    <s v="Buck &amp; Archie"/>
    <s v="Photo Retouching &amp; Post"/>
    <s v="Buck &amp; Archie &quot;Kelly Hard Cider:Summer Fun&quot; v2"/>
    <s v="BuckandArchie_SummerFun_Retouching"/>
    <s v="Original"/>
    <n v="37000"/>
    <s v="firm-bid"/>
    <n v="37483.333330000001"/>
    <m/>
    <m/>
    <m/>
    <m/>
    <m/>
    <m/>
    <m/>
    <m/>
    <m/>
    <m/>
    <m/>
    <m/>
    <s v=""/>
    <m/>
    <s v=""/>
    <s v=""/>
    <m/>
    <s v=""/>
    <s v=""/>
    <m/>
    <m/>
    <m/>
    <m/>
    <m/>
    <s v=""/>
    <m/>
    <m/>
    <s v=""/>
    <s v=""/>
    <s v=""/>
    <m/>
    <s v=""/>
    <m/>
    <m/>
    <s v=""/>
    <s v=""/>
    <m/>
    <m/>
    <m/>
    <m/>
    <s v=""/>
    <m/>
    <m/>
    <s v=""/>
    <s v=""/>
    <m/>
    <s v=""/>
    <n v="37000"/>
    <m/>
    <m/>
    <m/>
    <m/>
    <s v=""/>
    <s v=""/>
    <n v="0"/>
    <n v="0"/>
    <n v="37483.333333333336"/>
  </r>
  <r>
    <n v="318"/>
    <d v="2023-07-19T19:14:00"/>
    <s v="Summer Fun"/>
    <s v="Alcoholic Beverages"/>
    <s v="APAC"/>
    <n v="0"/>
    <x v="0"/>
    <s v="Kelly Summer Spritzer"/>
    <x v="0"/>
    <x v="0"/>
    <s v=""/>
    <s v="Still Photography Production"/>
    <s v="Kent Wilson Studio Estimate for &quot;Summer Fun&quot; #1"/>
    <s v="KentWilsonStudio_SummerFun_Stills"/>
    <s v="Original"/>
    <n v="161541.30129999999"/>
    <s v="firm-bid"/>
    <m/>
    <m/>
    <n v="1"/>
    <m/>
    <m/>
    <m/>
    <m/>
    <m/>
    <m/>
    <m/>
    <m/>
    <m/>
    <m/>
    <s v=""/>
    <m/>
    <s v=""/>
    <s v=""/>
    <m/>
    <s v=""/>
    <s v=""/>
    <m/>
    <m/>
    <m/>
    <m/>
    <m/>
    <s v=""/>
    <m/>
    <m/>
    <s v=""/>
    <s v=""/>
    <s v=""/>
    <m/>
    <s v=""/>
    <m/>
    <m/>
    <s v=""/>
    <s v=""/>
    <m/>
    <m/>
    <m/>
    <m/>
    <s v=""/>
    <m/>
    <m/>
    <s v=""/>
    <s v=""/>
    <m/>
    <s v=""/>
    <m/>
    <m/>
    <m/>
    <m/>
    <m/>
    <s v=""/>
    <s v=""/>
    <n v="0"/>
    <n v="0"/>
    <n v="145472.97853333334"/>
  </r>
  <r>
    <n v="318"/>
    <d v="2023-07-19T19:14:00"/>
    <s v="Summer Fun"/>
    <s v="Alcoholic Beverages"/>
    <s v="APAC"/>
    <n v="0"/>
    <x v="0"/>
    <s v="Kelly Summer Spritzer"/>
    <x v="0"/>
    <x v="0"/>
    <s v=""/>
    <s v="Still Photography Production"/>
    <s v="Summer Fun"/>
    <s v="Interstate_SummerFun_Stills"/>
    <s v="Original"/>
    <n v="138331.54800000001"/>
    <s v="firm-bid"/>
    <m/>
    <m/>
    <m/>
    <m/>
    <m/>
    <n v="1"/>
    <m/>
    <m/>
    <m/>
    <m/>
    <m/>
    <m/>
    <m/>
    <s v=""/>
    <m/>
    <s v=""/>
    <s v=""/>
    <m/>
    <s v=""/>
    <s v=""/>
    <m/>
    <m/>
    <m/>
    <m/>
    <m/>
    <s v=""/>
    <m/>
    <m/>
    <s v=""/>
    <s v=""/>
    <s v=""/>
    <m/>
    <s v=""/>
    <m/>
    <m/>
    <s v=""/>
    <s v=""/>
    <m/>
    <m/>
    <m/>
    <m/>
    <s v=""/>
    <m/>
    <m/>
    <s v=""/>
    <s v=""/>
    <m/>
    <s v=""/>
    <m/>
    <m/>
    <m/>
    <m/>
    <m/>
    <s v=""/>
    <s v=""/>
    <n v="0"/>
    <n v="0"/>
    <n v="145472.97853333334"/>
  </r>
  <r>
    <n v="318"/>
    <d v="2023-07-19T19:14:00"/>
    <s v="Summer Fun"/>
    <s v="Alcoholic Beverages"/>
    <s v="APAC"/>
    <n v="1"/>
    <x v="0"/>
    <s v="Kelly Summer Spritzer"/>
    <x v="0"/>
    <x v="0"/>
    <s v="Buck &amp; Archie"/>
    <s v="Still Photography Production"/>
    <s v="Buck &amp; Archie &quot;Kelly Hard Cider:Summer Fun&quot; v2"/>
    <s v="BuckandArchie_SummerFun_Stills"/>
    <s v="Original"/>
    <n v="136546.0863"/>
    <s v="firm-bid"/>
    <n v="145472.9786"/>
    <m/>
    <m/>
    <m/>
    <m/>
    <m/>
    <m/>
    <m/>
    <m/>
    <n v="0"/>
    <m/>
    <m/>
    <n v="8053"/>
    <s v=""/>
    <m/>
    <s v=""/>
    <s v=""/>
    <m/>
    <s v=""/>
    <s v=""/>
    <m/>
    <m/>
    <m/>
    <m/>
    <n v="2816"/>
    <s v=""/>
    <n v="7357"/>
    <m/>
    <s v=""/>
    <s v=""/>
    <s v=""/>
    <m/>
    <s v=""/>
    <n v="0"/>
    <m/>
    <s v=""/>
    <s v=""/>
    <n v="15030"/>
    <m/>
    <m/>
    <n v="7639"/>
    <s v=""/>
    <n v="3398"/>
    <n v="33713"/>
    <s v=""/>
    <s v=""/>
    <n v="11876"/>
    <s v=""/>
    <m/>
    <n v="3905"/>
    <m/>
    <n v="4610"/>
    <n v="1189"/>
    <s v=""/>
    <s v=""/>
    <n v="0"/>
    <n v="0"/>
    <n v="145472.97853333334"/>
  </r>
  <r>
    <n v="318"/>
    <d v="2023-07-19T19:14:00"/>
    <s v="Summer Fun"/>
    <s v="Alcoholic Beverages"/>
    <s v="APAC"/>
    <n v="0"/>
    <x v="0"/>
    <s v="Kelly Summer Spritzer"/>
    <x v="0"/>
    <x v="0"/>
    <s v=""/>
    <s v="Music"/>
    <s v="AEM &quot;Kelly Summer Spritzer || Q2 Summer Blitz&quot;"/>
    <s v="ArnoldEstherMusic_SummerFun_Music"/>
    <s v="Original"/>
    <n v="8700"/>
    <s v="firm-bid"/>
    <m/>
    <m/>
    <m/>
    <m/>
    <m/>
    <m/>
    <m/>
    <m/>
    <m/>
    <m/>
    <m/>
    <m/>
    <m/>
    <s v=""/>
    <m/>
    <s v=""/>
    <s v=""/>
    <m/>
    <s v=""/>
    <s v=""/>
    <m/>
    <m/>
    <m/>
    <m/>
    <m/>
    <s v=""/>
    <m/>
    <m/>
    <s v=""/>
    <s v=""/>
    <s v=""/>
    <m/>
    <s v=""/>
    <m/>
    <m/>
    <s v=""/>
    <s v=""/>
    <m/>
    <m/>
    <m/>
    <m/>
    <s v=""/>
    <m/>
    <m/>
    <s v=""/>
    <s v=""/>
    <m/>
    <s v=""/>
    <m/>
    <m/>
    <m/>
    <m/>
    <m/>
    <s v=""/>
    <s v=""/>
    <n v="0"/>
    <n v="0"/>
    <n v="38916.666666666672"/>
  </r>
  <r>
    <n v="318"/>
    <d v="2023-07-19T19:14:00"/>
    <s v="Summer Fun"/>
    <s v="Alcoholic Beverages"/>
    <s v="APAC"/>
    <n v="0"/>
    <x v="0"/>
    <s v="Kelly Summer Spritzer"/>
    <x v="0"/>
    <x v="0"/>
    <s v=""/>
    <s v="Music"/>
    <s v="&quot;Summer Fun&quot; - Special Oaks Music"/>
    <s v="SpecialOaks_SummerFun_Music"/>
    <s v="Original"/>
    <n v="69900"/>
    <s v="firm-bid"/>
    <m/>
    <m/>
    <m/>
    <m/>
    <m/>
    <m/>
    <m/>
    <m/>
    <m/>
    <m/>
    <m/>
    <m/>
    <m/>
    <s v=""/>
    <m/>
    <s v=""/>
    <s v=""/>
    <m/>
    <s v=""/>
    <s v=""/>
    <m/>
    <m/>
    <m/>
    <m/>
    <m/>
    <s v=""/>
    <m/>
    <m/>
    <s v=""/>
    <s v=""/>
    <s v=""/>
    <m/>
    <s v=""/>
    <m/>
    <m/>
    <s v=""/>
    <s v=""/>
    <m/>
    <m/>
    <m/>
    <m/>
    <s v=""/>
    <m/>
    <m/>
    <s v=""/>
    <s v=""/>
    <m/>
    <s v=""/>
    <m/>
    <m/>
    <m/>
    <m/>
    <m/>
    <s v=""/>
    <s v=""/>
    <n v="0"/>
    <n v="0"/>
    <n v="38916.666666666672"/>
  </r>
  <r>
    <n v="318"/>
    <d v="2023-07-19T19:14:00"/>
    <s v="Summer Fun"/>
    <s v="Alcoholic Beverages"/>
    <s v="APAC"/>
    <n v="1"/>
    <x v="0"/>
    <s v="Kelly Summer Spritzer"/>
    <x v="0"/>
    <x v="0"/>
    <s v="Tone &amp; Logic"/>
    <s v="Music"/>
    <s v="T+L for &quot;Kelly's Summer Fun&quot;"/>
    <s v="ToneandLogic_SummerFun_Music"/>
    <s v="Original"/>
    <n v="38150"/>
    <s v="firm-bid"/>
    <n v="38916.666669999999"/>
    <m/>
    <m/>
    <m/>
    <m/>
    <m/>
    <n v="1"/>
    <m/>
    <m/>
    <m/>
    <m/>
    <m/>
    <m/>
    <s v=""/>
    <m/>
    <s v=""/>
    <s v=""/>
    <m/>
    <s v=""/>
    <s v=""/>
    <m/>
    <m/>
    <m/>
    <m/>
    <m/>
    <s v=""/>
    <m/>
    <m/>
    <s v=""/>
    <s v=""/>
    <s v=""/>
    <m/>
    <s v=""/>
    <m/>
    <n v="38150"/>
    <s v=""/>
    <s v=""/>
    <m/>
    <m/>
    <m/>
    <m/>
    <s v=""/>
    <m/>
    <m/>
    <s v=""/>
    <s v=""/>
    <m/>
    <s v=""/>
    <m/>
    <m/>
    <m/>
    <m/>
    <m/>
    <s v=""/>
    <s v=""/>
    <n v="0"/>
    <n v="0"/>
    <n v="38916.666666666672"/>
  </r>
  <r>
    <n v="323"/>
    <d v="2023-07-21T18:49:00"/>
    <s v="The Traveller UK"/>
    <s v="Alcoholic Beverages"/>
    <s v="Europe"/>
    <n v="0"/>
    <x v="1"/>
    <s v="Dewey North 107º"/>
    <x v="1"/>
    <x v="1"/>
    <s v=""/>
    <s v="Audio Post"/>
    <s v="Special Oaks&quot;The Traveller UK&quot;"/>
    <s v="Special Oaks"/>
    <s v="Original"/>
    <n v="24800"/>
    <s v="firm-bid"/>
    <m/>
    <n v="1"/>
    <m/>
    <m/>
    <m/>
    <m/>
    <n v="1"/>
    <m/>
    <m/>
    <m/>
    <m/>
    <m/>
    <m/>
    <s v=""/>
    <m/>
    <s v=""/>
    <s v=""/>
    <m/>
    <s v=""/>
    <s v=""/>
    <m/>
    <m/>
    <m/>
    <m/>
    <m/>
    <s v=""/>
    <m/>
    <m/>
    <s v=""/>
    <s v=""/>
    <s v=""/>
    <m/>
    <s v=""/>
    <m/>
    <m/>
    <s v=""/>
    <s v=""/>
    <m/>
    <m/>
    <m/>
    <m/>
    <s v=""/>
    <m/>
    <m/>
    <s v=""/>
    <s v=""/>
    <m/>
    <s v=""/>
    <m/>
    <m/>
    <m/>
    <m/>
    <m/>
    <s v=""/>
    <s v=""/>
    <n v="24800"/>
    <n v="0"/>
    <n v="33935"/>
  </r>
  <r>
    <n v="323"/>
    <d v="2023-07-21T18:49:00"/>
    <s v="The Traveller UK"/>
    <s v="Alcoholic Beverages"/>
    <s v="Europe"/>
    <n v="1"/>
    <x v="1"/>
    <s v="Dewey North 107º"/>
    <x v="1"/>
    <x v="1"/>
    <s v="Love Language"/>
    <s v="Audio Post"/>
    <s v="Love Language &quot;The Traveller UK&quot;"/>
    <s v="Love126"/>
    <s v="Original"/>
    <n v="43070"/>
    <s v="firm-bid"/>
    <n v="33935"/>
    <m/>
    <m/>
    <m/>
    <m/>
    <m/>
    <m/>
    <m/>
    <m/>
    <m/>
    <n v="43070"/>
    <m/>
    <m/>
    <s v=""/>
    <m/>
    <s v=""/>
    <s v=""/>
    <m/>
    <s v=""/>
    <s v=""/>
    <m/>
    <m/>
    <m/>
    <m/>
    <m/>
    <s v=""/>
    <m/>
    <m/>
    <s v=""/>
    <s v=""/>
    <s v=""/>
    <m/>
    <s v=""/>
    <m/>
    <m/>
    <s v=""/>
    <s v=""/>
    <m/>
    <m/>
    <m/>
    <m/>
    <s v=""/>
    <m/>
    <m/>
    <s v=""/>
    <s v=""/>
    <m/>
    <s v=""/>
    <m/>
    <m/>
    <m/>
    <m/>
    <m/>
    <s v=""/>
    <s v=""/>
    <n v="0"/>
    <n v="0"/>
    <n v="33935"/>
  </r>
  <r>
    <n v="323"/>
    <d v="2023-07-21T18:49:00"/>
    <s v="The Traveller UK"/>
    <s v="Alcoholic Beverages"/>
    <s v="Europe"/>
    <n v="1"/>
    <x v="1"/>
    <s v="Dewey North 107º"/>
    <x v="1"/>
    <x v="1"/>
    <s v="Love Language"/>
    <s v="Music"/>
    <s v="Love Language &quot;The Traveller UK&quot; - MUSIC ONLY"/>
    <s v="LoveLanguage_TheTravellerUK_Music"/>
    <s v="Original"/>
    <n v="20800"/>
    <s v="firm-bid"/>
    <n v="40150"/>
    <m/>
    <m/>
    <m/>
    <m/>
    <m/>
    <m/>
    <m/>
    <m/>
    <m/>
    <m/>
    <m/>
    <m/>
    <s v=""/>
    <m/>
    <s v=""/>
    <s v=""/>
    <m/>
    <s v=""/>
    <s v=""/>
    <m/>
    <m/>
    <m/>
    <m/>
    <m/>
    <s v=""/>
    <m/>
    <m/>
    <s v=""/>
    <s v=""/>
    <s v=""/>
    <m/>
    <s v=""/>
    <m/>
    <n v="20800"/>
    <s v=""/>
    <s v=""/>
    <m/>
    <m/>
    <m/>
    <m/>
    <s v=""/>
    <m/>
    <m/>
    <s v=""/>
    <s v=""/>
    <m/>
    <s v=""/>
    <m/>
    <m/>
    <m/>
    <m/>
    <m/>
    <s v=""/>
    <s v=""/>
    <n v="0"/>
    <n v="0"/>
    <n v="40150"/>
  </r>
  <r>
    <n v="323"/>
    <d v="2023-07-21T18:49:00"/>
    <s v="The Traveller UK"/>
    <s v="Alcoholic Beverages"/>
    <s v="Europe"/>
    <n v="0"/>
    <x v="1"/>
    <s v="Dewey North 107º"/>
    <x v="1"/>
    <x v="1"/>
    <s v=""/>
    <s v="Music"/>
    <s v="Frequency Presentation for &quot;The Traveller UK&quot;"/>
    <s v="Frequency_TheTravellerUK_Music"/>
    <s v="Original"/>
    <n v="49050"/>
    <s v="firm-bid"/>
    <m/>
    <m/>
    <m/>
    <m/>
    <m/>
    <m/>
    <m/>
    <m/>
    <m/>
    <m/>
    <m/>
    <m/>
    <m/>
    <s v=""/>
    <m/>
    <s v=""/>
    <s v=""/>
    <m/>
    <s v=""/>
    <s v=""/>
    <m/>
    <m/>
    <m/>
    <m/>
    <m/>
    <s v=""/>
    <m/>
    <m/>
    <s v=""/>
    <s v=""/>
    <s v=""/>
    <m/>
    <s v=""/>
    <m/>
    <m/>
    <s v=""/>
    <s v=""/>
    <m/>
    <m/>
    <m/>
    <m/>
    <s v=""/>
    <m/>
    <m/>
    <s v=""/>
    <s v=""/>
    <m/>
    <s v=""/>
    <m/>
    <m/>
    <m/>
    <m/>
    <m/>
    <s v=""/>
    <s v=""/>
    <n v="0"/>
    <n v="0"/>
    <n v="40150"/>
  </r>
  <r>
    <n v="323"/>
    <d v="2023-07-21T18:49:00"/>
    <s v="The Traveller UK"/>
    <s v="Alcoholic Beverages"/>
    <s v="Europe"/>
    <n v="0"/>
    <x v="1"/>
    <s v="Dewey North 107º"/>
    <x v="1"/>
    <x v="1"/>
    <s v=""/>
    <s v="Music"/>
    <s v="AEM &quot;Dewey North || The Sophisticated Traveller (UK)&quot;"/>
    <s v="ArnoldEstherMusic_TheTravellerUK_Music"/>
    <s v="Original"/>
    <n v="50600"/>
    <s v="firm-bid"/>
    <m/>
    <m/>
    <m/>
    <m/>
    <m/>
    <m/>
    <m/>
    <m/>
    <m/>
    <m/>
    <m/>
    <m/>
    <m/>
    <s v=""/>
    <m/>
    <s v=""/>
    <s v=""/>
    <m/>
    <s v=""/>
    <s v=""/>
    <m/>
    <m/>
    <m/>
    <m/>
    <m/>
    <s v=""/>
    <m/>
    <m/>
    <s v=""/>
    <s v=""/>
    <s v=""/>
    <m/>
    <s v=""/>
    <m/>
    <m/>
    <s v=""/>
    <s v=""/>
    <m/>
    <m/>
    <m/>
    <m/>
    <s v=""/>
    <m/>
    <m/>
    <s v=""/>
    <s v=""/>
    <m/>
    <s v=""/>
    <m/>
    <m/>
    <m/>
    <m/>
    <m/>
    <s v=""/>
    <s v=""/>
    <n v="0"/>
    <n v="0"/>
    <n v="40150"/>
  </r>
  <r>
    <n v="323"/>
    <d v="2023-07-21T18:49:00"/>
    <s v="The Traveller UK"/>
    <s v="Alcoholic Beverages"/>
    <s v="Europe"/>
    <n v="1"/>
    <x v="1"/>
    <s v="Dewey North 107º"/>
    <x v="1"/>
    <x v="1"/>
    <s v="EFX VFX"/>
    <s v="VFX"/>
    <s v="EFXvfx \\ &quot;The Traveller UK&quot; \\ v3"/>
    <s v="EFXVFX_TheTravellerUK_VFX"/>
    <s v="Original"/>
    <n v="116454"/>
    <s v="firm-bid"/>
    <n v="104828.75"/>
    <m/>
    <m/>
    <m/>
    <m/>
    <m/>
    <m/>
    <n v="56750"/>
    <m/>
    <m/>
    <m/>
    <m/>
    <m/>
    <s v=""/>
    <m/>
    <s v=""/>
    <s v=""/>
    <m/>
    <s v=""/>
    <s v=""/>
    <m/>
    <m/>
    <m/>
    <m/>
    <m/>
    <s v=""/>
    <n v="750"/>
    <n v="7500"/>
    <s v=""/>
    <s v=""/>
    <s v=""/>
    <m/>
    <s v=""/>
    <n v="7900"/>
    <m/>
    <s v=""/>
    <s v=""/>
    <m/>
    <m/>
    <m/>
    <n v="16680"/>
    <s v=""/>
    <m/>
    <m/>
    <s v=""/>
    <s v=""/>
    <m/>
    <s v=""/>
    <m/>
    <m/>
    <m/>
    <m/>
    <m/>
    <s v=""/>
    <s v=""/>
    <n v="0"/>
    <n v="0"/>
    <n v="104828.75"/>
  </r>
  <r>
    <n v="323"/>
    <d v="2023-07-21T18:49:00"/>
    <s v="The Traveller UK"/>
    <s v="Alcoholic Beverages"/>
    <s v="Europe"/>
    <n v="0"/>
    <x v="1"/>
    <s v="Dewey North 107º"/>
    <x v="1"/>
    <x v="1"/>
    <s v=""/>
    <s v="VFX"/>
    <s v="v2 - &quot;The Traveller UK&quot; //SORCERY"/>
    <s v="Sorcery_TheTravellerUK_VFX"/>
    <s v="Original"/>
    <n v="93203.5"/>
    <s v="firm-bid"/>
    <m/>
    <m/>
    <m/>
    <m/>
    <m/>
    <m/>
    <m/>
    <m/>
    <m/>
    <m/>
    <m/>
    <m/>
    <m/>
    <s v=""/>
    <m/>
    <s v=""/>
    <s v=""/>
    <m/>
    <s v=""/>
    <s v=""/>
    <m/>
    <m/>
    <m/>
    <m/>
    <m/>
    <s v=""/>
    <m/>
    <m/>
    <s v=""/>
    <s v=""/>
    <s v=""/>
    <m/>
    <s v=""/>
    <m/>
    <m/>
    <s v=""/>
    <s v=""/>
    <m/>
    <m/>
    <m/>
    <m/>
    <s v=""/>
    <m/>
    <m/>
    <s v=""/>
    <s v=""/>
    <m/>
    <s v=""/>
    <m/>
    <m/>
    <m/>
    <m/>
    <m/>
    <s v=""/>
    <s v=""/>
    <n v="0"/>
    <n v="0"/>
    <n v="104828.75"/>
  </r>
  <r>
    <n v="323"/>
    <d v="2023-07-21T18:49:00"/>
    <s v="The Traveller UK"/>
    <s v="Alcoholic Beverages"/>
    <s v="Europe"/>
    <n v="0"/>
    <x v="1"/>
    <s v="Dewey North 107º"/>
    <x v="1"/>
    <x v="1"/>
    <s v=""/>
    <s v="Finishing"/>
    <s v="colorMaven for &quot;The Traveller UK&quot; v3"/>
    <s v="ColorMaven_TheTravellerUK_Finishing"/>
    <s v="Original"/>
    <n v="17500"/>
    <s v="firm-bid"/>
    <m/>
    <m/>
    <m/>
    <m/>
    <m/>
    <n v="1"/>
    <m/>
    <m/>
    <m/>
    <m/>
    <m/>
    <m/>
    <m/>
    <s v=""/>
    <m/>
    <s v=""/>
    <s v=""/>
    <m/>
    <s v=""/>
    <s v=""/>
    <m/>
    <m/>
    <m/>
    <m/>
    <m/>
    <s v=""/>
    <m/>
    <m/>
    <s v=""/>
    <s v=""/>
    <s v=""/>
    <m/>
    <s v=""/>
    <m/>
    <m/>
    <s v=""/>
    <s v=""/>
    <m/>
    <m/>
    <m/>
    <m/>
    <s v=""/>
    <m/>
    <m/>
    <s v=""/>
    <s v=""/>
    <m/>
    <s v=""/>
    <m/>
    <m/>
    <m/>
    <m/>
    <m/>
    <s v=""/>
    <s v=""/>
    <n v="0"/>
    <n v="0"/>
    <n v="32250"/>
  </r>
  <r>
    <n v="323"/>
    <d v="2023-07-21T18:49:00"/>
    <s v="The Traveller UK"/>
    <s v="Alcoholic Beverages"/>
    <s v="Europe"/>
    <n v="1"/>
    <x v="1"/>
    <s v="Dewey North 107º"/>
    <x v="1"/>
    <x v="1"/>
    <s v="Andiamo Images"/>
    <s v="Finishing"/>
    <s v="Andiamo for &quot;The Traveller&quot; (UK Version)"/>
    <s v="AndiamoImages_TheTravellerUK_Finishing"/>
    <s v="Original"/>
    <n v="49250"/>
    <s v="firm-bid"/>
    <n v="32250"/>
    <n v="1"/>
    <m/>
    <m/>
    <m/>
    <n v="1"/>
    <m/>
    <m/>
    <m/>
    <m/>
    <m/>
    <m/>
    <m/>
    <s v=""/>
    <m/>
    <s v=""/>
    <s v=""/>
    <m/>
    <s v=""/>
    <s v=""/>
    <m/>
    <m/>
    <m/>
    <m/>
    <m/>
    <s v=""/>
    <m/>
    <n v="49250"/>
    <s v=""/>
    <s v=""/>
    <s v=""/>
    <m/>
    <s v=""/>
    <m/>
    <m/>
    <s v=""/>
    <s v=""/>
    <m/>
    <m/>
    <m/>
    <m/>
    <s v=""/>
    <m/>
    <m/>
    <s v=""/>
    <s v=""/>
    <m/>
    <s v=""/>
    <m/>
    <m/>
    <m/>
    <m/>
    <m/>
    <s v=""/>
    <s v=""/>
    <n v="49250"/>
    <n v="49250"/>
    <n v="32250"/>
  </r>
  <r>
    <n v="323"/>
    <d v="2023-07-21T18:49:00"/>
    <s v="The Traveller UK"/>
    <s v="Alcoholic Beverages"/>
    <s v="Europe"/>
    <n v="0"/>
    <x v="1"/>
    <s v="Dewey North 107º"/>
    <x v="1"/>
    <x v="1"/>
    <s v=""/>
    <s v="Finishing"/>
    <s v="‚ÄúThe Traveller UK‚Äù - POI"/>
    <s v="PersonsofInterest_TheTravellerUK_Finishing"/>
    <s v="Original"/>
    <n v="30000"/>
    <s v="firm-bid"/>
    <m/>
    <m/>
    <m/>
    <m/>
    <n v="1"/>
    <m/>
    <m/>
    <m/>
    <m/>
    <m/>
    <m/>
    <m/>
    <m/>
    <s v=""/>
    <m/>
    <s v=""/>
    <s v=""/>
    <m/>
    <s v=""/>
    <s v=""/>
    <m/>
    <m/>
    <m/>
    <m/>
    <m/>
    <s v=""/>
    <m/>
    <m/>
    <s v=""/>
    <s v=""/>
    <s v=""/>
    <m/>
    <s v=""/>
    <m/>
    <m/>
    <s v=""/>
    <s v=""/>
    <m/>
    <m/>
    <m/>
    <m/>
    <s v=""/>
    <m/>
    <m/>
    <s v=""/>
    <s v=""/>
    <m/>
    <s v=""/>
    <m/>
    <m/>
    <m/>
    <m/>
    <m/>
    <s v=""/>
    <s v=""/>
    <n v="0"/>
    <n v="0"/>
    <n v="32250"/>
  </r>
  <r>
    <n v="323"/>
    <d v="2023-07-21T18:49:00"/>
    <s v="The Traveller UK"/>
    <s v="Alcoholic Beverages"/>
    <s v="Europe"/>
    <n v="1"/>
    <x v="1"/>
    <s v="Dewey North 107º"/>
    <x v="1"/>
    <x v="1"/>
    <s v="Myrtle Row Editorial"/>
    <s v="Editorial"/>
    <s v="The Traveller UK"/>
    <s v="MyrtleRow_TheTravellerUK_Edit"/>
    <s v="Original"/>
    <n v="95889.791670000006"/>
    <s v="firm-bid"/>
    <n v="93203.872220000005"/>
    <m/>
    <m/>
    <m/>
    <m/>
    <m/>
    <n v="1"/>
    <m/>
    <m/>
    <m/>
    <m/>
    <m/>
    <m/>
    <s v=""/>
    <m/>
    <s v=""/>
    <s v=""/>
    <m/>
    <s v=""/>
    <s v=""/>
    <n v="16650"/>
    <n v="13100"/>
    <n v="32950"/>
    <n v="7250"/>
    <m/>
    <s v=""/>
    <m/>
    <m/>
    <s v=""/>
    <s v=""/>
    <s v=""/>
    <m/>
    <s v=""/>
    <m/>
    <m/>
    <s v=""/>
    <s v=""/>
    <m/>
    <m/>
    <m/>
    <m/>
    <s v=""/>
    <m/>
    <m/>
    <s v=""/>
    <s v=""/>
    <m/>
    <s v=""/>
    <m/>
    <m/>
    <m/>
    <m/>
    <m/>
    <s v=""/>
    <s v=""/>
    <n v="0"/>
    <n v="0"/>
    <n v="93203.872213333336"/>
  </r>
  <r>
    <n v="323"/>
    <d v="2023-07-21T18:49:00"/>
    <s v="The Traveller UK"/>
    <s v="Alcoholic Beverages"/>
    <s v="Europe"/>
    <n v="0"/>
    <x v="1"/>
    <s v="Dewey North 107º"/>
    <x v="1"/>
    <x v="1"/>
    <s v=""/>
    <s v="Editorial"/>
    <s v="The Traveller UK"/>
    <s v="TotalCuts_TheTravellerUK_Edit"/>
    <s v="Original"/>
    <n v="67406.616670000003"/>
    <s v="firm-bid"/>
    <m/>
    <m/>
    <m/>
    <n v="1"/>
    <m/>
    <m/>
    <m/>
    <m/>
    <m/>
    <m/>
    <m/>
    <m/>
    <m/>
    <s v=""/>
    <m/>
    <s v=""/>
    <s v=""/>
    <m/>
    <s v=""/>
    <s v=""/>
    <m/>
    <m/>
    <m/>
    <m/>
    <m/>
    <s v=""/>
    <m/>
    <m/>
    <s v=""/>
    <s v=""/>
    <s v=""/>
    <m/>
    <s v=""/>
    <m/>
    <m/>
    <s v=""/>
    <s v=""/>
    <m/>
    <m/>
    <m/>
    <m/>
    <s v=""/>
    <m/>
    <m/>
    <s v=""/>
    <s v=""/>
    <m/>
    <s v=""/>
    <m/>
    <m/>
    <m/>
    <m/>
    <m/>
    <s v=""/>
    <s v=""/>
    <n v="0"/>
    <n v="0"/>
    <n v="93203.872213333336"/>
  </r>
  <r>
    <n v="323"/>
    <d v="2023-07-21T18:49:00"/>
    <s v="The Traveller UK"/>
    <s v="Alcoholic Beverages"/>
    <s v="Europe"/>
    <n v="0"/>
    <x v="1"/>
    <s v="Dewey North 107º"/>
    <x v="1"/>
    <x v="1"/>
    <s v=""/>
    <s v="Editorial"/>
    <s v="The Traveller UK"/>
    <s v="Fightclub_TheTravellerUK_Edit"/>
    <s v="Original"/>
    <n v="116315.2083"/>
    <s v="firm-bid"/>
    <m/>
    <m/>
    <m/>
    <m/>
    <m/>
    <m/>
    <m/>
    <m/>
    <m/>
    <m/>
    <m/>
    <m/>
    <m/>
    <s v=""/>
    <m/>
    <s v=""/>
    <s v=""/>
    <m/>
    <s v=""/>
    <s v=""/>
    <m/>
    <m/>
    <m/>
    <m/>
    <m/>
    <s v=""/>
    <m/>
    <m/>
    <s v=""/>
    <s v=""/>
    <s v=""/>
    <m/>
    <s v=""/>
    <m/>
    <m/>
    <s v=""/>
    <s v=""/>
    <m/>
    <m/>
    <m/>
    <m/>
    <s v=""/>
    <m/>
    <m/>
    <s v=""/>
    <s v=""/>
    <m/>
    <s v=""/>
    <m/>
    <m/>
    <m/>
    <m/>
    <m/>
    <s v=""/>
    <s v=""/>
    <n v="0"/>
    <n v="0"/>
    <n v="93203.872213333336"/>
  </r>
  <r>
    <n v="323"/>
    <d v="2023-07-21T18:49:00"/>
    <s v="The Traveller UK"/>
    <s v="Alcoholic Beverages"/>
    <s v="Europe"/>
    <n v="1"/>
    <x v="1"/>
    <s v="Dewey North 107º"/>
    <x v="1"/>
    <x v="1"/>
    <s v="Harmony &amp; Light"/>
    <s v="Green Production Costs"/>
    <s v="The Traveller UK"/>
    <s v="harmony_and_Light_TheTravellerUK_Green"/>
    <s v="Original"/>
    <n v="10250"/>
    <s v="firm-bid"/>
    <n v="9606"/>
    <m/>
    <m/>
    <m/>
    <m/>
    <m/>
    <m/>
    <m/>
    <n v="0"/>
    <n v="0"/>
    <m/>
    <m/>
    <m/>
    <s v=""/>
    <m/>
    <s v=""/>
    <s v=""/>
    <n v="0"/>
    <s v=""/>
    <s v=""/>
    <n v="0"/>
    <m/>
    <n v="0"/>
    <m/>
    <n v="0"/>
    <s v=""/>
    <n v="0"/>
    <m/>
    <s v=""/>
    <s v=""/>
    <s v=""/>
    <n v="0"/>
    <s v=""/>
    <n v="8200"/>
    <m/>
    <s v=""/>
    <s v=""/>
    <n v="0"/>
    <n v="0"/>
    <m/>
    <m/>
    <s v=""/>
    <n v="0"/>
    <n v="0"/>
    <s v=""/>
    <s v=""/>
    <m/>
    <s v=""/>
    <m/>
    <m/>
    <n v="0"/>
    <n v="0"/>
    <n v="0"/>
    <s v=""/>
    <s v=""/>
    <n v="0"/>
    <n v="0"/>
    <n v="9606"/>
  </r>
  <r>
    <n v="323"/>
    <d v="2023-07-21T18:49:00"/>
    <s v="The Traveller UK"/>
    <s v="Alcoholic Beverages"/>
    <s v="Europe"/>
    <n v="0"/>
    <x v="1"/>
    <s v="Dewey North 107º"/>
    <x v="1"/>
    <x v="1"/>
    <s v=""/>
    <s v="Green Production Costs"/>
    <s v="The Traveller UK"/>
    <s v="Level12_TheTravellerUK_Green"/>
    <s v="Original"/>
    <n v="8568"/>
    <s v="firm-bid"/>
    <m/>
    <n v="1"/>
    <m/>
    <m/>
    <m/>
    <m/>
    <m/>
    <m/>
    <m/>
    <m/>
    <m/>
    <m/>
    <m/>
    <s v=""/>
    <m/>
    <s v=""/>
    <s v=""/>
    <m/>
    <s v=""/>
    <s v=""/>
    <m/>
    <m/>
    <m/>
    <m/>
    <m/>
    <s v=""/>
    <m/>
    <m/>
    <s v=""/>
    <s v=""/>
    <s v=""/>
    <m/>
    <s v=""/>
    <m/>
    <m/>
    <s v=""/>
    <s v=""/>
    <m/>
    <m/>
    <m/>
    <m/>
    <s v=""/>
    <m/>
    <m/>
    <s v=""/>
    <s v=""/>
    <m/>
    <s v=""/>
    <m/>
    <m/>
    <m/>
    <m/>
    <m/>
    <s v=""/>
    <s v=""/>
    <n v="8568"/>
    <n v="0"/>
    <n v="9606"/>
  </r>
  <r>
    <n v="323"/>
    <d v="2023-07-21T18:49:00"/>
    <s v="The Traveller UK"/>
    <s v="Alcoholic Beverages"/>
    <s v="Europe"/>
    <n v="0"/>
    <x v="1"/>
    <s v="Dewey North 107º"/>
    <x v="1"/>
    <x v="1"/>
    <s v=""/>
    <s v="Green Production Costs"/>
    <s v="The Traveller UK"/>
    <s v="OpenFrameworks_TheTravellerUK_Green"/>
    <s v="Original"/>
    <n v="10000"/>
    <s v="firm-bid"/>
    <m/>
    <n v="1"/>
    <n v="1"/>
    <m/>
    <m/>
    <m/>
    <m/>
    <m/>
    <m/>
    <m/>
    <m/>
    <m/>
    <m/>
    <s v=""/>
    <m/>
    <s v=""/>
    <s v=""/>
    <m/>
    <s v=""/>
    <s v=""/>
    <m/>
    <m/>
    <m/>
    <m/>
    <m/>
    <s v=""/>
    <m/>
    <m/>
    <s v=""/>
    <s v=""/>
    <s v=""/>
    <m/>
    <s v=""/>
    <m/>
    <m/>
    <s v=""/>
    <s v=""/>
    <m/>
    <m/>
    <m/>
    <m/>
    <s v=""/>
    <m/>
    <m/>
    <s v=""/>
    <s v=""/>
    <m/>
    <s v=""/>
    <m/>
    <m/>
    <m/>
    <m/>
    <m/>
    <s v=""/>
    <s v=""/>
    <n v="10000"/>
    <n v="0"/>
    <n v="9606"/>
  </r>
  <r>
    <n v="323"/>
    <d v="2023-07-21T18:49:00"/>
    <s v="The Traveller UK"/>
    <s v="Alcoholic Beverages"/>
    <s v="Europe"/>
    <n v="1"/>
    <x v="1"/>
    <s v="Dewey North 107º"/>
    <x v="1"/>
    <x v="1"/>
    <s v="Harmony &amp; Light"/>
    <s v="Sanitary Production Costs"/>
    <s v="The Traveller UK"/>
    <s v="harmony_and_Light_TheTravellerUK_Covid"/>
    <s v="Original"/>
    <n v="7200.0349999999999"/>
    <s v="firm-bid"/>
    <n v="9810.1133329999993"/>
    <m/>
    <m/>
    <m/>
    <m/>
    <m/>
    <m/>
    <m/>
    <m/>
    <m/>
    <m/>
    <m/>
    <m/>
    <s v=""/>
    <n v="3400"/>
    <s v=""/>
    <s v=""/>
    <m/>
    <s v=""/>
    <s v=""/>
    <m/>
    <m/>
    <m/>
    <m/>
    <m/>
    <s v=""/>
    <m/>
    <m/>
    <s v=""/>
    <s v=""/>
    <s v=""/>
    <m/>
    <s v=""/>
    <m/>
    <m/>
    <s v=""/>
    <s v=""/>
    <m/>
    <m/>
    <n v="1170"/>
    <m/>
    <s v=""/>
    <m/>
    <m/>
    <s v=""/>
    <s v=""/>
    <m/>
    <s v=""/>
    <m/>
    <m/>
    <m/>
    <m/>
    <m/>
    <s v=""/>
    <s v=""/>
    <n v="0"/>
    <n v="0"/>
    <n v="9810.1133333333328"/>
  </r>
  <r>
    <n v="323"/>
    <d v="2023-07-21T18:49:00"/>
    <s v="The Traveller UK"/>
    <s v="Alcoholic Beverages"/>
    <s v="Europe"/>
    <n v="0"/>
    <x v="1"/>
    <s v="Dewey North 107º"/>
    <x v="1"/>
    <x v="1"/>
    <s v=""/>
    <s v="Sanitary Production Costs"/>
    <s v="The Traveller UK"/>
    <s v="Level12_TheTravellerUK_Covid"/>
    <s v="Original"/>
    <n v="12958.487499999999"/>
    <s v="firm-bid"/>
    <m/>
    <n v="1"/>
    <m/>
    <m/>
    <m/>
    <m/>
    <m/>
    <m/>
    <m/>
    <m/>
    <m/>
    <m/>
    <m/>
    <s v=""/>
    <m/>
    <s v=""/>
    <s v=""/>
    <m/>
    <s v=""/>
    <s v=""/>
    <m/>
    <m/>
    <m/>
    <m/>
    <m/>
    <s v=""/>
    <m/>
    <m/>
    <s v=""/>
    <s v=""/>
    <s v=""/>
    <m/>
    <s v=""/>
    <m/>
    <m/>
    <s v=""/>
    <s v=""/>
    <m/>
    <m/>
    <m/>
    <m/>
    <s v=""/>
    <m/>
    <m/>
    <s v=""/>
    <s v=""/>
    <m/>
    <s v=""/>
    <m/>
    <m/>
    <m/>
    <m/>
    <m/>
    <s v=""/>
    <s v=""/>
    <n v="12958.487499999999"/>
    <n v="0"/>
    <n v="9810.1133333333328"/>
  </r>
  <r>
    <n v="323"/>
    <d v="2023-07-21T18:49:00"/>
    <s v="The Traveller UK"/>
    <s v="Alcoholic Beverages"/>
    <s v="Europe"/>
    <n v="0"/>
    <x v="1"/>
    <s v="Dewey North 107º"/>
    <x v="1"/>
    <x v="1"/>
    <s v=""/>
    <s v="Sanitary Production Costs"/>
    <s v="The Traveller UK"/>
    <s v="OpenFrameworks_TheTravellerUK_Covid"/>
    <s v="Original"/>
    <n v="9271.8174999999992"/>
    <s v="firm-bid"/>
    <m/>
    <n v="1"/>
    <n v="1"/>
    <m/>
    <m/>
    <m/>
    <m/>
    <m/>
    <m/>
    <m/>
    <m/>
    <m/>
    <m/>
    <s v=""/>
    <m/>
    <s v=""/>
    <s v=""/>
    <m/>
    <s v=""/>
    <s v=""/>
    <m/>
    <m/>
    <m/>
    <m/>
    <m/>
    <s v=""/>
    <m/>
    <m/>
    <s v=""/>
    <s v=""/>
    <s v=""/>
    <m/>
    <s v=""/>
    <m/>
    <m/>
    <s v=""/>
    <s v=""/>
    <m/>
    <m/>
    <m/>
    <m/>
    <s v=""/>
    <m/>
    <m/>
    <s v=""/>
    <s v=""/>
    <m/>
    <s v=""/>
    <m/>
    <m/>
    <m/>
    <m/>
    <m/>
    <s v=""/>
    <s v=""/>
    <n v="9271.8174999999992"/>
    <n v="0"/>
    <n v="9810.1133333333328"/>
  </r>
  <r>
    <n v="323"/>
    <d v="2023-07-21T18:49:00"/>
    <s v="The Traveller UK"/>
    <s v="Alcoholic Beverages"/>
    <s v="Europe"/>
    <n v="1"/>
    <x v="1"/>
    <s v="Dewey North 107º"/>
    <x v="1"/>
    <x v="1"/>
    <s v="Harmony &amp; Light"/>
    <s v="Film &amp; Video Production"/>
    <s v="The Traveller UK"/>
    <s v="harmony_and_Light_TheTravellerUK_LiveAction"/>
    <s v="Original"/>
    <n v="685626.90079999994"/>
    <s v="firm-bid"/>
    <n v="649602.47699999996"/>
    <m/>
    <m/>
    <m/>
    <m/>
    <m/>
    <m/>
    <m/>
    <n v="38109.5"/>
    <n v="73200"/>
    <m/>
    <m/>
    <m/>
    <s v=""/>
    <m/>
    <s v=""/>
    <s v=""/>
    <n v="80000"/>
    <s v=""/>
    <s v=""/>
    <n v="0"/>
    <m/>
    <n v="0"/>
    <m/>
    <n v="22500"/>
    <s v=""/>
    <n v="3500"/>
    <m/>
    <s v=""/>
    <s v=""/>
    <s v=""/>
    <n v="28078"/>
    <s v=""/>
    <n v="16100"/>
    <m/>
    <s v=""/>
    <s v=""/>
    <n v="18625"/>
    <n v="86050.25"/>
    <m/>
    <m/>
    <s v=""/>
    <n v="7500"/>
    <n v="143742.17000000001"/>
    <s v=""/>
    <s v=""/>
    <m/>
    <s v=""/>
    <m/>
    <m/>
    <n v="35520"/>
    <n v="0"/>
    <n v="0"/>
    <s v=""/>
    <s v=""/>
    <n v="0"/>
    <n v="0"/>
    <n v="649602.47703333327"/>
  </r>
  <r>
    <n v="323"/>
    <d v="2023-07-21T18:49:00"/>
    <s v="The Traveller UK"/>
    <s v="Alcoholic Beverages"/>
    <s v="Europe"/>
    <n v="0"/>
    <x v="1"/>
    <s v="Dewey North 107º"/>
    <x v="1"/>
    <x v="1"/>
    <s v=""/>
    <s v="Film &amp; Video Production"/>
    <s v="The Traveller UK"/>
    <s v="Level12_TheTravellerUK_LiveAction"/>
    <s v="Original"/>
    <n v="673878.4375"/>
    <s v="firm-bid"/>
    <m/>
    <n v="1"/>
    <m/>
    <m/>
    <m/>
    <m/>
    <m/>
    <m/>
    <m/>
    <m/>
    <m/>
    <m/>
    <m/>
    <s v=""/>
    <m/>
    <s v=""/>
    <s v=""/>
    <m/>
    <s v=""/>
    <s v=""/>
    <m/>
    <m/>
    <m/>
    <m/>
    <m/>
    <s v=""/>
    <m/>
    <m/>
    <s v=""/>
    <s v=""/>
    <s v=""/>
    <m/>
    <s v=""/>
    <m/>
    <m/>
    <s v=""/>
    <s v=""/>
    <m/>
    <m/>
    <m/>
    <m/>
    <s v=""/>
    <m/>
    <m/>
    <s v=""/>
    <s v=""/>
    <m/>
    <s v=""/>
    <m/>
    <m/>
    <m/>
    <m/>
    <m/>
    <s v=""/>
    <s v=""/>
    <n v="673878.4375"/>
    <n v="0"/>
    <n v="649602.47703333327"/>
  </r>
  <r>
    <n v="323"/>
    <d v="2023-07-21T18:49:00"/>
    <s v="The Traveller UK"/>
    <s v="Alcoholic Beverages"/>
    <s v="Europe"/>
    <n v="0"/>
    <x v="1"/>
    <s v="Dewey North 107º"/>
    <x v="1"/>
    <x v="1"/>
    <s v=""/>
    <s v="Film &amp; Video Production"/>
    <s v="The Traveller UK"/>
    <s v="OpenFrameworks_TheTravellerUK_LiveAction"/>
    <s v="Original"/>
    <n v="589302.09279999998"/>
    <s v="firm-bid"/>
    <m/>
    <n v="1"/>
    <n v="1"/>
    <m/>
    <m/>
    <m/>
    <m/>
    <m/>
    <m/>
    <m/>
    <m/>
    <m/>
    <m/>
    <s v=""/>
    <m/>
    <s v=""/>
    <s v=""/>
    <m/>
    <s v=""/>
    <s v=""/>
    <m/>
    <m/>
    <m/>
    <m/>
    <m/>
    <s v=""/>
    <m/>
    <m/>
    <s v=""/>
    <s v=""/>
    <s v=""/>
    <m/>
    <s v=""/>
    <m/>
    <m/>
    <s v=""/>
    <s v=""/>
    <m/>
    <m/>
    <m/>
    <m/>
    <s v=""/>
    <m/>
    <m/>
    <s v=""/>
    <s v=""/>
    <m/>
    <s v=""/>
    <m/>
    <m/>
    <m/>
    <m/>
    <m/>
    <s v=""/>
    <s v=""/>
    <n v="589302.09279999998"/>
    <n v="0"/>
    <n v="649602.47703333327"/>
  </r>
  <r>
    <n v="324"/>
    <d v="2023-07-21T18:50:00"/>
    <s v="The Traveller US"/>
    <s v="Alcoholic Beverages"/>
    <s v="North America"/>
    <n v="0"/>
    <x v="1"/>
    <s v="Dewey North 107º"/>
    <x v="2"/>
    <x v="1"/>
    <s v=""/>
    <s v="Audio Post"/>
    <s v="Earwax &quot;The Traveller US&quot;"/>
    <s v="Earwax"/>
    <s v="Original"/>
    <n v="29320"/>
    <s v="firm-bid"/>
    <m/>
    <m/>
    <m/>
    <m/>
    <m/>
    <m/>
    <m/>
    <m/>
    <m/>
    <m/>
    <m/>
    <m/>
    <m/>
    <s v=""/>
    <m/>
    <s v=""/>
    <s v=""/>
    <m/>
    <s v=""/>
    <s v=""/>
    <m/>
    <m/>
    <m/>
    <m/>
    <m/>
    <s v=""/>
    <m/>
    <m/>
    <s v=""/>
    <s v=""/>
    <s v=""/>
    <m/>
    <s v=""/>
    <m/>
    <m/>
    <s v=""/>
    <s v=""/>
    <m/>
    <m/>
    <m/>
    <m/>
    <s v=""/>
    <m/>
    <m/>
    <s v=""/>
    <s v=""/>
    <m/>
    <s v=""/>
    <m/>
    <m/>
    <m/>
    <m/>
    <m/>
    <s v=""/>
    <s v=""/>
    <n v="0"/>
    <n v="0"/>
    <n v="48990"/>
  </r>
  <r>
    <n v="324"/>
    <d v="2023-07-21T18:50:00"/>
    <s v="The Traveller US"/>
    <s v="Alcoholic Beverages"/>
    <s v="North America"/>
    <n v="1"/>
    <x v="1"/>
    <s v="Dewey North 107º"/>
    <x v="2"/>
    <x v="1"/>
    <s v="Audio Lab Technologies"/>
    <s v="Audio Post"/>
    <s v="Audio Lab&quot;The Traveller US&quot;"/>
    <s v="Audio_85"/>
    <s v="Original"/>
    <n v="68660"/>
    <s v="firm-bid"/>
    <n v="48990"/>
    <m/>
    <m/>
    <n v="1"/>
    <m/>
    <n v="1"/>
    <m/>
    <m/>
    <m/>
    <m/>
    <n v="68660"/>
    <m/>
    <m/>
    <s v=""/>
    <m/>
    <s v=""/>
    <s v=""/>
    <m/>
    <s v=""/>
    <s v=""/>
    <m/>
    <m/>
    <m/>
    <m/>
    <m/>
    <s v=""/>
    <m/>
    <m/>
    <s v=""/>
    <s v=""/>
    <s v=""/>
    <m/>
    <s v=""/>
    <m/>
    <m/>
    <s v=""/>
    <s v=""/>
    <m/>
    <m/>
    <m/>
    <m/>
    <s v=""/>
    <m/>
    <m/>
    <s v=""/>
    <s v=""/>
    <m/>
    <s v=""/>
    <m/>
    <m/>
    <m/>
    <m/>
    <m/>
    <s v=""/>
    <s v=""/>
    <n v="0"/>
    <n v="0"/>
    <n v="48990"/>
  </r>
  <r>
    <n v="324"/>
    <d v="2023-07-21T18:50:00"/>
    <s v="The Traveller US"/>
    <s v="Alcoholic Beverages"/>
    <s v="North America"/>
    <n v="0"/>
    <x v="1"/>
    <s v="Dewey North 107º"/>
    <x v="2"/>
    <x v="1"/>
    <s v=""/>
    <s v="Behind The Scenes (BTS)"/>
    <s v="The Traveller (US Version)"/>
    <s v="Club101_SummerFun_BTS"/>
    <s v="Original"/>
    <n v="22844.75"/>
    <s v="firm-bid"/>
    <m/>
    <m/>
    <m/>
    <m/>
    <m/>
    <m/>
    <m/>
    <m/>
    <m/>
    <m/>
    <m/>
    <m/>
    <m/>
    <s v=""/>
    <m/>
    <s v=""/>
    <s v=""/>
    <m/>
    <s v=""/>
    <s v=""/>
    <m/>
    <m/>
    <m/>
    <m/>
    <m/>
    <s v=""/>
    <m/>
    <m/>
    <s v=""/>
    <s v=""/>
    <s v=""/>
    <m/>
    <s v=""/>
    <m/>
    <m/>
    <s v=""/>
    <s v=""/>
    <m/>
    <m/>
    <m/>
    <m/>
    <s v=""/>
    <m/>
    <m/>
    <s v=""/>
    <s v=""/>
    <m/>
    <s v=""/>
    <m/>
    <m/>
    <m/>
    <m/>
    <m/>
    <s v=""/>
    <s v=""/>
    <n v="0"/>
    <n v="0"/>
    <n v="18774.708333333332"/>
  </r>
  <r>
    <n v="324"/>
    <d v="2023-07-21T18:50:00"/>
    <s v="The Traveller US"/>
    <s v="Alcoholic Beverages"/>
    <s v="North America"/>
    <n v="1"/>
    <x v="1"/>
    <s v="Dewey North 107º"/>
    <x v="2"/>
    <x v="1"/>
    <s v="Test Flight Productions"/>
    <s v="Behind The Scenes (BTS)"/>
    <s v="The Traveller (for US)"/>
    <s v="TestFlight_TheTravellerUS_BTS"/>
    <s v="Original"/>
    <n v="19457.424999999999"/>
    <s v="firm-bid"/>
    <n v="18774.708330000001"/>
    <m/>
    <m/>
    <m/>
    <m/>
    <m/>
    <n v="1"/>
    <m/>
    <m/>
    <m/>
    <m/>
    <n v="12350"/>
    <m/>
    <s v=""/>
    <m/>
    <s v=""/>
    <s v=""/>
    <m/>
    <s v=""/>
    <s v=""/>
    <m/>
    <m/>
    <m/>
    <m/>
    <m/>
    <s v=""/>
    <m/>
    <m/>
    <s v=""/>
    <s v=""/>
    <s v=""/>
    <m/>
    <s v=""/>
    <m/>
    <m/>
    <s v=""/>
    <s v=""/>
    <m/>
    <m/>
    <m/>
    <m/>
    <s v=""/>
    <m/>
    <m/>
    <s v=""/>
    <s v=""/>
    <m/>
    <s v=""/>
    <m/>
    <m/>
    <m/>
    <m/>
    <m/>
    <s v=""/>
    <s v=""/>
    <n v="0"/>
    <n v="0"/>
    <n v="18774.708333333332"/>
  </r>
  <r>
    <n v="324"/>
    <d v="2023-07-21T18:50:00"/>
    <s v="The Traveller US"/>
    <s v="Alcoholic Beverages"/>
    <s v="North America"/>
    <n v="0"/>
    <x v="1"/>
    <s v="Dewey North 107º"/>
    <x v="2"/>
    <x v="1"/>
    <s v=""/>
    <s v="Behind The Scenes (BTS)"/>
    <s v="The Traveller US V2"/>
    <s v="CHAW_TheTravellerUS_BTSv2"/>
    <s v="Original"/>
    <n v="14021.95"/>
    <s v="firm-bid"/>
    <m/>
    <m/>
    <n v="1"/>
    <m/>
    <m/>
    <m/>
    <n v="1"/>
    <m/>
    <m/>
    <m/>
    <m/>
    <m/>
    <m/>
    <s v=""/>
    <m/>
    <s v=""/>
    <s v=""/>
    <m/>
    <s v=""/>
    <s v=""/>
    <m/>
    <m/>
    <m/>
    <m/>
    <m/>
    <s v=""/>
    <m/>
    <m/>
    <s v=""/>
    <s v=""/>
    <s v=""/>
    <m/>
    <s v=""/>
    <m/>
    <m/>
    <s v=""/>
    <s v=""/>
    <m/>
    <m/>
    <m/>
    <m/>
    <s v=""/>
    <m/>
    <m/>
    <s v=""/>
    <s v=""/>
    <m/>
    <s v=""/>
    <m/>
    <m/>
    <m/>
    <m/>
    <m/>
    <s v=""/>
    <s v=""/>
    <n v="0"/>
    <n v="0"/>
    <n v="18774.708333333332"/>
  </r>
  <r>
    <n v="324"/>
    <d v="2023-07-21T18:50:00"/>
    <s v="The Traveller US"/>
    <s v="Alcoholic Beverages"/>
    <s v="North America"/>
    <n v="1"/>
    <x v="1"/>
    <s v="Dewey North 107º"/>
    <x v="2"/>
    <x v="1"/>
    <s v="Tone &amp; Logic"/>
    <s v="Music"/>
    <s v="T+L for &quot;Dewey North - The Traveller (US)&quot;"/>
    <s v="ToneandLogic_TheTravellerUS_Music"/>
    <s v="Original"/>
    <n v="15950"/>
    <s v="firm-bid"/>
    <n v="30350"/>
    <m/>
    <m/>
    <m/>
    <m/>
    <m/>
    <n v="1"/>
    <m/>
    <m/>
    <m/>
    <m/>
    <m/>
    <m/>
    <s v=""/>
    <m/>
    <s v=""/>
    <s v=""/>
    <m/>
    <s v=""/>
    <s v=""/>
    <m/>
    <m/>
    <m/>
    <m/>
    <m/>
    <s v=""/>
    <m/>
    <m/>
    <s v=""/>
    <s v=""/>
    <s v=""/>
    <m/>
    <s v=""/>
    <m/>
    <n v="15950"/>
    <s v=""/>
    <s v=""/>
    <m/>
    <m/>
    <m/>
    <m/>
    <s v=""/>
    <m/>
    <m/>
    <s v=""/>
    <s v=""/>
    <m/>
    <s v=""/>
    <m/>
    <m/>
    <m/>
    <m/>
    <m/>
    <s v=""/>
    <s v=""/>
    <n v="0"/>
    <n v="0"/>
    <n v="30350"/>
  </r>
  <r>
    <n v="324"/>
    <d v="2023-07-21T18:50:00"/>
    <s v="The Traveller US"/>
    <s v="Alcoholic Beverages"/>
    <s v="North America"/>
    <n v="0"/>
    <x v="1"/>
    <s v="Dewey North 107º"/>
    <x v="2"/>
    <x v="1"/>
    <s v=""/>
    <s v="Music"/>
    <s v="Love Language &quot;The Traveller US&quot; v2"/>
    <s v="LoveLanguage_TheTravellerUS_Music"/>
    <s v="Original"/>
    <n v="34650"/>
    <s v="firm-bid"/>
    <m/>
    <m/>
    <m/>
    <m/>
    <m/>
    <m/>
    <m/>
    <m/>
    <m/>
    <m/>
    <m/>
    <m/>
    <m/>
    <s v=""/>
    <m/>
    <s v=""/>
    <s v=""/>
    <m/>
    <s v=""/>
    <s v=""/>
    <m/>
    <m/>
    <m/>
    <m/>
    <m/>
    <s v=""/>
    <m/>
    <m/>
    <s v=""/>
    <s v=""/>
    <s v=""/>
    <m/>
    <s v=""/>
    <m/>
    <m/>
    <s v=""/>
    <s v=""/>
    <m/>
    <m/>
    <m/>
    <m/>
    <s v=""/>
    <m/>
    <m/>
    <s v=""/>
    <s v=""/>
    <m/>
    <s v=""/>
    <m/>
    <m/>
    <m/>
    <m/>
    <m/>
    <s v=""/>
    <s v=""/>
    <n v="0"/>
    <n v="0"/>
    <n v="30350"/>
  </r>
  <r>
    <n v="324"/>
    <d v="2023-07-21T18:50:00"/>
    <s v="The Traveller US"/>
    <s v="Alcoholic Beverages"/>
    <s v="North America"/>
    <n v="0"/>
    <x v="1"/>
    <s v="Dewey North 107º"/>
    <x v="2"/>
    <x v="1"/>
    <s v=""/>
    <s v="Music"/>
    <s v="Frequency Presentation for &quot;The Traveller US &quot;"/>
    <s v="Frequency_TheTravellerUS_Music"/>
    <s v="Original"/>
    <n v="40450"/>
    <s v="firm-bid"/>
    <m/>
    <m/>
    <m/>
    <m/>
    <m/>
    <m/>
    <m/>
    <m/>
    <m/>
    <m/>
    <m/>
    <m/>
    <m/>
    <s v=""/>
    <m/>
    <s v=""/>
    <s v=""/>
    <m/>
    <s v=""/>
    <s v=""/>
    <m/>
    <m/>
    <m/>
    <m/>
    <m/>
    <s v=""/>
    <m/>
    <m/>
    <s v=""/>
    <s v=""/>
    <s v=""/>
    <m/>
    <s v=""/>
    <m/>
    <m/>
    <s v=""/>
    <s v=""/>
    <m/>
    <m/>
    <m/>
    <m/>
    <s v=""/>
    <m/>
    <m/>
    <s v=""/>
    <s v=""/>
    <m/>
    <s v=""/>
    <m/>
    <m/>
    <m/>
    <m/>
    <m/>
    <s v=""/>
    <s v=""/>
    <n v="0"/>
    <n v="0"/>
    <n v="30350"/>
  </r>
  <r>
    <n v="324"/>
    <d v="2023-07-21T18:50:00"/>
    <s v="The Traveller US"/>
    <s v="Alcoholic Beverages"/>
    <s v="North America"/>
    <n v="0"/>
    <x v="1"/>
    <s v="Dewey North 107º"/>
    <x v="2"/>
    <x v="1"/>
    <s v=""/>
    <s v="Finishing"/>
    <s v="‚ÄúThe Traveller US ‚Äù - POI"/>
    <s v="PersonsofInterest_TheTravellerUS_Finishing"/>
    <s v="Original"/>
    <n v="14900"/>
    <s v="firm-bid"/>
    <m/>
    <m/>
    <m/>
    <m/>
    <n v="1"/>
    <m/>
    <m/>
    <m/>
    <m/>
    <m/>
    <m/>
    <m/>
    <m/>
    <s v=""/>
    <m/>
    <s v=""/>
    <s v=""/>
    <m/>
    <s v=""/>
    <s v=""/>
    <m/>
    <m/>
    <m/>
    <m/>
    <m/>
    <s v=""/>
    <m/>
    <m/>
    <s v=""/>
    <s v=""/>
    <s v=""/>
    <m/>
    <s v=""/>
    <m/>
    <m/>
    <s v=""/>
    <s v=""/>
    <m/>
    <m/>
    <m/>
    <m/>
    <s v=""/>
    <m/>
    <m/>
    <s v=""/>
    <s v=""/>
    <m/>
    <s v=""/>
    <m/>
    <m/>
    <m/>
    <m/>
    <m/>
    <s v=""/>
    <s v=""/>
    <n v="0"/>
    <n v="0"/>
    <n v="27083.333333333336"/>
  </r>
  <r>
    <n v="324"/>
    <d v="2023-07-21T18:50:00"/>
    <s v="The Traveller US"/>
    <s v="Alcoholic Beverages"/>
    <s v="North America"/>
    <n v="0"/>
    <x v="1"/>
    <s v="Dewey North 107º"/>
    <x v="2"/>
    <x v="1"/>
    <s v=""/>
    <s v="Finishing"/>
    <s v="EB &quot;The Traveller US&quot;"/>
    <s v="EvanBanderLLC_TheTravellerUS_Finishing"/>
    <s v="Original"/>
    <n v="47450"/>
    <s v="firm-bid"/>
    <m/>
    <m/>
    <m/>
    <m/>
    <n v="1"/>
    <m/>
    <n v="1"/>
    <m/>
    <m/>
    <m/>
    <m/>
    <m/>
    <m/>
    <s v=""/>
    <m/>
    <s v=""/>
    <s v=""/>
    <m/>
    <s v=""/>
    <s v=""/>
    <m/>
    <m/>
    <m/>
    <m/>
    <m/>
    <s v=""/>
    <m/>
    <m/>
    <s v=""/>
    <s v=""/>
    <s v=""/>
    <m/>
    <s v=""/>
    <m/>
    <m/>
    <s v=""/>
    <s v=""/>
    <m/>
    <m/>
    <m/>
    <m/>
    <s v=""/>
    <m/>
    <m/>
    <s v=""/>
    <s v=""/>
    <m/>
    <s v=""/>
    <m/>
    <m/>
    <m/>
    <m/>
    <m/>
    <s v=""/>
    <s v=""/>
    <n v="0"/>
    <n v="0"/>
    <n v="27083.333333333336"/>
  </r>
  <r>
    <n v="324"/>
    <d v="2023-07-21T18:50:00"/>
    <s v="The Traveller US"/>
    <s v="Alcoholic Beverages"/>
    <s v="North America"/>
    <n v="1"/>
    <x v="1"/>
    <s v="Dewey North 107º"/>
    <x v="2"/>
    <x v="1"/>
    <s v="The Dub House"/>
    <s v="Finishing"/>
    <s v="‚ÄúThe Traveller US‚Äù | Dub House"/>
    <s v="TheDubHouse_TheTravellerUS_Finishing"/>
    <s v="Original"/>
    <n v="18900"/>
    <s v="firm-bid"/>
    <n v="27083.333330000001"/>
    <m/>
    <m/>
    <m/>
    <m/>
    <m/>
    <m/>
    <m/>
    <m/>
    <m/>
    <m/>
    <m/>
    <m/>
    <s v=""/>
    <m/>
    <s v=""/>
    <s v=""/>
    <m/>
    <s v=""/>
    <s v=""/>
    <m/>
    <m/>
    <m/>
    <m/>
    <m/>
    <s v=""/>
    <m/>
    <n v="18900"/>
    <s v=""/>
    <s v=""/>
    <s v=""/>
    <m/>
    <s v=""/>
    <m/>
    <m/>
    <s v=""/>
    <s v=""/>
    <m/>
    <m/>
    <m/>
    <m/>
    <s v=""/>
    <m/>
    <m/>
    <s v=""/>
    <s v=""/>
    <m/>
    <s v=""/>
    <m/>
    <m/>
    <m/>
    <m/>
    <m/>
    <s v=""/>
    <s v=""/>
    <n v="0"/>
    <n v="0"/>
    <n v="27083.333333333336"/>
  </r>
  <r>
    <n v="324"/>
    <d v="2023-07-21T18:50:00"/>
    <s v="The Traveller US"/>
    <s v="Alcoholic Beverages"/>
    <s v="North America"/>
    <n v="0"/>
    <x v="1"/>
    <s v="Dewey North 107º"/>
    <x v="2"/>
    <x v="1"/>
    <s v=""/>
    <s v="Editorial"/>
    <s v="The Traveller US"/>
    <s v="TotalCuts_TheTravellerUS_Edit"/>
    <s v="Original"/>
    <n v="56933.45"/>
    <s v="firm-bid"/>
    <m/>
    <m/>
    <m/>
    <n v="1"/>
    <m/>
    <m/>
    <m/>
    <m/>
    <m/>
    <m/>
    <m/>
    <m/>
    <m/>
    <s v=""/>
    <m/>
    <s v=""/>
    <s v=""/>
    <m/>
    <s v=""/>
    <s v=""/>
    <m/>
    <m/>
    <m/>
    <m/>
    <m/>
    <s v=""/>
    <m/>
    <m/>
    <s v=""/>
    <s v=""/>
    <s v=""/>
    <m/>
    <s v=""/>
    <m/>
    <m/>
    <s v=""/>
    <s v=""/>
    <m/>
    <m/>
    <m/>
    <m/>
    <s v=""/>
    <m/>
    <m/>
    <s v=""/>
    <s v=""/>
    <m/>
    <s v=""/>
    <m/>
    <m/>
    <m/>
    <m/>
    <m/>
    <s v=""/>
    <s v=""/>
    <n v="0"/>
    <n v="0"/>
    <n v="93441.483333333337"/>
  </r>
  <r>
    <n v="324"/>
    <d v="2023-07-21T18:50:00"/>
    <s v="The Traveller US"/>
    <s v="Alcoholic Beverages"/>
    <s v="North America"/>
    <n v="1"/>
    <x v="1"/>
    <s v="Dewey North 107º"/>
    <x v="2"/>
    <x v="1"/>
    <s v="The Closet"/>
    <s v="Editorial"/>
    <s v="The Traveller US"/>
    <s v="TheCloset_TheTravellerUS_Edit"/>
    <s v="Original"/>
    <n v="100975.5833"/>
    <s v="firm-bid"/>
    <n v="93441.483330000003"/>
    <m/>
    <m/>
    <m/>
    <m/>
    <n v="1"/>
    <n v="1"/>
    <m/>
    <m/>
    <m/>
    <m/>
    <m/>
    <m/>
    <s v=""/>
    <m/>
    <s v=""/>
    <s v=""/>
    <m/>
    <s v=""/>
    <s v=""/>
    <n v="13300"/>
    <n v="35300"/>
    <n v="13700"/>
    <n v="11360"/>
    <m/>
    <s v=""/>
    <m/>
    <m/>
    <s v=""/>
    <s v=""/>
    <s v=""/>
    <m/>
    <s v=""/>
    <m/>
    <m/>
    <s v=""/>
    <s v=""/>
    <m/>
    <m/>
    <m/>
    <m/>
    <s v=""/>
    <m/>
    <m/>
    <s v=""/>
    <s v=""/>
    <m/>
    <s v=""/>
    <m/>
    <m/>
    <m/>
    <m/>
    <m/>
    <s v=""/>
    <s v=""/>
    <n v="0"/>
    <n v="0"/>
    <n v="93441.483333333337"/>
  </r>
  <r>
    <n v="324"/>
    <d v="2023-07-21T18:50:00"/>
    <s v="The Traveller US"/>
    <s v="Alcoholic Beverages"/>
    <s v="North America"/>
    <n v="0"/>
    <x v="1"/>
    <s v="Dewey North 107º"/>
    <x v="2"/>
    <x v="1"/>
    <s v=""/>
    <s v="Editorial"/>
    <s v="The Traveller US"/>
    <s v="SaksStreetEdit_TheTravellerUS_Edit"/>
    <s v="Original"/>
    <n v="122415.4167"/>
    <s v="firm-bid"/>
    <m/>
    <m/>
    <m/>
    <m/>
    <m/>
    <m/>
    <n v="1"/>
    <m/>
    <m/>
    <m/>
    <m/>
    <m/>
    <m/>
    <s v=""/>
    <m/>
    <s v=""/>
    <s v=""/>
    <m/>
    <s v=""/>
    <s v=""/>
    <m/>
    <m/>
    <m/>
    <m/>
    <m/>
    <s v=""/>
    <m/>
    <m/>
    <s v=""/>
    <s v=""/>
    <s v=""/>
    <m/>
    <s v=""/>
    <m/>
    <m/>
    <s v=""/>
    <s v=""/>
    <m/>
    <m/>
    <m/>
    <m/>
    <s v=""/>
    <m/>
    <m/>
    <s v=""/>
    <s v=""/>
    <m/>
    <s v=""/>
    <m/>
    <m/>
    <m/>
    <m/>
    <m/>
    <s v=""/>
    <s v=""/>
    <n v="0"/>
    <n v="0"/>
    <n v="93441.483333333337"/>
  </r>
  <r>
    <n v="324"/>
    <d v="2023-07-21T18:50:00"/>
    <s v="The Traveller US"/>
    <s v="Alcoholic Beverages"/>
    <s v="North America"/>
    <n v="0"/>
    <x v="1"/>
    <s v="Dewey North 107º"/>
    <x v="2"/>
    <x v="1"/>
    <s v=""/>
    <s v="Green Production Costs"/>
    <s v="The Traveller (US Version)"/>
    <s v="Club101_SummerFun_Green"/>
    <s v="Original"/>
    <n v="12400"/>
    <s v="firm-bid"/>
    <m/>
    <m/>
    <m/>
    <m/>
    <m/>
    <m/>
    <m/>
    <m/>
    <m/>
    <m/>
    <m/>
    <m/>
    <m/>
    <s v=""/>
    <m/>
    <s v=""/>
    <s v=""/>
    <m/>
    <s v=""/>
    <s v=""/>
    <m/>
    <m/>
    <m/>
    <m/>
    <m/>
    <s v=""/>
    <m/>
    <m/>
    <s v=""/>
    <s v=""/>
    <s v=""/>
    <m/>
    <s v=""/>
    <m/>
    <m/>
    <s v=""/>
    <s v=""/>
    <m/>
    <m/>
    <m/>
    <m/>
    <s v=""/>
    <m/>
    <m/>
    <s v=""/>
    <s v=""/>
    <m/>
    <s v=""/>
    <m/>
    <m/>
    <m/>
    <m/>
    <m/>
    <s v=""/>
    <s v=""/>
    <n v="0"/>
    <n v="0"/>
    <n v="11703.333333333334"/>
  </r>
  <r>
    <n v="324"/>
    <d v="2023-07-21T18:50:00"/>
    <s v="The Traveller US"/>
    <s v="Alcoholic Beverages"/>
    <s v="North America"/>
    <n v="1"/>
    <x v="1"/>
    <s v="Dewey North 107º"/>
    <x v="2"/>
    <x v="1"/>
    <s v="Test Flight Productions"/>
    <s v="Green Production Costs"/>
    <s v="The Traveller (for US)"/>
    <s v="TestFlight_TheTravellerUS_Green"/>
    <s v="Original"/>
    <n v="13750"/>
    <s v="firm-bid"/>
    <n v="11703.333329999999"/>
    <m/>
    <m/>
    <m/>
    <m/>
    <m/>
    <n v="1"/>
    <m/>
    <n v="0"/>
    <n v="0"/>
    <m/>
    <m/>
    <m/>
    <s v=""/>
    <m/>
    <s v=""/>
    <s v=""/>
    <n v="0"/>
    <s v=""/>
    <s v=""/>
    <n v="0"/>
    <m/>
    <n v="0"/>
    <m/>
    <n v="0"/>
    <s v=""/>
    <n v="0"/>
    <m/>
    <s v=""/>
    <s v=""/>
    <s v=""/>
    <n v="0"/>
    <s v=""/>
    <n v="11000"/>
    <m/>
    <s v=""/>
    <s v=""/>
    <n v="0"/>
    <n v="0"/>
    <m/>
    <m/>
    <s v=""/>
    <n v="0"/>
    <n v="0"/>
    <s v=""/>
    <s v=""/>
    <m/>
    <s v=""/>
    <m/>
    <m/>
    <n v="0"/>
    <n v="0"/>
    <n v="0"/>
    <s v=""/>
    <s v=""/>
    <n v="0"/>
    <n v="0"/>
    <n v="11703.333333333334"/>
  </r>
  <r>
    <n v="324"/>
    <d v="2023-07-21T18:50:00"/>
    <s v="The Traveller US"/>
    <s v="Alcoholic Beverages"/>
    <s v="North America"/>
    <n v="0"/>
    <x v="1"/>
    <s v="Dewey North 107º"/>
    <x v="2"/>
    <x v="1"/>
    <s v=""/>
    <s v="Green Production Costs"/>
    <s v="The Traveller US V2"/>
    <s v="CHAW_TheTravellersFriend_Green"/>
    <s v="Original"/>
    <n v="8960"/>
    <s v="firm-bid"/>
    <m/>
    <m/>
    <n v="1"/>
    <m/>
    <m/>
    <m/>
    <n v="1"/>
    <m/>
    <m/>
    <m/>
    <m/>
    <m/>
    <m/>
    <s v=""/>
    <m/>
    <s v=""/>
    <s v=""/>
    <m/>
    <s v=""/>
    <s v=""/>
    <m/>
    <m/>
    <m/>
    <m/>
    <m/>
    <s v=""/>
    <m/>
    <m/>
    <s v=""/>
    <s v=""/>
    <s v=""/>
    <m/>
    <s v=""/>
    <m/>
    <m/>
    <s v=""/>
    <s v=""/>
    <m/>
    <m/>
    <m/>
    <m/>
    <s v=""/>
    <m/>
    <m/>
    <s v=""/>
    <s v=""/>
    <m/>
    <s v=""/>
    <m/>
    <m/>
    <m/>
    <m/>
    <m/>
    <s v=""/>
    <s v=""/>
    <n v="0"/>
    <n v="0"/>
    <n v="11703.333333333334"/>
  </r>
  <r>
    <n v="324"/>
    <d v="2023-07-21T18:50:00"/>
    <s v="The Traveller US"/>
    <s v="Alcoholic Beverages"/>
    <s v="North America"/>
    <n v="0"/>
    <x v="1"/>
    <s v="Dewey North 107º"/>
    <x v="2"/>
    <x v="1"/>
    <s v=""/>
    <s v="Sanitary Production Costs"/>
    <s v="The Traveller (US Version)"/>
    <s v="Club101_TheTravellerUS_Covid"/>
    <s v="Original"/>
    <n v="7010.9750000000004"/>
    <s v="firm-bid"/>
    <m/>
    <m/>
    <m/>
    <m/>
    <m/>
    <m/>
    <m/>
    <m/>
    <m/>
    <m/>
    <m/>
    <m/>
    <m/>
    <s v=""/>
    <m/>
    <s v=""/>
    <s v=""/>
    <m/>
    <s v=""/>
    <s v=""/>
    <m/>
    <m/>
    <m/>
    <m/>
    <m/>
    <s v=""/>
    <m/>
    <m/>
    <s v=""/>
    <s v=""/>
    <s v=""/>
    <m/>
    <s v=""/>
    <m/>
    <m/>
    <s v=""/>
    <s v=""/>
    <m/>
    <m/>
    <m/>
    <m/>
    <s v=""/>
    <m/>
    <m/>
    <s v=""/>
    <s v=""/>
    <m/>
    <s v=""/>
    <m/>
    <m/>
    <m/>
    <m/>
    <m/>
    <s v=""/>
    <s v=""/>
    <n v="0"/>
    <n v="0"/>
    <n v="7058.2400000000007"/>
  </r>
  <r>
    <n v="324"/>
    <d v="2023-07-21T18:50:00"/>
    <s v="The Traveller US"/>
    <s v="Alcoholic Beverages"/>
    <s v="North America"/>
    <n v="1"/>
    <x v="1"/>
    <s v="Dewey North 107º"/>
    <x v="2"/>
    <x v="1"/>
    <s v="Test Flight Productions"/>
    <s v="Sanitary Production Costs"/>
    <s v="The Traveller (for US)"/>
    <s v="TestFlight_TheTravellerUS_Covid"/>
    <s v="Original"/>
    <n v="5317.3125"/>
    <s v="firm-bid"/>
    <n v="7058.24"/>
    <m/>
    <m/>
    <m/>
    <m/>
    <m/>
    <n v="1"/>
    <m/>
    <m/>
    <m/>
    <m/>
    <m/>
    <m/>
    <s v=""/>
    <n v="1850"/>
    <s v=""/>
    <s v=""/>
    <m/>
    <s v=""/>
    <s v=""/>
    <m/>
    <m/>
    <m/>
    <m/>
    <m/>
    <s v=""/>
    <m/>
    <m/>
    <s v=""/>
    <s v=""/>
    <s v=""/>
    <m/>
    <s v=""/>
    <m/>
    <m/>
    <s v=""/>
    <s v=""/>
    <m/>
    <m/>
    <n v="1525"/>
    <m/>
    <s v=""/>
    <m/>
    <m/>
    <s v=""/>
    <s v=""/>
    <m/>
    <s v=""/>
    <m/>
    <m/>
    <m/>
    <m/>
    <m/>
    <s v=""/>
    <s v=""/>
    <n v="0"/>
    <n v="0"/>
    <n v="7058.2400000000007"/>
  </r>
  <r>
    <n v="324"/>
    <d v="2023-07-21T18:50:00"/>
    <s v="The Traveller US"/>
    <s v="Alcoholic Beverages"/>
    <s v="North America"/>
    <n v="0"/>
    <x v="1"/>
    <s v="Dewey North 107º"/>
    <x v="2"/>
    <x v="1"/>
    <s v=""/>
    <s v="Sanitary Production Costs"/>
    <s v="The Traveller US V2"/>
    <s v="CHAW_TheTravellerUS_Covid"/>
    <s v="Original"/>
    <n v="8846.4325000000008"/>
    <s v="firm-bid"/>
    <m/>
    <m/>
    <n v="1"/>
    <m/>
    <m/>
    <m/>
    <n v="1"/>
    <m/>
    <m/>
    <m/>
    <m/>
    <m/>
    <m/>
    <s v=""/>
    <m/>
    <s v=""/>
    <s v=""/>
    <m/>
    <s v=""/>
    <s v=""/>
    <m/>
    <m/>
    <m/>
    <m/>
    <m/>
    <s v=""/>
    <m/>
    <m/>
    <s v=""/>
    <s v=""/>
    <s v=""/>
    <m/>
    <s v=""/>
    <m/>
    <m/>
    <s v=""/>
    <s v=""/>
    <m/>
    <m/>
    <m/>
    <m/>
    <s v=""/>
    <m/>
    <m/>
    <s v=""/>
    <s v=""/>
    <m/>
    <s v=""/>
    <m/>
    <m/>
    <m/>
    <m/>
    <m/>
    <s v=""/>
    <s v=""/>
    <n v="0"/>
    <n v="0"/>
    <n v="7058.2400000000007"/>
  </r>
  <r>
    <n v="324"/>
    <d v="2023-07-21T18:50:00"/>
    <s v="The Traveller US"/>
    <s v="Alcoholic Beverages"/>
    <s v="North America"/>
    <n v="0"/>
    <x v="1"/>
    <s v="Dewey North 107º"/>
    <x v="2"/>
    <x v="1"/>
    <s v=""/>
    <s v="Film &amp; Video Production"/>
    <s v="The Traveller (US Version)"/>
    <s v="Club101_TheTravellerUS_LiveAction"/>
    <s v="Original"/>
    <n v="748472.65919999999"/>
    <s v="firm-bid"/>
    <m/>
    <m/>
    <m/>
    <m/>
    <m/>
    <m/>
    <m/>
    <m/>
    <m/>
    <m/>
    <m/>
    <m/>
    <m/>
    <s v=""/>
    <m/>
    <s v=""/>
    <s v=""/>
    <m/>
    <s v=""/>
    <s v=""/>
    <m/>
    <m/>
    <m/>
    <m/>
    <m/>
    <s v=""/>
    <m/>
    <m/>
    <s v=""/>
    <s v=""/>
    <s v=""/>
    <m/>
    <s v=""/>
    <m/>
    <m/>
    <s v=""/>
    <s v=""/>
    <m/>
    <m/>
    <m/>
    <m/>
    <s v=""/>
    <m/>
    <m/>
    <s v=""/>
    <s v=""/>
    <m/>
    <s v=""/>
    <m/>
    <m/>
    <m/>
    <m/>
    <m/>
    <s v=""/>
    <s v=""/>
    <n v="0"/>
    <n v="0"/>
    <n v="835635.3772333333"/>
  </r>
  <r>
    <n v="324"/>
    <d v="2023-07-21T18:50:00"/>
    <s v="The Traveller US"/>
    <s v="Alcoholic Beverages"/>
    <s v="North America"/>
    <n v="1"/>
    <x v="1"/>
    <s v="Dewey North 107º"/>
    <x v="2"/>
    <x v="1"/>
    <s v="Test Flight Productions"/>
    <s v="Film &amp; Video Production"/>
    <s v="The Traveller (for US)"/>
    <s v="TestFlight_TheTravellerUS_LiveAction"/>
    <s v="Original"/>
    <n v="856318.5"/>
    <s v="firm-bid"/>
    <n v="835635.37719999999"/>
    <m/>
    <m/>
    <m/>
    <m/>
    <m/>
    <n v="1"/>
    <m/>
    <n v="36536.5"/>
    <n v="52700"/>
    <m/>
    <m/>
    <m/>
    <s v=""/>
    <m/>
    <s v=""/>
    <s v=""/>
    <n v="125000"/>
    <s v=""/>
    <s v=""/>
    <n v="0"/>
    <m/>
    <n v="0"/>
    <m/>
    <n v="128200"/>
    <s v=""/>
    <n v="2800"/>
    <m/>
    <s v=""/>
    <s v=""/>
    <s v=""/>
    <n v="39121"/>
    <s v=""/>
    <n v="12200"/>
    <m/>
    <s v=""/>
    <s v=""/>
    <n v="24500"/>
    <n v="121514.25"/>
    <m/>
    <m/>
    <s v=""/>
    <n v="0"/>
    <n v="113163.05"/>
    <s v=""/>
    <s v=""/>
    <m/>
    <s v=""/>
    <m/>
    <m/>
    <n v="29320"/>
    <n v="0"/>
    <n v="0"/>
    <s v=""/>
    <s v=""/>
    <n v="0"/>
    <n v="0"/>
    <n v="835635.3772333333"/>
  </r>
  <r>
    <n v="324"/>
    <d v="2023-07-21T18:50:00"/>
    <s v="The Traveller US"/>
    <s v="Alcoholic Beverages"/>
    <s v="North America"/>
    <n v="0"/>
    <x v="1"/>
    <s v="Dewey North 107º"/>
    <x v="2"/>
    <x v="1"/>
    <s v=""/>
    <s v="Film &amp; Video Production"/>
    <s v="The Traveller US V2"/>
    <s v="CHAW_TheTravellerUS_LiveAction"/>
    <s v="Original"/>
    <n v="902114.97250000003"/>
    <s v="firm-bid"/>
    <m/>
    <m/>
    <n v="1"/>
    <m/>
    <m/>
    <m/>
    <n v="1"/>
    <m/>
    <m/>
    <m/>
    <m/>
    <m/>
    <m/>
    <s v=""/>
    <m/>
    <s v=""/>
    <s v=""/>
    <m/>
    <s v=""/>
    <s v=""/>
    <m/>
    <m/>
    <m/>
    <m/>
    <m/>
    <s v=""/>
    <m/>
    <m/>
    <s v=""/>
    <s v=""/>
    <s v=""/>
    <m/>
    <s v=""/>
    <m/>
    <m/>
    <s v=""/>
    <s v=""/>
    <m/>
    <m/>
    <m/>
    <m/>
    <s v=""/>
    <m/>
    <m/>
    <s v=""/>
    <s v=""/>
    <m/>
    <s v=""/>
    <m/>
    <m/>
    <m/>
    <m/>
    <m/>
    <s v=""/>
    <s v=""/>
    <n v="0"/>
    <n v="0"/>
    <n v="835635.3772333333"/>
  </r>
  <r>
    <n v="326"/>
    <d v="2023-07-21T18:52:00"/>
    <s v="The Traveller Settles Down"/>
    <s v="Alcoholic Beverages"/>
    <s v="North America"/>
    <n v="0"/>
    <x v="1"/>
    <s v="Dewey North 80¬∫"/>
    <x v="2"/>
    <x v="1"/>
    <s v=""/>
    <s v="Audio Post"/>
    <s v="Earwax &quot;The Traveller Settles Down&quot;"/>
    <s v="Earwax"/>
    <s v="Original"/>
    <n v="35540"/>
    <s v="firm-bid"/>
    <m/>
    <m/>
    <m/>
    <m/>
    <m/>
    <m/>
    <m/>
    <m/>
    <m/>
    <m/>
    <m/>
    <m/>
    <m/>
    <s v=""/>
    <m/>
    <s v=""/>
    <s v=""/>
    <m/>
    <s v=""/>
    <s v=""/>
    <m/>
    <m/>
    <m/>
    <m/>
    <m/>
    <s v=""/>
    <m/>
    <m/>
    <s v=""/>
    <s v=""/>
    <s v=""/>
    <m/>
    <s v=""/>
    <m/>
    <m/>
    <s v=""/>
    <s v=""/>
    <m/>
    <m/>
    <m/>
    <m/>
    <s v=""/>
    <m/>
    <m/>
    <s v=""/>
    <s v=""/>
    <m/>
    <s v=""/>
    <m/>
    <m/>
    <m/>
    <m/>
    <m/>
    <s v=""/>
    <s v=""/>
    <n v="0"/>
    <n v="0"/>
    <n v="52025"/>
  </r>
  <r>
    <n v="326"/>
    <d v="2023-07-21T18:52:00"/>
    <s v="The Traveller Settles Down"/>
    <s v="Alcoholic Beverages"/>
    <s v="North America"/>
    <n v="1"/>
    <x v="1"/>
    <s v="Dewey North 80¬∫"/>
    <x v="2"/>
    <x v="1"/>
    <s v="Sound Monster"/>
    <s v="Audio Post"/>
    <s v="Sound Monster&quot;The Traveller Settles Down&quot;"/>
    <s v="Sound Monster"/>
    <s v="Original"/>
    <n v="68510"/>
    <s v="firm-bid"/>
    <n v="52025"/>
    <m/>
    <m/>
    <m/>
    <n v="1"/>
    <m/>
    <m/>
    <m/>
    <m/>
    <m/>
    <n v="68510"/>
    <m/>
    <m/>
    <s v=""/>
    <m/>
    <s v=""/>
    <s v=""/>
    <m/>
    <s v=""/>
    <s v=""/>
    <m/>
    <m/>
    <m/>
    <m/>
    <m/>
    <s v=""/>
    <m/>
    <m/>
    <s v=""/>
    <s v=""/>
    <s v=""/>
    <m/>
    <s v=""/>
    <m/>
    <m/>
    <s v=""/>
    <s v=""/>
    <m/>
    <m/>
    <m/>
    <m/>
    <s v=""/>
    <m/>
    <m/>
    <s v=""/>
    <s v=""/>
    <m/>
    <s v=""/>
    <m/>
    <m/>
    <m/>
    <m/>
    <m/>
    <s v=""/>
    <s v=""/>
    <n v="0"/>
    <n v="0"/>
    <n v="52025"/>
  </r>
  <r>
    <n v="326"/>
    <d v="2023-07-21T18:52:00"/>
    <s v="The Traveller Settles Down"/>
    <s v="Alcoholic Beverages"/>
    <s v="North America"/>
    <n v="0"/>
    <x v="1"/>
    <s v="Dewey North 80¬∫"/>
    <x v="2"/>
    <x v="1"/>
    <s v=""/>
    <s v="Music"/>
    <s v="&quot;The Traveller Settles Down&quot; v2"/>
    <s v="M52_TheTravellerSettlesDown_Music"/>
    <s v="Original"/>
    <n v="8600"/>
    <s v="firm-bid"/>
    <m/>
    <n v="1"/>
    <m/>
    <m/>
    <m/>
    <n v="1"/>
    <m/>
    <m/>
    <m/>
    <m/>
    <m/>
    <m/>
    <m/>
    <s v=""/>
    <m/>
    <s v=""/>
    <s v=""/>
    <m/>
    <s v=""/>
    <s v=""/>
    <m/>
    <m/>
    <m/>
    <m/>
    <m/>
    <s v=""/>
    <m/>
    <m/>
    <s v=""/>
    <s v=""/>
    <s v=""/>
    <m/>
    <s v=""/>
    <m/>
    <m/>
    <s v=""/>
    <s v=""/>
    <m/>
    <m/>
    <m/>
    <m/>
    <s v=""/>
    <m/>
    <m/>
    <s v=""/>
    <s v=""/>
    <m/>
    <s v=""/>
    <m/>
    <m/>
    <m/>
    <m/>
    <m/>
    <s v=""/>
    <s v=""/>
    <n v="8600"/>
    <n v="0"/>
    <n v="40166.666666666672"/>
  </r>
  <r>
    <n v="326"/>
    <d v="2023-07-21T18:52:00"/>
    <s v="The Traveller Settles Down"/>
    <s v="Alcoholic Beverages"/>
    <s v="North America"/>
    <n v="1"/>
    <x v="1"/>
    <s v="Dewey North 80¬∫"/>
    <x v="2"/>
    <x v="1"/>
    <s v="Love Language"/>
    <s v="Music"/>
    <s v="Love Language &quot;The Traveller Settles Down&quot; v2"/>
    <s v="LoveLanguage_TheTravellerSettlesDown_Music"/>
    <s v="Original"/>
    <n v="52150"/>
    <s v="firm-bid"/>
    <n v="40166.666669999999"/>
    <m/>
    <m/>
    <m/>
    <m/>
    <m/>
    <m/>
    <m/>
    <m/>
    <m/>
    <m/>
    <m/>
    <m/>
    <s v=""/>
    <m/>
    <s v=""/>
    <s v=""/>
    <m/>
    <s v=""/>
    <s v=""/>
    <m/>
    <m/>
    <m/>
    <m/>
    <m/>
    <s v=""/>
    <m/>
    <m/>
    <s v=""/>
    <s v=""/>
    <s v=""/>
    <m/>
    <s v=""/>
    <m/>
    <n v="52150"/>
    <s v=""/>
    <s v=""/>
    <m/>
    <m/>
    <m/>
    <m/>
    <s v=""/>
    <m/>
    <m/>
    <s v=""/>
    <s v=""/>
    <m/>
    <s v=""/>
    <m/>
    <m/>
    <m/>
    <m/>
    <m/>
    <s v=""/>
    <s v=""/>
    <n v="0"/>
    <n v="0"/>
    <n v="40166.666666666672"/>
  </r>
  <r>
    <n v="326"/>
    <d v="2023-07-21T18:52:00"/>
    <s v="The Traveller Settles Down"/>
    <s v="Alcoholic Beverages"/>
    <s v="North America"/>
    <n v="0"/>
    <x v="1"/>
    <s v="Dewey North 80¬∫"/>
    <x v="2"/>
    <x v="1"/>
    <s v=""/>
    <s v="Music"/>
    <s v="T+L for &quot;Dewey North - The Traveller Settles Down&quot;"/>
    <s v="ToneandLogic_TheTravellerSettlesDown_Music"/>
    <s v="Original"/>
    <n v="59750"/>
    <s v="firm-bid"/>
    <m/>
    <m/>
    <m/>
    <m/>
    <m/>
    <m/>
    <n v="1"/>
    <m/>
    <m/>
    <m/>
    <m/>
    <m/>
    <m/>
    <s v=""/>
    <m/>
    <s v=""/>
    <s v=""/>
    <m/>
    <s v=""/>
    <s v=""/>
    <m/>
    <m/>
    <m/>
    <m/>
    <m/>
    <s v=""/>
    <m/>
    <m/>
    <s v=""/>
    <s v=""/>
    <s v=""/>
    <m/>
    <s v=""/>
    <m/>
    <m/>
    <s v=""/>
    <s v=""/>
    <m/>
    <m/>
    <m/>
    <m/>
    <s v=""/>
    <m/>
    <m/>
    <s v=""/>
    <s v=""/>
    <m/>
    <s v=""/>
    <m/>
    <m/>
    <m/>
    <m/>
    <m/>
    <s v=""/>
    <s v=""/>
    <n v="0"/>
    <n v="0"/>
    <n v="40166.666666666672"/>
  </r>
  <r>
    <n v="326"/>
    <d v="2023-07-21T18:52:00"/>
    <s v="The Traveller Settles Down"/>
    <s v="Alcoholic Beverages"/>
    <s v="North America"/>
    <n v="1"/>
    <x v="1"/>
    <s v="Dewey North 80¬∫"/>
    <x v="2"/>
    <x v="1"/>
    <s v="Sorcery"/>
    <s v="VFX"/>
    <s v="v5 - &quot;The Traveller Settles Down&quot; //SORCERY"/>
    <s v="Sorcery_TheTravellerSettlesDown_VFX"/>
    <s v="Original"/>
    <n v="80541.5"/>
    <s v="firm-bid"/>
    <n v="79204.666670000006"/>
    <m/>
    <m/>
    <m/>
    <m/>
    <m/>
    <m/>
    <n v="44625"/>
    <m/>
    <m/>
    <m/>
    <m/>
    <m/>
    <s v=""/>
    <m/>
    <s v=""/>
    <s v=""/>
    <m/>
    <s v=""/>
    <s v=""/>
    <m/>
    <m/>
    <m/>
    <m/>
    <m/>
    <s v=""/>
    <n v="6500"/>
    <n v="5250"/>
    <s v=""/>
    <s v=""/>
    <s v=""/>
    <m/>
    <s v=""/>
    <n v="0"/>
    <m/>
    <s v=""/>
    <s v=""/>
    <m/>
    <m/>
    <m/>
    <n v="5580"/>
    <s v=""/>
    <m/>
    <m/>
    <s v=""/>
    <s v=""/>
    <m/>
    <s v=""/>
    <m/>
    <m/>
    <m/>
    <m/>
    <m/>
    <s v=""/>
    <s v=""/>
    <n v="0"/>
    <n v="0"/>
    <n v="79204.666666666672"/>
  </r>
  <r>
    <n v="326"/>
    <d v="2023-07-21T18:52:00"/>
    <s v="The Traveller Settles Down"/>
    <s v="Alcoholic Beverages"/>
    <s v="North America"/>
    <n v="0"/>
    <x v="1"/>
    <s v="Dewey North 80¬∫"/>
    <x v="2"/>
    <x v="1"/>
    <s v=""/>
    <s v="VFX"/>
    <s v="&quot;The Traveller Settles Down&quot; JOB #4001"/>
    <s v="TerminalOutput_TheTravellerSettlesDown_VFX"/>
    <s v="Original"/>
    <n v="92170"/>
    <s v="firm-bid"/>
    <m/>
    <m/>
    <m/>
    <m/>
    <m/>
    <m/>
    <m/>
    <m/>
    <m/>
    <m/>
    <m/>
    <m/>
    <m/>
    <s v=""/>
    <m/>
    <s v=""/>
    <s v=""/>
    <m/>
    <s v=""/>
    <s v=""/>
    <m/>
    <m/>
    <m/>
    <m/>
    <m/>
    <s v=""/>
    <m/>
    <m/>
    <s v=""/>
    <s v=""/>
    <s v=""/>
    <m/>
    <s v=""/>
    <m/>
    <m/>
    <s v=""/>
    <s v=""/>
    <m/>
    <m/>
    <m/>
    <m/>
    <s v=""/>
    <m/>
    <m/>
    <s v=""/>
    <s v=""/>
    <m/>
    <s v=""/>
    <m/>
    <m/>
    <m/>
    <m/>
    <m/>
    <s v=""/>
    <s v=""/>
    <n v="0"/>
    <n v="0"/>
    <n v="79204.666666666672"/>
  </r>
  <r>
    <n v="326"/>
    <d v="2023-07-21T18:52:00"/>
    <s v="The Traveller Settles Down"/>
    <s v="Alcoholic Beverages"/>
    <s v="North America"/>
    <n v="0"/>
    <x v="1"/>
    <s v="Dewey North 80¬∫"/>
    <x v="2"/>
    <x v="1"/>
    <s v=""/>
    <s v="VFX"/>
    <s v="&quot;The Traveller Settles Down&quot; by CJ #4"/>
    <s v="CalamityJane_TheTravellerSettlesDown_VFX"/>
    <s v="Original"/>
    <n v="64902.5"/>
    <s v="firm-bid"/>
    <m/>
    <m/>
    <m/>
    <m/>
    <m/>
    <n v="1"/>
    <m/>
    <m/>
    <m/>
    <m/>
    <m/>
    <m/>
    <m/>
    <s v=""/>
    <m/>
    <s v=""/>
    <s v=""/>
    <m/>
    <s v=""/>
    <s v=""/>
    <m/>
    <m/>
    <m/>
    <m/>
    <m/>
    <s v=""/>
    <m/>
    <m/>
    <s v=""/>
    <s v=""/>
    <s v=""/>
    <m/>
    <s v=""/>
    <m/>
    <m/>
    <s v=""/>
    <s v=""/>
    <m/>
    <m/>
    <m/>
    <m/>
    <s v=""/>
    <m/>
    <m/>
    <s v=""/>
    <s v=""/>
    <m/>
    <s v=""/>
    <m/>
    <m/>
    <m/>
    <m/>
    <m/>
    <s v=""/>
    <s v=""/>
    <n v="0"/>
    <n v="0"/>
    <n v="79204.666666666672"/>
  </r>
  <r>
    <n v="326"/>
    <d v="2023-07-21T18:52:00"/>
    <s v="The Traveller Settles Down"/>
    <s v="Alcoholic Beverages"/>
    <s v="North America"/>
    <n v="0"/>
    <x v="1"/>
    <s v="Dewey North 80¬∫"/>
    <x v="2"/>
    <x v="1"/>
    <s v=""/>
    <s v="Finishing"/>
    <s v="The Traveller Settles Down Burnish"/>
    <s v="Burnish_TheTravellerSettlesDown_Finishing"/>
    <s v="Original"/>
    <n v="8850"/>
    <s v="firm-bid"/>
    <m/>
    <m/>
    <m/>
    <m/>
    <m/>
    <n v="1"/>
    <m/>
    <m/>
    <m/>
    <m/>
    <m/>
    <m/>
    <m/>
    <s v=""/>
    <m/>
    <s v=""/>
    <s v=""/>
    <m/>
    <s v=""/>
    <s v=""/>
    <m/>
    <m/>
    <m/>
    <m/>
    <m/>
    <s v=""/>
    <m/>
    <m/>
    <s v=""/>
    <s v=""/>
    <s v=""/>
    <m/>
    <s v=""/>
    <m/>
    <m/>
    <s v=""/>
    <s v=""/>
    <m/>
    <m/>
    <m/>
    <m/>
    <s v=""/>
    <m/>
    <m/>
    <s v=""/>
    <s v=""/>
    <m/>
    <s v=""/>
    <m/>
    <m/>
    <m/>
    <m/>
    <m/>
    <s v=""/>
    <s v=""/>
    <n v="0"/>
    <n v="0"/>
    <n v="18050"/>
  </r>
  <r>
    <n v="326"/>
    <d v="2023-07-21T18:52:00"/>
    <s v="The Traveller Settles Down"/>
    <s v="Alcoholic Beverages"/>
    <s v="North America"/>
    <n v="1"/>
    <x v="1"/>
    <s v="Dewey North 80¬∫"/>
    <x v="2"/>
    <x v="1"/>
    <s v="Witness"/>
    <s v="Finishing"/>
    <s v="WITNESS:: The Traveller Settles Down_x0009_V2"/>
    <s v="Witness_TheTravellerSettlesDown_Finishing"/>
    <s v="Original"/>
    <n v="28600"/>
    <s v="firm-bid"/>
    <n v="18050"/>
    <m/>
    <m/>
    <n v="1"/>
    <n v="1"/>
    <m/>
    <m/>
    <m/>
    <m/>
    <m/>
    <m/>
    <m/>
    <m/>
    <s v=""/>
    <m/>
    <s v=""/>
    <s v=""/>
    <m/>
    <s v=""/>
    <s v=""/>
    <m/>
    <m/>
    <m/>
    <m/>
    <m/>
    <s v=""/>
    <m/>
    <n v="28600"/>
    <s v=""/>
    <s v=""/>
    <s v=""/>
    <m/>
    <s v=""/>
    <m/>
    <m/>
    <s v=""/>
    <s v=""/>
    <m/>
    <m/>
    <m/>
    <m/>
    <s v=""/>
    <m/>
    <m/>
    <s v=""/>
    <s v=""/>
    <m/>
    <s v=""/>
    <m/>
    <m/>
    <m/>
    <m/>
    <m/>
    <s v=""/>
    <s v=""/>
    <n v="0"/>
    <n v="0"/>
    <n v="18050"/>
  </r>
  <r>
    <n v="326"/>
    <d v="2023-07-21T18:52:00"/>
    <s v="The Traveller Settles Down"/>
    <s v="Alcoholic Beverages"/>
    <s v="North America"/>
    <n v="0"/>
    <x v="1"/>
    <s v="Dewey North 80¬∫"/>
    <x v="2"/>
    <x v="1"/>
    <s v=""/>
    <s v="Finishing"/>
    <s v="colorMaven &quot;The Traveller Settles Down&quot;"/>
    <s v=""/>
    <s v="Original"/>
    <n v="16700"/>
    <s v="firm-bid"/>
    <m/>
    <m/>
    <m/>
    <m/>
    <m/>
    <n v="1"/>
    <m/>
    <m/>
    <m/>
    <m/>
    <m/>
    <m/>
    <m/>
    <s v=""/>
    <m/>
    <s v=""/>
    <s v=""/>
    <m/>
    <s v=""/>
    <s v=""/>
    <m/>
    <m/>
    <m/>
    <m/>
    <m/>
    <s v=""/>
    <m/>
    <m/>
    <s v=""/>
    <s v=""/>
    <s v=""/>
    <m/>
    <s v=""/>
    <m/>
    <m/>
    <s v=""/>
    <s v=""/>
    <m/>
    <m/>
    <m/>
    <m/>
    <s v=""/>
    <m/>
    <m/>
    <s v=""/>
    <s v=""/>
    <m/>
    <s v=""/>
    <m/>
    <m/>
    <m/>
    <m/>
    <m/>
    <s v=""/>
    <s v=""/>
    <n v="0"/>
    <n v="0"/>
    <n v="18050"/>
  </r>
  <r>
    <n v="326"/>
    <d v="2023-07-21T18:52:00"/>
    <s v="The Traveller Settles Down"/>
    <s v="Alcoholic Beverages"/>
    <s v="North America"/>
    <n v="0"/>
    <x v="1"/>
    <s v="Dewey North 80¬∫"/>
    <x v="2"/>
    <x v="1"/>
    <s v=""/>
    <s v="Editorial"/>
    <s v="The Traveller Settles Down"/>
    <s v="ToTo_TheTravellerSettlesDown_Edit"/>
    <s v="Original"/>
    <n v="112476.875"/>
    <s v="firm-bid"/>
    <m/>
    <m/>
    <m/>
    <m/>
    <m/>
    <m/>
    <m/>
    <m/>
    <m/>
    <m/>
    <m/>
    <m/>
    <m/>
    <s v=""/>
    <m/>
    <s v=""/>
    <s v=""/>
    <m/>
    <s v=""/>
    <s v=""/>
    <m/>
    <m/>
    <m/>
    <m/>
    <m/>
    <s v=""/>
    <m/>
    <m/>
    <s v=""/>
    <s v=""/>
    <s v=""/>
    <m/>
    <s v=""/>
    <m/>
    <m/>
    <s v=""/>
    <s v=""/>
    <m/>
    <m/>
    <m/>
    <m/>
    <s v=""/>
    <m/>
    <m/>
    <s v=""/>
    <s v=""/>
    <m/>
    <s v=""/>
    <m/>
    <m/>
    <m/>
    <m/>
    <m/>
    <s v=""/>
    <s v=""/>
    <n v="0"/>
    <n v="0"/>
    <n v="100943.59723333333"/>
  </r>
  <r>
    <n v="326"/>
    <d v="2023-07-21T18:52:00"/>
    <s v="The Traveller Settles Down"/>
    <s v="Alcoholic Beverages"/>
    <s v="North America"/>
    <n v="1"/>
    <x v="1"/>
    <s v="Dewey North 80¬∫"/>
    <x v="2"/>
    <x v="1"/>
    <s v="Armistice Edit"/>
    <s v="Editorial"/>
    <s v="The Traveller Settles Down"/>
    <s v="Armistace_TheTravellerSettlesDown_Edit"/>
    <s v="Original"/>
    <n v="111615.9917"/>
    <s v="firm-bid"/>
    <n v="100943.5972"/>
    <m/>
    <m/>
    <m/>
    <m/>
    <m/>
    <m/>
    <m/>
    <m/>
    <m/>
    <m/>
    <m/>
    <m/>
    <s v=""/>
    <m/>
    <s v=""/>
    <s v=""/>
    <m/>
    <s v=""/>
    <s v=""/>
    <n v="34250"/>
    <n v="15700"/>
    <n v="10700"/>
    <n v="20772"/>
    <m/>
    <s v=""/>
    <m/>
    <m/>
    <s v=""/>
    <s v=""/>
    <s v=""/>
    <m/>
    <s v=""/>
    <m/>
    <m/>
    <s v=""/>
    <s v=""/>
    <m/>
    <m/>
    <m/>
    <m/>
    <s v=""/>
    <m/>
    <m/>
    <s v=""/>
    <s v=""/>
    <m/>
    <s v=""/>
    <m/>
    <m/>
    <m/>
    <m/>
    <m/>
    <s v=""/>
    <s v=""/>
    <n v="0"/>
    <n v="0"/>
    <n v="100943.59723333333"/>
  </r>
  <r>
    <n v="326"/>
    <d v="2023-07-21T18:52:00"/>
    <s v="The Traveller Settles Down"/>
    <s v="Alcoholic Beverages"/>
    <s v="North America"/>
    <n v="0"/>
    <x v="1"/>
    <s v="Dewey North 80¬∫"/>
    <x v="2"/>
    <x v="1"/>
    <s v=""/>
    <s v="Editorial"/>
    <s v="The Traveller Settles Down"/>
    <s v="MyrtleRow_TheTravellerSettlesDown_Edit"/>
    <s v="Original"/>
    <n v="78737.925000000003"/>
    <s v="firm-bid"/>
    <m/>
    <m/>
    <m/>
    <m/>
    <m/>
    <m/>
    <n v="1"/>
    <m/>
    <m/>
    <m/>
    <m/>
    <m/>
    <m/>
    <s v=""/>
    <m/>
    <s v=""/>
    <s v=""/>
    <m/>
    <s v=""/>
    <s v=""/>
    <m/>
    <m/>
    <m/>
    <m/>
    <m/>
    <s v=""/>
    <m/>
    <m/>
    <s v=""/>
    <s v=""/>
    <s v=""/>
    <m/>
    <s v=""/>
    <m/>
    <m/>
    <s v=""/>
    <s v=""/>
    <m/>
    <m/>
    <m/>
    <m/>
    <s v=""/>
    <m/>
    <m/>
    <s v=""/>
    <s v=""/>
    <m/>
    <s v=""/>
    <m/>
    <m/>
    <m/>
    <m/>
    <m/>
    <s v=""/>
    <s v=""/>
    <n v="0"/>
    <n v="0"/>
    <n v="100943.59723333333"/>
  </r>
  <r>
    <n v="326"/>
    <d v="2023-07-21T18:52:00"/>
    <s v="The Traveller Settles Down"/>
    <s v="Alcoholic Beverages"/>
    <s v="North America"/>
    <n v="0"/>
    <x v="1"/>
    <s v="Dewey North 80¬∫"/>
    <x v="2"/>
    <x v="1"/>
    <s v=""/>
    <s v="Green Production Costs"/>
    <s v="TTSD"/>
    <s v="Interstate_TheTravellerSettlesDown_Green"/>
    <s v="Original"/>
    <n v="6875"/>
    <s v="firm-bid"/>
    <m/>
    <m/>
    <m/>
    <m/>
    <m/>
    <n v="1"/>
    <m/>
    <m/>
    <m/>
    <m/>
    <m/>
    <m/>
    <m/>
    <s v=""/>
    <m/>
    <s v=""/>
    <s v=""/>
    <m/>
    <s v=""/>
    <s v=""/>
    <m/>
    <m/>
    <m/>
    <m/>
    <m/>
    <s v=""/>
    <m/>
    <m/>
    <s v=""/>
    <s v=""/>
    <s v=""/>
    <m/>
    <s v=""/>
    <m/>
    <m/>
    <s v=""/>
    <s v=""/>
    <m/>
    <m/>
    <m/>
    <m/>
    <s v=""/>
    <m/>
    <m/>
    <s v=""/>
    <s v=""/>
    <m/>
    <s v=""/>
    <m/>
    <m/>
    <m/>
    <m/>
    <m/>
    <s v=""/>
    <s v=""/>
    <n v="0"/>
    <n v="0"/>
    <n v="8766.3333333333339"/>
  </r>
  <r>
    <n v="326"/>
    <d v="2023-07-21T18:52:00"/>
    <s v="The Traveller Settles Down"/>
    <s v="Alcoholic Beverages"/>
    <s v="North America"/>
    <n v="1"/>
    <x v="1"/>
    <s v="Dewey North 80¬∫"/>
    <x v="2"/>
    <x v="1"/>
    <s v="Open Frameworks Image Creation"/>
    <s v="Green Production Costs"/>
    <s v="The Traveller Settles Down"/>
    <s v="OpenFrameworks_TheTravellerSettlesDown_Green"/>
    <s v="Original"/>
    <n v="8928"/>
    <s v="firm-bid"/>
    <n v="8766.3333330000005"/>
    <n v="1"/>
    <n v="1"/>
    <m/>
    <m/>
    <m/>
    <m/>
    <m/>
    <n v="0"/>
    <n v="0"/>
    <m/>
    <m/>
    <m/>
    <s v=""/>
    <m/>
    <s v=""/>
    <s v=""/>
    <n v="0"/>
    <s v=""/>
    <s v=""/>
    <n v="0"/>
    <m/>
    <n v="0"/>
    <m/>
    <n v="0"/>
    <s v=""/>
    <n v="0"/>
    <m/>
    <s v=""/>
    <s v=""/>
    <s v=""/>
    <n v="0"/>
    <s v=""/>
    <n v="7200"/>
    <m/>
    <s v=""/>
    <s v=""/>
    <n v="0"/>
    <n v="0"/>
    <m/>
    <m/>
    <s v=""/>
    <n v="0"/>
    <n v="0"/>
    <s v=""/>
    <s v=""/>
    <m/>
    <s v=""/>
    <m/>
    <m/>
    <n v="0"/>
    <n v="0"/>
    <n v="0"/>
    <s v=""/>
    <s v=""/>
    <n v="8928"/>
    <n v="8928"/>
    <n v="8766.3333333333339"/>
  </r>
  <r>
    <n v="326"/>
    <d v="2023-07-21T18:52:00"/>
    <s v="The Traveller Settles Down"/>
    <s v="Alcoholic Beverages"/>
    <s v="North America"/>
    <n v="0"/>
    <x v="1"/>
    <s v="Dewey North 80¬∫"/>
    <x v="2"/>
    <x v="1"/>
    <s v=""/>
    <s v="Green Production Costs"/>
    <s v="TTSD"/>
    <s v="Petulant_TheTravellerSettlesDown_Green"/>
    <s v="Original"/>
    <n v="10496"/>
    <s v="firm-bid"/>
    <m/>
    <n v="1"/>
    <m/>
    <m/>
    <m/>
    <m/>
    <m/>
    <m/>
    <m/>
    <m/>
    <m/>
    <m/>
    <m/>
    <s v=""/>
    <m/>
    <s v=""/>
    <s v=""/>
    <m/>
    <s v=""/>
    <s v=""/>
    <m/>
    <m/>
    <m/>
    <m/>
    <m/>
    <s v=""/>
    <m/>
    <m/>
    <s v=""/>
    <s v=""/>
    <s v=""/>
    <m/>
    <s v=""/>
    <m/>
    <m/>
    <s v=""/>
    <s v=""/>
    <m/>
    <m/>
    <m/>
    <m/>
    <s v=""/>
    <m/>
    <m/>
    <s v=""/>
    <s v=""/>
    <m/>
    <s v=""/>
    <m/>
    <m/>
    <m/>
    <m/>
    <m/>
    <s v=""/>
    <s v=""/>
    <n v="10496"/>
    <n v="0"/>
    <n v="8766.3333333333339"/>
  </r>
  <r>
    <n v="326"/>
    <d v="2023-07-21T18:52:00"/>
    <s v="The Traveller Settles Down"/>
    <s v="Alcoholic Beverages"/>
    <s v="North America"/>
    <n v="0"/>
    <x v="1"/>
    <s v="Dewey North 80¬∫"/>
    <x v="2"/>
    <x v="1"/>
    <s v=""/>
    <s v="Sanitary Production Costs"/>
    <s v="TTSD"/>
    <s v="Interstate_TheTravellerSettlesDown_Covid"/>
    <s v="Original"/>
    <n v="10484.952499999999"/>
    <s v="firm-bid"/>
    <m/>
    <m/>
    <m/>
    <m/>
    <m/>
    <n v="1"/>
    <m/>
    <m/>
    <m/>
    <m/>
    <m/>
    <m/>
    <m/>
    <s v=""/>
    <m/>
    <s v=""/>
    <s v=""/>
    <m/>
    <s v=""/>
    <s v=""/>
    <m/>
    <m/>
    <m/>
    <m/>
    <m/>
    <s v=""/>
    <m/>
    <m/>
    <s v=""/>
    <s v=""/>
    <s v=""/>
    <m/>
    <s v=""/>
    <m/>
    <m/>
    <s v=""/>
    <s v=""/>
    <m/>
    <m/>
    <m/>
    <m/>
    <s v=""/>
    <m/>
    <m/>
    <s v=""/>
    <s v=""/>
    <m/>
    <s v=""/>
    <m/>
    <m/>
    <m/>
    <m/>
    <m/>
    <s v=""/>
    <s v=""/>
    <n v="0"/>
    <n v="0"/>
    <n v="7291.939166666667"/>
  </r>
  <r>
    <n v="326"/>
    <d v="2023-07-21T18:52:00"/>
    <s v="The Traveller Settles Down"/>
    <s v="Alcoholic Beverages"/>
    <s v="North America"/>
    <n v="1"/>
    <x v="1"/>
    <s v="Dewey North 80¬∫"/>
    <x v="2"/>
    <x v="1"/>
    <s v="Open Frameworks Image Creation"/>
    <s v="Sanitary Production Costs"/>
    <s v="The Traveller Settles Down"/>
    <s v="OpenFrameworks_TheTravellerSettlesDown_Covid"/>
    <s v="Original"/>
    <n v="6664.3649999999998"/>
    <s v="firm-bid"/>
    <n v="7291.9391670000005"/>
    <n v="1"/>
    <n v="1"/>
    <m/>
    <m/>
    <m/>
    <m/>
    <m/>
    <m/>
    <m/>
    <m/>
    <m/>
    <m/>
    <s v=""/>
    <n v="2700"/>
    <s v=""/>
    <s v=""/>
    <m/>
    <s v=""/>
    <s v=""/>
    <m/>
    <m/>
    <m/>
    <m/>
    <m/>
    <s v=""/>
    <m/>
    <m/>
    <s v=""/>
    <s v=""/>
    <s v=""/>
    <m/>
    <s v=""/>
    <m/>
    <m/>
    <s v=""/>
    <s v=""/>
    <m/>
    <m/>
    <n v="1530"/>
    <m/>
    <s v=""/>
    <m/>
    <m/>
    <s v=""/>
    <s v=""/>
    <m/>
    <s v=""/>
    <m/>
    <m/>
    <m/>
    <m/>
    <m/>
    <s v=""/>
    <s v=""/>
    <n v="6664.3649999999998"/>
    <n v="6664.3649999999998"/>
    <n v="7291.939166666667"/>
  </r>
  <r>
    <n v="326"/>
    <d v="2023-07-21T18:52:00"/>
    <s v="The Traveller Settles Down"/>
    <s v="Alcoholic Beverages"/>
    <s v="North America"/>
    <n v="0"/>
    <x v="1"/>
    <s v="Dewey North 80¬∫"/>
    <x v="2"/>
    <x v="1"/>
    <s v=""/>
    <s v="Sanitary Production Costs"/>
    <s v="TTSD"/>
    <s v="Petulant_TheTravellerSettlesDown_Covid"/>
    <s v="Original"/>
    <n v="4726.5"/>
    <s v="firm-bid"/>
    <m/>
    <n v="1"/>
    <m/>
    <m/>
    <m/>
    <m/>
    <m/>
    <m/>
    <m/>
    <m/>
    <m/>
    <m/>
    <m/>
    <s v=""/>
    <m/>
    <s v=""/>
    <s v=""/>
    <m/>
    <s v=""/>
    <s v=""/>
    <m/>
    <m/>
    <m/>
    <m/>
    <m/>
    <s v=""/>
    <m/>
    <m/>
    <s v=""/>
    <s v=""/>
    <s v=""/>
    <m/>
    <s v=""/>
    <m/>
    <m/>
    <s v=""/>
    <s v=""/>
    <m/>
    <m/>
    <m/>
    <m/>
    <s v=""/>
    <m/>
    <m/>
    <s v=""/>
    <s v=""/>
    <m/>
    <s v=""/>
    <m/>
    <m/>
    <m/>
    <m/>
    <m/>
    <s v=""/>
    <s v=""/>
    <n v="4726.5"/>
    <n v="0"/>
    <n v="7291.939166666667"/>
  </r>
  <r>
    <n v="326"/>
    <d v="2023-07-21T18:52:00"/>
    <s v="The Traveller Settles Down"/>
    <s v="Alcoholic Beverages"/>
    <s v="North America"/>
    <n v="0"/>
    <x v="1"/>
    <s v="Dewey North 80¬∫"/>
    <x v="2"/>
    <x v="1"/>
    <s v=""/>
    <s v="Film &amp; Video Production"/>
    <s v="TTSD"/>
    <s v="Interstate_TheTravellerSettlesDown_LiveAction"/>
    <s v="Original"/>
    <n v="702418.88"/>
    <s v="firm-bid"/>
    <m/>
    <m/>
    <m/>
    <m/>
    <m/>
    <n v="1"/>
    <m/>
    <m/>
    <m/>
    <m/>
    <m/>
    <m/>
    <m/>
    <s v=""/>
    <m/>
    <s v=""/>
    <s v=""/>
    <m/>
    <s v=""/>
    <s v=""/>
    <m/>
    <m/>
    <m/>
    <m/>
    <m/>
    <s v=""/>
    <m/>
    <m/>
    <s v=""/>
    <s v=""/>
    <s v=""/>
    <m/>
    <s v=""/>
    <m/>
    <m/>
    <s v=""/>
    <s v=""/>
    <m/>
    <m/>
    <m/>
    <m/>
    <s v=""/>
    <m/>
    <m/>
    <s v=""/>
    <s v=""/>
    <m/>
    <s v=""/>
    <m/>
    <m/>
    <m/>
    <m/>
    <m/>
    <s v=""/>
    <s v=""/>
    <n v="0"/>
    <n v="0"/>
    <n v="656708.28960000002"/>
  </r>
  <r>
    <n v="326"/>
    <d v="2023-07-21T18:52:00"/>
    <s v="The Traveller Settles Down"/>
    <s v="Alcoholic Beverages"/>
    <s v="North America"/>
    <n v="1"/>
    <x v="1"/>
    <s v="Dewey North 80¬∫"/>
    <x v="2"/>
    <x v="1"/>
    <s v="Open Frameworks Image Creation"/>
    <s v="Film &amp; Video Production"/>
    <s v="The Traveller Settles Down"/>
    <s v="OpenFrameworks_TheTravellerSettlesDown_LiveAction"/>
    <s v="Original"/>
    <n v="621332.42879999999"/>
    <s v="firm-bid"/>
    <n v="656708.28960000002"/>
    <n v="1"/>
    <n v="1"/>
    <m/>
    <m/>
    <m/>
    <m/>
    <m/>
    <n v="31924.75"/>
    <n v="33650"/>
    <m/>
    <m/>
    <m/>
    <s v=""/>
    <m/>
    <s v=""/>
    <s v=""/>
    <n v="90000"/>
    <s v=""/>
    <s v=""/>
    <n v="0"/>
    <m/>
    <n v="0"/>
    <m/>
    <n v="29700"/>
    <s v=""/>
    <n v="4200"/>
    <m/>
    <s v=""/>
    <s v=""/>
    <s v=""/>
    <n v="41424"/>
    <s v=""/>
    <n v="1200"/>
    <m/>
    <s v=""/>
    <s v=""/>
    <n v="31500"/>
    <n v="97204.25"/>
    <m/>
    <m/>
    <s v=""/>
    <n v="10000"/>
    <n v="87332.96"/>
    <s v=""/>
    <s v=""/>
    <m/>
    <s v=""/>
    <m/>
    <m/>
    <n v="27280"/>
    <n v="0"/>
    <n v="0"/>
    <s v=""/>
    <s v=""/>
    <n v="621332.42879999999"/>
    <n v="621332.42879999999"/>
    <n v="656708.28960000002"/>
  </r>
  <r>
    <n v="326"/>
    <d v="2023-07-21T18:52:00"/>
    <s v="The Traveller Settles Down"/>
    <s v="Alcoholic Beverages"/>
    <s v="North America"/>
    <n v="0"/>
    <x v="1"/>
    <s v="Dewey North 80¬∫"/>
    <x v="2"/>
    <x v="1"/>
    <s v=""/>
    <s v="Film &amp; Video Production"/>
    <s v="TTSD"/>
    <s v="Petulant_TheTravellerSettlesDown_LiveAction"/>
    <s v="Original"/>
    <n v="646373.56000000006"/>
    <s v="firm-bid"/>
    <m/>
    <n v="1"/>
    <m/>
    <m/>
    <m/>
    <m/>
    <m/>
    <m/>
    <m/>
    <m/>
    <m/>
    <m/>
    <m/>
    <s v=""/>
    <m/>
    <s v=""/>
    <s v=""/>
    <m/>
    <s v=""/>
    <s v=""/>
    <m/>
    <m/>
    <m/>
    <m/>
    <m/>
    <s v=""/>
    <m/>
    <m/>
    <s v=""/>
    <s v=""/>
    <s v=""/>
    <m/>
    <s v=""/>
    <m/>
    <m/>
    <s v=""/>
    <s v=""/>
    <m/>
    <m/>
    <m/>
    <m/>
    <s v=""/>
    <m/>
    <m/>
    <s v=""/>
    <s v=""/>
    <m/>
    <s v=""/>
    <m/>
    <m/>
    <m/>
    <m/>
    <m/>
    <s v=""/>
    <s v=""/>
    <n v="646373.56000000006"/>
    <n v="0"/>
    <n v="656708.28960000002"/>
  </r>
  <r>
    <n v="330"/>
    <d v="2023-07-21T18:58:00"/>
    <s v="Designated Dad"/>
    <s v="Alcoholic Beverages"/>
    <s v="North America"/>
    <n v="0"/>
    <x v="2"/>
    <s v="Walker's N/A"/>
    <x v="3"/>
    <x v="2"/>
    <s v=""/>
    <s v="Audio Post"/>
    <s v="Sound Monster &quot;Designated Dad&quot;"/>
    <s v="Sound Monster"/>
    <s v="Original"/>
    <n v="50580"/>
    <s v="firm-bid"/>
    <m/>
    <m/>
    <m/>
    <m/>
    <m/>
    <m/>
    <m/>
    <m/>
    <m/>
    <m/>
    <m/>
    <m/>
    <m/>
    <s v=""/>
    <m/>
    <s v=""/>
    <s v=""/>
    <m/>
    <s v=""/>
    <s v=""/>
    <m/>
    <m/>
    <m/>
    <m/>
    <m/>
    <s v=""/>
    <m/>
    <m/>
    <s v=""/>
    <s v=""/>
    <s v=""/>
    <m/>
    <s v=""/>
    <m/>
    <m/>
    <s v=""/>
    <s v=""/>
    <m/>
    <m/>
    <m/>
    <m/>
    <s v=""/>
    <m/>
    <m/>
    <s v=""/>
    <s v=""/>
    <m/>
    <s v=""/>
    <m/>
    <m/>
    <m/>
    <m/>
    <m/>
    <s v=""/>
    <s v=""/>
    <n v="0"/>
    <n v="0"/>
    <n v="36220"/>
  </r>
  <r>
    <n v="330"/>
    <d v="2023-07-21T18:58:00"/>
    <s v="Designated Dad"/>
    <s v="Alcoholic Beverages"/>
    <s v="North America"/>
    <n v="0"/>
    <x v="2"/>
    <s v="Walker's N/A"/>
    <x v="3"/>
    <x v="2"/>
    <s v=""/>
    <s v="Audio Post"/>
    <s v="Funny Rabbit &quot;Designated Dad&quot;"/>
    <s v="Funny Rabbit"/>
    <s v="Original"/>
    <n v="18410"/>
    <s v="firm-bid"/>
    <m/>
    <n v="1"/>
    <n v="1"/>
    <m/>
    <n v="1"/>
    <n v="1"/>
    <m/>
    <m/>
    <m/>
    <m/>
    <m/>
    <m/>
    <m/>
    <s v=""/>
    <m/>
    <s v=""/>
    <s v=""/>
    <m/>
    <s v=""/>
    <s v=""/>
    <m/>
    <m/>
    <m/>
    <m/>
    <m/>
    <s v=""/>
    <m/>
    <m/>
    <s v=""/>
    <s v=""/>
    <s v=""/>
    <m/>
    <s v=""/>
    <m/>
    <m/>
    <s v=""/>
    <s v=""/>
    <m/>
    <m/>
    <m/>
    <m/>
    <s v=""/>
    <m/>
    <m/>
    <s v=""/>
    <s v=""/>
    <m/>
    <s v=""/>
    <m/>
    <m/>
    <m/>
    <m/>
    <m/>
    <s v=""/>
    <s v=""/>
    <n v="18410"/>
    <n v="0"/>
    <n v="36220"/>
  </r>
  <r>
    <n v="330"/>
    <d v="2023-07-21T18:58:00"/>
    <s v="Designated Dad"/>
    <s v="Alcoholic Beverages"/>
    <s v="North America"/>
    <n v="1"/>
    <x v="2"/>
    <s v="Walker's N/A"/>
    <x v="3"/>
    <x v="2"/>
    <s v="Earwax"/>
    <s v="Audio Post"/>
    <s v="Earwax"/>
    <s v="Earwax"/>
    <s v="Original"/>
    <n v="39670"/>
    <s v="firm-bid"/>
    <n v="36220"/>
    <m/>
    <m/>
    <m/>
    <m/>
    <m/>
    <m/>
    <m/>
    <m/>
    <m/>
    <n v="39670"/>
    <m/>
    <m/>
    <s v=""/>
    <m/>
    <s v=""/>
    <s v=""/>
    <m/>
    <s v=""/>
    <s v=""/>
    <m/>
    <m/>
    <m/>
    <m/>
    <m/>
    <s v=""/>
    <m/>
    <m/>
    <s v=""/>
    <s v=""/>
    <s v=""/>
    <m/>
    <s v=""/>
    <m/>
    <m/>
    <s v=""/>
    <s v=""/>
    <m/>
    <m/>
    <m/>
    <m/>
    <s v=""/>
    <m/>
    <m/>
    <s v=""/>
    <s v=""/>
    <m/>
    <s v=""/>
    <m/>
    <m/>
    <m/>
    <m/>
    <m/>
    <s v=""/>
    <s v=""/>
    <n v="0"/>
    <n v="0"/>
    <n v="36220"/>
  </r>
  <r>
    <n v="330"/>
    <d v="2023-07-21T18:58:00"/>
    <s v="Designated Dad"/>
    <s v="Alcoholic Beverages"/>
    <s v="North America"/>
    <n v="0"/>
    <x v="2"/>
    <s v="Walker's N/A"/>
    <x v="3"/>
    <x v="2"/>
    <s v=""/>
    <s v="Photo Retouching &amp; Post"/>
    <s v="DesDad"/>
    <s v="Interstate_DesignatedDad_Retouching"/>
    <s v="Original"/>
    <n v="21700"/>
    <s v="firm-bid"/>
    <m/>
    <m/>
    <m/>
    <m/>
    <m/>
    <n v="1"/>
    <m/>
    <m/>
    <m/>
    <m/>
    <m/>
    <m/>
    <m/>
    <s v=""/>
    <m/>
    <s v=""/>
    <s v=""/>
    <m/>
    <s v=""/>
    <s v=""/>
    <m/>
    <m/>
    <m/>
    <m/>
    <m/>
    <s v=""/>
    <m/>
    <m/>
    <s v=""/>
    <s v=""/>
    <s v=""/>
    <m/>
    <s v=""/>
    <m/>
    <m/>
    <s v=""/>
    <s v=""/>
    <m/>
    <m/>
    <m/>
    <m/>
    <s v=""/>
    <m/>
    <m/>
    <s v=""/>
    <s v=""/>
    <m/>
    <s v=""/>
    <m/>
    <m/>
    <m/>
    <m/>
    <m/>
    <s v=""/>
    <s v=""/>
    <n v="0"/>
    <n v="0"/>
    <n v="25166.666666666668"/>
  </r>
  <r>
    <n v="330"/>
    <d v="2023-07-21T18:58:00"/>
    <s v="Designated Dad"/>
    <s v="Alcoholic Beverages"/>
    <s v="North America"/>
    <n v="1"/>
    <x v="2"/>
    <s v="Walker's N/A"/>
    <x v="3"/>
    <x v="2"/>
    <s v="Furrier"/>
    <s v="Photo Retouching &amp; Post"/>
    <s v="&quot;Designated Dad&quot; Stills - Furrier"/>
    <s v="Furrier_DesignatedDad_Retouching"/>
    <s v="Original"/>
    <n v="18350"/>
    <s v="firm-bid"/>
    <n v="25166.666669999999"/>
    <m/>
    <m/>
    <m/>
    <m/>
    <m/>
    <m/>
    <m/>
    <m/>
    <m/>
    <m/>
    <m/>
    <m/>
    <s v=""/>
    <m/>
    <s v=""/>
    <s v=""/>
    <m/>
    <s v=""/>
    <s v=""/>
    <m/>
    <m/>
    <m/>
    <m/>
    <m/>
    <s v=""/>
    <m/>
    <m/>
    <s v=""/>
    <s v=""/>
    <s v=""/>
    <m/>
    <s v=""/>
    <m/>
    <m/>
    <s v=""/>
    <s v=""/>
    <m/>
    <m/>
    <m/>
    <m/>
    <s v=""/>
    <m/>
    <m/>
    <s v=""/>
    <s v=""/>
    <m/>
    <s v=""/>
    <n v="18350"/>
    <m/>
    <m/>
    <m/>
    <m/>
    <s v=""/>
    <s v=""/>
    <n v="0"/>
    <n v="0"/>
    <n v="25166.666666666668"/>
  </r>
  <r>
    <n v="330"/>
    <d v="2023-07-21T18:58:00"/>
    <s v="Designated Dad"/>
    <s v="Alcoholic Beverages"/>
    <s v="North America"/>
    <n v="0"/>
    <x v="2"/>
    <s v="Walker's N/A"/>
    <x v="3"/>
    <x v="2"/>
    <s v=""/>
    <s v="Photo Retouching &amp; Post"/>
    <s v="Buck &amp; Archie &quot;Walker's:Designated Dad&quot; v1"/>
    <s v="BuckandArchie_DesignatedDad_Retouching"/>
    <s v="Original"/>
    <n v="35450"/>
    <s v="firm-bid"/>
    <m/>
    <m/>
    <m/>
    <m/>
    <m/>
    <m/>
    <m/>
    <m/>
    <m/>
    <m/>
    <m/>
    <m/>
    <m/>
    <s v=""/>
    <m/>
    <s v=""/>
    <s v=""/>
    <m/>
    <s v=""/>
    <s v=""/>
    <m/>
    <m/>
    <m/>
    <m/>
    <m/>
    <s v=""/>
    <m/>
    <m/>
    <s v=""/>
    <s v=""/>
    <s v=""/>
    <m/>
    <s v=""/>
    <m/>
    <m/>
    <s v=""/>
    <s v=""/>
    <m/>
    <m/>
    <m/>
    <m/>
    <s v=""/>
    <m/>
    <m/>
    <s v=""/>
    <s v=""/>
    <m/>
    <s v=""/>
    <m/>
    <m/>
    <m/>
    <m/>
    <m/>
    <s v=""/>
    <s v=""/>
    <n v="0"/>
    <n v="0"/>
    <n v="25166.666666666668"/>
  </r>
  <r>
    <n v="330"/>
    <d v="2023-07-21T18:58:00"/>
    <s v="Designated Dad"/>
    <s v="Alcoholic Beverages"/>
    <s v="North America"/>
    <n v="0"/>
    <x v="2"/>
    <s v="Walker's N/A"/>
    <x v="3"/>
    <x v="2"/>
    <s v=""/>
    <s v="Still Photography Production"/>
    <s v="DesDad"/>
    <s v="Interstate_DesignatedDad_Stills"/>
    <s v="Original"/>
    <n v="151338.10579999999"/>
    <s v="firm-bid"/>
    <m/>
    <m/>
    <m/>
    <m/>
    <m/>
    <n v="1"/>
    <m/>
    <m/>
    <m/>
    <m/>
    <m/>
    <m/>
    <m/>
    <s v=""/>
    <m/>
    <s v=""/>
    <s v=""/>
    <m/>
    <s v=""/>
    <s v=""/>
    <m/>
    <m/>
    <m/>
    <m/>
    <m/>
    <s v=""/>
    <m/>
    <m/>
    <s v=""/>
    <s v=""/>
    <s v=""/>
    <m/>
    <s v=""/>
    <m/>
    <m/>
    <s v=""/>
    <s v=""/>
    <m/>
    <m/>
    <m/>
    <m/>
    <s v=""/>
    <m/>
    <m/>
    <s v=""/>
    <s v=""/>
    <m/>
    <s v=""/>
    <m/>
    <m/>
    <m/>
    <m/>
    <m/>
    <s v=""/>
    <s v=""/>
    <n v="0"/>
    <n v="0"/>
    <n v="149975.39453333334"/>
  </r>
  <r>
    <n v="330"/>
    <d v="2023-07-21T18:58:00"/>
    <s v="Designated Dad"/>
    <s v="Alcoholic Beverages"/>
    <s v="North America"/>
    <n v="1"/>
    <x v="2"/>
    <s v="Walker's N/A"/>
    <x v="3"/>
    <x v="2"/>
    <s v="Furrier"/>
    <s v="Still Photography Production"/>
    <s v="&quot;Designated Dad&quot; Stills - Furrier"/>
    <s v="Furrier_DesignatedDad_Stills"/>
    <s v="Original"/>
    <n v="146169.37580000001"/>
    <s v="firm-bid"/>
    <n v="149975.3946"/>
    <m/>
    <m/>
    <m/>
    <m/>
    <m/>
    <m/>
    <m/>
    <m/>
    <n v="0"/>
    <m/>
    <m/>
    <n v="7990"/>
    <s v=""/>
    <m/>
    <s v=""/>
    <s v=""/>
    <m/>
    <s v=""/>
    <s v=""/>
    <m/>
    <m/>
    <m/>
    <m/>
    <n v="0"/>
    <s v=""/>
    <n v="14220"/>
    <m/>
    <s v=""/>
    <s v=""/>
    <s v=""/>
    <m/>
    <s v=""/>
    <n v="0"/>
    <m/>
    <s v=""/>
    <s v=""/>
    <n v="14377"/>
    <m/>
    <m/>
    <n v="1356"/>
    <s v=""/>
    <n v="13494"/>
    <n v="42222"/>
    <s v=""/>
    <s v=""/>
    <n v="10946"/>
    <s v=""/>
    <m/>
    <n v="2208"/>
    <m/>
    <n v="0"/>
    <n v="0"/>
    <s v=""/>
    <s v=""/>
    <n v="0"/>
    <n v="0"/>
    <n v="149975.39453333334"/>
  </r>
  <r>
    <n v="330"/>
    <d v="2023-07-21T18:58:00"/>
    <s v="Designated Dad"/>
    <s v="Alcoholic Beverages"/>
    <s v="North America"/>
    <n v="0"/>
    <x v="2"/>
    <s v="Walker's N/A"/>
    <x v="3"/>
    <x v="2"/>
    <s v=""/>
    <s v="Still Photography Production"/>
    <s v="Buck &amp; Archie &quot;Walker's:Designated Dad&quot; v1"/>
    <s v="BuckandArchie_DesignatedDad_Stills"/>
    <s v="Original"/>
    <n v="152418.70199999999"/>
    <s v="firm-bid"/>
    <m/>
    <m/>
    <m/>
    <m/>
    <m/>
    <m/>
    <m/>
    <m/>
    <m/>
    <m/>
    <m/>
    <m/>
    <m/>
    <s v=""/>
    <m/>
    <s v=""/>
    <s v=""/>
    <m/>
    <s v=""/>
    <s v=""/>
    <m/>
    <m/>
    <m/>
    <m/>
    <m/>
    <s v=""/>
    <m/>
    <m/>
    <s v=""/>
    <s v=""/>
    <s v=""/>
    <m/>
    <s v=""/>
    <m/>
    <m/>
    <s v=""/>
    <s v=""/>
    <m/>
    <m/>
    <m/>
    <m/>
    <s v=""/>
    <m/>
    <m/>
    <s v=""/>
    <s v=""/>
    <m/>
    <s v=""/>
    <m/>
    <m/>
    <m/>
    <m/>
    <m/>
    <s v=""/>
    <s v=""/>
    <n v="0"/>
    <n v="0"/>
    <n v="149975.39453333334"/>
  </r>
  <r>
    <n v="330"/>
    <d v="2023-07-21T18:58:00"/>
    <s v="Designated Dad"/>
    <s v="Alcoholic Beverages"/>
    <s v="North America"/>
    <n v="0"/>
    <x v="2"/>
    <s v="Walker's N/A"/>
    <x v="3"/>
    <x v="2"/>
    <s v=""/>
    <s v="Film &amp; Video Production"/>
    <s v="DesDad"/>
    <s v="CHAW_DesignatedDad_LiveAction"/>
    <s v="Original"/>
    <n v="836827.74"/>
    <s v="firm-bid"/>
    <m/>
    <m/>
    <n v="1"/>
    <m/>
    <m/>
    <m/>
    <n v="1"/>
    <m/>
    <m/>
    <m/>
    <m/>
    <m/>
    <m/>
    <s v=""/>
    <m/>
    <s v=""/>
    <s v=""/>
    <m/>
    <s v=""/>
    <s v=""/>
    <m/>
    <m/>
    <m/>
    <m/>
    <m/>
    <s v=""/>
    <m/>
    <m/>
    <s v=""/>
    <s v=""/>
    <s v=""/>
    <m/>
    <s v=""/>
    <m/>
    <m/>
    <s v=""/>
    <s v=""/>
    <m/>
    <m/>
    <m/>
    <m/>
    <s v=""/>
    <m/>
    <m/>
    <s v=""/>
    <s v=""/>
    <m/>
    <s v=""/>
    <m/>
    <m/>
    <m/>
    <m/>
    <m/>
    <s v=""/>
    <s v=""/>
    <n v="0"/>
    <n v="0"/>
    <n v="689735.13113333331"/>
  </r>
  <r>
    <n v="330"/>
    <d v="2023-07-21T18:58:00"/>
    <s v="Designated Dad"/>
    <s v="Alcoholic Beverages"/>
    <s v="North America"/>
    <n v="1"/>
    <x v="2"/>
    <s v="Walker's N/A"/>
    <x v="3"/>
    <x v="2"/>
    <s v="Club 101"/>
    <s v="Film &amp; Video Production"/>
    <s v="Designated Dad"/>
    <s v="Club101_DesignatedDad_LiveAction"/>
    <s v="Original"/>
    <n v="557667.92339999997"/>
    <s v="firm-bid"/>
    <n v="689735.1311"/>
    <m/>
    <m/>
    <m/>
    <m/>
    <m/>
    <m/>
    <m/>
    <n v="14300"/>
    <n v="87700"/>
    <m/>
    <m/>
    <m/>
    <s v=""/>
    <m/>
    <s v=""/>
    <s v=""/>
    <n v="0"/>
    <s v=""/>
    <s v=""/>
    <n v="0"/>
    <m/>
    <n v="0"/>
    <m/>
    <n v="56600"/>
    <s v=""/>
    <n v="4200"/>
    <m/>
    <s v=""/>
    <s v=""/>
    <s v=""/>
    <n v="29923"/>
    <s v=""/>
    <n v="2000"/>
    <m/>
    <s v=""/>
    <s v=""/>
    <n v="7000"/>
    <n v="87837.75"/>
    <m/>
    <m/>
    <s v=""/>
    <n v="12500"/>
    <n v="127252.84"/>
    <s v=""/>
    <s v=""/>
    <m/>
    <s v=""/>
    <m/>
    <m/>
    <n v="13280"/>
    <n v="0"/>
    <n v="0"/>
    <s v=""/>
    <s v=""/>
    <n v="0"/>
    <n v="0"/>
    <n v="689735.13113333331"/>
  </r>
  <r>
    <n v="330"/>
    <d v="2023-07-21T18:58:00"/>
    <s v="Designated Dad"/>
    <s v="Alcoholic Beverages"/>
    <s v="North America"/>
    <n v="0"/>
    <x v="2"/>
    <s v="Walker's N/A"/>
    <x v="3"/>
    <x v="2"/>
    <s v=""/>
    <s v="Film &amp; Video Production"/>
    <s v="DesDad"/>
    <s v="Petulant_DesignatedDad_LiveAction"/>
    <s v="Original"/>
    <n v="674709.73"/>
    <s v="firm-bid"/>
    <m/>
    <n v="1"/>
    <m/>
    <m/>
    <m/>
    <m/>
    <m/>
    <m/>
    <m/>
    <m/>
    <m/>
    <m/>
    <m/>
    <s v=""/>
    <m/>
    <s v=""/>
    <s v=""/>
    <m/>
    <s v=""/>
    <s v=""/>
    <m/>
    <m/>
    <m/>
    <m/>
    <m/>
    <s v=""/>
    <m/>
    <m/>
    <s v=""/>
    <s v=""/>
    <s v=""/>
    <m/>
    <s v=""/>
    <m/>
    <m/>
    <s v=""/>
    <s v=""/>
    <m/>
    <m/>
    <m/>
    <m/>
    <s v=""/>
    <m/>
    <m/>
    <s v=""/>
    <s v=""/>
    <m/>
    <s v=""/>
    <m/>
    <m/>
    <m/>
    <m/>
    <m/>
    <s v=""/>
    <s v=""/>
    <n v="674709.73"/>
    <n v="0"/>
    <n v="689735.13113333331"/>
  </r>
  <r>
    <n v="330"/>
    <d v="2023-07-21T18:58:00"/>
    <s v="Designated Dad"/>
    <s v="Alcoholic Beverages"/>
    <s v="North America"/>
    <n v="0"/>
    <x v="2"/>
    <s v="Walker's N/A"/>
    <x v="3"/>
    <x v="2"/>
    <s v=""/>
    <s v="Sanitary Production Costs"/>
    <s v="DesDad"/>
    <s v="CHAW_DesignatedDad_Covid"/>
    <s v="Original"/>
    <n v="5136.13"/>
    <s v="firm-bid"/>
    <m/>
    <m/>
    <n v="1"/>
    <m/>
    <m/>
    <m/>
    <n v="1"/>
    <m/>
    <m/>
    <m/>
    <m/>
    <m/>
    <m/>
    <s v=""/>
    <m/>
    <s v=""/>
    <s v=""/>
    <m/>
    <s v=""/>
    <s v=""/>
    <m/>
    <m/>
    <m/>
    <m/>
    <m/>
    <s v=""/>
    <m/>
    <m/>
    <s v=""/>
    <s v=""/>
    <s v=""/>
    <m/>
    <s v=""/>
    <m/>
    <m/>
    <s v=""/>
    <s v=""/>
    <m/>
    <m/>
    <m/>
    <m/>
    <s v=""/>
    <m/>
    <m/>
    <s v=""/>
    <s v=""/>
    <m/>
    <s v=""/>
    <m/>
    <m/>
    <m/>
    <m/>
    <m/>
    <s v=""/>
    <s v=""/>
    <n v="0"/>
    <n v="0"/>
    <n v="5600.9025000000001"/>
  </r>
  <r>
    <n v="330"/>
    <d v="2023-07-21T18:58:00"/>
    <s v="Designated Dad"/>
    <s v="Alcoholic Beverages"/>
    <s v="North America"/>
    <n v="1"/>
    <x v="2"/>
    <s v="Walker's N/A"/>
    <x v="3"/>
    <x v="2"/>
    <s v="Club 101"/>
    <s v="Sanitary Production Costs"/>
    <s v="Designated Dad"/>
    <s v="Club101_DesignatedDad_Covid"/>
    <s v="Original"/>
    <n v="2638.9625000000001"/>
    <s v="firm-bid"/>
    <n v="5600.9025000000001"/>
    <m/>
    <m/>
    <m/>
    <m/>
    <m/>
    <m/>
    <m/>
    <m/>
    <m/>
    <m/>
    <m/>
    <m/>
    <s v=""/>
    <n v="500"/>
    <s v=""/>
    <s v=""/>
    <m/>
    <s v=""/>
    <s v=""/>
    <m/>
    <m/>
    <m/>
    <m/>
    <m/>
    <s v=""/>
    <m/>
    <m/>
    <s v=""/>
    <s v=""/>
    <s v=""/>
    <m/>
    <s v=""/>
    <m/>
    <m/>
    <s v=""/>
    <s v=""/>
    <m/>
    <m/>
    <n v="1175"/>
    <m/>
    <s v=""/>
    <m/>
    <m/>
    <s v=""/>
    <s v=""/>
    <m/>
    <s v=""/>
    <m/>
    <m/>
    <m/>
    <m/>
    <m/>
    <s v=""/>
    <s v=""/>
    <n v="0"/>
    <n v="0"/>
    <n v="5600.9025000000001"/>
  </r>
  <r>
    <n v="330"/>
    <d v="2023-07-21T18:58:00"/>
    <s v="Designated Dad"/>
    <s v="Alcoholic Beverages"/>
    <s v="North America"/>
    <n v="0"/>
    <x v="2"/>
    <s v="Walker's N/A"/>
    <x v="3"/>
    <x v="2"/>
    <s v=""/>
    <s v="Sanitary Production Costs"/>
    <s v="DesDad"/>
    <s v="Petulant_DesignatedDad_Covid"/>
    <s v="Original"/>
    <n v="9027.6149999999998"/>
    <s v="firm-bid"/>
    <m/>
    <n v="1"/>
    <m/>
    <m/>
    <m/>
    <m/>
    <m/>
    <m/>
    <m/>
    <m/>
    <m/>
    <m/>
    <m/>
    <s v=""/>
    <m/>
    <s v=""/>
    <s v=""/>
    <m/>
    <s v=""/>
    <s v=""/>
    <m/>
    <m/>
    <m/>
    <m/>
    <m/>
    <s v=""/>
    <m/>
    <m/>
    <s v=""/>
    <s v=""/>
    <s v=""/>
    <m/>
    <s v=""/>
    <m/>
    <m/>
    <s v=""/>
    <s v=""/>
    <m/>
    <m/>
    <m/>
    <m/>
    <s v=""/>
    <m/>
    <m/>
    <s v=""/>
    <s v=""/>
    <m/>
    <s v=""/>
    <m/>
    <m/>
    <m/>
    <m/>
    <m/>
    <s v=""/>
    <s v=""/>
    <n v="9027.6149999999998"/>
    <n v="0"/>
    <n v="5600.9025000000001"/>
  </r>
  <r>
    <n v="330"/>
    <d v="2023-07-21T18:58:00"/>
    <s v="Designated Dad"/>
    <s v="Alcoholic Beverages"/>
    <s v="North America"/>
    <n v="0"/>
    <x v="2"/>
    <s v="Walker's N/A"/>
    <x v="3"/>
    <x v="2"/>
    <s v=""/>
    <s v="Green Production Costs"/>
    <s v="DesDad"/>
    <s v="CHAW_DesignatedDad_Green"/>
    <s v="Original"/>
    <n v="7182"/>
    <s v="firm-bid"/>
    <m/>
    <m/>
    <n v="1"/>
    <m/>
    <m/>
    <m/>
    <n v="1"/>
    <m/>
    <m/>
    <m/>
    <m/>
    <m/>
    <m/>
    <s v=""/>
    <m/>
    <s v=""/>
    <s v=""/>
    <m/>
    <s v=""/>
    <s v=""/>
    <m/>
    <m/>
    <m/>
    <m/>
    <m/>
    <s v=""/>
    <m/>
    <m/>
    <s v=""/>
    <s v=""/>
    <s v=""/>
    <m/>
    <s v=""/>
    <m/>
    <m/>
    <s v=""/>
    <s v=""/>
    <m/>
    <m/>
    <m/>
    <m/>
    <s v=""/>
    <m/>
    <m/>
    <s v=""/>
    <s v=""/>
    <m/>
    <s v=""/>
    <m/>
    <m/>
    <m/>
    <m/>
    <m/>
    <s v=""/>
    <s v=""/>
    <n v="0"/>
    <n v="0"/>
    <n v="5023.3333333333339"/>
  </r>
  <r>
    <n v="330"/>
    <d v="2023-07-21T18:58:00"/>
    <s v="Designated Dad"/>
    <s v="Alcoholic Beverages"/>
    <s v="North America"/>
    <n v="1"/>
    <x v="2"/>
    <s v="Walker's N/A"/>
    <x v="3"/>
    <x v="2"/>
    <s v="Club 101"/>
    <s v="Green Production Costs"/>
    <s v="Designated Dad"/>
    <s v="Club101_DesignatedDad_Green"/>
    <s v="Original"/>
    <n v="6400"/>
    <s v="firm-bid"/>
    <n v="5023.3333329999996"/>
    <m/>
    <m/>
    <m/>
    <m/>
    <m/>
    <m/>
    <m/>
    <n v="0"/>
    <n v="0"/>
    <m/>
    <m/>
    <m/>
    <s v=""/>
    <m/>
    <s v=""/>
    <s v=""/>
    <n v="0"/>
    <s v=""/>
    <s v=""/>
    <n v="0"/>
    <m/>
    <n v="0"/>
    <m/>
    <n v="0"/>
    <s v=""/>
    <n v="0"/>
    <m/>
    <s v=""/>
    <s v=""/>
    <s v=""/>
    <n v="0"/>
    <s v=""/>
    <n v="5000"/>
    <m/>
    <s v=""/>
    <s v=""/>
    <n v="0"/>
    <n v="0"/>
    <m/>
    <m/>
    <s v=""/>
    <n v="0"/>
    <n v="0"/>
    <s v=""/>
    <s v=""/>
    <m/>
    <s v=""/>
    <m/>
    <m/>
    <n v="0"/>
    <n v="0"/>
    <n v="0"/>
    <s v=""/>
    <s v=""/>
    <n v="0"/>
    <n v="0"/>
    <n v="5023.3333333333339"/>
  </r>
  <r>
    <n v="330"/>
    <d v="2023-07-21T18:58:00"/>
    <s v="Designated Dad"/>
    <s v="Alcoholic Beverages"/>
    <s v="North America"/>
    <n v="0"/>
    <x v="2"/>
    <s v="Walker's N/A"/>
    <x v="3"/>
    <x v="2"/>
    <s v=""/>
    <s v="Green Production Costs"/>
    <s v="DesDad"/>
    <s v="Petulant_DesignatedDad_Green"/>
    <s v="Original"/>
    <n v="1488"/>
    <s v="firm-bid"/>
    <m/>
    <n v="1"/>
    <m/>
    <m/>
    <m/>
    <m/>
    <m/>
    <m/>
    <m/>
    <m/>
    <m/>
    <m/>
    <m/>
    <s v=""/>
    <m/>
    <s v=""/>
    <s v=""/>
    <m/>
    <s v=""/>
    <s v=""/>
    <m/>
    <m/>
    <m/>
    <m/>
    <m/>
    <s v=""/>
    <m/>
    <m/>
    <s v=""/>
    <s v=""/>
    <s v=""/>
    <m/>
    <s v=""/>
    <m/>
    <m/>
    <s v=""/>
    <s v=""/>
    <m/>
    <m/>
    <m/>
    <m/>
    <s v=""/>
    <m/>
    <m/>
    <s v=""/>
    <s v=""/>
    <m/>
    <s v=""/>
    <m/>
    <m/>
    <m/>
    <m/>
    <m/>
    <s v=""/>
    <s v=""/>
    <n v="1488"/>
    <n v="0"/>
    <n v="5023.3333333333339"/>
  </r>
  <r>
    <n v="330"/>
    <d v="2023-07-21T18:58:00"/>
    <s v="Designated Dad"/>
    <s v="Alcoholic Beverages"/>
    <s v="North America"/>
    <n v="0"/>
    <x v="2"/>
    <s v="Walker's N/A"/>
    <x v="3"/>
    <x v="2"/>
    <s v=""/>
    <s v="Editorial"/>
    <s v="TBLLC - Designated Dad v1"/>
    <s v="TimeBomb_DesignatedDad_Edit"/>
    <s v="Original"/>
    <n v="123512.0833"/>
    <s v="firm-bid"/>
    <m/>
    <m/>
    <m/>
    <m/>
    <m/>
    <m/>
    <m/>
    <m/>
    <m/>
    <m/>
    <m/>
    <m/>
    <m/>
    <s v=""/>
    <m/>
    <s v=""/>
    <s v=""/>
    <m/>
    <s v=""/>
    <s v=""/>
    <m/>
    <m/>
    <m/>
    <m/>
    <m/>
    <s v=""/>
    <m/>
    <m/>
    <s v=""/>
    <s v=""/>
    <s v=""/>
    <m/>
    <s v=""/>
    <m/>
    <m/>
    <s v=""/>
    <s v=""/>
    <m/>
    <m/>
    <m/>
    <m/>
    <s v=""/>
    <m/>
    <m/>
    <s v=""/>
    <s v=""/>
    <m/>
    <s v=""/>
    <m/>
    <m/>
    <m/>
    <m/>
    <m/>
    <s v=""/>
    <s v=""/>
    <n v="0"/>
    <n v="0"/>
    <n v="123349.4111"/>
  </r>
  <r>
    <n v="330"/>
    <d v="2023-07-21T18:58:00"/>
    <s v="Designated Dad"/>
    <s v="Alcoholic Beverages"/>
    <s v="North America"/>
    <n v="1"/>
    <x v="2"/>
    <s v="Walker's N/A"/>
    <x v="3"/>
    <x v="2"/>
    <s v="The Closet"/>
    <s v="Editorial"/>
    <s v="Designated Dad"/>
    <s v="TheCloset_DesignatedDad_Edit"/>
    <s v="Original"/>
    <n v="123923.3333"/>
    <s v="firm-bid"/>
    <n v="123349.4111"/>
    <m/>
    <m/>
    <m/>
    <m/>
    <n v="1"/>
    <n v="1"/>
    <m/>
    <m/>
    <m/>
    <m/>
    <m/>
    <m/>
    <s v=""/>
    <m/>
    <s v=""/>
    <s v=""/>
    <m/>
    <s v=""/>
    <s v=""/>
    <n v="33650"/>
    <n v="28600"/>
    <n v="13350"/>
    <n v="14800"/>
    <m/>
    <s v=""/>
    <m/>
    <m/>
    <s v=""/>
    <s v=""/>
    <s v=""/>
    <m/>
    <s v=""/>
    <m/>
    <m/>
    <s v=""/>
    <s v=""/>
    <m/>
    <m/>
    <m/>
    <m/>
    <s v=""/>
    <m/>
    <m/>
    <s v=""/>
    <s v=""/>
    <m/>
    <s v=""/>
    <m/>
    <m/>
    <m/>
    <m/>
    <m/>
    <s v=""/>
    <s v=""/>
    <n v="0"/>
    <n v="0"/>
    <n v="123349.4111"/>
  </r>
  <r>
    <n v="330"/>
    <d v="2023-07-21T18:58:00"/>
    <s v="Designated Dad"/>
    <s v="Alcoholic Beverages"/>
    <s v="North America"/>
    <n v="0"/>
    <x v="2"/>
    <s v="Walker's N/A"/>
    <x v="3"/>
    <x v="2"/>
    <s v=""/>
    <s v="Editorial"/>
    <s v="Designated Dad"/>
    <s v="ToTo_DesignatedDad_Edit"/>
    <s v="Original"/>
    <n v="122612.8167"/>
    <s v="firm-bid"/>
    <m/>
    <m/>
    <m/>
    <m/>
    <m/>
    <m/>
    <m/>
    <m/>
    <m/>
    <m/>
    <m/>
    <m/>
    <m/>
    <s v=""/>
    <m/>
    <s v=""/>
    <s v=""/>
    <m/>
    <s v=""/>
    <s v=""/>
    <m/>
    <m/>
    <m/>
    <m/>
    <m/>
    <s v=""/>
    <m/>
    <m/>
    <s v=""/>
    <s v=""/>
    <s v=""/>
    <m/>
    <s v=""/>
    <m/>
    <m/>
    <s v=""/>
    <s v=""/>
    <m/>
    <m/>
    <m/>
    <m/>
    <s v=""/>
    <m/>
    <m/>
    <s v=""/>
    <s v=""/>
    <m/>
    <s v=""/>
    <m/>
    <m/>
    <m/>
    <m/>
    <m/>
    <s v=""/>
    <s v=""/>
    <n v="0"/>
    <n v="0"/>
    <n v="123349.4111"/>
  </r>
  <r>
    <n v="330"/>
    <d v="2023-07-21T18:58:00"/>
    <s v="Designated Dad"/>
    <s v="Alcoholic Beverages"/>
    <s v="North America"/>
    <n v="1"/>
    <x v="2"/>
    <s v="Walker's N/A"/>
    <x v="3"/>
    <x v="2"/>
    <s v="Here &amp; Now"/>
    <s v="Finishing"/>
    <s v="Here &amp; Now for &quot;Designated Dad&quot;"/>
    <s v="HereandNow_DesignatedDad_Finishing"/>
    <s v="Original"/>
    <n v="41300"/>
    <s v="firm-bid"/>
    <n v="38500"/>
    <m/>
    <m/>
    <m/>
    <m/>
    <m/>
    <m/>
    <m/>
    <m/>
    <m/>
    <m/>
    <m/>
    <m/>
    <s v=""/>
    <m/>
    <s v=""/>
    <s v=""/>
    <m/>
    <s v=""/>
    <s v=""/>
    <m/>
    <m/>
    <m/>
    <m/>
    <m/>
    <s v=""/>
    <m/>
    <n v="41300"/>
    <s v=""/>
    <s v=""/>
    <s v=""/>
    <m/>
    <s v=""/>
    <m/>
    <m/>
    <s v=""/>
    <s v=""/>
    <m/>
    <m/>
    <m/>
    <m/>
    <s v=""/>
    <m/>
    <m/>
    <s v=""/>
    <s v=""/>
    <m/>
    <s v=""/>
    <m/>
    <m/>
    <m/>
    <m/>
    <m/>
    <s v=""/>
    <s v=""/>
    <n v="0"/>
    <n v="0"/>
    <n v="38500"/>
  </r>
  <r>
    <n v="330"/>
    <d v="2023-07-21T18:58:00"/>
    <s v="Designated Dad"/>
    <s v="Alcoholic Beverages"/>
    <s v="North America"/>
    <n v="0"/>
    <x v="2"/>
    <s v="Walker's N/A"/>
    <x v="3"/>
    <x v="2"/>
    <s v=""/>
    <s v="Finishing"/>
    <s v="&quot;Designated Dad&quot; RSD #452002"/>
    <s v="RackspaceDigital_DesignatedDad_Finishing"/>
    <s v="Original"/>
    <n v="53600"/>
    <s v="firm-bid"/>
    <m/>
    <m/>
    <m/>
    <m/>
    <m/>
    <m/>
    <m/>
    <m/>
    <m/>
    <m/>
    <m/>
    <m/>
    <m/>
    <s v=""/>
    <m/>
    <s v=""/>
    <s v=""/>
    <m/>
    <s v=""/>
    <s v=""/>
    <m/>
    <m/>
    <m/>
    <m/>
    <m/>
    <s v=""/>
    <m/>
    <m/>
    <s v=""/>
    <s v=""/>
    <s v=""/>
    <m/>
    <s v=""/>
    <m/>
    <m/>
    <s v=""/>
    <s v=""/>
    <m/>
    <m/>
    <m/>
    <m/>
    <s v=""/>
    <m/>
    <m/>
    <s v=""/>
    <s v=""/>
    <m/>
    <s v=""/>
    <m/>
    <m/>
    <m/>
    <m/>
    <m/>
    <s v=""/>
    <s v=""/>
    <n v="0"/>
    <n v="0"/>
    <n v="38500"/>
  </r>
  <r>
    <n v="330"/>
    <d v="2023-07-21T18:58:00"/>
    <s v="Designated Dad"/>
    <s v="Alcoholic Beverages"/>
    <s v="North America"/>
    <n v="0"/>
    <x v="2"/>
    <s v="Walker's N/A"/>
    <x v="3"/>
    <x v="2"/>
    <s v=""/>
    <s v="Finishing"/>
    <s v="‚ÄúDesignated Dad‚Äù | Dub House"/>
    <s v="TheDubHouse_DesignatedDad_Finishing"/>
    <s v="Original"/>
    <n v="20600"/>
    <s v="firm-bid"/>
    <m/>
    <m/>
    <m/>
    <m/>
    <m/>
    <m/>
    <m/>
    <m/>
    <m/>
    <m/>
    <m/>
    <m/>
    <m/>
    <s v=""/>
    <m/>
    <s v=""/>
    <s v=""/>
    <m/>
    <s v=""/>
    <s v=""/>
    <m/>
    <m/>
    <m/>
    <m/>
    <m/>
    <s v=""/>
    <m/>
    <m/>
    <s v=""/>
    <s v=""/>
    <s v=""/>
    <m/>
    <s v=""/>
    <m/>
    <m/>
    <s v=""/>
    <s v=""/>
    <m/>
    <m/>
    <m/>
    <m/>
    <s v=""/>
    <m/>
    <m/>
    <s v=""/>
    <s v=""/>
    <m/>
    <s v=""/>
    <m/>
    <m/>
    <m/>
    <m/>
    <m/>
    <s v=""/>
    <s v=""/>
    <n v="0"/>
    <n v="0"/>
    <n v="38500"/>
  </r>
  <r>
    <n v="332"/>
    <d v="2023-07-21T19:01:00"/>
    <s v="Sunday Night Lights"/>
    <s v="Alcoholic Beverages"/>
    <s v="North America"/>
    <n v="0"/>
    <x v="2"/>
    <s v="Walker's IPA"/>
    <x v="3"/>
    <x v="3"/>
    <s v=""/>
    <s v="Audio Post"/>
    <s v="Love Language  &quot;Sunday Night Lights&quot;"/>
    <s v="Love131"/>
    <s v="Original"/>
    <n v="21500"/>
    <s v="firm-bid"/>
    <m/>
    <m/>
    <m/>
    <m/>
    <m/>
    <m/>
    <m/>
    <m/>
    <m/>
    <m/>
    <m/>
    <m/>
    <m/>
    <s v=""/>
    <m/>
    <s v=""/>
    <s v=""/>
    <m/>
    <s v=""/>
    <s v=""/>
    <m/>
    <m/>
    <m/>
    <m/>
    <m/>
    <s v=""/>
    <m/>
    <m/>
    <s v=""/>
    <s v=""/>
    <s v=""/>
    <m/>
    <s v=""/>
    <m/>
    <m/>
    <s v=""/>
    <s v=""/>
    <m/>
    <m/>
    <m/>
    <m/>
    <s v=""/>
    <m/>
    <m/>
    <s v=""/>
    <s v=""/>
    <m/>
    <s v=""/>
    <m/>
    <m/>
    <m/>
    <m/>
    <m/>
    <s v=""/>
    <s v=""/>
    <n v="0"/>
    <n v="0"/>
    <n v="31766.666666666664"/>
  </r>
  <r>
    <n v="332"/>
    <d v="2023-07-21T19:01:00"/>
    <s v="Sunday Night Lights"/>
    <s v="Alcoholic Beverages"/>
    <s v="North America"/>
    <n v="1"/>
    <x v="2"/>
    <s v="Walker's IPA"/>
    <x v="3"/>
    <x v="3"/>
    <s v="Arsonist Post"/>
    <s v="Audio Post"/>
    <s v="Arsonist&quot;Sunday Night Lights&quot;"/>
    <s v="Arsonist"/>
    <s v="Original"/>
    <n v="40400"/>
    <s v="firm-bid"/>
    <n v="31766.666669999999"/>
    <m/>
    <m/>
    <m/>
    <m/>
    <m/>
    <m/>
    <m/>
    <m/>
    <m/>
    <n v="40400"/>
    <m/>
    <m/>
    <s v=""/>
    <m/>
    <s v=""/>
    <s v=""/>
    <m/>
    <s v=""/>
    <s v=""/>
    <m/>
    <m/>
    <m/>
    <m/>
    <m/>
    <s v=""/>
    <m/>
    <m/>
    <s v=""/>
    <s v=""/>
    <s v=""/>
    <m/>
    <s v=""/>
    <m/>
    <m/>
    <s v=""/>
    <s v=""/>
    <m/>
    <m/>
    <m/>
    <m/>
    <s v=""/>
    <m/>
    <m/>
    <s v=""/>
    <s v=""/>
    <m/>
    <s v=""/>
    <m/>
    <m/>
    <m/>
    <m/>
    <m/>
    <s v=""/>
    <s v=""/>
    <n v="0"/>
    <n v="0"/>
    <n v="31766.666666666664"/>
  </r>
  <r>
    <n v="332"/>
    <d v="2023-07-21T19:01:00"/>
    <s v="Sunday Night Lights"/>
    <s v="Alcoholic Beverages"/>
    <s v="North America"/>
    <n v="0"/>
    <x v="2"/>
    <s v="Walker's IPA"/>
    <x v="3"/>
    <x v="3"/>
    <s v=""/>
    <s v="Audio Post"/>
    <s v="Earwax &quot;Sunday Night Lights&quot;"/>
    <s v="Earwax"/>
    <s v="Original"/>
    <n v="33400"/>
    <s v="firm-bid"/>
    <m/>
    <m/>
    <m/>
    <n v="1"/>
    <n v="1"/>
    <m/>
    <m/>
    <m/>
    <m/>
    <m/>
    <m/>
    <m/>
    <m/>
    <s v=""/>
    <m/>
    <s v=""/>
    <s v=""/>
    <m/>
    <s v=""/>
    <s v=""/>
    <m/>
    <m/>
    <m/>
    <m/>
    <m/>
    <s v=""/>
    <m/>
    <m/>
    <s v=""/>
    <s v=""/>
    <s v=""/>
    <m/>
    <s v=""/>
    <m/>
    <m/>
    <s v=""/>
    <s v=""/>
    <m/>
    <m/>
    <m/>
    <m/>
    <s v=""/>
    <m/>
    <m/>
    <s v=""/>
    <s v=""/>
    <m/>
    <s v=""/>
    <m/>
    <m/>
    <m/>
    <m/>
    <m/>
    <s v=""/>
    <s v=""/>
    <n v="0"/>
    <n v="0"/>
    <n v="31766.666666666664"/>
  </r>
  <r>
    <n v="332"/>
    <d v="2023-07-21T19:01:00"/>
    <s v="Sunday Night Lights"/>
    <s v="Alcoholic Beverages"/>
    <s v="North America"/>
    <n v="0"/>
    <x v="2"/>
    <s v="Walker's IPA"/>
    <x v="3"/>
    <x v="3"/>
    <s v=""/>
    <s v="Film &amp; Video Production"/>
    <s v="Sunday Night Lights"/>
    <s v="Interstate_SundayNightLights_LiveAction"/>
    <s v="Original"/>
    <n v="804309.03"/>
    <s v="firm-bid"/>
    <m/>
    <m/>
    <m/>
    <m/>
    <m/>
    <n v="1"/>
    <m/>
    <m/>
    <m/>
    <m/>
    <m/>
    <m/>
    <m/>
    <s v=""/>
    <m/>
    <s v=""/>
    <s v=""/>
    <m/>
    <s v=""/>
    <s v=""/>
    <m/>
    <m/>
    <m/>
    <m/>
    <m/>
    <s v=""/>
    <m/>
    <m/>
    <s v=""/>
    <s v=""/>
    <s v=""/>
    <m/>
    <s v=""/>
    <m/>
    <m/>
    <s v=""/>
    <s v=""/>
    <m/>
    <m/>
    <m/>
    <m/>
    <s v=""/>
    <m/>
    <m/>
    <s v=""/>
    <s v=""/>
    <m/>
    <s v=""/>
    <m/>
    <m/>
    <m/>
    <m/>
    <m/>
    <s v=""/>
    <s v=""/>
    <n v="0"/>
    <n v="0"/>
    <n v="827429.73420000006"/>
  </r>
  <r>
    <n v="332"/>
    <d v="2023-07-21T19:01:00"/>
    <s v="Sunday Night Lights"/>
    <s v="Alcoholic Beverages"/>
    <s v="North America"/>
    <n v="1"/>
    <x v="2"/>
    <s v="Walker's IPA"/>
    <x v="3"/>
    <x v="3"/>
    <s v="Petulant Pictures"/>
    <s v="Film &amp; Video Production"/>
    <s v="SunNightLights"/>
    <s v="Petulant_SundayNightLights_LiveAction"/>
    <s v="Original"/>
    <n v="746158.29760000005"/>
    <s v="firm-bid"/>
    <n v="827429.73419999995"/>
    <n v="1"/>
    <m/>
    <m/>
    <m/>
    <m/>
    <m/>
    <m/>
    <n v="34498.75"/>
    <n v="55250"/>
    <m/>
    <m/>
    <m/>
    <s v=""/>
    <m/>
    <s v=""/>
    <s v=""/>
    <n v="5000"/>
    <s v=""/>
    <s v=""/>
    <n v="0"/>
    <m/>
    <n v="0"/>
    <m/>
    <n v="53650"/>
    <s v=""/>
    <n v="2800"/>
    <m/>
    <s v=""/>
    <s v=""/>
    <s v=""/>
    <n v="30260"/>
    <s v=""/>
    <n v="3600"/>
    <m/>
    <s v=""/>
    <s v=""/>
    <n v="9400"/>
    <n v="159588"/>
    <m/>
    <m/>
    <s v=""/>
    <n v="40000"/>
    <n v="161009.42000000001"/>
    <s v=""/>
    <s v=""/>
    <m/>
    <s v=""/>
    <m/>
    <m/>
    <n v="27880"/>
    <n v="0"/>
    <n v="0"/>
    <s v=""/>
    <s v=""/>
    <n v="746158.29760000005"/>
    <n v="746158.29760000005"/>
    <n v="827429.73420000006"/>
  </r>
  <r>
    <n v="332"/>
    <d v="2023-07-21T19:01:00"/>
    <s v="Sunday Night Lights"/>
    <s v="Alcoholic Beverages"/>
    <s v="North America"/>
    <n v="0"/>
    <x v="2"/>
    <s v="Walker's IPA"/>
    <x v="3"/>
    <x v="3"/>
    <s v=""/>
    <s v="Film &amp; Video Production"/>
    <s v="Sunday Night Lights"/>
    <s v="OpenFrameworks_SundayNightLights_LiveAction"/>
    <s v="Original"/>
    <n v="931821.875"/>
    <s v="firm-bid"/>
    <m/>
    <n v="1"/>
    <n v="1"/>
    <m/>
    <m/>
    <m/>
    <m/>
    <m/>
    <m/>
    <m/>
    <m/>
    <m/>
    <m/>
    <s v=""/>
    <m/>
    <s v=""/>
    <s v=""/>
    <m/>
    <s v=""/>
    <s v=""/>
    <m/>
    <m/>
    <m/>
    <m/>
    <m/>
    <s v=""/>
    <m/>
    <m/>
    <s v=""/>
    <s v=""/>
    <s v=""/>
    <m/>
    <s v=""/>
    <m/>
    <m/>
    <s v=""/>
    <s v=""/>
    <m/>
    <m/>
    <m/>
    <m/>
    <s v=""/>
    <m/>
    <m/>
    <s v=""/>
    <s v=""/>
    <m/>
    <s v=""/>
    <m/>
    <m/>
    <m/>
    <m/>
    <m/>
    <s v=""/>
    <s v=""/>
    <n v="931821.875"/>
    <n v="0"/>
    <n v="827429.73420000006"/>
  </r>
  <r>
    <n v="332"/>
    <d v="2023-07-21T19:01:00"/>
    <s v="Sunday Night Lights"/>
    <s v="Alcoholic Beverages"/>
    <s v="North America"/>
    <n v="0"/>
    <x v="2"/>
    <s v="Walker's IPA"/>
    <x v="3"/>
    <x v="3"/>
    <s v=""/>
    <s v="Sanitary Production Costs"/>
    <s v="Sunday Night Lights"/>
    <s v="Interstate_SundayNightLights_Covid"/>
    <s v="Original"/>
    <n v="11871.3925"/>
    <s v="firm-bid"/>
    <m/>
    <m/>
    <m/>
    <m/>
    <m/>
    <n v="1"/>
    <m/>
    <m/>
    <m/>
    <m/>
    <m/>
    <m/>
    <m/>
    <s v=""/>
    <m/>
    <s v=""/>
    <s v=""/>
    <m/>
    <s v=""/>
    <s v=""/>
    <m/>
    <m/>
    <m/>
    <m/>
    <m/>
    <s v=""/>
    <m/>
    <m/>
    <s v=""/>
    <s v=""/>
    <s v=""/>
    <m/>
    <s v=""/>
    <m/>
    <m/>
    <s v=""/>
    <s v=""/>
    <m/>
    <m/>
    <m/>
    <m/>
    <s v=""/>
    <m/>
    <m/>
    <s v=""/>
    <s v=""/>
    <m/>
    <s v=""/>
    <m/>
    <m/>
    <m/>
    <m/>
    <m/>
    <s v=""/>
    <s v=""/>
    <n v="0"/>
    <n v="0"/>
    <n v="7782.9699999999993"/>
  </r>
  <r>
    <n v="332"/>
    <d v="2023-07-21T19:01:00"/>
    <s v="Sunday Night Lights"/>
    <s v="Alcoholic Beverages"/>
    <s v="North America"/>
    <n v="1"/>
    <x v="2"/>
    <s v="Walker's IPA"/>
    <x v="3"/>
    <x v="3"/>
    <s v="Petulant Pictures"/>
    <s v="Sanitary Production Costs"/>
    <s v="SunNightLights"/>
    <s v="Petulant_SundayNightLights_Covid"/>
    <s v="Original"/>
    <n v="5537.8824999999997"/>
    <s v="firm-bid"/>
    <n v="7782.97"/>
    <n v="1"/>
    <m/>
    <m/>
    <m/>
    <m/>
    <m/>
    <m/>
    <m/>
    <m/>
    <m/>
    <m/>
    <m/>
    <s v=""/>
    <n v="2500"/>
    <s v=""/>
    <s v=""/>
    <m/>
    <s v=""/>
    <s v=""/>
    <m/>
    <m/>
    <m/>
    <m/>
    <m/>
    <s v=""/>
    <m/>
    <m/>
    <s v=""/>
    <s v=""/>
    <s v=""/>
    <m/>
    <s v=""/>
    <m/>
    <m/>
    <s v=""/>
    <s v=""/>
    <m/>
    <m/>
    <n v="1015"/>
    <m/>
    <s v=""/>
    <m/>
    <m/>
    <s v=""/>
    <s v=""/>
    <m/>
    <s v=""/>
    <m/>
    <m/>
    <m/>
    <m/>
    <m/>
    <s v=""/>
    <s v=""/>
    <n v="5537.8824999999997"/>
    <n v="5537.8824999999997"/>
    <n v="7782.9699999999993"/>
  </r>
  <r>
    <n v="332"/>
    <d v="2023-07-21T19:01:00"/>
    <s v="Sunday Night Lights"/>
    <s v="Alcoholic Beverages"/>
    <s v="North America"/>
    <n v="0"/>
    <x v="2"/>
    <s v="Walker's IPA"/>
    <x v="3"/>
    <x v="3"/>
    <s v=""/>
    <s v="Sanitary Production Costs"/>
    <s v="Sunday Night Lights"/>
    <s v="OpenFrameworks_SundayNightLights_Covid"/>
    <s v="Original"/>
    <n v="5939.6350000000002"/>
    <s v="firm-bid"/>
    <m/>
    <n v="1"/>
    <n v="1"/>
    <m/>
    <m/>
    <m/>
    <m/>
    <m/>
    <m/>
    <m/>
    <m/>
    <m/>
    <m/>
    <s v=""/>
    <m/>
    <s v=""/>
    <s v=""/>
    <m/>
    <s v=""/>
    <s v=""/>
    <m/>
    <m/>
    <m/>
    <m/>
    <m/>
    <s v=""/>
    <m/>
    <m/>
    <s v=""/>
    <s v=""/>
    <s v=""/>
    <m/>
    <s v=""/>
    <m/>
    <m/>
    <s v=""/>
    <s v=""/>
    <m/>
    <m/>
    <m/>
    <m/>
    <s v=""/>
    <m/>
    <m/>
    <s v=""/>
    <s v=""/>
    <m/>
    <s v=""/>
    <m/>
    <m/>
    <m/>
    <m/>
    <m/>
    <s v=""/>
    <s v=""/>
    <n v="5939.6350000000002"/>
    <n v="0"/>
    <n v="7782.9699999999993"/>
  </r>
  <r>
    <n v="332"/>
    <d v="2023-07-21T19:01:00"/>
    <s v="Sunday Night Lights"/>
    <s v="Alcoholic Beverages"/>
    <s v="North America"/>
    <n v="0"/>
    <x v="2"/>
    <s v="Walker's IPA"/>
    <x v="3"/>
    <x v="3"/>
    <s v=""/>
    <s v="Green Production Costs"/>
    <s v="Sunday Night Lights"/>
    <s v="Interstate_SundayNightLights_Green"/>
    <s v="Original"/>
    <n v="6750"/>
    <s v="firm-bid"/>
    <m/>
    <m/>
    <m/>
    <m/>
    <m/>
    <n v="1"/>
    <m/>
    <m/>
    <m/>
    <m/>
    <m/>
    <m/>
    <m/>
    <s v=""/>
    <m/>
    <s v=""/>
    <s v=""/>
    <m/>
    <s v=""/>
    <s v=""/>
    <m/>
    <m/>
    <m/>
    <m/>
    <m/>
    <s v=""/>
    <m/>
    <m/>
    <s v=""/>
    <s v=""/>
    <s v=""/>
    <m/>
    <s v=""/>
    <m/>
    <m/>
    <s v=""/>
    <s v=""/>
    <m/>
    <m/>
    <m/>
    <m/>
    <s v=""/>
    <m/>
    <m/>
    <s v=""/>
    <s v=""/>
    <m/>
    <s v=""/>
    <m/>
    <m/>
    <m/>
    <m/>
    <m/>
    <s v=""/>
    <s v=""/>
    <n v="0"/>
    <n v="0"/>
    <n v="11750"/>
  </r>
  <r>
    <n v="332"/>
    <d v="2023-07-21T19:01:00"/>
    <s v="Sunday Night Lights"/>
    <s v="Alcoholic Beverages"/>
    <s v="North America"/>
    <n v="1"/>
    <x v="2"/>
    <s v="Walker's IPA"/>
    <x v="3"/>
    <x v="3"/>
    <s v="Petulant Pictures"/>
    <s v="Green Production Costs"/>
    <s v="SunNightLights"/>
    <s v="Petulant_SundayNightLights_Green"/>
    <s v="Original"/>
    <n v="11214"/>
    <s v="firm-bid"/>
    <n v="11750"/>
    <n v="1"/>
    <m/>
    <m/>
    <m/>
    <m/>
    <m/>
    <m/>
    <n v="0"/>
    <n v="0"/>
    <m/>
    <m/>
    <m/>
    <s v=""/>
    <m/>
    <s v=""/>
    <s v=""/>
    <n v="0"/>
    <s v=""/>
    <s v=""/>
    <n v="0"/>
    <m/>
    <n v="0"/>
    <m/>
    <n v="0"/>
    <s v=""/>
    <n v="0"/>
    <m/>
    <s v=""/>
    <s v=""/>
    <s v=""/>
    <n v="0"/>
    <s v=""/>
    <n v="8900"/>
    <m/>
    <s v=""/>
    <s v=""/>
    <n v="0"/>
    <n v="0"/>
    <m/>
    <m/>
    <s v=""/>
    <n v="0"/>
    <n v="0"/>
    <s v=""/>
    <s v=""/>
    <m/>
    <s v=""/>
    <m/>
    <m/>
    <n v="0"/>
    <n v="0"/>
    <n v="0"/>
    <s v=""/>
    <s v=""/>
    <n v="11214"/>
    <n v="11214"/>
    <n v="11750"/>
  </r>
  <r>
    <n v="332"/>
    <d v="2023-07-21T19:01:00"/>
    <s v="Sunday Night Lights"/>
    <s v="Alcoholic Beverages"/>
    <s v="North America"/>
    <n v="0"/>
    <x v="2"/>
    <s v="Walker's IPA"/>
    <x v="3"/>
    <x v="3"/>
    <s v=""/>
    <s v="Green Production Costs"/>
    <s v="Sunday Night Lights"/>
    <s v="OpenFrameworks_SundayNightLights_Green"/>
    <s v="Original"/>
    <n v="17286"/>
    <s v="firm-bid"/>
    <m/>
    <n v="1"/>
    <n v="1"/>
    <m/>
    <m/>
    <m/>
    <m/>
    <m/>
    <m/>
    <m/>
    <m/>
    <m/>
    <m/>
    <s v=""/>
    <m/>
    <s v=""/>
    <s v=""/>
    <m/>
    <s v=""/>
    <s v=""/>
    <m/>
    <m/>
    <m/>
    <m/>
    <m/>
    <s v=""/>
    <m/>
    <m/>
    <s v=""/>
    <s v=""/>
    <s v=""/>
    <m/>
    <s v=""/>
    <m/>
    <m/>
    <s v=""/>
    <s v=""/>
    <m/>
    <m/>
    <m/>
    <m/>
    <s v=""/>
    <m/>
    <m/>
    <s v=""/>
    <s v=""/>
    <m/>
    <s v=""/>
    <m/>
    <m/>
    <m/>
    <m/>
    <m/>
    <s v=""/>
    <s v=""/>
    <n v="17286"/>
    <n v="0"/>
    <n v="11750"/>
  </r>
  <r>
    <n v="332"/>
    <d v="2023-07-21T19:01:00"/>
    <s v="Sunday Night Lights"/>
    <s v="Alcoholic Beverages"/>
    <s v="North America"/>
    <n v="0"/>
    <x v="2"/>
    <s v="Walker's IPA"/>
    <x v="3"/>
    <x v="3"/>
    <s v=""/>
    <s v="Editorial"/>
    <s v="Sunday Night Lights"/>
    <s v="TotalCuts_SundayNightLights_Edit"/>
    <s v="Original"/>
    <n v="119193.9583"/>
    <s v="firm-bid"/>
    <m/>
    <m/>
    <m/>
    <m/>
    <n v="1"/>
    <m/>
    <m/>
    <m/>
    <m/>
    <m/>
    <m/>
    <m/>
    <m/>
    <s v=""/>
    <m/>
    <s v=""/>
    <s v=""/>
    <m/>
    <s v=""/>
    <s v=""/>
    <m/>
    <m/>
    <m/>
    <m/>
    <m/>
    <s v=""/>
    <m/>
    <m/>
    <s v=""/>
    <s v=""/>
    <s v=""/>
    <m/>
    <s v=""/>
    <m/>
    <m/>
    <s v=""/>
    <s v=""/>
    <m/>
    <m/>
    <m/>
    <m/>
    <s v=""/>
    <m/>
    <m/>
    <s v=""/>
    <s v=""/>
    <m/>
    <s v=""/>
    <m/>
    <m/>
    <m/>
    <m/>
    <m/>
    <s v=""/>
    <s v=""/>
    <n v="0"/>
    <n v="0"/>
    <n v="114895.93886666666"/>
  </r>
  <r>
    <n v="332"/>
    <d v="2023-07-21T19:01:00"/>
    <s v="Sunday Night Lights"/>
    <s v="Alcoholic Beverages"/>
    <s v="North America"/>
    <n v="1"/>
    <x v="2"/>
    <s v="Walker's IPA"/>
    <x v="3"/>
    <x v="3"/>
    <s v="Toto"/>
    <s v="Editorial"/>
    <s v="Sunday Night Lights"/>
    <s v="ToTo_SundayNightLights_Edit"/>
    <s v="Original"/>
    <n v="130914.5833"/>
    <s v="firm-bid"/>
    <n v="114895.93889999999"/>
    <m/>
    <m/>
    <n v="1"/>
    <m/>
    <m/>
    <m/>
    <m/>
    <m/>
    <m/>
    <m/>
    <m/>
    <m/>
    <s v=""/>
    <m/>
    <s v=""/>
    <s v=""/>
    <m/>
    <s v=""/>
    <s v=""/>
    <n v="16850"/>
    <n v="22000"/>
    <n v="42100"/>
    <n v="14550"/>
    <m/>
    <s v=""/>
    <m/>
    <m/>
    <s v=""/>
    <s v=""/>
    <s v=""/>
    <m/>
    <s v=""/>
    <m/>
    <m/>
    <s v=""/>
    <s v=""/>
    <m/>
    <m/>
    <m/>
    <m/>
    <s v=""/>
    <m/>
    <m/>
    <s v=""/>
    <s v=""/>
    <m/>
    <s v=""/>
    <m/>
    <m/>
    <m/>
    <m/>
    <m/>
    <s v=""/>
    <s v=""/>
    <n v="0"/>
    <n v="0"/>
    <n v="114895.93886666666"/>
  </r>
  <r>
    <n v="332"/>
    <d v="2023-07-21T19:01:00"/>
    <s v="Sunday Night Lights"/>
    <s v="Alcoholic Beverages"/>
    <s v="North America"/>
    <n v="0"/>
    <x v="2"/>
    <s v="Walker's IPA"/>
    <x v="3"/>
    <x v="3"/>
    <s v=""/>
    <s v="Editorial"/>
    <s v="Sunday Night Lights"/>
    <s v="TheCloset_SundayNightLights_Edit"/>
    <s v="Original"/>
    <n v="94579.274999999994"/>
    <s v="firm-bid"/>
    <m/>
    <m/>
    <m/>
    <m/>
    <m/>
    <n v="1"/>
    <n v="1"/>
    <m/>
    <m/>
    <m/>
    <m/>
    <m/>
    <m/>
    <s v=""/>
    <m/>
    <s v=""/>
    <s v=""/>
    <m/>
    <s v=""/>
    <s v=""/>
    <m/>
    <m/>
    <m/>
    <m/>
    <m/>
    <s v=""/>
    <m/>
    <m/>
    <s v=""/>
    <s v=""/>
    <s v=""/>
    <m/>
    <s v=""/>
    <m/>
    <m/>
    <s v=""/>
    <s v=""/>
    <m/>
    <m/>
    <m/>
    <m/>
    <s v=""/>
    <m/>
    <m/>
    <s v=""/>
    <s v=""/>
    <m/>
    <s v=""/>
    <m/>
    <m/>
    <m/>
    <m/>
    <m/>
    <s v=""/>
    <s v=""/>
    <n v="0"/>
    <n v="0"/>
    <n v="114895.93886666666"/>
  </r>
  <r>
    <n v="332"/>
    <d v="2023-07-21T19:01:00"/>
    <s v="Sunday Night Lights"/>
    <s v="Alcoholic Beverages"/>
    <s v="North America"/>
    <n v="0"/>
    <x v="2"/>
    <s v="Walker's IPA"/>
    <x v="3"/>
    <x v="3"/>
    <s v=""/>
    <s v="Finishing"/>
    <s v="‚ÄúSunday Night Lights ‚Äù - POI"/>
    <s v="PersonsofInterest_SundayNightLights_Finishing"/>
    <s v="Original"/>
    <n v="29850"/>
    <s v="firm-bid"/>
    <m/>
    <m/>
    <m/>
    <m/>
    <m/>
    <m/>
    <m/>
    <m/>
    <m/>
    <m/>
    <m/>
    <m/>
    <m/>
    <s v=""/>
    <m/>
    <s v=""/>
    <s v=""/>
    <m/>
    <s v=""/>
    <s v=""/>
    <m/>
    <m/>
    <m/>
    <m/>
    <m/>
    <s v=""/>
    <m/>
    <m/>
    <s v=""/>
    <s v=""/>
    <s v=""/>
    <m/>
    <s v=""/>
    <m/>
    <m/>
    <s v=""/>
    <s v=""/>
    <m/>
    <m/>
    <m/>
    <m/>
    <s v=""/>
    <m/>
    <m/>
    <s v=""/>
    <s v=""/>
    <m/>
    <s v=""/>
    <m/>
    <m/>
    <m/>
    <m/>
    <m/>
    <s v=""/>
    <s v=""/>
    <n v="0"/>
    <n v="0"/>
    <n v="36283.333333333336"/>
  </r>
  <r>
    <n v="332"/>
    <d v="2023-07-21T19:01:00"/>
    <s v="Sunday Night Lights"/>
    <s v="Alcoholic Beverages"/>
    <s v="North America"/>
    <n v="1"/>
    <x v="2"/>
    <s v="Walker's IPA"/>
    <x v="3"/>
    <x v="3"/>
    <s v="Andiamo Images"/>
    <s v="Finishing"/>
    <s v="&quot;Sunday Night Lights&quot; Andiamo"/>
    <s v="AndiamoImages_SundayNightLights_Finishing"/>
    <s v="Original"/>
    <n v="62100"/>
    <s v="firm-bid"/>
    <n v="36283.333330000001"/>
    <m/>
    <m/>
    <n v="1"/>
    <m/>
    <n v="1"/>
    <m/>
    <m/>
    <m/>
    <m/>
    <m/>
    <m/>
    <m/>
    <s v=""/>
    <m/>
    <s v=""/>
    <s v=""/>
    <m/>
    <s v=""/>
    <s v=""/>
    <m/>
    <m/>
    <m/>
    <m/>
    <m/>
    <s v=""/>
    <m/>
    <n v="62100"/>
    <s v=""/>
    <s v=""/>
    <s v=""/>
    <m/>
    <s v=""/>
    <m/>
    <m/>
    <s v=""/>
    <s v=""/>
    <m/>
    <m/>
    <m/>
    <m/>
    <s v=""/>
    <m/>
    <m/>
    <s v=""/>
    <s v=""/>
    <m/>
    <s v=""/>
    <m/>
    <m/>
    <m/>
    <m/>
    <m/>
    <s v=""/>
    <s v=""/>
    <n v="0"/>
    <n v="0"/>
    <n v="36283.333333333336"/>
  </r>
  <r>
    <n v="332"/>
    <d v="2023-07-21T19:01:00"/>
    <s v="Sunday Night Lights"/>
    <s v="Alcoholic Beverages"/>
    <s v="North America"/>
    <n v="0"/>
    <x v="2"/>
    <s v="Walker's IPA"/>
    <x v="3"/>
    <x v="3"/>
    <s v=""/>
    <s v="Finishing"/>
    <s v="&quot;Sunday Night Lights&quot; RSD #45299"/>
    <s v="RackspaceDigital_SundayNightLights_Finishing"/>
    <s v="Original"/>
    <n v="16900"/>
    <s v="firm-bid"/>
    <m/>
    <m/>
    <m/>
    <m/>
    <m/>
    <m/>
    <m/>
    <m/>
    <m/>
    <m/>
    <m/>
    <m/>
    <m/>
    <s v=""/>
    <m/>
    <s v=""/>
    <s v=""/>
    <m/>
    <s v=""/>
    <s v=""/>
    <m/>
    <m/>
    <m/>
    <m/>
    <m/>
    <s v=""/>
    <m/>
    <m/>
    <s v=""/>
    <s v=""/>
    <s v=""/>
    <m/>
    <s v=""/>
    <m/>
    <m/>
    <s v=""/>
    <s v=""/>
    <m/>
    <m/>
    <m/>
    <m/>
    <s v=""/>
    <m/>
    <m/>
    <s v=""/>
    <s v=""/>
    <m/>
    <s v=""/>
    <m/>
    <m/>
    <m/>
    <m/>
    <m/>
    <s v=""/>
    <s v=""/>
    <n v="0"/>
    <n v="0"/>
    <n v="36283.333333333336"/>
  </r>
  <r>
    <n v="332"/>
    <d v="2023-07-21T19:01:00"/>
    <s v="Sunday Night Lights"/>
    <s v="Alcoholic Beverages"/>
    <s v="North America"/>
    <n v="0"/>
    <x v="2"/>
    <s v="Walker's IPA"/>
    <x v="3"/>
    <x v="3"/>
    <s v=""/>
    <s v="Still Photography Production"/>
    <s v="Sunday Night Lights"/>
    <s v="Interstate_SundayNightLights_Stills"/>
    <s v="Original"/>
    <n v="192655.61499999999"/>
    <s v="firm-bid"/>
    <m/>
    <m/>
    <m/>
    <m/>
    <m/>
    <n v="1"/>
    <m/>
    <m/>
    <m/>
    <m/>
    <m/>
    <m/>
    <m/>
    <s v=""/>
    <m/>
    <s v=""/>
    <s v=""/>
    <m/>
    <s v=""/>
    <s v=""/>
    <m/>
    <m/>
    <m/>
    <m/>
    <m/>
    <s v=""/>
    <m/>
    <m/>
    <s v=""/>
    <s v=""/>
    <s v=""/>
    <m/>
    <s v=""/>
    <m/>
    <m/>
    <s v=""/>
    <s v=""/>
    <m/>
    <m/>
    <m/>
    <m/>
    <s v=""/>
    <m/>
    <m/>
    <s v=""/>
    <s v=""/>
    <m/>
    <s v=""/>
    <m/>
    <m/>
    <m/>
    <m/>
    <m/>
    <s v=""/>
    <s v=""/>
    <n v="0"/>
    <n v="0"/>
    <n v="158633.04393333333"/>
  </r>
  <r>
    <n v="332"/>
    <d v="2023-07-21T19:01:00"/>
    <s v="Sunday Night Lights"/>
    <s v="Alcoholic Beverages"/>
    <s v="North America"/>
    <n v="1"/>
    <x v="2"/>
    <s v="Walker's IPA"/>
    <x v="3"/>
    <x v="3"/>
    <s v="CHAW Creative"/>
    <s v="Still Photography Production"/>
    <s v="SNL"/>
    <s v="CHAW_SundayNightLights_Stills"/>
    <s v="Original"/>
    <n v="139549.23199999999"/>
    <s v="firm-bid"/>
    <n v="158633.04389999999"/>
    <m/>
    <n v="1"/>
    <m/>
    <m/>
    <m/>
    <n v="1"/>
    <m/>
    <m/>
    <n v="0"/>
    <m/>
    <m/>
    <n v="5329"/>
    <s v=""/>
    <m/>
    <s v=""/>
    <s v=""/>
    <m/>
    <s v=""/>
    <s v=""/>
    <m/>
    <m/>
    <m/>
    <m/>
    <n v="3352"/>
    <s v=""/>
    <n v="1370"/>
    <m/>
    <s v=""/>
    <s v=""/>
    <s v=""/>
    <m/>
    <s v=""/>
    <n v="0"/>
    <m/>
    <s v=""/>
    <s v=""/>
    <n v="11385"/>
    <m/>
    <m/>
    <n v="6936"/>
    <s v=""/>
    <n v="7416"/>
    <n v="32890"/>
    <s v=""/>
    <s v=""/>
    <n v="19794"/>
    <s v=""/>
    <m/>
    <n v="6228"/>
    <m/>
    <n v="4408"/>
    <n v="3792"/>
    <s v=""/>
    <s v=""/>
    <n v="0"/>
    <n v="0"/>
    <n v="158633.04393333333"/>
  </r>
  <r>
    <n v="332"/>
    <d v="2023-07-21T19:01:00"/>
    <s v="Sunday Night Lights"/>
    <s v="Alcoholic Beverages"/>
    <s v="North America"/>
    <n v="0"/>
    <x v="2"/>
    <s v="Walker's IPA"/>
    <x v="3"/>
    <x v="3"/>
    <s v=""/>
    <s v="Still Photography Production"/>
    <s v="Kent Wilson Studio Estimate for &quot;Sunday Night Lights&quot; #1"/>
    <s v="KentWilsonStudio_SundayNightLights_Stills"/>
    <s v="Original"/>
    <n v="143694.28479999999"/>
    <s v="firm-bid"/>
    <m/>
    <m/>
    <n v="1"/>
    <m/>
    <m/>
    <m/>
    <m/>
    <m/>
    <m/>
    <m/>
    <m/>
    <m/>
    <m/>
    <s v=""/>
    <m/>
    <s v=""/>
    <s v=""/>
    <m/>
    <s v=""/>
    <s v=""/>
    <m/>
    <m/>
    <m/>
    <m/>
    <m/>
    <s v=""/>
    <m/>
    <m/>
    <s v=""/>
    <s v=""/>
    <s v=""/>
    <m/>
    <s v=""/>
    <m/>
    <m/>
    <s v=""/>
    <s v=""/>
    <m/>
    <m/>
    <m/>
    <m/>
    <s v=""/>
    <m/>
    <m/>
    <s v=""/>
    <s v=""/>
    <m/>
    <s v=""/>
    <m/>
    <m/>
    <m/>
    <m/>
    <m/>
    <s v=""/>
    <s v=""/>
    <n v="0"/>
    <n v="0"/>
    <n v="158633.04393333333"/>
  </r>
  <r>
    <n v="332"/>
    <d v="2023-07-21T19:01:00"/>
    <s v="Sunday Night Lights"/>
    <s v="Alcoholic Beverages"/>
    <s v="North America"/>
    <n v="0"/>
    <x v="2"/>
    <s v="Walker's IPA"/>
    <x v="3"/>
    <x v="3"/>
    <s v=""/>
    <s v="Photo Retouching &amp; Post"/>
    <s v="Sunday Night Lights"/>
    <s v="Interstate_SundayNightLights_Retouching"/>
    <s v="Original"/>
    <n v="38300"/>
    <s v="firm-bid"/>
    <m/>
    <m/>
    <m/>
    <m/>
    <m/>
    <n v="1"/>
    <m/>
    <m/>
    <m/>
    <m/>
    <m/>
    <m/>
    <m/>
    <s v=""/>
    <m/>
    <s v=""/>
    <s v=""/>
    <m/>
    <s v=""/>
    <s v=""/>
    <m/>
    <m/>
    <m/>
    <m/>
    <m/>
    <s v=""/>
    <m/>
    <m/>
    <s v=""/>
    <s v=""/>
    <s v=""/>
    <m/>
    <s v=""/>
    <m/>
    <m/>
    <s v=""/>
    <s v=""/>
    <m/>
    <m/>
    <m/>
    <m/>
    <s v=""/>
    <m/>
    <m/>
    <s v=""/>
    <s v=""/>
    <m/>
    <s v=""/>
    <m/>
    <m/>
    <m/>
    <m/>
    <m/>
    <s v=""/>
    <s v=""/>
    <n v="0"/>
    <n v="0"/>
    <n v="29616.666666666664"/>
  </r>
  <r>
    <n v="332"/>
    <d v="2023-07-21T19:01:00"/>
    <s v="Sunday Night Lights"/>
    <s v="Alcoholic Beverages"/>
    <s v="North America"/>
    <n v="1"/>
    <x v="2"/>
    <s v="Walker's IPA"/>
    <x v="3"/>
    <x v="3"/>
    <s v="CHAW Creative"/>
    <s v="Photo Retouching &amp; Post"/>
    <s v="SNL"/>
    <s v="CHAW_SundayNightLights_Retouching"/>
    <s v="Original"/>
    <n v="23000"/>
    <s v="firm-bid"/>
    <n v="29616.666669999999"/>
    <m/>
    <n v="1"/>
    <m/>
    <m/>
    <m/>
    <n v="1"/>
    <m/>
    <m/>
    <m/>
    <m/>
    <m/>
    <m/>
    <s v=""/>
    <m/>
    <s v=""/>
    <s v=""/>
    <m/>
    <s v=""/>
    <s v=""/>
    <m/>
    <m/>
    <m/>
    <m/>
    <m/>
    <s v=""/>
    <m/>
    <m/>
    <s v=""/>
    <s v=""/>
    <s v=""/>
    <m/>
    <s v=""/>
    <m/>
    <m/>
    <s v=""/>
    <s v=""/>
    <m/>
    <m/>
    <m/>
    <m/>
    <s v=""/>
    <m/>
    <m/>
    <s v=""/>
    <s v=""/>
    <m/>
    <s v=""/>
    <n v="23000"/>
    <m/>
    <m/>
    <m/>
    <m/>
    <s v=""/>
    <s v=""/>
    <n v="0"/>
    <n v="0"/>
    <n v="29616.666666666664"/>
  </r>
  <r>
    <n v="332"/>
    <d v="2023-07-21T19:01:00"/>
    <s v="Sunday Night Lights"/>
    <s v="Alcoholic Beverages"/>
    <s v="North America"/>
    <n v="0"/>
    <x v="2"/>
    <s v="Walker's IPA"/>
    <x v="3"/>
    <x v="3"/>
    <s v=""/>
    <s v="Photo Retouching &amp; Post"/>
    <s v="Kent Wilson Studio Estimate for &quot;Sunday Night Lights&quot; #1"/>
    <s v="KentWilsonStudio_SundayNightLights_Retouching"/>
    <s v="Original"/>
    <n v="27550"/>
    <s v="firm-bid"/>
    <m/>
    <m/>
    <n v="1"/>
    <m/>
    <m/>
    <m/>
    <m/>
    <m/>
    <m/>
    <m/>
    <m/>
    <m/>
    <m/>
    <s v=""/>
    <m/>
    <s v=""/>
    <s v=""/>
    <m/>
    <s v=""/>
    <s v=""/>
    <m/>
    <m/>
    <m/>
    <m/>
    <m/>
    <s v=""/>
    <m/>
    <m/>
    <s v=""/>
    <s v=""/>
    <s v=""/>
    <m/>
    <s v=""/>
    <m/>
    <m/>
    <s v=""/>
    <s v=""/>
    <m/>
    <m/>
    <m/>
    <m/>
    <s v=""/>
    <m/>
    <m/>
    <s v=""/>
    <s v=""/>
    <m/>
    <s v=""/>
    <m/>
    <m/>
    <m/>
    <m/>
    <m/>
    <s v=""/>
    <s v=""/>
    <n v="0"/>
    <n v="0"/>
    <n v="29616.666666666664"/>
  </r>
  <r>
    <n v="332"/>
    <d v="2023-07-21T19:01:00"/>
    <s v="Sunday Night Lights"/>
    <s v="Alcoholic Beverages"/>
    <s v="North America"/>
    <n v="0"/>
    <x v="2"/>
    <s v="Walker's IPA"/>
    <x v="3"/>
    <x v="3"/>
    <s v=""/>
    <s v="Behind The Scenes (BTS)"/>
    <s v="Sunday Night Lights"/>
    <s v="Interstate_SundayNightLights_BTS"/>
    <s v="Original"/>
    <n v="17251.724999999999"/>
    <s v="firm-bid"/>
    <m/>
    <m/>
    <m/>
    <m/>
    <m/>
    <n v="1"/>
    <m/>
    <m/>
    <m/>
    <m/>
    <m/>
    <m/>
    <m/>
    <s v=""/>
    <m/>
    <s v=""/>
    <s v=""/>
    <m/>
    <s v=""/>
    <s v=""/>
    <m/>
    <m/>
    <m/>
    <m/>
    <m/>
    <s v=""/>
    <m/>
    <m/>
    <s v=""/>
    <s v=""/>
    <s v=""/>
    <m/>
    <s v=""/>
    <m/>
    <m/>
    <s v=""/>
    <s v=""/>
    <m/>
    <m/>
    <m/>
    <m/>
    <s v=""/>
    <m/>
    <m/>
    <s v=""/>
    <s v=""/>
    <m/>
    <s v=""/>
    <m/>
    <m/>
    <m/>
    <m/>
    <m/>
    <s v=""/>
    <s v=""/>
    <n v="0"/>
    <n v="0"/>
    <n v="18144.508333333331"/>
  </r>
  <r>
    <n v="332"/>
    <d v="2023-07-21T19:01:00"/>
    <s v="Sunday Night Lights"/>
    <s v="Alcoholic Beverages"/>
    <s v="North America"/>
    <n v="1"/>
    <x v="2"/>
    <s v="Walker's IPA"/>
    <x v="3"/>
    <x v="3"/>
    <s v="Petulant Pictures"/>
    <s v="Behind The Scenes (BTS)"/>
    <s v="SunNightLights"/>
    <s v="Petulant_SundayNightLights_BTS"/>
    <s v="Original"/>
    <n v="18827.224999999999"/>
    <s v="firm-bid"/>
    <n v="18144.508330000001"/>
    <n v="1"/>
    <m/>
    <m/>
    <m/>
    <m/>
    <m/>
    <m/>
    <m/>
    <m/>
    <m/>
    <n v="11950"/>
    <m/>
    <s v=""/>
    <m/>
    <s v=""/>
    <s v=""/>
    <m/>
    <s v=""/>
    <s v=""/>
    <m/>
    <m/>
    <m/>
    <m/>
    <m/>
    <s v=""/>
    <m/>
    <m/>
    <s v=""/>
    <s v=""/>
    <s v=""/>
    <m/>
    <s v=""/>
    <m/>
    <m/>
    <s v=""/>
    <s v=""/>
    <m/>
    <m/>
    <m/>
    <m/>
    <s v=""/>
    <m/>
    <m/>
    <s v=""/>
    <s v=""/>
    <m/>
    <s v=""/>
    <m/>
    <m/>
    <m/>
    <m/>
    <m/>
    <s v=""/>
    <s v=""/>
    <n v="18827.224999999999"/>
    <n v="18827.224999999999"/>
    <n v="18144.508333333331"/>
  </r>
  <r>
    <n v="332"/>
    <d v="2023-07-21T19:01:00"/>
    <s v="Sunday Night Lights"/>
    <s v="Alcoholic Beverages"/>
    <s v="North America"/>
    <n v="0"/>
    <x v="2"/>
    <s v="Walker's IPA"/>
    <x v="3"/>
    <x v="3"/>
    <s v=""/>
    <s v="Behind The Scenes (BTS)"/>
    <s v="Sunday Night Lights"/>
    <s v="OpenFrameworks_SundayNightLights_BTS"/>
    <s v="Original"/>
    <n v="18354.575000000001"/>
    <s v="firm-bid"/>
    <m/>
    <n v="1"/>
    <n v="1"/>
    <m/>
    <m/>
    <m/>
    <m/>
    <m/>
    <m/>
    <m/>
    <m/>
    <m/>
    <m/>
    <s v=""/>
    <m/>
    <s v=""/>
    <s v=""/>
    <m/>
    <s v=""/>
    <s v=""/>
    <m/>
    <m/>
    <m/>
    <m/>
    <m/>
    <s v=""/>
    <m/>
    <m/>
    <s v=""/>
    <s v=""/>
    <s v=""/>
    <m/>
    <s v=""/>
    <m/>
    <m/>
    <s v=""/>
    <s v=""/>
    <m/>
    <m/>
    <m/>
    <m/>
    <s v=""/>
    <m/>
    <m/>
    <s v=""/>
    <s v=""/>
    <m/>
    <s v=""/>
    <m/>
    <m/>
    <m/>
    <m/>
    <m/>
    <s v=""/>
    <s v=""/>
    <n v="18354.575000000001"/>
    <n v="0"/>
    <n v="18144.508333333331"/>
  </r>
  <r>
    <n v="333"/>
    <d v="2023-07-21T19:02:00"/>
    <s v="On the Moors"/>
    <s v="Alcoholic Beverages"/>
    <s v="North America"/>
    <n v="1"/>
    <x v="2"/>
    <s v="Walker's IPA"/>
    <x v="4"/>
    <x v="3"/>
    <s v="Special Oaks"/>
    <s v="Audio Post"/>
    <s v="Special Oaks &quot;On the Moors&quot;"/>
    <s v="Special Oaks"/>
    <s v="Original"/>
    <n v="48690"/>
    <s v="firm-bid"/>
    <n v="31286.666669999999"/>
    <m/>
    <m/>
    <n v="1"/>
    <m/>
    <n v="1"/>
    <m/>
    <m/>
    <m/>
    <m/>
    <n v="48690"/>
    <m/>
    <m/>
    <s v=""/>
    <m/>
    <s v=""/>
    <s v=""/>
    <m/>
    <s v=""/>
    <s v=""/>
    <m/>
    <m/>
    <m/>
    <m/>
    <m/>
    <s v=""/>
    <m/>
    <m/>
    <s v=""/>
    <s v=""/>
    <s v=""/>
    <m/>
    <s v=""/>
    <m/>
    <m/>
    <s v=""/>
    <s v=""/>
    <m/>
    <m/>
    <m/>
    <m/>
    <s v=""/>
    <m/>
    <m/>
    <s v=""/>
    <s v=""/>
    <m/>
    <s v=""/>
    <m/>
    <m/>
    <m/>
    <m/>
    <m/>
    <s v=""/>
    <s v=""/>
    <n v="0"/>
    <n v="0"/>
    <n v="31286.666666666668"/>
  </r>
  <r>
    <n v="333"/>
    <d v="2023-07-21T19:02:00"/>
    <s v="On the Moors"/>
    <s v="Alcoholic Beverages"/>
    <s v="North America"/>
    <n v="0"/>
    <x v="2"/>
    <s v="Walker's IPA"/>
    <x v="4"/>
    <x v="3"/>
    <s v=""/>
    <s v="Audio Post"/>
    <s v="Audio Lab&quot;On the Moors&quot;"/>
    <s v="Audio_87"/>
    <s v="Original"/>
    <n v="20890"/>
    <s v="firm-bid"/>
    <m/>
    <n v="1"/>
    <m/>
    <m/>
    <m/>
    <m/>
    <n v="1"/>
    <m/>
    <m/>
    <m/>
    <m/>
    <m/>
    <m/>
    <s v=""/>
    <m/>
    <s v=""/>
    <s v=""/>
    <m/>
    <s v=""/>
    <s v=""/>
    <m/>
    <m/>
    <m/>
    <m/>
    <m/>
    <s v=""/>
    <m/>
    <m/>
    <s v=""/>
    <s v=""/>
    <s v=""/>
    <m/>
    <s v=""/>
    <m/>
    <m/>
    <s v=""/>
    <s v=""/>
    <m/>
    <m/>
    <m/>
    <m/>
    <s v=""/>
    <m/>
    <m/>
    <s v=""/>
    <s v=""/>
    <m/>
    <s v=""/>
    <m/>
    <m/>
    <m/>
    <m/>
    <m/>
    <s v=""/>
    <s v=""/>
    <n v="20890"/>
    <n v="0"/>
    <n v="31286.666666666668"/>
  </r>
  <r>
    <n v="333"/>
    <d v="2023-07-21T19:02:00"/>
    <s v="On the Moors"/>
    <s v="Alcoholic Beverages"/>
    <s v="North America"/>
    <n v="0"/>
    <x v="2"/>
    <s v="Walker's IPA"/>
    <x v="4"/>
    <x v="3"/>
    <s v=""/>
    <s v="Audio Post"/>
    <s v="AudioFantasy&quot;OnTheMoors&quot;"/>
    <s v="AudioFantasyBid"/>
    <s v="Original"/>
    <n v="24280"/>
    <s v="firm-bid"/>
    <m/>
    <m/>
    <n v="1"/>
    <n v="1"/>
    <m/>
    <m/>
    <m/>
    <m/>
    <m/>
    <m/>
    <m/>
    <m/>
    <m/>
    <s v=""/>
    <m/>
    <s v=""/>
    <s v=""/>
    <m/>
    <s v=""/>
    <s v=""/>
    <m/>
    <m/>
    <m/>
    <m/>
    <m/>
    <s v=""/>
    <m/>
    <m/>
    <s v=""/>
    <s v=""/>
    <s v=""/>
    <m/>
    <s v=""/>
    <m/>
    <m/>
    <s v=""/>
    <s v=""/>
    <m/>
    <m/>
    <m/>
    <m/>
    <s v=""/>
    <m/>
    <m/>
    <s v=""/>
    <s v=""/>
    <m/>
    <s v=""/>
    <m/>
    <m/>
    <m/>
    <m/>
    <m/>
    <s v=""/>
    <s v=""/>
    <n v="0"/>
    <n v="0"/>
    <n v="31286.666666666668"/>
  </r>
  <r>
    <n v="333"/>
    <d v="2023-07-21T19:02:00"/>
    <s v="On the Moors"/>
    <s v="Alcoholic Beverages"/>
    <s v="North America"/>
    <n v="0"/>
    <x v="2"/>
    <s v="Walker's IPA"/>
    <x v="4"/>
    <x v="3"/>
    <s v=""/>
    <s v="Film &amp; Video Production"/>
    <s v="On the Moors"/>
    <s v="Level12_OntheMoors_LiveAction"/>
    <s v="Original"/>
    <n v="861318.65"/>
    <s v="firm-bid"/>
    <m/>
    <m/>
    <n v="1"/>
    <m/>
    <m/>
    <m/>
    <m/>
    <m/>
    <m/>
    <m/>
    <m/>
    <m/>
    <m/>
    <s v=""/>
    <m/>
    <s v=""/>
    <s v=""/>
    <m/>
    <s v=""/>
    <s v=""/>
    <m/>
    <m/>
    <m/>
    <m/>
    <m/>
    <s v=""/>
    <m/>
    <m/>
    <s v=""/>
    <s v=""/>
    <s v=""/>
    <m/>
    <s v=""/>
    <m/>
    <m/>
    <s v=""/>
    <s v=""/>
    <m/>
    <m/>
    <m/>
    <m/>
    <s v=""/>
    <m/>
    <m/>
    <s v=""/>
    <s v=""/>
    <m/>
    <s v=""/>
    <m/>
    <m/>
    <m/>
    <m/>
    <m/>
    <s v=""/>
    <s v=""/>
    <n v="0"/>
    <n v="0"/>
    <n v="837017.14029999997"/>
  </r>
  <r>
    <n v="333"/>
    <d v="2023-07-21T19:02:00"/>
    <s v="On the Moors"/>
    <s v="Alcoholic Beverages"/>
    <s v="North America"/>
    <n v="0"/>
    <x v="2"/>
    <s v="Walker's IPA"/>
    <x v="4"/>
    <x v="3"/>
    <s v=""/>
    <s v="Film &amp; Video Production"/>
    <s v="Moors"/>
    <s v="Petulant_OntheMoors_LiveAction"/>
    <s v="Original"/>
    <n v="850434.76089999999"/>
    <s v="firm-bid"/>
    <m/>
    <n v="1"/>
    <m/>
    <m/>
    <m/>
    <m/>
    <m/>
    <m/>
    <m/>
    <m/>
    <m/>
    <m/>
    <m/>
    <s v=""/>
    <m/>
    <s v=""/>
    <s v=""/>
    <m/>
    <s v=""/>
    <s v=""/>
    <m/>
    <m/>
    <m/>
    <m/>
    <m/>
    <s v=""/>
    <m/>
    <m/>
    <s v=""/>
    <s v=""/>
    <s v=""/>
    <m/>
    <s v=""/>
    <m/>
    <m/>
    <s v=""/>
    <s v=""/>
    <m/>
    <m/>
    <m/>
    <m/>
    <s v=""/>
    <m/>
    <m/>
    <s v=""/>
    <s v=""/>
    <m/>
    <s v=""/>
    <m/>
    <m/>
    <m/>
    <m/>
    <m/>
    <s v=""/>
    <s v=""/>
    <n v="850434.76089999999"/>
    <n v="0"/>
    <n v="837017.14029999997"/>
  </r>
  <r>
    <n v="333"/>
    <d v="2023-07-21T19:02:00"/>
    <s v="On the Moors"/>
    <s v="Alcoholic Beverages"/>
    <s v="North America"/>
    <n v="1"/>
    <x v="2"/>
    <s v="Walker's IPA"/>
    <x v="4"/>
    <x v="3"/>
    <s v="Open Frameworks Image Creation"/>
    <s v="Film &amp; Video Production"/>
    <s v="On the Moors"/>
    <s v="OpenFrameworks_OntheMoors_LiveAction"/>
    <s v="Original"/>
    <n v="799298.01"/>
    <s v="firm-bid"/>
    <n v="837017.14029999997"/>
    <n v="1"/>
    <n v="1"/>
    <m/>
    <m/>
    <m/>
    <m/>
    <m/>
    <n v="60846.5"/>
    <n v="54600"/>
    <m/>
    <m/>
    <m/>
    <s v=""/>
    <m/>
    <s v=""/>
    <s v=""/>
    <n v="50000"/>
    <s v=""/>
    <s v=""/>
    <n v="0"/>
    <m/>
    <n v="0"/>
    <m/>
    <n v="80800"/>
    <s v=""/>
    <n v="3000"/>
    <m/>
    <s v=""/>
    <s v=""/>
    <s v=""/>
    <n v="26644"/>
    <s v=""/>
    <n v="8000"/>
    <m/>
    <s v=""/>
    <s v=""/>
    <n v="17600"/>
    <n v="136743.75"/>
    <m/>
    <m/>
    <s v=""/>
    <n v="30000"/>
    <n v="136529.25"/>
    <s v=""/>
    <s v=""/>
    <m/>
    <s v=""/>
    <m/>
    <m/>
    <n v="29600"/>
    <n v="0"/>
    <n v="0"/>
    <s v=""/>
    <s v=""/>
    <n v="799298.01"/>
    <n v="799298.01"/>
    <n v="837017.14029999997"/>
  </r>
  <r>
    <n v="333"/>
    <d v="2023-07-21T19:02:00"/>
    <s v="On the Moors"/>
    <s v="Alcoholic Beverages"/>
    <s v="North America"/>
    <n v="0"/>
    <x v="2"/>
    <s v="Walker's IPA"/>
    <x v="4"/>
    <x v="3"/>
    <s v=""/>
    <s v="Sanitary Production Costs"/>
    <s v="On the Moors"/>
    <s v="Level12_OntheMoors_Covid"/>
    <s v="Original"/>
    <n v="9846.875"/>
    <s v="firm-bid"/>
    <m/>
    <m/>
    <n v="1"/>
    <m/>
    <m/>
    <m/>
    <m/>
    <m/>
    <m/>
    <m/>
    <m/>
    <m/>
    <m/>
    <s v=""/>
    <m/>
    <s v=""/>
    <s v=""/>
    <m/>
    <s v=""/>
    <s v=""/>
    <m/>
    <m/>
    <m/>
    <m/>
    <m/>
    <s v=""/>
    <m/>
    <m/>
    <s v=""/>
    <s v=""/>
    <s v=""/>
    <m/>
    <s v=""/>
    <m/>
    <m/>
    <s v=""/>
    <s v=""/>
    <m/>
    <m/>
    <m/>
    <m/>
    <s v=""/>
    <m/>
    <m/>
    <s v=""/>
    <s v=""/>
    <m/>
    <s v=""/>
    <m/>
    <m/>
    <m/>
    <m/>
    <m/>
    <s v=""/>
    <s v=""/>
    <n v="0"/>
    <n v="0"/>
    <n v="7549.2708333333339"/>
  </r>
  <r>
    <n v="333"/>
    <d v="2023-07-21T19:02:00"/>
    <s v="On the Moors"/>
    <s v="Alcoholic Beverages"/>
    <s v="North America"/>
    <n v="0"/>
    <x v="2"/>
    <s v="Walker's IPA"/>
    <x v="4"/>
    <x v="3"/>
    <s v=""/>
    <s v="Sanitary Production Costs"/>
    <s v="Moors"/>
    <s v="Petulant_OntheMoors_Covid"/>
    <s v="Original"/>
    <n v="8783.4125000000004"/>
    <s v="firm-bid"/>
    <m/>
    <n v="1"/>
    <m/>
    <m/>
    <m/>
    <m/>
    <m/>
    <m/>
    <m/>
    <m/>
    <m/>
    <m/>
    <m/>
    <s v=""/>
    <m/>
    <s v=""/>
    <s v=""/>
    <m/>
    <s v=""/>
    <s v=""/>
    <m/>
    <m/>
    <m/>
    <m/>
    <m/>
    <s v=""/>
    <m/>
    <m/>
    <s v=""/>
    <s v=""/>
    <s v=""/>
    <m/>
    <s v=""/>
    <m/>
    <m/>
    <s v=""/>
    <s v=""/>
    <m/>
    <m/>
    <m/>
    <m/>
    <s v=""/>
    <m/>
    <m/>
    <s v=""/>
    <s v=""/>
    <m/>
    <s v=""/>
    <m/>
    <m/>
    <m/>
    <m/>
    <m/>
    <s v=""/>
    <s v=""/>
    <n v="8783.4125000000004"/>
    <n v="0"/>
    <n v="7549.2708333333339"/>
  </r>
  <r>
    <n v="333"/>
    <d v="2023-07-21T19:02:00"/>
    <s v="On the Moors"/>
    <s v="Alcoholic Beverages"/>
    <s v="North America"/>
    <n v="1"/>
    <x v="2"/>
    <s v="Walker's IPA"/>
    <x v="4"/>
    <x v="3"/>
    <s v="Open Frameworks Image Creation"/>
    <s v="Sanitary Production Costs"/>
    <s v="On the Moors"/>
    <s v="OpenFrameworks_OntheMoors_Covid"/>
    <s v="Original"/>
    <n v="4017.5250000000001"/>
    <s v="firm-bid"/>
    <n v="7549.2708329999996"/>
    <n v="1"/>
    <n v="1"/>
    <m/>
    <m/>
    <m/>
    <m/>
    <m/>
    <m/>
    <m/>
    <m/>
    <m/>
    <m/>
    <s v=""/>
    <n v="500"/>
    <s v=""/>
    <s v=""/>
    <m/>
    <s v=""/>
    <s v=""/>
    <m/>
    <m/>
    <m/>
    <m/>
    <m/>
    <s v=""/>
    <m/>
    <m/>
    <s v=""/>
    <s v=""/>
    <s v=""/>
    <m/>
    <s v=""/>
    <m/>
    <m/>
    <s v=""/>
    <s v=""/>
    <m/>
    <m/>
    <n v="2050"/>
    <m/>
    <s v=""/>
    <m/>
    <m/>
    <s v=""/>
    <s v=""/>
    <m/>
    <s v=""/>
    <m/>
    <m/>
    <m/>
    <m/>
    <m/>
    <s v=""/>
    <s v=""/>
    <n v="4017.5250000000001"/>
    <n v="4017.5250000000001"/>
    <n v="7549.2708333333339"/>
  </r>
  <r>
    <n v="333"/>
    <d v="2023-07-21T19:02:00"/>
    <s v="On the Moors"/>
    <s v="Alcoholic Beverages"/>
    <s v="North America"/>
    <n v="0"/>
    <x v="2"/>
    <s v="Walker's IPA"/>
    <x v="4"/>
    <x v="3"/>
    <s v=""/>
    <s v="Green Production Costs"/>
    <s v="On the Moors"/>
    <s v="Level12_OntheMoors_Green"/>
    <s v="Original"/>
    <n v="11008"/>
    <s v="firm-bid"/>
    <m/>
    <m/>
    <n v="1"/>
    <m/>
    <m/>
    <m/>
    <m/>
    <m/>
    <m/>
    <m/>
    <m/>
    <m/>
    <m/>
    <s v=""/>
    <m/>
    <s v=""/>
    <s v=""/>
    <m/>
    <s v=""/>
    <s v=""/>
    <m/>
    <m/>
    <m/>
    <m/>
    <m/>
    <s v=""/>
    <m/>
    <m/>
    <s v=""/>
    <s v=""/>
    <s v=""/>
    <m/>
    <s v=""/>
    <m/>
    <m/>
    <s v=""/>
    <s v=""/>
    <m/>
    <m/>
    <m/>
    <m/>
    <s v=""/>
    <m/>
    <m/>
    <s v=""/>
    <s v=""/>
    <m/>
    <s v=""/>
    <m/>
    <m/>
    <m/>
    <m/>
    <m/>
    <s v=""/>
    <s v=""/>
    <n v="0"/>
    <n v="0"/>
    <n v="12020"/>
  </r>
  <r>
    <n v="333"/>
    <d v="2023-07-21T19:02:00"/>
    <s v="On the Moors"/>
    <s v="Alcoholic Beverages"/>
    <s v="North America"/>
    <n v="0"/>
    <x v="2"/>
    <s v="Walker's IPA"/>
    <x v="4"/>
    <x v="3"/>
    <s v=""/>
    <s v="Green Production Costs"/>
    <s v="Moors"/>
    <s v="Petulant_OntheMoors_Green"/>
    <s v="Original"/>
    <n v="11844"/>
    <s v="firm-bid"/>
    <m/>
    <n v="1"/>
    <m/>
    <m/>
    <m/>
    <m/>
    <m/>
    <m/>
    <m/>
    <m/>
    <m/>
    <m/>
    <m/>
    <s v=""/>
    <m/>
    <s v=""/>
    <s v=""/>
    <m/>
    <s v=""/>
    <s v=""/>
    <m/>
    <m/>
    <m/>
    <m/>
    <m/>
    <s v=""/>
    <m/>
    <m/>
    <s v=""/>
    <s v=""/>
    <s v=""/>
    <m/>
    <s v=""/>
    <m/>
    <m/>
    <s v=""/>
    <s v=""/>
    <m/>
    <m/>
    <m/>
    <m/>
    <s v=""/>
    <m/>
    <m/>
    <s v=""/>
    <s v=""/>
    <m/>
    <s v=""/>
    <m/>
    <m/>
    <m/>
    <m/>
    <m/>
    <s v=""/>
    <s v=""/>
    <n v="11844"/>
    <n v="0"/>
    <n v="12020"/>
  </r>
  <r>
    <n v="333"/>
    <d v="2023-07-21T19:02:00"/>
    <s v="On the Moors"/>
    <s v="Alcoholic Beverages"/>
    <s v="North America"/>
    <n v="1"/>
    <x v="2"/>
    <s v="Walker's IPA"/>
    <x v="4"/>
    <x v="3"/>
    <s v="Open Frameworks Image Creation"/>
    <s v="Green Production Costs"/>
    <s v="On the Moors"/>
    <s v="OpenFrameworks_OntheMoors_Green"/>
    <s v="Original"/>
    <n v="13208"/>
    <s v="firm-bid"/>
    <n v="12020"/>
    <n v="1"/>
    <n v="1"/>
    <m/>
    <m/>
    <m/>
    <m/>
    <m/>
    <n v="0"/>
    <n v="0"/>
    <m/>
    <m/>
    <m/>
    <s v=""/>
    <m/>
    <s v=""/>
    <s v=""/>
    <n v="0"/>
    <s v=""/>
    <s v=""/>
    <n v="0"/>
    <m/>
    <n v="0"/>
    <m/>
    <n v="0"/>
    <s v=""/>
    <n v="0"/>
    <m/>
    <s v=""/>
    <s v=""/>
    <s v=""/>
    <n v="0"/>
    <s v=""/>
    <n v="10400"/>
    <m/>
    <s v=""/>
    <s v=""/>
    <n v="0"/>
    <n v="0"/>
    <m/>
    <m/>
    <s v=""/>
    <n v="0"/>
    <n v="0"/>
    <s v=""/>
    <s v=""/>
    <m/>
    <s v=""/>
    <m/>
    <m/>
    <n v="0"/>
    <n v="0"/>
    <n v="0"/>
    <s v=""/>
    <s v=""/>
    <n v="13208"/>
    <n v="13208"/>
    <n v="12020"/>
  </r>
  <r>
    <n v="333"/>
    <d v="2023-07-21T19:02:00"/>
    <s v="On the Moors"/>
    <s v="Alcoholic Beverages"/>
    <s v="North America"/>
    <n v="0"/>
    <x v="2"/>
    <s v="Walker's IPA"/>
    <x v="4"/>
    <x v="3"/>
    <s v=""/>
    <s v="Editorial"/>
    <s v="TBLLC - On the Moors 4/6/23 v3"/>
    <s v="TimeBomb_OntheMoors_Edit"/>
    <s v="Original"/>
    <n v="93795.158330000006"/>
    <s v="firm-bid"/>
    <m/>
    <m/>
    <m/>
    <m/>
    <m/>
    <m/>
    <m/>
    <m/>
    <m/>
    <m/>
    <m/>
    <m/>
    <m/>
    <s v=""/>
    <m/>
    <s v=""/>
    <s v=""/>
    <m/>
    <s v=""/>
    <s v=""/>
    <m/>
    <m/>
    <m/>
    <m/>
    <m/>
    <s v=""/>
    <m/>
    <m/>
    <s v=""/>
    <s v=""/>
    <s v=""/>
    <m/>
    <s v=""/>
    <m/>
    <m/>
    <s v=""/>
    <s v=""/>
    <m/>
    <m/>
    <m/>
    <m/>
    <s v=""/>
    <m/>
    <m/>
    <s v=""/>
    <s v=""/>
    <m/>
    <s v=""/>
    <m/>
    <m/>
    <m/>
    <m/>
    <m/>
    <s v=""/>
    <s v=""/>
    <n v="0"/>
    <n v="0"/>
    <n v="108474.041665"/>
  </r>
  <r>
    <n v="333"/>
    <d v="2023-07-21T19:02:00"/>
    <s v="On the Moors"/>
    <s v="Alcoholic Beverages"/>
    <s v="North America"/>
    <n v="1"/>
    <x v="2"/>
    <s v="Walker's IPA"/>
    <x v="4"/>
    <x v="3"/>
    <s v="Armistice Edit"/>
    <s v="Editorial"/>
    <s v="On the Moors"/>
    <s v="Armistace_OntheMoors_Edit"/>
    <s v="Original"/>
    <n v="123152.925"/>
    <s v="firm-bid"/>
    <n v="108474.0417"/>
    <m/>
    <m/>
    <m/>
    <m/>
    <m/>
    <m/>
    <m/>
    <m/>
    <m/>
    <m/>
    <m/>
    <m/>
    <s v=""/>
    <m/>
    <s v=""/>
    <s v=""/>
    <m/>
    <s v=""/>
    <s v=""/>
    <n v="8800"/>
    <n v="49050"/>
    <n v="16750"/>
    <n v="15238"/>
    <m/>
    <s v=""/>
    <m/>
    <m/>
    <s v=""/>
    <s v=""/>
    <s v=""/>
    <m/>
    <s v=""/>
    <m/>
    <m/>
    <s v=""/>
    <s v=""/>
    <m/>
    <m/>
    <m/>
    <m/>
    <s v=""/>
    <m/>
    <m/>
    <s v=""/>
    <s v=""/>
    <m/>
    <s v=""/>
    <m/>
    <m/>
    <m/>
    <m/>
    <m/>
    <s v=""/>
    <s v=""/>
    <n v="0"/>
    <n v="0"/>
    <n v="108474.041665"/>
  </r>
  <r>
    <n v="333"/>
    <d v="2023-07-21T19:02:00"/>
    <s v="On the Moors"/>
    <s v="Alcoholic Beverages"/>
    <s v="North America"/>
    <n v="0"/>
    <x v="2"/>
    <s v="Walker's IPA"/>
    <x v="4"/>
    <x v="3"/>
    <s v=""/>
    <s v="Finishing"/>
    <s v="Here &amp; Now for &quot;On the Moors&quot;"/>
    <s v="HereandNow_OntheMoors_Finishing"/>
    <s v="Original"/>
    <n v="40900"/>
    <s v="firm-bid"/>
    <m/>
    <m/>
    <m/>
    <m/>
    <n v="1"/>
    <m/>
    <m/>
    <m/>
    <m/>
    <m/>
    <m/>
    <m/>
    <m/>
    <s v=""/>
    <m/>
    <s v=""/>
    <s v=""/>
    <m/>
    <s v=""/>
    <s v=""/>
    <m/>
    <m/>
    <m/>
    <m/>
    <m/>
    <s v=""/>
    <m/>
    <m/>
    <s v=""/>
    <s v=""/>
    <s v=""/>
    <m/>
    <s v=""/>
    <m/>
    <m/>
    <s v=""/>
    <s v=""/>
    <m/>
    <m/>
    <m/>
    <m/>
    <s v=""/>
    <m/>
    <m/>
    <s v=""/>
    <s v=""/>
    <m/>
    <s v=""/>
    <m/>
    <m/>
    <m/>
    <m/>
    <m/>
    <s v=""/>
    <s v=""/>
    <n v="0"/>
    <n v="0"/>
    <n v="31766.666666666664"/>
  </r>
  <r>
    <n v="333"/>
    <d v="2023-07-21T19:02:00"/>
    <s v="On the Moors"/>
    <s v="Alcoholic Beverages"/>
    <s v="North America"/>
    <n v="1"/>
    <x v="2"/>
    <s v="Walker's IPA"/>
    <x v="4"/>
    <x v="3"/>
    <s v="Evan Bander LLC"/>
    <s v="Finishing"/>
    <s v="EB &quot;On the Moors&quot;"/>
    <s v="EvanBanderLLC_OntheMoors_Finishing"/>
    <s v="Original"/>
    <n v="35150"/>
    <s v="firm-bid"/>
    <n v="31766.666669999999"/>
    <m/>
    <m/>
    <m/>
    <n v="1"/>
    <m/>
    <n v="1"/>
    <m/>
    <m/>
    <m/>
    <m/>
    <m/>
    <m/>
    <s v=""/>
    <m/>
    <s v=""/>
    <s v=""/>
    <m/>
    <s v=""/>
    <s v=""/>
    <m/>
    <m/>
    <m/>
    <m/>
    <m/>
    <s v=""/>
    <m/>
    <n v="35150"/>
    <s v=""/>
    <s v=""/>
    <s v=""/>
    <m/>
    <s v=""/>
    <m/>
    <m/>
    <s v=""/>
    <s v=""/>
    <m/>
    <m/>
    <m/>
    <m/>
    <s v=""/>
    <m/>
    <m/>
    <s v=""/>
    <s v=""/>
    <m/>
    <s v=""/>
    <m/>
    <m/>
    <m/>
    <m/>
    <m/>
    <s v=""/>
    <s v=""/>
    <n v="0"/>
    <n v="0"/>
    <n v="31766.666666666664"/>
  </r>
  <r>
    <n v="333"/>
    <d v="2023-07-21T19:02:00"/>
    <s v="On the Moors"/>
    <s v="Alcoholic Beverages"/>
    <s v="North America"/>
    <n v="0"/>
    <x v="2"/>
    <s v="Walker's IPA"/>
    <x v="4"/>
    <x v="3"/>
    <s v=""/>
    <s v="Finishing"/>
    <s v="&quot;On the Moors&quot; RSD #452078"/>
    <s v="RackspaceDigital_OntheMoors_Finishing"/>
    <s v="Original"/>
    <n v="19250"/>
    <s v="firm-bid"/>
    <m/>
    <m/>
    <m/>
    <m/>
    <m/>
    <m/>
    <m/>
    <m/>
    <m/>
    <m/>
    <m/>
    <m/>
    <m/>
    <s v=""/>
    <m/>
    <s v=""/>
    <s v=""/>
    <m/>
    <s v=""/>
    <s v=""/>
    <m/>
    <m/>
    <m/>
    <m/>
    <m/>
    <s v=""/>
    <m/>
    <m/>
    <s v=""/>
    <s v=""/>
    <s v=""/>
    <m/>
    <s v=""/>
    <m/>
    <m/>
    <s v=""/>
    <s v=""/>
    <m/>
    <m/>
    <m/>
    <m/>
    <s v=""/>
    <m/>
    <m/>
    <s v=""/>
    <s v=""/>
    <m/>
    <s v=""/>
    <m/>
    <m/>
    <m/>
    <m/>
    <m/>
    <s v=""/>
    <s v=""/>
    <n v="0"/>
    <n v="0"/>
    <n v="31766.666666666664"/>
  </r>
  <r>
    <n v="333"/>
    <d v="2023-07-21T19:02:00"/>
    <s v="On the Moors"/>
    <s v="Alcoholic Beverages"/>
    <s v="North America"/>
    <n v="0"/>
    <x v="2"/>
    <s v="Walker's IPA"/>
    <x v="4"/>
    <x v="3"/>
    <s v=""/>
    <s v="Behind The Scenes (BTS)"/>
    <s v="On the Moors"/>
    <s v="Level12_OntheMoors_BTS"/>
    <s v="Original"/>
    <n v="12604"/>
    <s v="firm-bid"/>
    <m/>
    <m/>
    <n v="1"/>
    <m/>
    <m/>
    <m/>
    <m/>
    <m/>
    <m/>
    <m/>
    <m/>
    <m/>
    <m/>
    <s v=""/>
    <m/>
    <s v=""/>
    <s v=""/>
    <m/>
    <s v=""/>
    <s v=""/>
    <m/>
    <m/>
    <m/>
    <m/>
    <m/>
    <s v=""/>
    <m/>
    <m/>
    <s v=""/>
    <s v=""/>
    <s v=""/>
    <m/>
    <s v=""/>
    <m/>
    <m/>
    <s v=""/>
    <s v=""/>
    <m/>
    <m/>
    <m/>
    <m/>
    <s v=""/>
    <m/>
    <m/>
    <s v=""/>
    <s v=""/>
    <m/>
    <s v=""/>
    <m/>
    <m/>
    <m/>
    <m/>
    <m/>
    <s v=""/>
    <s v=""/>
    <n v="0"/>
    <n v="0"/>
    <n v="16726.558333333334"/>
  </r>
  <r>
    <n v="333"/>
    <d v="2023-07-21T19:02:00"/>
    <s v="On the Moors"/>
    <s v="Alcoholic Beverages"/>
    <s v="North America"/>
    <n v="0"/>
    <x v="2"/>
    <s v="Walker's IPA"/>
    <x v="4"/>
    <x v="3"/>
    <s v=""/>
    <s v="Behind The Scenes (BTS)"/>
    <s v="Moors"/>
    <s v="Petulant_OntheMoors_BTS"/>
    <s v="Original"/>
    <n v="20166.400000000001"/>
    <s v="firm-bid"/>
    <m/>
    <n v="1"/>
    <m/>
    <m/>
    <m/>
    <m/>
    <m/>
    <m/>
    <m/>
    <m/>
    <m/>
    <m/>
    <m/>
    <s v=""/>
    <m/>
    <s v=""/>
    <s v=""/>
    <m/>
    <s v=""/>
    <s v=""/>
    <m/>
    <m/>
    <m/>
    <m/>
    <m/>
    <s v=""/>
    <m/>
    <m/>
    <s v=""/>
    <s v=""/>
    <s v=""/>
    <m/>
    <s v=""/>
    <m/>
    <m/>
    <s v=""/>
    <s v=""/>
    <m/>
    <m/>
    <m/>
    <m/>
    <s v=""/>
    <m/>
    <m/>
    <s v=""/>
    <s v=""/>
    <m/>
    <s v=""/>
    <m/>
    <m/>
    <m/>
    <m/>
    <m/>
    <s v=""/>
    <s v=""/>
    <n v="20166.400000000001"/>
    <n v="0"/>
    <n v="16726.558333333334"/>
  </r>
  <r>
    <n v="333"/>
    <d v="2023-07-21T19:02:00"/>
    <s v="On the Moors"/>
    <s v="Alcoholic Beverages"/>
    <s v="North America"/>
    <n v="1"/>
    <x v="2"/>
    <s v="Walker's IPA"/>
    <x v="4"/>
    <x v="3"/>
    <s v="Open Frameworks Image Creation"/>
    <s v="Behind The Scenes (BTS)"/>
    <s v="On the Moors"/>
    <s v="OpenFrameworks_OntheMoors_BTS"/>
    <s v="Original"/>
    <n v="17409.275000000001"/>
    <s v="firm-bid"/>
    <n v="16726.55833"/>
    <n v="1"/>
    <n v="1"/>
    <m/>
    <m/>
    <m/>
    <m/>
    <m/>
    <m/>
    <m/>
    <m/>
    <n v="11050"/>
    <m/>
    <s v=""/>
    <m/>
    <s v=""/>
    <s v=""/>
    <m/>
    <s v=""/>
    <s v=""/>
    <m/>
    <m/>
    <m/>
    <m/>
    <m/>
    <s v=""/>
    <m/>
    <m/>
    <s v=""/>
    <s v=""/>
    <s v=""/>
    <m/>
    <s v=""/>
    <m/>
    <m/>
    <s v=""/>
    <s v=""/>
    <m/>
    <m/>
    <m/>
    <m/>
    <s v=""/>
    <m/>
    <m/>
    <s v=""/>
    <s v=""/>
    <m/>
    <s v=""/>
    <m/>
    <m/>
    <m/>
    <m/>
    <m/>
    <s v=""/>
    <s v=""/>
    <n v="17409.275000000001"/>
    <n v="17409.275000000001"/>
    <n v="16726.558333333334"/>
  </r>
  <r>
    <n v="334"/>
    <d v="2023-07-21T19:04:00"/>
    <s v="Trapeze"/>
    <s v="Alcoholic Beverages"/>
    <s v="APAC"/>
    <n v="1"/>
    <x v="2"/>
    <s v="Walker's IPA"/>
    <x v="4"/>
    <x v="4"/>
    <s v="My Audio Fantasy"/>
    <s v="Audio Post"/>
    <s v="AudioFantasy&quot;Trapeze&quot;"/>
    <s v="AudioFantasyBid"/>
    <s v="Original"/>
    <n v="28010"/>
    <s v="firm-bid"/>
    <n v="27166.666669999999"/>
    <m/>
    <m/>
    <m/>
    <m/>
    <m/>
    <m/>
    <m/>
    <m/>
    <m/>
    <n v="28010"/>
    <m/>
    <m/>
    <s v=""/>
    <m/>
    <s v=""/>
    <s v=""/>
    <m/>
    <s v=""/>
    <s v=""/>
    <m/>
    <m/>
    <m/>
    <m/>
    <m/>
    <s v=""/>
    <m/>
    <m/>
    <s v=""/>
    <s v=""/>
    <s v=""/>
    <m/>
    <s v=""/>
    <m/>
    <m/>
    <s v=""/>
    <s v=""/>
    <m/>
    <m/>
    <m/>
    <m/>
    <s v=""/>
    <m/>
    <m/>
    <s v=""/>
    <s v=""/>
    <m/>
    <s v=""/>
    <m/>
    <m/>
    <m/>
    <m/>
    <m/>
    <s v=""/>
    <s v=""/>
    <n v="0"/>
    <n v="0"/>
    <n v="27166.666666666668"/>
  </r>
  <r>
    <n v="334"/>
    <d v="2023-07-21T19:04:00"/>
    <s v="Trapeze"/>
    <s v="Alcoholic Beverages"/>
    <s v="APAC"/>
    <n v="0"/>
    <x v="2"/>
    <s v="Walker's IPA"/>
    <x v="4"/>
    <x v="4"/>
    <s v=""/>
    <s v="Audio Post"/>
    <s v="Arsonist&quot;Trapeze&quot;"/>
    <s v="Arsonist"/>
    <s v="Original"/>
    <n v="23450"/>
    <s v="firm-bid"/>
    <m/>
    <m/>
    <n v="1"/>
    <m/>
    <m/>
    <n v="1"/>
    <m/>
    <m/>
    <m/>
    <m/>
    <m/>
    <m/>
    <m/>
    <s v=""/>
    <m/>
    <s v=""/>
    <s v=""/>
    <m/>
    <s v=""/>
    <s v=""/>
    <m/>
    <m/>
    <m/>
    <m/>
    <m/>
    <s v=""/>
    <m/>
    <m/>
    <s v=""/>
    <s v=""/>
    <s v=""/>
    <m/>
    <s v=""/>
    <m/>
    <m/>
    <s v=""/>
    <s v=""/>
    <m/>
    <m/>
    <m/>
    <m/>
    <s v=""/>
    <m/>
    <m/>
    <s v=""/>
    <s v=""/>
    <m/>
    <s v=""/>
    <m/>
    <m/>
    <m/>
    <m/>
    <m/>
    <s v=""/>
    <s v=""/>
    <n v="0"/>
    <n v="0"/>
    <n v="27166.666666666668"/>
  </r>
  <r>
    <n v="334"/>
    <d v="2023-07-21T19:04:00"/>
    <s v="Trapeze"/>
    <s v="Alcoholic Beverages"/>
    <s v="APAC"/>
    <n v="0"/>
    <x v="2"/>
    <s v="Walker's IPA"/>
    <x v="4"/>
    <x v="4"/>
    <s v=""/>
    <s v="Audio Post"/>
    <s v="Audio Labs &quot;Trapeze&quot;"/>
    <s v="Audio_88"/>
    <s v="Original"/>
    <n v="30040"/>
    <s v="firm-bid"/>
    <m/>
    <m/>
    <m/>
    <m/>
    <m/>
    <m/>
    <m/>
    <m/>
    <m/>
    <m/>
    <m/>
    <m/>
    <m/>
    <s v=""/>
    <m/>
    <s v=""/>
    <s v=""/>
    <m/>
    <s v=""/>
    <s v=""/>
    <m/>
    <m/>
    <m/>
    <m/>
    <m/>
    <s v=""/>
    <m/>
    <m/>
    <s v=""/>
    <s v=""/>
    <s v=""/>
    <m/>
    <s v=""/>
    <m/>
    <m/>
    <s v=""/>
    <s v=""/>
    <m/>
    <m/>
    <m/>
    <m/>
    <s v=""/>
    <m/>
    <m/>
    <s v=""/>
    <s v=""/>
    <m/>
    <s v=""/>
    <m/>
    <m/>
    <m/>
    <m/>
    <m/>
    <s v=""/>
    <s v=""/>
    <n v="0"/>
    <n v="0"/>
    <n v="27166.666666666668"/>
  </r>
  <r>
    <n v="334"/>
    <d v="2023-07-21T19:04:00"/>
    <s v="Trapeze"/>
    <s v="Alcoholic Beverages"/>
    <s v="APAC"/>
    <n v="0"/>
    <x v="2"/>
    <s v="Walker's IPA"/>
    <x v="4"/>
    <x v="4"/>
    <s v=""/>
    <s v="Film &amp; Video Production"/>
    <s v="Trapeze"/>
    <s v="CHAW_Trapeze_LiveAction"/>
    <s v="Original"/>
    <n v="724100.86499999999"/>
    <s v="firm-bid"/>
    <m/>
    <m/>
    <m/>
    <m/>
    <m/>
    <m/>
    <n v="1"/>
    <m/>
    <m/>
    <m/>
    <m/>
    <m/>
    <m/>
    <s v=""/>
    <m/>
    <s v=""/>
    <s v=""/>
    <m/>
    <s v=""/>
    <s v=""/>
    <m/>
    <m/>
    <m/>
    <m/>
    <m/>
    <s v=""/>
    <m/>
    <m/>
    <s v=""/>
    <s v=""/>
    <s v=""/>
    <m/>
    <s v=""/>
    <m/>
    <m/>
    <s v=""/>
    <s v=""/>
    <m/>
    <m/>
    <m/>
    <m/>
    <s v=""/>
    <m/>
    <m/>
    <s v=""/>
    <s v=""/>
    <m/>
    <s v=""/>
    <m/>
    <m/>
    <m/>
    <m/>
    <m/>
    <s v=""/>
    <s v=""/>
    <n v="0"/>
    <n v="0"/>
    <n v="836563.7093333333"/>
  </r>
  <r>
    <n v="334"/>
    <d v="2023-07-21T19:04:00"/>
    <s v="Trapeze"/>
    <s v="Alcoholic Beverages"/>
    <s v="APAC"/>
    <n v="1"/>
    <x v="2"/>
    <s v="Walker's IPA"/>
    <x v="4"/>
    <x v="4"/>
    <s v="Test Flight Productions"/>
    <s v="Film &amp; Video Production"/>
    <s v="Trapeze"/>
    <s v="TestFlight_Trapeze_LiveAction"/>
    <s v="Original"/>
    <n v="879045.36300000001"/>
    <s v="firm-bid"/>
    <n v="836563.70929999999"/>
    <m/>
    <n v="1"/>
    <m/>
    <m/>
    <m/>
    <n v="1"/>
    <m/>
    <n v="45045"/>
    <n v="91200"/>
    <m/>
    <m/>
    <m/>
    <s v=""/>
    <m/>
    <s v=""/>
    <s v=""/>
    <n v="150000"/>
    <s v=""/>
    <s v=""/>
    <n v="0"/>
    <m/>
    <n v="0"/>
    <m/>
    <n v="37400"/>
    <s v=""/>
    <n v="2000"/>
    <m/>
    <s v=""/>
    <s v=""/>
    <s v=""/>
    <n v="23170"/>
    <s v=""/>
    <n v="12000"/>
    <m/>
    <s v=""/>
    <s v=""/>
    <n v="27000"/>
    <n v="141713"/>
    <m/>
    <m/>
    <s v=""/>
    <n v="8500"/>
    <n v="114307.05"/>
    <s v=""/>
    <s v=""/>
    <m/>
    <s v=""/>
    <m/>
    <m/>
    <n v="45320"/>
    <n v="0"/>
    <n v="0"/>
    <s v=""/>
    <s v=""/>
    <n v="0"/>
    <n v="0"/>
    <n v="836563.7093333333"/>
  </r>
  <r>
    <n v="334"/>
    <d v="2023-07-21T19:04:00"/>
    <s v="Trapeze"/>
    <s v="Alcoholic Beverages"/>
    <s v="APAC"/>
    <n v="0"/>
    <x v="2"/>
    <s v="Walker's IPA"/>
    <x v="4"/>
    <x v="4"/>
    <s v=""/>
    <s v="Film &amp; Video Production"/>
    <s v="Trapeze"/>
    <s v="Petulant_Trapeze_LiveAction"/>
    <s v="Original"/>
    <n v="906544.9"/>
    <s v="firm-bid"/>
    <m/>
    <m/>
    <m/>
    <m/>
    <m/>
    <m/>
    <m/>
    <m/>
    <m/>
    <m/>
    <m/>
    <m/>
    <m/>
    <s v=""/>
    <m/>
    <s v=""/>
    <s v=""/>
    <m/>
    <s v=""/>
    <s v=""/>
    <m/>
    <m/>
    <m/>
    <m/>
    <m/>
    <s v=""/>
    <m/>
    <m/>
    <s v=""/>
    <s v=""/>
    <s v=""/>
    <m/>
    <s v=""/>
    <m/>
    <m/>
    <s v=""/>
    <s v=""/>
    <m/>
    <m/>
    <m/>
    <m/>
    <s v=""/>
    <m/>
    <m/>
    <s v=""/>
    <s v=""/>
    <m/>
    <s v=""/>
    <m/>
    <m/>
    <m/>
    <m/>
    <m/>
    <s v=""/>
    <s v=""/>
    <n v="0"/>
    <n v="0"/>
    <n v="836563.7093333333"/>
  </r>
  <r>
    <n v="334"/>
    <d v="2023-07-21T19:04:00"/>
    <s v="Trapeze"/>
    <s v="Alcoholic Beverages"/>
    <s v="APAC"/>
    <n v="0"/>
    <x v="2"/>
    <s v="Walker's IPA"/>
    <x v="4"/>
    <x v="4"/>
    <s v=""/>
    <s v="Sanitary Production Costs"/>
    <s v="Trapeze"/>
    <s v="CHAW_Trapeze_Covid"/>
    <s v="Original"/>
    <n v="11382.987499999999"/>
    <s v="firm-bid"/>
    <m/>
    <m/>
    <m/>
    <m/>
    <m/>
    <m/>
    <n v="1"/>
    <m/>
    <m/>
    <m/>
    <m/>
    <m/>
    <m/>
    <s v=""/>
    <m/>
    <s v=""/>
    <s v=""/>
    <m/>
    <s v=""/>
    <s v=""/>
    <m/>
    <m/>
    <m/>
    <m/>
    <m/>
    <s v=""/>
    <m/>
    <m/>
    <s v=""/>
    <s v=""/>
    <s v=""/>
    <m/>
    <s v=""/>
    <m/>
    <m/>
    <s v=""/>
    <s v=""/>
    <m/>
    <m/>
    <m/>
    <m/>
    <s v=""/>
    <m/>
    <m/>
    <s v=""/>
    <s v=""/>
    <m/>
    <s v=""/>
    <m/>
    <m/>
    <m/>
    <m/>
    <m/>
    <s v=""/>
    <s v=""/>
    <n v="0"/>
    <n v="0"/>
    <n v="10274.885833333334"/>
  </r>
  <r>
    <n v="334"/>
    <d v="2023-07-21T19:04:00"/>
    <s v="Trapeze"/>
    <s v="Alcoholic Beverages"/>
    <s v="APAC"/>
    <n v="1"/>
    <x v="2"/>
    <s v="Walker's IPA"/>
    <x v="4"/>
    <x v="4"/>
    <s v="Test Flight Productions"/>
    <s v="Sanitary Production Costs"/>
    <s v="Trapeze"/>
    <s v="TestFlight_Trapeze_Covid"/>
    <s v="Original"/>
    <n v="10303.77"/>
    <s v="firm-bid"/>
    <n v="10274.885829999999"/>
    <m/>
    <n v="1"/>
    <m/>
    <m/>
    <m/>
    <n v="1"/>
    <m/>
    <m/>
    <m/>
    <m/>
    <m/>
    <m/>
    <s v=""/>
    <n v="5050"/>
    <s v=""/>
    <s v=""/>
    <m/>
    <s v=""/>
    <s v=""/>
    <m/>
    <m/>
    <m/>
    <m/>
    <m/>
    <s v=""/>
    <m/>
    <m/>
    <s v=""/>
    <s v=""/>
    <s v=""/>
    <m/>
    <s v=""/>
    <m/>
    <m/>
    <s v=""/>
    <s v=""/>
    <m/>
    <m/>
    <n v="1490"/>
    <m/>
    <s v=""/>
    <m/>
    <m/>
    <s v=""/>
    <s v=""/>
    <m/>
    <s v=""/>
    <m/>
    <m/>
    <m/>
    <m/>
    <m/>
    <s v=""/>
    <s v=""/>
    <n v="0"/>
    <n v="0"/>
    <n v="10274.885833333334"/>
  </r>
  <r>
    <n v="334"/>
    <d v="2023-07-21T19:04:00"/>
    <s v="Trapeze"/>
    <s v="Alcoholic Beverages"/>
    <s v="APAC"/>
    <n v="0"/>
    <x v="2"/>
    <s v="Walker's IPA"/>
    <x v="4"/>
    <x v="4"/>
    <s v=""/>
    <s v="Sanitary Production Costs"/>
    <s v="Trapeze"/>
    <s v="Petulant_Trapeze_Covid"/>
    <s v="Original"/>
    <n v="9137.9"/>
    <s v="firm-bid"/>
    <m/>
    <m/>
    <m/>
    <m/>
    <m/>
    <m/>
    <m/>
    <m/>
    <m/>
    <m/>
    <m/>
    <m/>
    <m/>
    <s v=""/>
    <m/>
    <s v=""/>
    <s v=""/>
    <m/>
    <s v=""/>
    <s v=""/>
    <m/>
    <m/>
    <m/>
    <m/>
    <m/>
    <s v=""/>
    <m/>
    <m/>
    <s v=""/>
    <s v=""/>
    <s v=""/>
    <m/>
    <s v=""/>
    <m/>
    <m/>
    <s v=""/>
    <s v=""/>
    <m/>
    <m/>
    <m/>
    <m/>
    <s v=""/>
    <m/>
    <m/>
    <s v=""/>
    <s v=""/>
    <m/>
    <s v=""/>
    <m/>
    <m/>
    <m/>
    <m/>
    <m/>
    <s v=""/>
    <s v=""/>
    <n v="0"/>
    <n v="0"/>
    <n v="10274.885833333334"/>
  </r>
  <r>
    <n v="334"/>
    <d v="2023-07-21T19:04:00"/>
    <s v="Trapeze"/>
    <s v="Alcoholic Beverages"/>
    <s v="APAC"/>
    <n v="0"/>
    <x v="2"/>
    <s v="Walker's IPA"/>
    <x v="4"/>
    <x v="4"/>
    <s v=""/>
    <s v="Green Production Costs"/>
    <s v="Trapeze"/>
    <s v="CHAW_Trapeze_Green"/>
    <s v="Original"/>
    <n v="13696"/>
    <s v="firm-bid"/>
    <m/>
    <m/>
    <m/>
    <m/>
    <m/>
    <m/>
    <n v="1"/>
    <m/>
    <m/>
    <m/>
    <m/>
    <m/>
    <m/>
    <s v=""/>
    <m/>
    <s v=""/>
    <s v=""/>
    <m/>
    <s v=""/>
    <s v=""/>
    <m/>
    <m/>
    <m/>
    <m/>
    <m/>
    <s v=""/>
    <m/>
    <m/>
    <s v=""/>
    <s v=""/>
    <s v=""/>
    <m/>
    <s v=""/>
    <m/>
    <m/>
    <s v=""/>
    <s v=""/>
    <m/>
    <m/>
    <m/>
    <m/>
    <s v=""/>
    <m/>
    <m/>
    <s v=""/>
    <s v=""/>
    <m/>
    <s v=""/>
    <m/>
    <m/>
    <m/>
    <m/>
    <m/>
    <s v=""/>
    <s v=""/>
    <n v="0"/>
    <n v="0"/>
    <n v="8960"/>
  </r>
  <r>
    <n v="334"/>
    <d v="2023-07-21T19:04:00"/>
    <s v="Trapeze"/>
    <s v="Alcoholic Beverages"/>
    <s v="APAC"/>
    <n v="1"/>
    <x v="2"/>
    <s v="Walker's IPA"/>
    <x v="4"/>
    <x v="4"/>
    <s v="Test Flight Productions"/>
    <s v="Green Production Costs"/>
    <s v="Trapeze"/>
    <s v="TestFlight_Trapeze_Green"/>
    <s v="Original"/>
    <n v="6656"/>
    <s v="firm-bid"/>
    <n v="8960"/>
    <m/>
    <n v="1"/>
    <m/>
    <m/>
    <m/>
    <n v="1"/>
    <m/>
    <n v="0"/>
    <n v="0"/>
    <m/>
    <m/>
    <m/>
    <s v=""/>
    <m/>
    <s v=""/>
    <s v=""/>
    <n v="0"/>
    <s v=""/>
    <s v=""/>
    <n v="0"/>
    <m/>
    <n v="0"/>
    <m/>
    <n v="0"/>
    <s v=""/>
    <n v="0"/>
    <m/>
    <s v=""/>
    <s v=""/>
    <s v=""/>
    <n v="0"/>
    <s v=""/>
    <n v="5200"/>
    <m/>
    <s v=""/>
    <s v=""/>
    <n v="0"/>
    <n v="0"/>
    <m/>
    <m/>
    <s v=""/>
    <n v="0"/>
    <n v="0"/>
    <s v=""/>
    <s v=""/>
    <m/>
    <s v=""/>
    <m/>
    <m/>
    <n v="0"/>
    <n v="0"/>
    <n v="0"/>
    <s v=""/>
    <s v=""/>
    <n v="0"/>
    <n v="0"/>
    <n v="8960"/>
  </r>
  <r>
    <n v="334"/>
    <d v="2023-07-21T19:04:00"/>
    <s v="Trapeze"/>
    <s v="Alcoholic Beverages"/>
    <s v="APAC"/>
    <n v="0"/>
    <x v="2"/>
    <s v="Walker's IPA"/>
    <x v="4"/>
    <x v="4"/>
    <s v=""/>
    <s v="Green Production Costs"/>
    <s v="Trapeze"/>
    <s v="Petulant_Trapeze_Green"/>
    <s v="Original"/>
    <n v="6528"/>
    <s v="firm-bid"/>
    <m/>
    <m/>
    <m/>
    <m/>
    <m/>
    <m/>
    <m/>
    <m/>
    <m/>
    <m/>
    <m/>
    <m/>
    <m/>
    <s v=""/>
    <m/>
    <s v=""/>
    <s v=""/>
    <m/>
    <s v=""/>
    <s v=""/>
    <m/>
    <m/>
    <m/>
    <m/>
    <m/>
    <s v=""/>
    <m/>
    <m/>
    <s v=""/>
    <s v=""/>
    <s v=""/>
    <m/>
    <s v=""/>
    <m/>
    <m/>
    <s v=""/>
    <s v=""/>
    <m/>
    <m/>
    <m/>
    <m/>
    <s v=""/>
    <m/>
    <m/>
    <s v=""/>
    <s v=""/>
    <m/>
    <s v=""/>
    <m/>
    <m/>
    <m/>
    <m/>
    <m/>
    <s v=""/>
    <s v=""/>
    <n v="0"/>
    <n v="0"/>
    <n v="8960"/>
  </r>
  <r>
    <n v="334"/>
    <d v="2023-07-21T19:04:00"/>
    <s v="Trapeze"/>
    <s v="Alcoholic Beverages"/>
    <s v="APAC"/>
    <n v="0"/>
    <x v="2"/>
    <s v="Walker's IPA"/>
    <x v="4"/>
    <x v="4"/>
    <s v=""/>
    <s v="Editorial"/>
    <s v="Trapeze"/>
    <s v="TheCloset_Trapeze_Edit"/>
    <s v="Original"/>
    <n v="131904.32500000001"/>
    <s v="firm-bid"/>
    <m/>
    <m/>
    <m/>
    <m/>
    <m/>
    <n v="1"/>
    <n v="1"/>
    <m/>
    <m/>
    <m/>
    <m/>
    <m/>
    <m/>
    <s v=""/>
    <m/>
    <s v=""/>
    <s v=""/>
    <m/>
    <s v=""/>
    <s v=""/>
    <m/>
    <m/>
    <m/>
    <m/>
    <m/>
    <s v=""/>
    <m/>
    <m/>
    <s v=""/>
    <s v=""/>
    <s v=""/>
    <m/>
    <s v=""/>
    <m/>
    <m/>
    <s v=""/>
    <s v=""/>
    <m/>
    <m/>
    <m/>
    <m/>
    <s v=""/>
    <m/>
    <m/>
    <s v=""/>
    <s v=""/>
    <m/>
    <s v=""/>
    <m/>
    <m/>
    <m/>
    <m/>
    <m/>
    <s v=""/>
    <s v=""/>
    <n v="0"/>
    <n v="0"/>
    <n v="108672.35555666668"/>
  </r>
  <r>
    <n v="334"/>
    <d v="2023-07-21T19:04:00"/>
    <s v="Trapeze"/>
    <s v="Alcoholic Beverages"/>
    <s v="APAC"/>
    <n v="0"/>
    <x v="2"/>
    <s v="Walker's IPA"/>
    <x v="4"/>
    <x v="4"/>
    <s v=""/>
    <s v="Editorial"/>
    <s v="TBLLC - Trapeze 11/12"/>
    <s v="TimeBomb_Trapeze_Edit"/>
    <s v="Original"/>
    <n v="85172.616670000003"/>
    <s v="firm-bid"/>
    <m/>
    <m/>
    <m/>
    <m/>
    <m/>
    <m/>
    <m/>
    <m/>
    <m/>
    <m/>
    <m/>
    <m/>
    <m/>
    <s v=""/>
    <m/>
    <s v=""/>
    <s v=""/>
    <m/>
    <s v=""/>
    <s v=""/>
    <m/>
    <m/>
    <m/>
    <m/>
    <m/>
    <s v=""/>
    <m/>
    <m/>
    <s v=""/>
    <s v=""/>
    <s v=""/>
    <m/>
    <s v=""/>
    <m/>
    <m/>
    <s v=""/>
    <s v=""/>
    <m/>
    <m/>
    <m/>
    <m/>
    <s v=""/>
    <m/>
    <m/>
    <s v=""/>
    <s v=""/>
    <m/>
    <s v=""/>
    <m/>
    <m/>
    <m/>
    <m/>
    <m/>
    <s v=""/>
    <s v=""/>
    <n v="0"/>
    <n v="0"/>
    <n v="108672.35555666668"/>
  </r>
  <r>
    <n v="334"/>
    <d v="2023-07-21T19:04:00"/>
    <s v="Trapeze"/>
    <s v="Alcoholic Beverages"/>
    <s v="APAC"/>
    <n v="1"/>
    <x v="2"/>
    <s v="Walker's IPA"/>
    <x v="4"/>
    <x v="4"/>
    <s v="Total Cuts Post"/>
    <s v="Editorial"/>
    <s v="Trapeze"/>
    <s v="TotalCuts_Trapeze_Edit"/>
    <s v="Original"/>
    <n v="108940.125"/>
    <s v="firm-bid"/>
    <n v="108672.3556"/>
    <m/>
    <m/>
    <m/>
    <m/>
    <m/>
    <m/>
    <m/>
    <m/>
    <m/>
    <m/>
    <m/>
    <m/>
    <s v=""/>
    <m/>
    <s v=""/>
    <s v=""/>
    <m/>
    <s v=""/>
    <s v=""/>
    <n v="18100"/>
    <n v="27700"/>
    <n v="22750"/>
    <n v="10920"/>
    <m/>
    <s v=""/>
    <m/>
    <m/>
    <s v=""/>
    <s v=""/>
    <s v=""/>
    <m/>
    <s v=""/>
    <m/>
    <m/>
    <s v=""/>
    <s v=""/>
    <m/>
    <m/>
    <m/>
    <m/>
    <s v=""/>
    <m/>
    <m/>
    <s v=""/>
    <s v=""/>
    <m/>
    <s v=""/>
    <m/>
    <m/>
    <m/>
    <m/>
    <m/>
    <s v=""/>
    <s v=""/>
    <n v="0"/>
    <n v="0"/>
    <n v="108672.35555666668"/>
  </r>
  <r>
    <n v="334"/>
    <d v="2023-07-21T19:04:00"/>
    <s v="Trapeze"/>
    <s v="Alcoholic Beverages"/>
    <s v="APAC"/>
    <n v="0"/>
    <x v="2"/>
    <s v="Walker's IPA"/>
    <x v="4"/>
    <x v="4"/>
    <s v=""/>
    <s v="Finishing"/>
    <s v="&quot;Trapeze&quot; RSD #452045"/>
    <s v="RackspaceDigital_Trapeze_Finishing"/>
    <s v="Original"/>
    <n v="19100"/>
    <s v="firm-bid"/>
    <m/>
    <m/>
    <m/>
    <m/>
    <m/>
    <m/>
    <m/>
    <m/>
    <m/>
    <m/>
    <m/>
    <m/>
    <m/>
    <s v=""/>
    <m/>
    <s v=""/>
    <s v=""/>
    <m/>
    <s v=""/>
    <s v=""/>
    <m/>
    <m/>
    <m/>
    <m/>
    <m/>
    <s v=""/>
    <m/>
    <m/>
    <s v=""/>
    <s v=""/>
    <s v=""/>
    <m/>
    <s v=""/>
    <m/>
    <m/>
    <s v=""/>
    <s v=""/>
    <m/>
    <m/>
    <m/>
    <m/>
    <s v=""/>
    <m/>
    <m/>
    <s v=""/>
    <s v=""/>
    <m/>
    <s v=""/>
    <m/>
    <m/>
    <m/>
    <m/>
    <m/>
    <s v=""/>
    <s v=""/>
    <n v="0"/>
    <n v="0"/>
    <n v="24616.666666666668"/>
  </r>
  <r>
    <n v="334"/>
    <d v="2023-07-21T19:04:00"/>
    <s v="Trapeze"/>
    <s v="Alcoholic Beverages"/>
    <s v="APAC"/>
    <n v="0"/>
    <x v="2"/>
    <s v="Walker's IPA"/>
    <x v="4"/>
    <x v="4"/>
    <s v=""/>
    <s v="Finishing"/>
    <s v="EB &quot;Trapeze&quot;"/>
    <s v="EvanBanderLLC_Trapeze_Finishing"/>
    <s v="Original"/>
    <n v="24250"/>
    <s v="firm-bid"/>
    <m/>
    <m/>
    <m/>
    <m/>
    <n v="1"/>
    <m/>
    <n v="1"/>
    <m/>
    <m/>
    <m/>
    <m/>
    <m/>
    <m/>
    <s v=""/>
    <m/>
    <s v=""/>
    <s v=""/>
    <m/>
    <s v=""/>
    <s v=""/>
    <m/>
    <m/>
    <m/>
    <m/>
    <m/>
    <s v=""/>
    <m/>
    <m/>
    <s v=""/>
    <s v=""/>
    <s v=""/>
    <m/>
    <s v=""/>
    <m/>
    <m/>
    <s v=""/>
    <s v=""/>
    <m/>
    <m/>
    <m/>
    <m/>
    <s v=""/>
    <m/>
    <m/>
    <s v=""/>
    <s v=""/>
    <m/>
    <s v=""/>
    <m/>
    <m/>
    <m/>
    <m/>
    <m/>
    <s v=""/>
    <s v=""/>
    <n v="0"/>
    <n v="0"/>
    <n v="24616.666666666668"/>
  </r>
  <r>
    <n v="334"/>
    <d v="2023-07-21T19:04:00"/>
    <s v="Trapeze"/>
    <s v="Alcoholic Beverages"/>
    <s v="APAC"/>
    <n v="1"/>
    <x v="2"/>
    <s v="Walker's IPA"/>
    <x v="3"/>
    <x v="4"/>
    <s v="The Dub House"/>
    <s v="Finishing"/>
    <s v="‚ÄúTrapeze‚Äù | Dub House"/>
    <s v="TheDubHouse_Trapeze_Finishing"/>
    <s v="Original"/>
    <n v="30500"/>
    <s v="firm-bid"/>
    <n v="24616.666669999999"/>
    <m/>
    <m/>
    <m/>
    <n v="1"/>
    <m/>
    <m/>
    <m/>
    <m/>
    <m/>
    <m/>
    <m/>
    <m/>
    <s v=""/>
    <m/>
    <s v=""/>
    <s v=""/>
    <m/>
    <s v=""/>
    <s v=""/>
    <m/>
    <m/>
    <m/>
    <m/>
    <m/>
    <s v=""/>
    <m/>
    <n v="30500"/>
    <s v=""/>
    <s v=""/>
    <s v=""/>
    <m/>
    <s v=""/>
    <m/>
    <m/>
    <s v=""/>
    <s v=""/>
    <m/>
    <m/>
    <m/>
    <m/>
    <s v=""/>
    <m/>
    <m/>
    <s v=""/>
    <s v=""/>
    <m/>
    <s v=""/>
    <m/>
    <m/>
    <m/>
    <m/>
    <m/>
    <s v=""/>
    <s v=""/>
    <n v="0"/>
    <n v="0"/>
    <n v="24616.666666666668"/>
  </r>
  <r>
    <n v="334"/>
    <d v="2023-07-21T19:04:00"/>
    <s v="Trapeze"/>
    <s v="Alcoholic Beverages"/>
    <s v="APAC"/>
    <n v="0"/>
    <x v="2"/>
    <s v="Walker's IPA"/>
    <x v="3"/>
    <x v="4"/>
    <s v=""/>
    <s v="Music"/>
    <s v="&quot;Trapeze&quot; - Special Oaks Music"/>
    <s v="SpecialOaks_Trapeze_Music"/>
    <s v="Original"/>
    <n v="52050"/>
    <s v="firm-bid"/>
    <m/>
    <m/>
    <m/>
    <m/>
    <m/>
    <m/>
    <n v="1"/>
    <m/>
    <m/>
    <m/>
    <m/>
    <m/>
    <m/>
    <s v=""/>
    <m/>
    <s v=""/>
    <s v=""/>
    <m/>
    <s v=""/>
    <s v=""/>
    <m/>
    <m/>
    <m/>
    <m/>
    <m/>
    <s v=""/>
    <m/>
    <m/>
    <s v=""/>
    <s v=""/>
    <s v=""/>
    <m/>
    <s v=""/>
    <m/>
    <m/>
    <s v=""/>
    <s v=""/>
    <m/>
    <m/>
    <m/>
    <m/>
    <s v=""/>
    <m/>
    <m/>
    <s v=""/>
    <s v=""/>
    <m/>
    <s v=""/>
    <m/>
    <m/>
    <m/>
    <m/>
    <m/>
    <s v=""/>
    <s v=""/>
    <n v="0"/>
    <n v="0"/>
    <n v="45025"/>
  </r>
  <r>
    <n v="334"/>
    <d v="2023-07-21T19:04:00"/>
    <s v="Trapeze"/>
    <s v="Alcoholic Beverages"/>
    <s v="APAC"/>
    <n v="1"/>
    <x v="2"/>
    <s v="Walker's IPA"/>
    <x v="3"/>
    <x v="4"/>
    <s v="Arnold Esther Music"/>
    <s v="Music"/>
    <s v="AEM &quot;Walker's || Walker Lives! (Trapeze)&quot;"/>
    <s v="ArnoldEstherMusic_Trapeze_Music"/>
    <s v="Original"/>
    <n v="38000"/>
    <s v="firm-bid"/>
    <n v="45025"/>
    <m/>
    <m/>
    <m/>
    <m/>
    <m/>
    <m/>
    <m/>
    <m/>
    <m/>
    <m/>
    <m/>
    <m/>
    <s v=""/>
    <m/>
    <s v=""/>
    <s v=""/>
    <m/>
    <s v=""/>
    <s v=""/>
    <m/>
    <m/>
    <m/>
    <m/>
    <m/>
    <s v=""/>
    <m/>
    <m/>
    <s v=""/>
    <s v=""/>
    <s v=""/>
    <m/>
    <s v=""/>
    <m/>
    <n v="38000"/>
    <s v=""/>
    <s v=""/>
    <m/>
    <m/>
    <m/>
    <m/>
    <s v=""/>
    <m/>
    <m/>
    <s v=""/>
    <s v=""/>
    <m/>
    <s v=""/>
    <m/>
    <m/>
    <m/>
    <m/>
    <m/>
    <s v=""/>
    <s v=""/>
    <n v="0"/>
    <n v="0"/>
    <n v="45025"/>
  </r>
  <r>
    <n v="334"/>
    <d v="2023-07-21T19:04:00"/>
    <s v="Trapeze"/>
    <s v="Alcoholic Beverages"/>
    <s v="APAC"/>
    <n v="0"/>
    <x v="2"/>
    <s v="Walker's IPA"/>
    <x v="3"/>
    <x v="4"/>
    <s v=""/>
    <s v="Behind The Scenes (BTS)"/>
    <s v="Trapeze"/>
    <s v="CHAW_Trapeze_BTS"/>
    <s v="Original"/>
    <n v="19693.75"/>
    <s v="firm-bid"/>
    <m/>
    <m/>
    <m/>
    <m/>
    <m/>
    <m/>
    <n v="1"/>
    <m/>
    <m/>
    <m/>
    <m/>
    <m/>
    <m/>
    <s v=""/>
    <m/>
    <s v=""/>
    <s v=""/>
    <m/>
    <s v=""/>
    <s v=""/>
    <m/>
    <m/>
    <m/>
    <m/>
    <m/>
    <s v=""/>
    <m/>
    <m/>
    <s v=""/>
    <s v=""/>
    <s v=""/>
    <m/>
    <s v=""/>
    <m/>
    <m/>
    <s v=""/>
    <s v=""/>
    <m/>
    <m/>
    <m/>
    <m/>
    <s v=""/>
    <m/>
    <m/>
    <s v=""/>
    <s v=""/>
    <m/>
    <s v=""/>
    <m/>
    <m/>
    <m/>
    <m/>
    <m/>
    <s v=""/>
    <s v=""/>
    <n v="0"/>
    <n v="0"/>
    <n v="15807.516666666666"/>
  </r>
  <r>
    <n v="334"/>
    <d v="2023-07-21T19:04:00"/>
    <s v="Trapeze"/>
    <s v="Alcoholic Beverages"/>
    <s v="APAC"/>
    <n v="1"/>
    <x v="2"/>
    <s v="Walker's IPA"/>
    <x v="3"/>
    <x v="4"/>
    <s v="Test Flight Productions"/>
    <s v="Behind The Scenes (BTS)"/>
    <s v="Trapeze"/>
    <s v="TestFlight_Trapeze_BTS"/>
    <s v="Original"/>
    <n v="13155.424999999999"/>
    <s v="firm-bid"/>
    <n v="15807.516670000001"/>
    <m/>
    <n v="1"/>
    <m/>
    <m/>
    <m/>
    <n v="1"/>
    <m/>
    <m/>
    <m/>
    <m/>
    <n v="8350"/>
    <m/>
    <s v=""/>
    <m/>
    <s v=""/>
    <s v=""/>
    <m/>
    <s v=""/>
    <s v=""/>
    <m/>
    <m/>
    <m/>
    <m/>
    <m/>
    <s v=""/>
    <m/>
    <m/>
    <s v=""/>
    <s v=""/>
    <s v=""/>
    <m/>
    <s v=""/>
    <m/>
    <m/>
    <s v=""/>
    <s v=""/>
    <m/>
    <m/>
    <m/>
    <m/>
    <s v=""/>
    <m/>
    <m/>
    <s v=""/>
    <s v=""/>
    <m/>
    <s v=""/>
    <m/>
    <m/>
    <m/>
    <m/>
    <m/>
    <s v=""/>
    <s v=""/>
    <n v="0"/>
    <n v="0"/>
    <n v="15807.516666666666"/>
  </r>
  <r>
    <n v="334"/>
    <d v="2023-07-21T19:04:00"/>
    <s v="Trapeze"/>
    <s v="Alcoholic Beverages"/>
    <s v="APAC"/>
    <n v="0"/>
    <x v="2"/>
    <s v="Walker's IPA"/>
    <x v="3"/>
    <x v="4"/>
    <s v=""/>
    <s v="Behind The Scenes (BTS)"/>
    <s v="Trapeze"/>
    <s v="Petulant_Trapeze_BTS"/>
    <s v="Original"/>
    <n v="14573.375"/>
    <s v="firm-bid"/>
    <m/>
    <m/>
    <m/>
    <m/>
    <m/>
    <m/>
    <m/>
    <m/>
    <m/>
    <m/>
    <m/>
    <m/>
    <m/>
    <s v=""/>
    <m/>
    <s v=""/>
    <s v=""/>
    <m/>
    <s v=""/>
    <s v=""/>
    <m/>
    <m/>
    <m/>
    <m/>
    <m/>
    <s v=""/>
    <m/>
    <m/>
    <s v=""/>
    <s v=""/>
    <s v=""/>
    <m/>
    <s v=""/>
    <m/>
    <m/>
    <s v=""/>
    <s v=""/>
    <m/>
    <m/>
    <m/>
    <m/>
    <s v=""/>
    <m/>
    <m/>
    <s v=""/>
    <s v=""/>
    <m/>
    <s v=""/>
    <m/>
    <m/>
    <m/>
    <m/>
    <m/>
    <s v=""/>
    <s v=""/>
    <n v="0"/>
    <n v="0"/>
    <n v="15807.516666666666"/>
  </r>
  <r>
    <n v="336"/>
    <d v="2023-07-21T19:05:00"/>
    <s v="New Parachute"/>
    <s v="Alcoholic Beverages"/>
    <s v="APAC"/>
    <n v="0"/>
    <x v="2"/>
    <s v="Walker's IPA"/>
    <x v="3"/>
    <x v="4"/>
    <s v=""/>
    <s v="Audio Post"/>
    <s v="Sound Monster"/>
    <s v="SOUND MONSTER"/>
    <s v="Original"/>
    <n v="68240"/>
    <s v="firm-bid"/>
    <m/>
    <m/>
    <m/>
    <m/>
    <m/>
    <m/>
    <m/>
    <m/>
    <m/>
    <m/>
    <m/>
    <m/>
    <m/>
    <s v=""/>
    <m/>
    <s v=""/>
    <s v=""/>
    <m/>
    <s v=""/>
    <s v=""/>
    <m/>
    <m/>
    <m/>
    <m/>
    <m/>
    <s v=""/>
    <m/>
    <m/>
    <s v=""/>
    <s v=""/>
    <s v=""/>
    <m/>
    <s v=""/>
    <m/>
    <m/>
    <s v=""/>
    <s v=""/>
    <m/>
    <m/>
    <m/>
    <m/>
    <s v=""/>
    <m/>
    <m/>
    <s v=""/>
    <s v=""/>
    <m/>
    <s v=""/>
    <m/>
    <m/>
    <m/>
    <m/>
    <m/>
    <s v=""/>
    <s v=""/>
    <n v="0"/>
    <n v="0"/>
    <n v="42320"/>
  </r>
  <r>
    <n v="336"/>
    <d v="2023-07-21T19:05:00"/>
    <s v="New Parachute"/>
    <s v="Alcoholic Beverages"/>
    <s v="APAC"/>
    <n v="1"/>
    <x v="2"/>
    <s v="Walker's IPA"/>
    <x v="3"/>
    <x v="4"/>
    <s v="My Audio Fantasy"/>
    <s v="Audio Post"/>
    <s v="AudioFantasy&quot;NewParachute&quot;"/>
    <s v="AudioFantasyBid"/>
    <s v="Original"/>
    <n v="28520"/>
    <s v="firm-bid"/>
    <n v="42320"/>
    <m/>
    <m/>
    <m/>
    <m/>
    <m/>
    <m/>
    <m/>
    <m/>
    <m/>
    <n v="28520"/>
    <m/>
    <m/>
    <s v=""/>
    <m/>
    <s v=""/>
    <s v=""/>
    <m/>
    <s v=""/>
    <s v=""/>
    <m/>
    <m/>
    <m/>
    <m/>
    <m/>
    <s v=""/>
    <m/>
    <m/>
    <s v=""/>
    <s v=""/>
    <s v=""/>
    <m/>
    <s v=""/>
    <m/>
    <m/>
    <s v=""/>
    <s v=""/>
    <m/>
    <m/>
    <m/>
    <m/>
    <s v=""/>
    <m/>
    <m/>
    <s v=""/>
    <s v=""/>
    <m/>
    <s v=""/>
    <m/>
    <m/>
    <m/>
    <m/>
    <m/>
    <s v=""/>
    <s v=""/>
    <n v="0"/>
    <n v="0"/>
    <n v="42320"/>
  </r>
  <r>
    <n v="336"/>
    <d v="2023-07-21T19:05:00"/>
    <s v="New Parachute"/>
    <s v="Alcoholic Beverages"/>
    <s v="APAC"/>
    <n v="0"/>
    <x v="2"/>
    <s v="Walker's IPA"/>
    <x v="3"/>
    <x v="4"/>
    <s v=""/>
    <s v="Audio Post"/>
    <s v="audio lab &quot;New Parachute&quot;"/>
    <s v="Audio_90"/>
    <s v="Original"/>
    <n v="30200"/>
    <s v="firm-bid"/>
    <m/>
    <m/>
    <m/>
    <m/>
    <m/>
    <m/>
    <m/>
    <m/>
    <m/>
    <m/>
    <m/>
    <m/>
    <m/>
    <s v=""/>
    <m/>
    <s v=""/>
    <s v=""/>
    <m/>
    <s v=""/>
    <s v=""/>
    <m/>
    <m/>
    <m/>
    <m/>
    <m/>
    <s v=""/>
    <m/>
    <m/>
    <s v=""/>
    <s v=""/>
    <s v=""/>
    <m/>
    <s v=""/>
    <m/>
    <m/>
    <s v=""/>
    <s v=""/>
    <m/>
    <m/>
    <m/>
    <m/>
    <s v=""/>
    <m/>
    <m/>
    <s v=""/>
    <s v=""/>
    <m/>
    <s v=""/>
    <m/>
    <m/>
    <m/>
    <m/>
    <m/>
    <s v=""/>
    <s v=""/>
    <n v="0"/>
    <n v="0"/>
    <n v="42320"/>
  </r>
  <r>
    <n v="336"/>
    <d v="2023-07-21T19:05:00"/>
    <s v="New Parachute"/>
    <s v="Alcoholic Beverages"/>
    <s v="APAC"/>
    <n v="0"/>
    <x v="2"/>
    <s v="Walker's IPA"/>
    <x v="3"/>
    <x v="4"/>
    <s v=""/>
    <s v="Film &amp; Video Production"/>
    <s v="New Parachute"/>
    <s v="OpenFrameworks_NewParachute_LiveAction"/>
    <s v="Original"/>
    <n v="828919.11840000004"/>
    <s v="firm-bid"/>
    <m/>
    <m/>
    <m/>
    <m/>
    <m/>
    <m/>
    <m/>
    <m/>
    <m/>
    <m/>
    <m/>
    <m/>
    <m/>
    <s v=""/>
    <m/>
    <s v=""/>
    <s v=""/>
    <m/>
    <s v=""/>
    <s v=""/>
    <m/>
    <m/>
    <m/>
    <m/>
    <m/>
    <s v=""/>
    <m/>
    <m/>
    <s v=""/>
    <s v=""/>
    <s v=""/>
    <m/>
    <s v=""/>
    <m/>
    <m/>
    <s v=""/>
    <s v=""/>
    <m/>
    <m/>
    <m/>
    <m/>
    <s v=""/>
    <m/>
    <m/>
    <s v=""/>
    <s v=""/>
    <m/>
    <s v=""/>
    <m/>
    <m/>
    <m/>
    <m/>
    <m/>
    <s v=""/>
    <s v=""/>
    <n v="0"/>
    <n v="0"/>
    <n v="786422.47120000003"/>
  </r>
  <r>
    <n v="336"/>
    <d v="2023-07-21T19:05:00"/>
    <s v="New Parachute"/>
    <s v="Alcoholic Beverages"/>
    <s v="APAC"/>
    <n v="1"/>
    <x v="2"/>
    <s v="Walker's IPA"/>
    <x v="3"/>
    <x v="4"/>
    <s v="CHAW Creative"/>
    <s v="Film &amp; Video Production"/>
    <s v="NP"/>
    <s v="CHAW_NewParachute_LiveAction"/>
    <s v="Original"/>
    <n v="743925.82400000002"/>
    <s v="firm-bid"/>
    <n v="786422.47120000003"/>
    <m/>
    <m/>
    <m/>
    <m/>
    <m/>
    <n v="1"/>
    <m/>
    <n v="40397.5"/>
    <n v="53600"/>
    <m/>
    <m/>
    <m/>
    <s v=""/>
    <m/>
    <s v=""/>
    <s v=""/>
    <n v="60000"/>
    <s v=""/>
    <s v=""/>
    <n v="0"/>
    <m/>
    <n v="0"/>
    <m/>
    <n v="96250"/>
    <s v=""/>
    <n v="3000"/>
    <m/>
    <s v=""/>
    <s v=""/>
    <s v=""/>
    <n v="39130"/>
    <s v=""/>
    <n v="8400"/>
    <m/>
    <s v=""/>
    <s v=""/>
    <n v="11700"/>
    <n v="125911.5"/>
    <m/>
    <m/>
    <s v=""/>
    <n v="8000"/>
    <n v="81703.05"/>
    <s v=""/>
    <s v=""/>
    <m/>
    <s v=""/>
    <m/>
    <m/>
    <n v="53100"/>
    <n v="0"/>
    <n v="0"/>
    <s v=""/>
    <s v=""/>
    <n v="0"/>
    <n v="0"/>
    <n v="786422.47120000003"/>
  </r>
  <r>
    <n v="336"/>
    <d v="2023-07-21T19:05:00"/>
    <s v="New Parachute"/>
    <s v="Alcoholic Beverages"/>
    <s v="APAC"/>
    <n v="0"/>
    <x v="2"/>
    <s v="Walker's IPA"/>
    <x v="3"/>
    <x v="4"/>
    <s v=""/>
    <s v="Sanitary Production Costs"/>
    <s v="New Parachute"/>
    <s v="OpenFrameworks_NewParachute_Covid"/>
    <s v="Original"/>
    <n v="12273.145"/>
    <s v="firm-bid"/>
    <m/>
    <m/>
    <m/>
    <m/>
    <m/>
    <m/>
    <m/>
    <m/>
    <m/>
    <m/>
    <m/>
    <m/>
    <m/>
    <s v=""/>
    <m/>
    <s v=""/>
    <s v=""/>
    <m/>
    <s v=""/>
    <s v=""/>
    <m/>
    <m/>
    <m/>
    <m/>
    <m/>
    <s v=""/>
    <m/>
    <m/>
    <s v=""/>
    <s v=""/>
    <s v=""/>
    <m/>
    <s v=""/>
    <m/>
    <m/>
    <s v=""/>
    <s v=""/>
    <m/>
    <m/>
    <m/>
    <m/>
    <s v=""/>
    <m/>
    <m/>
    <s v=""/>
    <s v=""/>
    <m/>
    <s v=""/>
    <m/>
    <m/>
    <m/>
    <m/>
    <m/>
    <s v=""/>
    <s v=""/>
    <n v="0"/>
    <n v="0"/>
    <n v="8015.3562500000007"/>
  </r>
  <r>
    <n v="336"/>
    <d v="2023-07-21T19:05:00"/>
    <s v="New Parachute"/>
    <s v="Alcoholic Beverages"/>
    <s v="APAC"/>
    <n v="1"/>
    <x v="2"/>
    <s v="Walker's IPA"/>
    <x v="3"/>
    <x v="4"/>
    <s v="CHAW Creative"/>
    <s v="Sanitary Production Costs"/>
    <s v="NP"/>
    <s v="CHAW_NewParachute_Covid"/>
    <s v="Original"/>
    <n v="3757.5675000000001"/>
    <s v="firm-bid"/>
    <n v="8015.3562499999998"/>
    <m/>
    <m/>
    <m/>
    <m/>
    <m/>
    <n v="1"/>
    <m/>
    <m/>
    <m/>
    <m/>
    <m/>
    <m/>
    <s v=""/>
    <n v="1700"/>
    <s v=""/>
    <s v=""/>
    <m/>
    <s v=""/>
    <s v=""/>
    <m/>
    <m/>
    <m/>
    <m/>
    <m/>
    <s v=""/>
    <m/>
    <m/>
    <s v=""/>
    <s v=""/>
    <s v=""/>
    <m/>
    <s v=""/>
    <m/>
    <m/>
    <s v=""/>
    <s v=""/>
    <m/>
    <m/>
    <n v="685"/>
    <m/>
    <s v=""/>
    <m/>
    <m/>
    <s v=""/>
    <s v=""/>
    <m/>
    <s v=""/>
    <m/>
    <m/>
    <m/>
    <m/>
    <m/>
    <s v=""/>
    <s v=""/>
    <n v="0"/>
    <n v="0"/>
    <n v="8015.3562500000007"/>
  </r>
  <r>
    <n v="336"/>
    <d v="2023-07-21T19:05:00"/>
    <s v="New Parachute"/>
    <s v="Alcoholic Beverages"/>
    <s v="APAC"/>
    <n v="0"/>
    <x v="2"/>
    <s v="Walker's IPA"/>
    <x v="3"/>
    <x v="4"/>
    <s v=""/>
    <s v="Green Production Costs"/>
    <s v="New Parachute"/>
    <s v="OpenFrameworks_NewParachute_Green"/>
    <s v="Original"/>
    <n v="17766"/>
    <s v="firm-bid"/>
    <m/>
    <m/>
    <m/>
    <m/>
    <m/>
    <m/>
    <m/>
    <m/>
    <m/>
    <m/>
    <m/>
    <m/>
    <m/>
    <s v=""/>
    <m/>
    <s v=""/>
    <s v=""/>
    <m/>
    <s v=""/>
    <s v=""/>
    <m/>
    <m/>
    <m/>
    <m/>
    <m/>
    <s v=""/>
    <m/>
    <m/>
    <s v=""/>
    <s v=""/>
    <s v=""/>
    <m/>
    <s v=""/>
    <m/>
    <m/>
    <s v=""/>
    <s v=""/>
    <m/>
    <m/>
    <m/>
    <m/>
    <s v=""/>
    <m/>
    <m/>
    <s v=""/>
    <s v=""/>
    <m/>
    <s v=""/>
    <m/>
    <m/>
    <m/>
    <m/>
    <m/>
    <s v=""/>
    <s v=""/>
    <n v="0"/>
    <n v="0"/>
    <n v="15561"/>
  </r>
  <r>
    <n v="336"/>
    <d v="2023-07-21T19:05:00"/>
    <s v="New Parachute"/>
    <s v="Alcoholic Beverages"/>
    <s v="APAC"/>
    <n v="1"/>
    <x v="2"/>
    <s v="Walker's IPA"/>
    <x v="3"/>
    <x v="4"/>
    <s v="CHAW Creative"/>
    <s v="Green Production Costs"/>
    <s v="NP"/>
    <s v="CHAW_NewParachute_Green"/>
    <s v="Original"/>
    <n v="13356"/>
    <s v="firm-bid"/>
    <n v="15561"/>
    <m/>
    <m/>
    <m/>
    <m/>
    <m/>
    <n v="1"/>
    <m/>
    <n v="0"/>
    <n v="0"/>
    <m/>
    <m/>
    <m/>
    <s v=""/>
    <m/>
    <s v=""/>
    <s v=""/>
    <n v="0"/>
    <s v=""/>
    <s v=""/>
    <n v="0"/>
    <m/>
    <n v="0"/>
    <m/>
    <n v="0"/>
    <s v=""/>
    <n v="0"/>
    <m/>
    <s v=""/>
    <s v=""/>
    <s v=""/>
    <n v="0"/>
    <s v=""/>
    <n v="10600"/>
    <m/>
    <s v=""/>
    <s v=""/>
    <n v="0"/>
    <n v="0"/>
    <m/>
    <m/>
    <s v=""/>
    <n v="0"/>
    <n v="0"/>
    <s v=""/>
    <s v=""/>
    <m/>
    <s v=""/>
    <m/>
    <m/>
    <n v="0"/>
    <n v="0"/>
    <n v="0"/>
    <s v=""/>
    <s v=""/>
    <n v="0"/>
    <n v="0"/>
    <n v="15561"/>
  </r>
  <r>
    <n v="336"/>
    <d v="2023-07-21T19:05:00"/>
    <s v="New Parachute"/>
    <s v="Alcoholic Beverages"/>
    <s v="APAC"/>
    <n v="0"/>
    <x v="2"/>
    <s v="Walker's IPA"/>
    <x v="3"/>
    <x v="4"/>
    <s v=""/>
    <s v="Editorial"/>
    <s v="New Parachute"/>
    <s v="Armistace_NewParachute_Edit"/>
    <s v="Original"/>
    <n v="111646.15"/>
    <s v="firm-bid"/>
    <m/>
    <m/>
    <m/>
    <m/>
    <m/>
    <m/>
    <m/>
    <m/>
    <m/>
    <m/>
    <m/>
    <m/>
    <m/>
    <s v=""/>
    <m/>
    <s v=""/>
    <s v=""/>
    <m/>
    <s v=""/>
    <s v=""/>
    <m/>
    <m/>
    <m/>
    <m/>
    <m/>
    <s v=""/>
    <m/>
    <m/>
    <s v=""/>
    <s v=""/>
    <s v=""/>
    <m/>
    <s v=""/>
    <m/>
    <m/>
    <s v=""/>
    <s v=""/>
    <m/>
    <m/>
    <m/>
    <m/>
    <s v=""/>
    <m/>
    <m/>
    <s v=""/>
    <s v=""/>
    <m/>
    <s v=""/>
    <m/>
    <m/>
    <m/>
    <m/>
    <m/>
    <s v=""/>
    <s v=""/>
    <n v="0"/>
    <n v="0"/>
    <n v="131253.17914999998"/>
  </r>
  <r>
    <n v="336"/>
    <d v="2023-07-21T19:05:00"/>
    <s v="New Parachute"/>
    <s v="Alcoholic Beverages"/>
    <s v="APAC"/>
    <n v="1"/>
    <x v="2"/>
    <s v="Walker's IPA"/>
    <x v="3"/>
    <x v="4"/>
    <s v="Time Bomb LLC"/>
    <s v="Editorial"/>
    <s v="New Parachute / TBLLC v5"/>
    <s v="TimeBomb_NewParachute_Edit"/>
    <s v="Original"/>
    <n v="150860.2083"/>
    <s v="firm-bid"/>
    <n v="131253.17920000001"/>
    <m/>
    <m/>
    <m/>
    <m/>
    <m/>
    <m/>
    <m/>
    <m/>
    <m/>
    <m/>
    <m/>
    <m/>
    <s v=""/>
    <m/>
    <s v=""/>
    <s v=""/>
    <m/>
    <s v=""/>
    <s v=""/>
    <n v="47350"/>
    <n v="33450"/>
    <n v="10500"/>
    <n v="18750"/>
    <m/>
    <s v=""/>
    <m/>
    <m/>
    <s v=""/>
    <s v=""/>
    <s v=""/>
    <m/>
    <s v=""/>
    <m/>
    <m/>
    <s v=""/>
    <s v=""/>
    <m/>
    <m/>
    <m/>
    <m/>
    <s v=""/>
    <m/>
    <m/>
    <s v=""/>
    <s v=""/>
    <m/>
    <s v=""/>
    <m/>
    <m/>
    <m/>
    <m/>
    <m/>
    <s v=""/>
    <s v=""/>
    <n v="0"/>
    <n v="0"/>
    <n v="131253.17914999998"/>
  </r>
  <r>
    <n v="336"/>
    <d v="2023-07-21T19:05:00"/>
    <s v="New Parachute"/>
    <s v="Alcoholic Beverages"/>
    <s v="APAC"/>
    <n v="0"/>
    <x v="2"/>
    <s v="Walker's IPA"/>
    <x v="3"/>
    <x v="4"/>
    <s v=""/>
    <s v="Finishing"/>
    <s v="‚ÄúNew Parachute‚Äù | Dub House"/>
    <s v="TheDubHouse_NewParachute_Finishing"/>
    <s v="Original"/>
    <n v="37350"/>
    <s v="firm-bid"/>
    <m/>
    <m/>
    <m/>
    <m/>
    <n v="1"/>
    <m/>
    <m/>
    <m/>
    <m/>
    <m/>
    <m/>
    <m/>
    <m/>
    <s v=""/>
    <m/>
    <s v=""/>
    <s v=""/>
    <m/>
    <s v=""/>
    <s v=""/>
    <m/>
    <m/>
    <m/>
    <m/>
    <m/>
    <s v=""/>
    <m/>
    <m/>
    <s v=""/>
    <s v=""/>
    <s v=""/>
    <m/>
    <s v=""/>
    <m/>
    <m/>
    <s v=""/>
    <s v=""/>
    <m/>
    <m/>
    <m/>
    <m/>
    <s v=""/>
    <m/>
    <m/>
    <s v=""/>
    <s v=""/>
    <m/>
    <s v=""/>
    <m/>
    <m/>
    <m/>
    <m/>
    <m/>
    <s v=""/>
    <s v=""/>
    <n v="0"/>
    <n v="0"/>
    <n v="36783.333333333336"/>
  </r>
  <r>
    <n v="336"/>
    <d v="2023-07-21T19:05:00"/>
    <s v="New Parachute"/>
    <s v="Alcoholic Beverages"/>
    <s v="APAC"/>
    <n v="1"/>
    <x v="2"/>
    <s v="Walker's IPA"/>
    <x v="3"/>
    <x v="4"/>
    <s v="Witness"/>
    <s v="Finishing"/>
    <s v="WITNESS:: New Parachute"/>
    <s v="Witness_NewParachute_Finishing"/>
    <s v="Original"/>
    <n v="47650"/>
    <s v="firm-bid"/>
    <n v="36783.333330000001"/>
    <m/>
    <m/>
    <n v="1"/>
    <n v="1"/>
    <m/>
    <m/>
    <m/>
    <m/>
    <m/>
    <m/>
    <m/>
    <m/>
    <s v=""/>
    <m/>
    <s v=""/>
    <s v=""/>
    <m/>
    <s v=""/>
    <s v=""/>
    <m/>
    <m/>
    <m/>
    <m/>
    <m/>
    <s v=""/>
    <m/>
    <n v="47650"/>
    <s v=""/>
    <s v=""/>
    <s v=""/>
    <m/>
    <s v=""/>
    <m/>
    <m/>
    <s v=""/>
    <s v=""/>
    <m/>
    <m/>
    <m/>
    <m/>
    <s v=""/>
    <m/>
    <m/>
    <s v=""/>
    <s v=""/>
    <m/>
    <s v=""/>
    <m/>
    <m/>
    <m/>
    <m/>
    <m/>
    <s v=""/>
    <s v=""/>
    <n v="0"/>
    <n v="0"/>
    <n v="36783.333333333336"/>
  </r>
  <r>
    <n v="336"/>
    <d v="2023-07-21T19:05:00"/>
    <s v="New Parachute"/>
    <s v="Alcoholic Beverages"/>
    <s v="APAC"/>
    <n v="0"/>
    <x v="2"/>
    <s v="Walker's IPA"/>
    <x v="3"/>
    <x v="4"/>
    <s v=""/>
    <s v="Finishing"/>
    <s v="colorMaven &quot;New Parachute&quot;"/>
    <s v="ColorMaven_NewParachute_Finishing"/>
    <s v="Original"/>
    <n v="25350"/>
    <s v="firm-bid"/>
    <m/>
    <m/>
    <m/>
    <n v="1"/>
    <m/>
    <n v="1"/>
    <m/>
    <m/>
    <m/>
    <m/>
    <m/>
    <m/>
    <m/>
    <s v=""/>
    <m/>
    <s v=""/>
    <s v=""/>
    <m/>
    <s v=""/>
    <s v=""/>
    <m/>
    <m/>
    <m/>
    <m/>
    <m/>
    <s v=""/>
    <m/>
    <m/>
    <s v=""/>
    <s v=""/>
    <s v=""/>
    <m/>
    <s v=""/>
    <m/>
    <m/>
    <s v=""/>
    <s v=""/>
    <m/>
    <m/>
    <m/>
    <m/>
    <s v=""/>
    <m/>
    <m/>
    <s v=""/>
    <s v=""/>
    <m/>
    <s v=""/>
    <m/>
    <m/>
    <m/>
    <m/>
    <m/>
    <s v=""/>
    <s v=""/>
    <n v="0"/>
    <n v="0"/>
    <n v="36783.333333333336"/>
  </r>
  <r>
    <n v="338"/>
    <d v="2023-07-21T19:09:00"/>
    <s v="The Big Guy"/>
    <s v="Alcoholic Beverages"/>
    <s v="North America"/>
    <n v="0"/>
    <x v="2"/>
    <s v="Tread Lightly by Walker"/>
    <x v="3"/>
    <x v="2"/>
    <s v=""/>
    <s v="Audio Post"/>
    <s v="FunnyRabbit&quot;The Big Guy&quot;"/>
    <s v="Audio_32"/>
    <s v="Original"/>
    <n v="25640"/>
    <s v="firm-bid"/>
    <m/>
    <m/>
    <n v="1"/>
    <n v="1"/>
    <m/>
    <m/>
    <n v="1"/>
    <m/>
    <m/>
    <m/>
    <m/>
    <m/>
    <m/>
    <s v=""/>
    <m/>
    <s v=""/>
    <s v=""/>
    <m/>
    <s v=""/>
    <s v=""/>
    <m/>
    <m/>
    <m/>
    <m/>
    <m/>
    <s v=""/>
    <m/>
    <m/>
    <s v=""/>
    <s v=""/>
    <s v=""/>
    <m/>
    <s v=""/>
    <m/>
    <m/>
    <s v=""/>
    <s v=""/>
    <m/>
    <m/>
    <m/>
    <m/>
    <s v=""/>
    <m/>
    <m/>
    <s v=""/>
    <s v=""/>
    <m/>
    <s v=""/>
    <m/>
    <m/>
    <m/>
    <m/>
    <m/>
    <s v=""/>
    <s v=""/>
    <n v="0"/>
    <n v="0"/>
    <n v="26493.333333333332"/>
  </r>
  <r>
    <n v="338"/>
    <d v="2023-07-21T19:09:00"/>
    <s v="The Big Guy"/>
    <s v="Alcoholic Beverages"/>
    <s v="North America"/>
    <n v="0"/>
    <x v="2"/>
    <s v="Tread Lightly by Walker"/>
    <x v="3"/>
    <x v="2"/>
    <s v=""/>
    <s v="Audio Post"/>
    <s v="Arsonist&quot;The Big Guy&quot;"/>
    <s v="Arsonist"/>
    <s v="Original"/>
    <n v="31420"/>
    <s v="firm-bid"/>
    <m/>
    <m/>
    <m/>
    <m/>
    <m/>
    <m/>
    <m/>
    <m/>
    <m/>
    <m/>
    <m/>
    <m/>
    <m/>
    <s v=""/>
    <m/>
    <s v=""/>
    <s v=""/>
    <m/>
    <s v=""/>
    <s v=""/>
    <m/>
    <m/>
    <m/>
    <m/>
    <m/>
    <s v=""/>
    <m/>
    <m/>
    <s v=""/>
    <s v=""/>
    <s v=""/>
    <m/>
    <s v=""/>
    <m/>
    <m/>
    <s v=""/>
    <s v=""/>
    <m/>
    <m/>
    <m/>
    <m/>
    <s v=""/>
    <m/>
    <m/>
    <s v=""/>
    <s v=""/>
    <m/>
    <s v=""/>
    <m/>
    <m/>
    <m/>
    <m/>
    <m/>
    <s v=""/>
    <s v=""/>
    <n v="0"/>
    <n v="0"/>
    <n v="26493.333333333332"/>
  </r>
  <r>
    <n v="338"/>
    <d v="2023-07-21T19:09:00"/>
    <s v="The Big Guy"/>
    <s v="Alcoholic Beverages"/>
    <s v="North America"/>
    <n v="1"/>
    <x v="2"/>
    <s v="Tread Lightly by Walker"/>
    <x v="3"/>
    <x v="2"/>
    <s v="My Audio Fantasy"/>
    <s v="Audio Post"/>
    <s v="AudioFantasy&quot;TheBigGuy&quot;"/>
    <s v="AudioFantasyBid"/>
    <s v="Original"/>
    <n v="22420"/>
    <s v="firm-bid"/>
    <n v="26493.333330000001"/>
    <m/>
    <m/>
    <m/>
    <m/>
    <m/>
    <m/>
    <m/>
    <m/>
    <m/>
    <n v="22420"/>
    <m/>
    <m/>
    <s v=""/>
    <m/>
    <s v=""/>
    <s v=""/>
    <m/>
    <s v=""/>
    <s v=""/>
    <m/>
    <m/>
    <m/>
    <m/>
    <m/>
    <s v=""/>
    <m/>
    <m/>
    <s v=""/>
    <s v=""/>
    <s v=""/>
    <m/>
    <s v=""/>
    <m/>
    <m/>
    <s v=""/>
    <s v=""/>
    <m/>
    <m/>
    <m/>
    <m/>
    <s v=""/>
    <m/>
    <m/>
    <s v=""/>
    <s v=""/>
    <m/>
    <s v=""/>
    <m/>
    <m/>
    <m/>
    <m/>
    <m/>
    <s v=""/>
    <s v=""/>
    <n v="0"/>
    <n v="0"/>
    <n v="26493.333333333332"/>
  </r>
  <r>
    <n v="338"/>
    <d v="2023-07-21T19:09:00"/>
    <s v="The Big Guy"/>
    <s v="Alcoholic Beverages"/>
    <s v="North America"/>
    <n v="0"/>
    <x v="2"/>
    <s v="Tread Lightly by Walker"/>
    <x v="3"/>
    <x v="2"/>
    <s v=""/>
    <s v="Music"/>
    <s v="Frequency Presentation for &quot;The Big Guy&quot;"/>
    <s v="Frequency_TheBigGuy_Music"/>
    <s v="Original"/>
    <n v="41950"/>
    <s v="firm-bid"/>
    <m/>
    <m/>
    <m/>
    <m/>
    <m/>
    <m/>
    <m/>
    <m/>
    <m/>
    <m/>
    <m/>
    <m/>
    <m/>
    <s v=""/>
    <m/>
    <s v=""/>
    <s v=""/>
    <m/>
    <s v=""/>
    <s v=""/>
    <m/>
    <m/>
    <m/>
    <m/>
    <m/>
    <s v=""/>
    <m/>
    <m/>
    <s v=""/>
    <s v=""/>
    <s v=""/>
    <m/>
    <s v=""/>
    <m/>
    <m/>
    <s v=""/>
    <s v=""/>
    <m/>
    <m/>
    <m/>
    <m/>
    <s v=""/>
    <m/>
    <m/>
    <s v=""/>
    <s v=""/>
    <m/>
    <s v=""/>
    <m/>
    <m/>
    <m/>
    <m/>
    <m/>
    <s v=""/>
    <s v=""/>
    <n v="0"/>
    <n v="0"/>
    <n v="33925"/>
  </r>
  <r>
    <n v="338"/>
    <d v="2023-07-21T19:09:00"/>
    <s v="The Big Guy"/>
    <s v="Alcoholic Beverages"/>
    <s v="North America"/>
    <n v="1"/>
    <x v="2"/>
    <s v="Tread Lightly by Walker"/>
    <x v="3"/>
    <x v="2"/>
    <s v="Special Oaks"/>
    <s v="Music"/>
    <s v="&quot;The Big Guy&quot; - Special Oaks Music"/>
    <s v="SpecialOaks_TheBigGuy_Music"/>
    <s v="Original"/>
    <n v="25900"/>
    <s v="firm-bid"/>
    <n v="33925"/>
    <m/>
    <m/>
    <m/>
    <m/>
    <m/>
    <n v="1"/>
    <m/>
    <m/>
    <m/>
    <m/>
    <m/>
    <m/>
    <s v=""/>
    <m/>
    <s v=""/>
    <s v=""/>
    <m/>
    <s v=""/>
    <s v=""/>
    <m/>
    <m/>
    <m/>
    <m/>
    <m/>
    <s v=""/>
    <m/>
    <m/>
    <s v=""/>
    <s v=""/>
    <s v=""/>
    <m/>
    <s v=""/>
    <m/>
    <n v="25900"/>
    <s v=""/>
    <s v=""/>
    <m/>
    <m/>
    <m/>
    <m/>
    <s v=""/>
    <m/>
    <m/>
    <s v=""/>
    <s v=""/>
    <m/>
    <s v=""/>
    <m/>
    <m/>
    <m/>
    <m/>
    <m/>
    <s v=""/>
    <s v=""/>
    <n v="0"/>
    <n v="0"/>
    <n v="33925"/>
  </r>
  <r>
    <n v="338"/>
    <d v="2023-07-21T19:09:00"/>
    <s v="The Big Guy"/>
    <s v="Alcoholic Beverages"/>
    <s v="North America"/>
    <n v="0"/>
    <x v="2"/>
    <s v="Tread Lightly by Walker"/>
    <x v="3"/>
    <x v="2"/>
    <s v=""/>
    <s v="Still Photography Production"/>
    <s v="&quot;The Big Guy&quot; Stills - Furrier"/>
    <s v="Furrier_TheBigGuy_Stills"/>
    <s v="Original"/>
    <n v="175300.40669999999"/>
    <s v="firm-bid"/>
    <m/>
    <m/>
    <m/>
    <m/>
    <m/>
    <m/>
    <m/>
    <m/>
    <m/>
    <m/>
    <m/>
    <m/>
    <m/>
    <s v=""/>
    <m/>
    <s v=""/>
    <s v=""/>
    <m/>
    <s v=""/>
    <s v=""/>
    <m/>
    <m/>
    <m/>
    <m/>
    <m/>
    <s v=""/>
    <m/>
    <m/>
    <s v=""/>
    <s v=""/>
    <s v=""/>
    <m/>
    <s v=""/>
    <m/>
    <m/>
    <s v=""/>
    <s v=""/>
    <m/>
    <m/>
    <m/>
    <m/>
    <s v=""/>
    <m/>
    <m/>
    <s v=""/>
    <s v=""/>
    <m/>
    <s v=""/>
    <m/>
    <m/>
    <m/>
    <m/>
    <m/>
    <s v=""/>
    <s v=""/>
    <n v="0"/>
    <n v="0"/>
    <n v="169276.77456666666"/>
  </r>
  <r>
    <n v="338"/>
    <d v="2023-07-21T19:09:00"/>
    <s v="The Big Guy"/>
    <s v="Alcoholic Beverages"/>
    <s v="North America"/>
    <n v="0"/>
    <x v="2"/>
    <s v="Tread Lightly by Walker"/>
    <x v="3"/>
    <x v="2"/>
    <s v=""/>
    <s v="Still Photography Production"/>
    <s v="Buck &amp; Archie &quot;Walker's:The Big Guy&quot; v3"/>
    <s v="BuckandArchie_TheBigGuy_Stills"/>
    <s v="Original"/>
    <n v="147033.4357"/>
    <s v="firm-bid"/>
    <m/>
    <m/>
    <m/>
    <m/>
    <m/>
    <m/>
    <m/>
    <m/>
    <m/>
    <m/>
    <m/>
    <m/>
    <m/>
    <s v=""/>
    <m/>
    <s v=""/>
    <s v=""/>
    <m/>
    <s v=""/>
    <s v=""/>
    <m/>
    <m/>
    <m/>
    <m/>
    <m/>
    <s v=""/>
    <m/>
    <m/>
    <s v=""/>
    <s v=""/>
    <s v=""/>
    <m/>
    <s v=""/>
    <m/>
    <m/>
    <s v=""/>
    <s v=""/>
    <m/>
    <m/>
    <m/>
    <m/>
    <s v=""/>
    <m/>
    <m/>
    <s v=""/>
    <s v=""/>
    <m/>
    <s v=""/>
    <m/>
    <m/>
    <m/>
    <m/>
    <m/>
    <s v=""/>
    <s v=""/>
    <n v="0"/>
    <n v="0"/>
    <n v="169276.77456666666"/>
  </r>
  <r>
    <n v="338"/>
    <d v="2023-07-21T19:09:00"/>
    <s v="The Big Guy"/>
    <s v="Alcoholic Beverages"/>
    <s v="North America"/>
    <n v="1"/>
    <x v="2"/>
    <s v="Tread Lightly by Walker"/>
    <x v="3"/>
    <x v="2"/>
    <s v="Kent Wilson Studio"/>
    <s v="Still Photography Production"/>
    <s v="Kent Wilson Studio Estimate for &quot;The Big Guy&quot; #1 v2 (2 days)"/>
    <s v="KentWilsonStudio_TheBigGuy_Stills"/>
    <s v="Original"/>
    <n v="185496.48130000001"/>
    <s v="firm-bid"/>
    <n v="169276.7746"/>
    <m/>
    <n v="1"/>
    <m/>
    <m/>
    <m/>
    <m/>
    <m/>
    <m/>
    <n v="0"/>
    <m/>
    <m/>
    <n v="3392"/>
    <s v=""/>
    <m/>
    <s v=""/>
    <s v=""/>
    <m/>
    <s v=""/>
    <s v=""/>
    <m/>
    <m/>
    <m/>
    <m/>
    <n v="2020"/>
    <s v=""/>
    <n v="12844"/>
    <m/>
    <s v=""/>
    <s v=""/>
    <s v=""/>
    <m/>
    <s v=""/>
    <n v="0"/>
    <m/>
    <s v=""/>
    <s v=""/>
    <n v="24828"/>
    <m/>
    <m/>
    <n v="11772"/>
    <s v=""/>
    <n v="16110"/>
    <n v="48507"/>
    <s v=""/>
    <s v=""/>
    <n v="6252"/>
    <s v=""/>
    <m/>
    <n v="2352"/>
    <m/>
    <n v="1963"/>
    <n v="4364"/>
    <s v=""/>
    <s v=""/>
    <n v="0"/>
    <n v="0"/>
    <n v="169276.77456666666"/>
  </r>
  <r>
    <n v="338"/>
    <d v="2023-07-21T19:09:00"/>
    <s v="The Big Guy"/>
    <s v="Alcoholic Beverages"/>
    <s v="North America"/>
    <n v="0"/>
    <x v="2"/>
    <s v="Tread Lightly by Walker"/>
    <x v="3"/>
    <x v="2"/>
    <s v=""/>
    <s v="VFX"/>
    <s v="Edith Mayer ‚ÄúParty Light/The Big Guy‚Äù V1"/>
    <s v="EdithMayerCo_TheBigGuy_VFX"/>
    <s v="Original"/>
    <n v="131202.5"/>
    <s v="firm-bid"/>
    <m/>
    <m/>
    <m/>
    <m/>
    <m/>
    <m/>
    <m/>
    <m/>
    <m/>
    <m/>
    <m/>
    <m/>
    <m/>
    <s v=""/>
    <m/>
    <s v=""/>
    <s v=""/>
    <m/>
    <s v=""/>
    <s v=""/>
    <m/>
    <m/>
    <m/>
    <m/>
    <m/>
    <s v=""/>
    <m/>
    <m/>
    <s v=""/>
    <s v=""/>
    <s v=""/>
    <m/>
    <s v=""/>
    <m/>
    <m/>
    <s v=""/>
    <s v=""/>
    <m/>
    <m/>
    <m/>
    <m/>
    <s v=""/>
    <m/>
    <m/>
    <s v=""/>
    <s v=""/>
    <m/>
    <s v=""/>
    <m/>
    <m/>
    <m/>
    <m/>
    <m/>
    <s v=""/>
    <s v=""/>
    <n v="0"/>
    <n v="0"/>
    <n v="116983.75"/>
  </r>
  <r>
    <n v="338"/>
    <d v="2023-07-21T19:09:00"/>
    <s v="The Big Guy"/>
    <s v="Alcoholic Beverages"/>
    <s v="North America"/>
    <n v="1"/>
    <x v="2"/>
    <s v="Tread Lightly by Walker"/>
    <x v="3"/>
    <x v="2"/>
    <s v="The Alliance"/>
    <s v="VFX"/>
    <s v="The Big Guy"/>
    <s v="TheAlliance_TheBigGuy_VFX"/>
    <s v="Original"/>
    <n v="102765"/>
    <s v="firm-bid"/>
    <n v="116983.75"/>
    <m/>
    <m/>
    <m/>
    <m/>
    <m/>
    <m/>
    <n v="64250"/>
    <m/>
    <m/>
    <m/>
    <m/>
    <m/>
    <s v=""/>
    <m/>
    <s v=""/>
    <s v=""/>
    <m/>
    <s v=""/>
    <s v=""/>
    <m/>
    <m/>
    <m/>
    <m/>
    <m/>
    <s v=""/>
    <n v="1300"/>
    <n v="0"/>
    <s v=""/>
    <s v=""/>
    <s v=""/>
    <m/>
    <s v=""/>
    <n v="6000"/>
    <m/>
    <s v=""/>
    <s v=""/>
    <m/>
    <m/>
    <m/>
    <n v="7500"/>
    <s v=""/>
    <m/>
    <m/>
    <s v=""/>
    <s v=""/>
    <m/>
    <s v=""/>
    <m/>
    <m/>
    <m/>
    <m/>
    <m/>
    <s v=""/>
    <s v=""/>
    <n v="0"/>
    <n v="0"/>
    <n v="116983.75"/>
  </r>
  <r>
    <n v="338"/>
    <d v="2023-07-21T19:09:00"/>
    <s v="The Big Guy"/>
    <s v="Alcoholic Beverages"/>
    <s v="North America"/>
    <n v="0"/>
    <x v="2"/>
    <s v="Tread Lightly by Walker"/>
    <x v="3"/>
    <x v="2"/>
    <s v=""/>
    <s v="Film &amp; Video Production"/>
    <s v="The Big Guy"/>
    <s v="TestFlight_TheBigGuy_LiveAction"/>
    <s v="Original"/>
    <n v="651508.09499999997"/>
    <s v="firm-bid"/>
    <m/>
    <m/>
    <n v="1"/>
    <m/>
    <m/>
    <m/>
    <n v="1"/>
    <m/>
    <m/>
    <m/>
    <m/>
    <m/>
    <m/>
    <s v=""/>
    <m/>
    <s v=""/>
    <s v=""/>
    <m/>
    <s v=""/>
    <s v=""/>
    <m/>
    <m/>
    <m/>
    <m/>
    <m/>
    <s v=""/>
    <m/>
    <m/>
    <s v=""/>
    <s v=""/>
    <s v=""/>
    <m/>
    <s v=""/>
    <m/>
    <m/>
    <s v=""/>
    <s v=""/>
    <m/>
    <m/>
    <m/>
    <m/>
    <s v=""/>
    <m/>
    <m/>
    <s v=""/>
    <s v=""/>
    <m/>
    <s v=""/>
    <m/>
    <m/>
    <m/>
    <m/>
    <m/>
    <s v=""/>
    <s v=""/>
    <n v="0"/>
    <n v="0"/>
    <n v="758314.41500000004"/>
  </r>
  <r>
    <n v="338"/>
    <d v="2023-07-21T19:09:00"/>
    <s v="The Big Guy"/>
    <s v="Alcoholic Beverages"/>
    <s v="North America"/>
    <n v="1"/>
    <x v="2"/>
    <s v="Tread Lightly by Walker"/>
    <x v="3"/>
    <x v="2"/>
    <s v="Open Frameworks Image Creation"/>
    <s v="Film &amp; Video Production"/>
    <s v="TBG"/>
    <s v="OpenFrameworks_TheBigGuy_LiveAction"/>
    <s v="Original"/>
    <n v="746640.52500000002"/>
    <s v="firm-bid"/>
    <n v="758314.41500000004"/>
    <m/>
    <m/>
    <m/>
    <m/>
    <m/>
    <m/>
    <m/>
    <n v="45045"/>
    <n v="53050"/>
    <m/>
    <m/>
    <m/>
    <s v=""/>
    <m/>
    <s v=""/>
    <s v=""/>
    <n v="50000"/>
    <s v=""/>
    <s v=""/>
    <n v="0"/>
    <m/>
    <n v="0"/>
    <m/>
    <n v="100200"/>
    <s v=""/>
    <n v="3600"/>
    <m/>
    <s v=""/>
    <s v=""/>
    <s v=""/>
    <n v="28164"/>
    <s v=""/>
    <n v="12000"/>
    <m/>
    <s v=""/>
    <s v=""/>
    <n v="18500"/>
    <n v="137709"/>
    <m/>
    <m/>
    <s v=""/>
    <n v="38000"/>
    <n v="81644.42"/>
    <s v=""/>
    <s v=""/>
    <m/>
    <s v=""/>
    <m/>
    <m/>
    <n v="29400"/>
    <n v="0"/>
    <n v="0"/>
    <s v=""/>
    <s v=""/>
    <n v="0"/>
    <n v="0"/>
    <n v="758314.41500000004"/>
  </r>
  <r>
    <n v="338"/>
    <d v="2023-07-21T19:09:00"/>
    <s v="The Big Guy"/>
    <s v="Alcoholic Beverages"/>
    <s v="North America"/>
    <n v="0"/>
    <x v="2"/>
    <s v="Tread Lightly by Walker"/>
    <x v="3"/>
    <x v="2"/>
    <s v=""/>
    <s v="Film &amp; Video Production"/>
    <s v="TBG"/>
    <s v="CHAW_TheBigGuy_LiveAction"/>
    <s v="Original"/>
    <n v="876794.625"/>
    <s v="firm-bid"/>
    <m/>
    <m/>
    <n v="1"/>
    <m/>
    <m/>
    <m/>
    <n v="1"/>
    <m/>
    <m/>
    <m/>
    <m/>
    <m/>
    <m/>
    <s v=""/>
    <m/>
    <s v=""/>
    <s v=""/>
    <m/>
    <s v=""/>
    <s v=""/>
    <m/>
    <m/>
    <m/>
    <m/>
    <m/>
    <s v=""/>
    <m/>
    <m/>
    <s v=""/>
    <s v=""/>
    <s v=""/>
    <m/>
    <s v=""/>
    <m/>
    <m/>
    <s v=""/>
    <s v=""/>
    <m/>
    <m/>
    <m/>
    <m/>
    <s v=""/>
    <m/>
    <m/>
    <s v=""/>
    <s v=""/>
    <m/>
    <s v=""/>
    <m/>
    <m/>
    <m/>
    <m/>
    <m/>
    <s v=""/>
    <s v=""/>
    <n v="0"/>
    <n v="0"/>
    <n v="758314.41500000004"/>
  </r>
  <r>
    <n v="338"/>
    <d v="2023-07-21T19:09:00"/>
    <s v="The Big Guy"/>
    <s v="Alcoholic Beverages"/>
    <s v="North America"/>
    <n v="0"/>
    <x v="2"/>
    <s v="Tread Lightly by Walker"/>
    <x v="3"/>
    <x v="2"/>
    <s v=""/>
    <s v="Sanitary Production Costs"/>
    <s v="The Big Guy"/>
    <s v="TestFlight_TheBigGuy_Covid"/>
    <s v="Original"/>
    <n v="6207.47"/>
    <s v="firm-bid"/>
    <m/>
    <m/>
    <n v="1"/>
    <m/>
    <m/>
    <m/>
    <n v="1"/>
    <m/>
    <m/>
    <m/>
    <m/>
    <m/>
    <m/>
    <s v=""/>
    <m/>
    <s v=""/>
    <s v=""/>
    <m/>
    <s v=""/>
    <s v=""/>
    <m/>
    <m/>
    <m/>
    <m/>
    <m/>
    <s v=""/>
    <m/>
    <m/>
    <s v=""/>
    <s v=""/>
    <s v=""/>
    <m/>
    <s v=""/>
    <m/>
    <m/>
    <s v=""/>
    <s v=""/>
    <m/>
    <m/>
    <m/>
    <m/>
    <s v=""/>
    <m/>
    <m/>
    <s v=""/>
    <s v=""/>
    <m/>
    <s v=""/>
    <m/>
    <m/>
    <m/>
    <m/>
    <m/>
    <s v=""/>
    <s v=""/>
    <n v="0"/>
    <n v="0"/>
    <n v="4912.9341666666669"/>
  </r>
  <r>
    <n v="338"/>
    <d v="2023-07-21T19:09:00"/>
    <s v="The Big Guy"/>
    <s v="Alcoholic Beverages"/>
    <s v="North America"/>
    <n v="1"/>
    <x v="2"/>
    <s v="Tread Lightly by Walker"/>
    <x v="3"/>
    <x v="2"/>
    <s v="Open Frameworks Image Creation"/>
    <s v="Sanitary Production Costs"/>
    <s v="TBG"/>
    <s v="OpenFrameworks_TheBigGuy_Covid"/>
    <s v="Original"/>
    <n v="5356.7"/>
    <s v="firm-bid"/>
    <n v="4912.9341670000003"/>
    <m/>
    <m/>
    <m/>
    <m/>
    <m/>
    <m/>
    <m/>
    <m/>
    <m/>
    <m/>
    <m/>
    <m/>
    <s v=""/>
    <n v="2350"/>
    <s v=""/>
    <s v=""/>
    <m/>
    <s v=""/>
    <s v=""/>
    <m/>
    <m/>
    <m/>
    <m/>
    <m/>
    <s v=""/>
    <m/>
    <m/>
    <s v=""/>
    <s v=""/>
    <s v=""/>
    <m/>
    <s v=""/>
    <m/>
    <m/>
    <s v=""/>
    <s v=""/>
    <m/>
    <m/>
    <n v="1050"/>
    <m/>
    <s v=""/>
    <m/>
    <m/>
    <s v=""/>
    <s v=""/>
    <m/>
    <s v=""/>
    <m/>
    <m/>
    <m/>
    <m/>
    <m/>
    <s v=""/>
    <s v=""/>
    <n v="0"/>
    <n v="0"/>
    <n v="4912.9341666666669"/>
  </r>
  <r>
    <n v="338"/>
    <d v="2023-07-21T19:09:00"/>
    <s v="The Big Guy"/>
    <s v="Alcoholic Beverages"/>
    <s v="North America"/>
    <n v="0"/>
    <x v="2"/>
    <s v="Tread Lightly by Walker"/>
    <x v="3"/>
    <x v="2"/>
    <s v=""/>
    <s v="Sanitary Production Costs"/>
    <s v="TBG"/>
    <s v="CHAW_TheBigGuy_Covid"/>
    <s v="Original"/>
    <n v="3174.6325000000002"/>
    <s v="firm-bid"/>
    <m/>
    <m/>
    <n v="1"/>
    <m/>
    <m/>
    <m/>
    <n v="1"/>
    <m/>
    <m/>
    <m/>
    <m/>
    <m/>
    <m/>
    <s v=""/>
    <m/>
    <s v=""/>
    <s v=""/>
    <m/>
    <s v=""/>
    <s v=""/>
    <m/>
    <m/>
    <m/>
    <m/>
    <m/>
    <s v=""/>
    <m/>
    <m/>
    <s v=""/>
    <s v=""/>
    <s v=""/>
    <m/>
    <s v=""/>
    <m/>
    <m/>
    <s v=""/>
    <s v=""/>
    <m/>
    <m/>
    <m/>
    <m/>
    <s v=""/>
    <m/>
    <m/>
    <s v=""/>
    <s v=""/>
    <m/>
    <s v=""/>
    <m/>
    <m/>
    <m/>
    <m/>
    <m/>
    <s v=""/>
    <s v=""/>
    <n v="0"/>
    <n v="0"/>
    <n v="4912.9341666666669"/>
  </r>
  <r>
    <n v="338"/>
    <d v="2023-07-21T19:09:00"/>
    <s v="The Big Guy"/>
    <s v="Alcoholic Beverages"/>
    <s v="North America"/>
    <n v="0"/>
    <x v="2"/>
    <s v="Tread Lightly by Walker"/>
    <x v="3"/>
    <x v="2"/>
    <s v=""/>
    <s v="Green Production Costs"/>
    <s v="The Big Guy"/>
    <s v="TestFlight_TheBigGuy_Green"/>
    <s v="Original"/>
    <n v="19592"/>
    <s v="firm-bid"/>
    <m/>
    <m/>
    <n v="1"/>
    <m/>
    <m/>
    <m/>
    <n v="1"/>
    <m/>
    <m/>
    <m/>
    <m/>
    <m/>
    <m/>
    <s v=""/>
    <m/>
    <s v=""/>
    <s v=""/>
    <m/>
    <s v=""/>
    <s v=""/>
    <m/>
    <m/>
    <m/>
    <m/>
    <m/>
    <s v=""/>
    <m/>
    <m/>
    <s v=""/>
    <s v=""/>
    <s v=""/>
    <m/>
    <s v=""/>
    <m/>
    <m/>
    <s v=""/>
    <s v=""/>
    <m/>
    <m/>
    <m/>
    <m/>
    <s v=""/>
    <m/>
    <m/>
    <s v=""/>
    <s v=""/>
    <m/>
    <s v=""/>
    <m/>
    <m/>
    <m/>
    <m/>
    <m/>
    <s v=""/>
    <s v=""/>
    <n v="0"/>
    <n v="0"/>
    <n v="14893"/>
  </r>
  <r>
    <n v="338"/>
    <d v="2023-07-21T19:09:00"/>
    <s v="The Big Guy"/>
    <s v="Alcoholic Beverages"/>
    <s v="North America"/>
    <n v="1"/>
    <x v="2"/>
    <s v="Tread Lightly by Walker"/>
    <x v="3"/>
    <x v="2"/>
    <s v="Open Frameworks Image Creation"/>
    <s v="Green Production Costs"/>
    <s v="TBG"/>
    <s v="OpenFrameworks_TheBigGuy_Green"/>
    <s v="Original"/>
    <n v="8704"/>
    <s v="firm-bid"/>
    <n v="14893"/>
    <m/>
    <m/>
    <m/>
    <m/>
    <m/>
    <m/>
    <m/>
    <n v="0"/>
    <n v="0"/>
    <m/>
    <m/>
    <m/>
    <s v=""/>
    <m/>
    <s v=""/>
    <s v=""/>
    <n v="0"/>
    <s v=""/>
    <s v=""/>
    <n v="0"/>
    <m/>
    <n v="0"/>
    <m/>
    <n v="0"/>
    <s v=""/>
    <n v="0"/>
    <m/>
    <s v=""/>
    <s v=""/>
    <s v=""/>
    <n v="0"/>
    <s v=""/>
    <n v="6800"/>
    <m/>
    <s v=""/>
    <s v=""/>
    <n v="0"/>
    <n v="0"/>
    <m/>
    <m/>
    <s v=""/>
    <n v="0"/>
    <n v="0"/>
    <s v=""/>
    <s v=""/>
    <m/>
    <s v=""/>
    <m/>
    <m/>
    <n v="0"/>
    <n v="0"/>
    <n v="0"/>
    <s v=""/>
    <s v=""/>
    <n v="0"/>
    <n v="0"/>
    <n v="14893"/>
  </r>
  <r>
    <n v="338"/>
    <d v="2023-07-21T19:09:00"/>
    <s v="The Big Guy"/>
    <s v="Alcoholic Beverages"/>
    <s v="North America"/>
    <n v="0"/>
    <x v="2"/>
    <s v="Tread Lightly by Walker"/>
    <x v="3"/>
    <x v="2"/>
    <s v=""/>
    <s v="Green Production Costs"/>
    <s v="TBG"/>
    <s v="CHAW_TheBigGuy_Green"/>
    <s v="Original"/>
    <n v="16383"/>
    <s v="firm-bid"/>
    <m/>
    <m/>
    <n v="1"/>
    <m/>
    <m/>
    <m/>
    <n v="1"/>
    <m/>
    <m/>
    <m/>
    <m/>
    <m/>
    <m/>
    <s v=""/>
    <m/>
    <s v=""/>
    <s v=""/>
    <m/>
    <s v=""/>
    <s v=""/>
    <m/>
    <m/>
    <m/>
    <m/>
    <m/>
    <s v=""/>
    <m/>
    <m/>
    <s v=""/>
    <s v=""/>
    <s v=""/>
    <m/>
    <s v=""/>
    <m/>
    <m/>
    <s v=""/>
    <s v=""/>
    <m/>
    <m/>
    <m/>
    <m/>
    <s v=""/>
    <m/>
    <m/>
    <s v=""/>
    <s v=""/>
    <m/>
    <s v=""/>
    <m/>
    <m/>
    <m/>
    <m/>
    <m/>
    <s v=""/>
    <s v=""/>
    <n v="0"/>
    <n v="0"/>
    <n v="14893"/>
  </r>
  <r>
    <n v="338"/>
    <d v="2023-07-21T19:09:00"/>
    <s v="The Big Guy"/>
    <s v="Alcoholic Beverages"/>
    <s v="North America"/>
    <n v="0"/>
    <x v="2"/>
    <s v="Tread Lightly by Walker"/>
    <x v="3"/>
    <x v="2"/>
    <s v=""/>
    <s v="Photo Retouching &amp; Post"/>
    <s v="&quot;The Big Guy&quot; Stills - Furrier"/>
    <s v="Furrier_TheBigGuy_Retouching"/>
    <s v="Original"/>
    <n v="38700"/>
    <s v="firm-bid"/>
    <m/>
    <m/>
    <m/>
    <m/>
    <m/>
    <m/>
    <m/>
    <m/>
    <m/>
    <m/>
    <m/>
    <m/>
    <m/>
    <s v=""/>
    <m/>
    <s v=""/>
    <s v=""/>
    <m/>
    <s v=""/>
    <s v=""/>
    <m/>
    <m/>
    <m/>
    <m/>
    <m/>
    <s v=""/>
    <m/>
    <m/>
    <s v=""/>
    <s v=""/>
    <s v=""/>
    <m/>
    <s v=""/>
    <m/>
    <m/>
    <s v=""/>
    <s v=""/>
    <m/>
    <m/>
    <m/>
    <m/>
    <s v=""/>
    <m/>
    <m/>
    <s v=""/>
    <s v=""/>
    <m/>
    <s v=""/>
    <m/>
    <m/>
    <m/>
    <m/>
    <m/>
    <s v=""/>
    <s v=""/>
    <n v="0"/>
    <n v="0"/>
    <n v="47966.666666666664"/>
  </r>
  <r>
    <n v="338"/>
    <d v="2023-07-21T19:09:00"/>
    <s v="The Big Guy"/>
    <s v="Alcoholic Beverages"/>
    <s v="North America"/>
    <n v="0"/>
    <x v="2"/>
    <s v="Tread Lightly by Walker"/>
    <x v="3"/>
    <x v="2"/>
    <s v=""/>
    <s v="Photo Retouching &amp; Post"/>
    <s v="Buck &amp; Archie &quot;Walker's:The Big Guy&quot; v3"/>
    <s v="BuckandArchie_TheBigGuy_Retouching"/>
    <s v="Original"/>
    <n v="50000"/>
    <s v="firm-bid"/>
    <m/>
    <m/>
    <m/>
    <m/>
    <m/>
    <m/>
    <m/>
    <m/>
    <m/>
    <m/>
    <m/>
    <m/>
    <m/>
    <s v=""/>
    <m/>
    <s v=""/>
    <s v=""/>
    <m/>
    <s v=""/>
    <s v=""/>
    <m/>
    <m/>
    <m/>
    <m/>
    <m/>
    <s v=""/>
    <m/>
    <m/>
    <s v=""/>
    <s v=""/>
    <s v=""/>
    <m/>
    <s v=""/>
    <m/>
    <m/>
    <s v=""/>
    <s v=""/>
    <m/>
    <m/>
    <m/>
    <m/>
    <s v=""/>
    <m/>
    <m/>
    <s v=""/>
    <s v=""/>
    <m/>
    <s v=""/>
    <m/>
    <m/>
    <m/>
    <m/>
    <m/>
    <s v=""/>
    <s v=""/>
    <n v="0"/>
    <n v="0"/>
    <n v="47966.666666666664"/>
  </r>
  <r>
    <n v="338"/>
    <d v="2023-07-21T19:09:00"/>
    <s v="The Big Guy"/>
    <s v="Alcoholic Beverages"/>
    <s v="North America"/>
    <n v="1"/>
    <x v="2"/>
    <s v="Tread Lightly by Walker"/>
    <x v="3"/>
    <x v="2"/>
    <s v="Kent Wilson Studio"/>
    <s v="Photo Retouching &amp; Post"/>
    <s v="Kent Wilson Studio Estimate for &quot;The Big Guy&quot; #1 v2 (2 days)"/>
    <s v="KentWilsonStudio_TheBigGuy_Retouching"/>
    <s v="Original"/>
    <n v="55200"/>
    <s v="firm-bid"/>
    <n v="47966.666669999999"/>
    <m/>
    <n v="1"/>
    <m/>
    <m/>
    <m/>
    <m/>
    <m/>
    <m/>
    <m/>
    <m/>
    <m/>
    <m/>
    <s v=""/>
    <m/>
    <s v=""/>
    <s v=""/>
    <m/>
    <s v=""/>
    <s v=""/>
    <m/>
    <m/>
    <m/>
    <m/>
    <m/>
    <s v=""/>
    <m/>
    <m/>
    <s v=""/>
    <s v=""/>
    <s v=""/>
    <m/>
    <s v=""/>
    <m/>
    <m/>
    <s v=""/>
    <s v=""/>
    <m/>
    <m/>
    <m/>
    <m/>
    <s v=""/>
    <m/>
    <m/>
    <s v=""/>
    <s v=""/>
    <m/>
    <s v=""/>
    <n v="55200"/>
    <m/>
    <m/>
    <m/>
    <m/>
    <s v=""/>
    <s v=""/>
    <n v="0"/>
    <n v="0"/>
    <n v="47966.666666666664"/>
  </r>
  <r>
    <n v="340"/>
    <d v="2023-07-21T19:10:00"/>
    <s v="A Better Birthday"/>
    <s v="Alcoholic Beverages"/>
    <s v="North America"/>
    <n v="0"/>
    <x v="2"/>
    <s v="Tread Lightly by Walker"/>
    <x v="3"/>
    <x v="2"/>
    <s v=""/>
    <s v="Audio Post"/>
    <s v="Sound Monster"/>
    <s v="Audio_70"/>
    <s v="Original"/>
    <n v="24500"/>
    <s v="firm-bid"/>
    <m/>
    <n v="1"/>
    <n v="1"/>
    <n v="1"/>
    <m/>
    <m/>
    <n v="1"/>
    <m/>
    <m/>
    <m/>
    <m/>
    <m/>
    <m/>
    <s v=""/>
    <m/>
    <s v=""/>
    <s v=""/>
    <m/>
    <s v=""/>
    <s v=""/>
    <m/>
    <m/>
    <m/>
    <m/>
    <m/>
    <s v=""/>
    <m/>
    <m/>
    <s v=""/>
    <s v=""/>
    <s v=""/>
    <m/>
    <s v=""/>
    <m/>
    <m/>
    <s v=""/>
    <s v=""/>
    <m/>
    <m/>
    <m/>
    <m/>
    <s v=""/>
    <m/>
    <m/>
    <s v=""/>
    <s v=""/>
    <m/>
    <s v=""/>
    <m/>
    <m/>
    <m/>
    <m/>
    <m/>
    <s v=""/>
    <s v=""/>
    <n v="24500"/>
    <n v="0"/>
    <n v="25766.666666666668"/>
  </r>
  <r>
    <n v="340"/>
    <d v="2023-07-21T19:10:00"/>
    <s v="A Better Birthday"/>
    <s v="Alcoholic Beverages"/>
    <s v="North America"/>
    <n v="1"/>
    <x v="2"/>
    <s v="Tread Lightly by Walker"/>
    <x v="3"/>
    <x v="2"/>
    <s v="Earwax"/>
    <s v="Audio Post"/>
    <s v="Earwax &quot;A Better Birthday&quot;"/>
    <s v="Earwax"/>
    <s v="Original"/>
    <n v="20690"/>
    <s v="firm-bid"/>
    <n v="25766.666669999999"/>
    <n v="1"/>
    <m/>
    <m/>
    <m/>
    <n v="1"/>
    <n v="1"/>
    <m/>
    <m/>
    <m/>
    <n v="20690"/>
    <m/>
    <m/>
    <s v=""/>
    <m/>
    <s v=""/>
    <s v=""/>
    <m/>
    <s v=""/>
    <s v=""/>
    <m/>
    <m/>
    <m/>
    <m/>
    <m/>
    <s v=""/>
    <m/>
    <m/>
    <s v=""/>
    <s v=""/>
    <s v=""/>
    <m/>
    <s v=""/>
    <m/>
    <m/>
    <s v=""/>
    <s v=""/>
    <m/>
    <m/>
    <m/>
    <m/>
    <s v=""/>
    <m/>
    <m/>
    <s v=""/>
    <s v=""/>
    <m/>
    <s v=""/>
    <m/>
    <m/>
    <m/>
    <m/>
    <m/>
    <s v=""/>
    <s v=""/>
    <n v="20690"/>
    <n v="20690"/>
    <n v="25766.666666666668"/>
  </r>
  <r>
    <n v="340"/>
    <d v="2023-07-21T19:10:00"/>
    <s v="A Better Birthday"/>
    <s v="Alcoholic Beverages"/>
    <s v="North America"/>
    <n v="0"/>
    <x v="2"/>
    <s v="Tread Lightly by Walker"/>
    <x v="3"/>
    <x v="2"/>
    <s v=""/>
    <s v="Audio Post"/>
    <s v="audio Labs &quot;A Better Birthday&quot;"/>
    <s v="Audio_92"/>
    <s v="Original"/>
    <n v="32110"/>
    <s v="firm-bid"/>
    <m/>
    <m/>
    <m/>
    <m/>
    <m/>
    <m/>
    <m/>
    <m/>
    <m/>
    <m/>
    <m/>
    <m/>
    <m/>
    <s v=""/>
    <m/>
    <s v=""/>
    <s v=""/>
    <m/>
    <s v=""/>
    <s v=""/>
    <m/>
    <m/>
    <m/>
    <m/>
    <m/>
    <s v=""/>
    <m/>
    <m/>
    <s v=""/>
    <s v=""/>
    <s v=""/>
    <m/>
    <s v=""/>
    <m/>
    <m/>
    <s v=""/>
    <s v=""/>
    <m/>
    <m/>
    <m/>
    <m/>
    <s v=""/>
    <m/>
    <m/>
    <s v=""/>
    <s v=""/>
    <m/>
    <s v=""/>
    <m/>
    <m/>
    <m/>
    <m/>
    <m/>
    <s v=""/>
    <s v=""/>
    <n v="0"/>
    <n v="0"/>
    <n v="25766.666666666668"/>
  </r>
  <r>
    <n v="340"/>
    <d v="2023-07-21T19:10:00"/>
    <s v="A Better Birthday"/>
    <s v="Alcoholic Beverages"/>
    <s v="North America"/>
    <n v="0"/>
    <x v="2"/>
    <s v="Tread Lightly by Walker"/>
    <x v="3"/>
    <x v="2"/>
    <s v=""/>
    <s v="Film &amp; Video Production"/>
    <s v="A Better Birthday"/>
    <s v="TestFlight_ABetterBirthday_LiveAction"/>
    <s v="Original"/>
    <n v="783241.875"/>
    <s v="firm-bid"/>
    <m/>
    <m/>
    <n v="1"/>
    <m/>
    <m/>
    <m/>
    <n v="1"/>
    <m/>
    <m/>
    <m/>
    <m/>
    <m/>
    <m/>
    <s v=""/>
    <m/>
    <s v=""/>
    <s v=""/>
    <m/>
    <s v=""/>
    <s v=""/>
    <m/>
    <m/>
    <m/>
    <m/>
    <m/>
    <s v=""/>
    <m/>
    <m/>
    <s v=""/>
    <s v=""/>
    <s v=""/>
    <m/>
    <s v=""/>
    <m/>
    <m/>
    <s v=""/>
    <s v=""/>
    <m/>
    <m/>
    <m/>
    <m/>
    <s v=""/>
    <m/>
    <m/>
    <s v=""/>
    <s v=""/>
    <m/>
    <s v=""/>
    <m/>
    <m/>
    <m/>
    <m/>
    <m/>
    <s v=""/>
    <s v=""/>
    <n v="0"/>
    <n v="0"/>
    <n v="711043.51246666664"/>
  </r>
  <r>
    <n v="340"/>
    <d v="2023-07-21T19:10:00"/>
    <s v="A Better Birthday"/>
    <s v="Alcoholic Beverages"/>
    <s v="North America"/>
    <n v="1"/>
    <x v="2"/>
    <s v="Tread Lightly by Walker"/>
    <x v="3"/>
    <x v="2"/>
    <s v="Harmony &amp; Light"/>
    <s v="Film &amp; Video Production"/>
    <s v="A Better Birthday"/>
    <s v="harmony_and_Light_ABetterBirthday_LiveAction"/>
    <s v="Original"/>
    <n v="613851.47239999997"/>
    <s v="firm-bid"/>
    <n v="711043.51249999995"/>
    <m/>
    <m/>
    <m/>
    <m/>
    <m/>
    <m/>
    <m/>
    <n v="20377.5"/>
    <n v="5300"/>
    <m/>
    <m/>
    <m/>
    <s v=""/>
    <m/>
    <s v=""/>
    <s v=""/>
    <n v="55000"/>
    <s v=""/>
    <s v=""/>
    <n v="0"/>
    <m/>
    <n v="0"/>
    <m/>
    <n v="85100"/>
    <s v=""/>
    <n v="2400"/>
    <m/>
    <s v=""/>
    <s v=""/>
    <s v=""/>
    <n v="20825"/>
    <s v=""/>
    <n v="7000"/>
    <m/>
    <s v=""/>
    <s v=""/>
    <n v="10600"/>
    <n v="165451"/>
    <m/>
    <m/>
    <s v=""/>
    <n v="2900"/>
    <n v="96678.01"/>
    <s v=""/>
    <s v=""/>
    <m/>
    <s v=""/>
    <m/>
    <m/>
    <n v="23410"/>
    <n v="0"/>
    <n v="0"/>
    <s v=""/>
    <s v=""/>
    <n v="0"/>
    <n v="0"/>
    <n v="711043.51246666664"/>
  </r>
  <r>
    <n v="340"/>
    <d v="2023-07-21T19:10:00"/>
    <s v="A Better Birthday"/>
    <s v="Alcoholic Beverages"/>
    <s v="North America"/>
    <n v="0"/>
    <x v="2"/>
    <s v="Tread Lightly by Walker"/>
    <x v="3"/>
    <x v="2"/>
    <s v=""/>
    <s v="Film &amp; Video Production"/>
    <s v="A Better Birthday"/>
    <s v="Interstate_ABetterBirthday_LiveAction"/>
    <s v="Original"/>
    <n v="736037.19"/>
    <s v="firm-bid"/>
    <m/>
    <m/>
    <m/>
    <m/>
    <m/>
    <n v="1"/>
    <m/>
    <m/>
    <m/>
    <m/>
    <m/>
    <m/>
    <m/>
    <s v=""/>
    <m/>
    <s v=""/>
    <s v=""/>
    <m/>
    <s v=""/>
    <s v=""/>
    <m/>
    <m/>
    <m/>
    <m/>
    <m/>
    <s v=""/>
    <m/>
    <m/>
    <s v=""/>
    <s v=""/>
    <s v=""/>
    <m/>
    <s v=""/>
    <m/>
    <m/>
    <s v=""/>
    <s v=""/>
    <m/>
    <m/>
    <m/>
    <m/>
    <s v=""/>
    <m/>
    <m/>
    <s v=""/>
    <s v=""/>
    <m/>
    <s v=""/>
    <m/>
    <m/>
    <m/>
    <m/>
    <m/>
    <s v=""/>
    <s v=""/>
    <n v="0"/>
    <n v="0"/>
    <n v="711043.51246666664"/>
  </r>
  <r>
    <n v="340"/>
    <d v="2023-07-21T19:10:00"/>
    <s v="A Better Birthday"/>
    <s v="Alcoholic Beverages"/>
    <s v="North America"/>
    <n v="0"/>
    <x v="2"/>
    <s v="Tread Lightly by Walker"/>
    <x v="3"/>
    <x v="2"/>
    <s v=""/>
    <s v="Sanitary Production Costs"/>
    <s v="A Better Birthday"/>
    <s v="TestFlight_ABetterBirthday_Covid"/>
    <s v="Original"/>
    <n v="3883.6075000000001"/>
    <s v="firm-bid"/>
    <m/>
    <m/>
    <n v="1"/>
    <m/>
    <m/>
    <m/>
    <n v="1"/>
    <m/>
    <m/>
    <m/>
    <m/>
    <m/>
    <m/>
    <s v=""/>
    <m/>
    <s v=""/>
    <s v=""/>
    <m/>
    <s v=""/>
    <s v=""/>
    <m/>
    <m/>
    <m/>
    <m/>
    <m/>
    <s v=""/>
    <m/>
    <m/>
    <s v=""/>
    <s v=""/>
    <s v=""/>
    <m/>
    <s v=""/>
    <m/>
    <m/>
    <s v=""/>
    <s v=""/>
    <m/>
    <m/>
    <m/>
    <m/>
    <s v=""/>
    <m/>
    <m/>
    <s v=""/>
    <s v=""/>
    <m/>
    <s v=""/>
    <m/>
    <m/>
    <m/>
    <m/>
    <m/>
    <s v=""/>
    <s v=""/>
    <n v="0"/>
    <n v="0"/>
    <n v="5621.9091666666673"/>
  </r>
  <r>
    <n v="340"/>
    <d v="2023-07-21T19:10:00"/>
    <s v="A Better Birthday"/>
    <s v="Alcoholic Beverages"/>
    <s v="North America"/>
    <n v="1"/>
    <x v="2"/>
    <s v="Tread Lightly by Walker"/>
    <x v="3"/>
    <x v="2"/>
    <s v="Harmony &amp; Light"/>
    <s v="Sanitary Production Costs"/>
    <s v="A Better Birthday"/>
    <s v="harmony_and_Light_ABetterBirthday_Covid"/>
    <s v="Original"/>
    <n v="7207.9125000000004"/>
    <s v="firm-bid"/>
    <n v="5621.9091669999998"/>
    <m/>
    <m/>
    <m/>
    <m/>
    <m/>
    <m/>
    <m/>
    <m/>
    <m/>
    <m/>
    <m/>
    <m/>
    <s v=""/>
    <n v="2500"/>
    <s v=""/>
    <s v=""/>
    <m/>
    <s v=""/>
    <s v=""/>
    <m/>
    <m/>
    <m/>
    <m/>
    <m/>
    <s v=""/>
    <m/>
    <m/>
    <s v=""/>
    <s v=""/>
    <s v=""/>
    <m/>
    <s v=""/>
    <m/>
    <m/>
    <s v=""/>
    <s v=""/>
    <m/>
    <m/>
    <n v="2075"/>
    <m/>
    <s v=""/>
    <m/>
    <m/>
    <s v=""/>
    <s v=""/>
    <m/>
    <s v=""/>
    <m/>
    <m/>
    <m/>
    <m/>
    <m/>
    <s v=""/>
    <s v=""/>
    <n v="0"/>
    <n v="0"/>
    <n v="5621.9091666666673"/>
  </r>
  <r>
    <n v="340"/>
    <d v="2023-07-21T19:10:00"/>
    <s v="A Better Birthday"/>
    <s v="Alcoholic Beverages"/>
    <s v="North America"/>
    <n v="0"/>
    <x v="2"/>
    <s v="Tread Lightly by Walker"/>
    <x v="3"/>
    <x v="2"/>
    <s v=""/>
    <s v="Sanitary Production Costs"/>
    <s v="A Better Birthday"/>
    <s v="Interstate_ABetterBirthday_Covid"/>
    <s v="Original"/>
    <n v="5774.2075000000004"/>
    <s v="firm-bid"/>
    <m/>
    <m/>
    <m/>
    <m/>
    <m/>
    <n v="1"/>
    <m/>
    <m/>
    <m/>
    <m/>
    <m/>
    <m/>
    <m/>
    <s v=""/>
    <m/>
    <s v=""/>
    <s v=""/>
    <m/>
    <s v=""/>
    <s v=""/>
    <m/>
    <m/>
    <m/>
    <m/>
    <m/>
    <s v=""/>
    <m/>
    <m/>
    <s v=""/>
    <s v=""/>
    <s v=""/>
    <m/>
    <s v=""/>
    <m/>
    <m/>
    <s v=""/>
    <s v=""/>
    <m/>
    <m/>
    <m/>
    <m/>
    <s v=""/>
    <m/>
    <m/>
    <s v=""/>
    <s v=""/>
    <m/>
    <s v=""/>
    <m/>
    <m/>
    <m/>
    <m/>
    <m/>
    <s v=""/>
    <s v=""/>
    <n v="0"/>
    <n v="0"/>
    <n v="5621.9091666666673"/>
  </r>
  <r>
    <n v="340"/>
    <d v="2023-07-21T19:10:00"/>
    <s v="A Better Birthday"/>
    <s v="Alcoholic Beverages"/>
    <s v="North America"/>
    <n v="0"/>
    <x v="2"/>
    <s v="Tread Lightly by Walker"/>
    <x v="3"/>
    <x v="2"/>
    <s v=""/>
    <s v="Green Production Costs"/>
    <s v="A Better Birthday"/>
    <s v="TestFlight_ABetterBirthday_Green"/>
    <s v="Original"/>
    <n v="9271"/>
    <s v="firm-bid"/>
    <m/>
    <m/>
    <n v="1"/>
    <m/>
    <m/>
    <m/>
    <n v="1"/>
    <m/>
    <m/>
    <m/>
    <m/>
    <m/>
    <m/>
    <s v=""/>
    <m/>
    <s v=""/>
    <s v=""/>
    <m/>
    <s v=""/>
    <s v=""/>
    <m/>
    <m/>
    <m/>
    <m/>
    <m/>
    <s v=""/>
    <m/>
    <m/>
    <s v=""/>
    <s v=""/>
    <s v=""/>
    <m/>
    <s v=""/>
    <m/>
    <m/>
    <s v=""/>
    <s v=""/>
    <m/>
    <m/>
    <m/>
    <m/>
    <s v=""/>
    <m/>
    <m/>
    <s v=""/>
    <s v=""/>
    <m/>
    <s v=""/>
    <m/>
    <m/>
    <m/>
    <m/>
    <m/>
    <s v=""/>
    <s v=""/>
    <n v="0"/>
    <n v="0"/>
    <n v="16903.666666666668"/>
  </r>
  <r>
    <n v="340"/>
    <d v="2023-07-21T19:10:00"/>
    <s v="A Better Birthday"/>
    <s v="Alcoholic Beverages"/>
    <s v="North America"/>
    <n v="1"/>
    <x v="2"/>
    <s v="Tread Lightly by Walker"/>
    <x v="3"/>
    <x v="2"/>
    <s v="Harmony &amp; Light"/>
    <s v="Green Production Costs"/>
    <s v="A Better Birthday"/>
    <s v="harmony_and_Light_ABetterBirthday_Green"/>
    <s v="Original"/>
    <n v="20320"/>
    <s v="firm-bid"/>
    <n v="16903.666669999999"/>
    <m/>
    <m/>
    <m/>
    <m/>
    <m/>
    <m/>
    <m/>
    <n v="0"/>
    <n v="0"/>
    <m/>
    <m/>
    <m/>
    <s v=""/>
    <m/>
    <s v=""/>
    <s v=""/>
    <n v="0"/>
    <s v=""/>
    <s v=""/>
    <n v="0"/>
    <m/>
    <n v="0"/>
    <m/>
    <n v="0"/>
    <s v=""/>
    <n v="0"/>
    <m/>
    <s v=""/>
    <s v=""/>
    <s v=""/>
    <n v="0"/>
    <s v=""/>
    <n v="16000"/>
    <m/>
    <s v=""/>
    <s v=""/>
    <n v="0"/>
    <n v="0"/>
    <m/>
    <m/>
    <s v=""/>
    <n v="0"/>
    <n v="0"/>
    <s v=""/>
    <s v=""/>
    <m/>
    <s v=""/>
    <m/>
    <m/>
    <n v="0"/>
    <n v="0"/>
    <n v="0"/>
    <s v=""/>
    <s v=""/>
    <n v="0"/>
    <n v="0"/>
    <n v="16903.666666666668"/>
  </r>
  <r>
    <n v="340"/>
    <d v="2023-07-21T19:10:00"/>
    <s v="A Better Birthday"/>
    <s v="Alcoholic Beverages"/>
    <s v="North America"/>
    <n v="0"/>
    <x v="2"/>
    <s v="Tread Lightly by Walker"/>
    <x v="3"/>
    <x v="2"/>
    <s v=""/>
    <s v="Green Production Costs"/>
    <s v="A Better Birthday"/>
    <s v="Interstate_ABetterBirthday_Green"/>
    <s v="Original"/>
    <n v="21120"/>
    <s v="firm-bid"/>
    <m/>
    <m/>
    <m/>
    <m/>
    <m/>
    <n v="1"/>
    <m/>
    <m/>
    <m/>
    <m/>
    <m/>
    <m/>
    <m/>
    <s v=""/>
    <m/>
    <s v=""/>
    <s v=""/>
    <m/>
    <s v=""/>
    <s v=""/>
    <m/>
    <m/>
    <m/>
    <m/>
    <m/>
    <s v=""/>
    <m/>
    <m/>
    <s v=""/>
    <s v=""/>
    <s v=""/>
    <m/>
    <s v=""/>
    <m/>
    <m/>
    <s v=""/>
    <s v=""/>
    <m/>
    <m/>
    <m/>
    <m/>
    <s v=""/>
    <m/>
    <m/>
    <s v=""/>
    <s v=""/>
    <m/>
    <s v=""/>
    <m/>
    <m/>
    <m/>
    <m/>
    <m/>
    <s v=""/>
    <s v=""/>
    <n v="0"/>
    <n v="0"/>
    <n v="16903.666666666668"/>
  </r>
  <r>
    <n v="340"/>
    <d v="2023-07-21T19:10:00"/>
    <s v="A Better Birthday"/>
    <s v="Alcoholic Beverages"/>
    <s v="North America"/>
    <n v="0"/>
    <x v="2"/>
    <s v="Tread Lightly by Walker"/>
    <x v="3"/>
    <x v="2"/>
    <s v=""/>
    <s v="Editorial"/>
    <s v="A Better Birthday"/>
    <s v="MyrtleRow_ABetterBirthday_Edit"/>
    <s v="Original"/>
    <n v="115561.25"/>
    <s v="firm-bid"/>
    <m/>
    <m/>
    <m/>
    <m/>
    <m/>
    <m/>
    <n v="1"/>
    <m/>
    <m/>
    <m/>
    <m/>
    <m/>
    <m/>
    <s v=""/>
    <m/>
    <s v=""/>
    <s v=""/>
    <m/>
    <s v=""/>
    <s v=""/>
    <m/>
    <m/>
    <m/>
    <m/>
    <m/>
    <s v=""/>
    <m/>
    <m/>
    <s v=""/>
    <s v=""/>
    <s v=""/>
    <m/>
    <s v=""/>
    <m/>
    <m/>
    <s v=""/>
    <s v=""/>
    <m/>
    <m/>
    <m/>
    <m/>
    <s v=""/>
    <m/>
    <m/>
    <s v=""/>
    <s v=""/>
    <m/>
    <s v=""/>
    <m/>
    <m/>
    <m/>
    <m/>
    <m/>
    <s v=""/>
    <s v=""/>
    <n v="0"/>
    <n v="0"/>
    <n v="147026.44443333332"/>
  </r>
  <r>
    <n v="340"/>
    <d v="2023-07-21T19:10:00"/>
    <s v="A Better Birthday"/>
    <s v="Alcoholic Beverages"/>
    <s v="North America"/>
    <n v="1"/>
    <x v="2"/>
    <s v="Tread Lightly by Walker"/>
    <x v="3"/>
    <x v="2"/>
    <s v="Toto"/>
    <s v="Editorial"/>
    <s v="A Better Birthday"/>
    <s v="ToTo_ABetterBirthday_Edit"/>
    <s v="Original"/>
    <n v="173646.2"/>
    <s v="firm-bid"/>
    <n v="147026.44440000001"/>
    <m/>
    <m/>
    <n v="1"/>
    <m/>
    <m/>
    <m/>
    <m/>
    <m/>
    <m/>
    <m/>
    <m/>
    <m/>
    <s v=""/>
    <m/>
    <s v=""/>
    <s v=""/>
    <m/>
    <s v=""/>
    <s v=""/>
    <n v="34000"/>
    <n v="56000"/>
    <n v="29500"/>
    <n v="7172"/>
    <m/>
    <s v=""/>
    <m/>
    <m/>
    <s v=""/>
    <s v=""/>
    <s v=""/>
    <m/>
    <s v=""/>
    <m/>
    <m/>
    <s v=""/>
    <s v=""/>
    <m/>
    <m/>
    <m/>
    <m/>
    <s v=""/>
    <m/>
    <m/>
    <s v=""/>
    <s v=""/>
    <m/>
    <s v=""/>
    <m/>
    <m/>
    <m/>
    <m/>
    <m/>
    <s v=""/>
    <s v=""/>
    <n v="0"/>
    <n v="0"/>
    <n v="147026.44443333332"/>
  </r>
  <r>
    <n v="340"/>
    <d v="2023-07-21T19:10:00"/>
    <s v="A Better Birthday"/>
    <s v="Alcoholic Beverages"/>
    <s v="North America"/>
    <n v="0"/>
    <x v="2"/>
    <s v="Tread Lightly by Walker"/>
    <x v="5"/>
    <x v="2"/>
    <s v=""/>
    <s v="Editorial"/>
    <s v="TIme Bomb - A Better Birthday"/>
    <s v="TimeBomb_ABetterBirthday_Edit"/>
    <s v="Original"/>
    <n v="151871.88329999999"/>
    <s v="firm-bid"/>
    <m/>
    <m/>
    <m/>
    <m/>
    <m/>
    <m/>
    <m/>
    <m/>
    <m/>
    <m/>
    <m/>
    <m/>
    <m/>
    <s v=""/>
    <m/>
    <s v=""/>
    <s v=""/>
    <m/>
    <s v=""/>
    <s v=""/>
    <m/>
    <m/>
    <m/>
    <m/>
    <m/>
    <s v=""/>
    <m/>
    <m/>
    <s v=""/>
    <s v=""/>
    <s v=""/>
    <m/>
    <s v=""/>
    <m/>
    <m/>
    <s v=""/>
    <s v=""/>
    <m/>
    <m/>
    <m/>
    <m/>
    <s v=""/>
    <m/>
    <m/>
    <s v=""/>
    <s v=""/>
    <m/>
    <s v=""/>
    <m/>
    <m/>
    <m/>
    <m/>
    <m/>
    <s v=""/>
    <s v=""/>
    <n v="0"/>
    <n v="0"/>
    <n v="147026.44443333332"/>
  </r>
  <r>
    <n v="340"/>
    <d v="2023-07-21T19:10:00"/>
    <s v="A Better Birthday"/>
    <s v="Alcoholic Beverages"/>
    <s v="North America"/>
    <n v="1"/>
    <x v="2"/>
    <s v="Tread Lightly by Walker"/>
    <x v="5"/>
    <x v="2"/>
    <s v="Here &amp; Now"/>
    <s v="Finishing"/>
    <s v="Here &amp; Now for¬†&quot;A Better Birthday&quot;"/>
    <s v="HereandNow_ABetterBirthday_Finishing"/>
    <s v="Original"/>
    <n v="56650"/>
    <s v="firm-bid"/>
    <n v="36483.333330000001"/>
    <m/>
    <m/>
    <m/>
    <m/>
    <m/>
    <m/>
    <m/>
    <m/>
    <m/>
    <m/>
    <m/>
    <m/>
    <s v=""/>
    <m/>
    <s v=""/>
    <s v=""/>
    <m/>
    <s v=""/>
    <s v=""/>
    <m/>
    <m/>
    <m/>
    <m/>
    <m/>
    <s v=""/>
    <m/>
    <n v="56650"/>
    <s v=""/>
    <s v=""/>
    <s v=""/>
    <m/>
    <s v=""/>
    <m/>
    <m/>
    <s v=""/>
    <s v=""/>
    <m/>
    <m/>
    <m/>
    <m/>
    <s v=""/>
    <m/>
    <m/>
    <s v=""/>
    <s v=""/>
    <m/>
    <s v=""/>
    <m/>
    <m/>
    <m/>
    <m/>
    <m/>
    <s v=""/>
    <s v=""/>
    <n v="0"/>
    <n v="0"/>
    <n v="36483.333333333328"/>
  </r>
  <r>
    <n v="340"/>
    <d v="2023-07-21T19:10:00"/>
    <s v="A Better Birthday"/>
    <s v="Alcoholic Beverages"/>
    <s v="North America"/>
    <n v="0"/>
    <x v="2"/>
    <s v="Tread Lightly by Walker"/>
    <x v="5"/>
    <x v="2"/>
    <s v=""/>
    <s v="Finishing"/>
    <s v="WITNESS:: A Better Birthday"/>
    <s v="Witness_ABetterBirthday_Finishing"/>
    <s v="Original"/>
    <n v="21950"/>
    <s v="firm-bid"/>
    <m/>
    <m/>
    <m/>
    <m/>
    <m/>
    <m/>
    <m/>
    <m/>
    <m/>
    <m/>
    <m/>
    <m/>
    <m/>
    <s v=""/>
    <m/>
    <s v=""/>
    <s v=""/>
    <m/>
    <s v=""/>
    <s v=""/>
    <m/>
    <m/>
    <m/>
    <m/>
    <m/>
    <s v=""/>
    <m/>
    <m/>
    <s v=""/>
    <s v=""/>
    <s v=""/>
    <m/>
    <s v=""/>
    <m/>
    <m/>
    <s v=""/>
    <s v=""/>
    <m/>
    <m/>
    <m/>
    <m/>
    <s v=""/>
    <m/>
    <m/>
    <s v=""/>
    <s v=""/>
    <m/>
    <s v=""/>
    <m/>
    <m/>
    <m/>
    <m/>
    <m/>
    <s v=""/>
    <s v=""/>
    <n v="0"/>
    <n v="0"/>
    <n v="36483.333333333328"/>
  </r>
  <r>
    <n v="340"/>
    <d v="2023-07-21T19:10:00"/>
    <s v="A Better Birthday"/>
    <s v="Alcoholic Beverages"/>
    <s v="North America"/>
    <n v="0"/>
    <x v="2"/>
    <s v="Tread Lightly by Walker"/>
    <x v="5"/>
    <x v="2"/>
    <s v=""/>
    <s v="Finishing"/>
    <s v="A Better Birthday - Burnish"/>
    <s v="Burnish_ABetterBirthday_Finishing"/>
    <s v="Original"/>
    <n v="30850"/>
    <s v="firm-bid"/>
    <m/>
    <m/>
    <m/>
    <m/>
    <m/>
    <n v="1"/>
    <m/>
    <m/>
    <m/>
    <m/>
    <m/>
    <m/>
    <m/>
    <s v=""/>
    <m/>
    <s v=""/>
    <s v=""/>
    <m/>
    <s v=""/>
    <s v=""/>
    <m/>
    <m/>
    <m/>
    <m/>
    <m/>
    <s v=""/>
    <m/>
    <m/>
    <s v=""/>
    <s v=""/>
    <s v=""/>
    <m/>
    <s v=""/>
    <m/>
    <m/>
    <s v=""/>
    <s v=""/>
    <m/>
    <m/>
    <m/>
    <m/>
    <s v=""/>
    <m/>
    <m/>
    <s v=""/>
    <s v=""/>
    <m/>
    <s v=""/>
    <m/>
    <m/>
    <m/>
    <m/>
    <m/>
    <s v=""/>
    <s v=""/>
    <n v="0"/>
    <n v="0"/>
    <n v="36483.333333333328"/>
  </r>
  <r>
    <n v="341"/>
    <d v="2023-07-21T19:11:00"/>
    <s v="The Reunion Gig"/>
    <s v="Alcoholic Beverages"/>
    <s v="North America"/>
    <n v="1"/>
    <x v="2"/>
    <s v="Tread Lightly by Walker"/>
    <x v="5"/>
    <x v="2"/>
    <s v="Open Frameworks Image Creation"/>
    <s v="Film &amp; Video Production"/>
    <s v="The Reunion Gig"/>
    <s v="OpenFrameworks_TheReunionGig_LiveAction"/>
    <s v="Original"/>
    <n v="1025091.738"/>
    <s v="firm-bid"/>
    <n v="791032.91899999999"/>
    <m/>
    <m/>
    <m/>
    <m/>
    <m/>
    <m/>
    <m/>
    <n v="46260.5"/>
    <n v="61000"/>
    <m/>
    <m/>
    <m/>
    <s v=""/>
    <m/>
    <s v=""/>
    <s v=""/>
    <n v="150000"/>
    <s v=""/>
    <s v=""/>
    <n v="0"/>
    <m/>
    <n v="0"/>
    <m/>
    <n v="83600"/>
    <s v=""/>
    <n v="2400"/>
    <m/>
    <s v=""/>
    <s v=""/>
    <s v=""/>
    <n v="34390"/>
    <s v=""/>
    <n v="16400"/>
    <m/>
    <s v=""/>
    <s v=""/>
    <n v="16900"/>
    <n v="186865.25"/>
    <m/>
    <m/>
    <s v=""/>
    <n v="30000"/>
    <n v="144457.17000000001"/>
    <s v=""/>
    <s v=""/>
    <m/>
    <s v=""/>
    <m/>
    <m/>
    <n v="28580"/>
    <n v="0"/>
    <n v="0"/>
    <s v=""/>
    <s v=""/>
    <n v="0"/>
    <n v="0"/>
    <n v="791032.91916666669"/>
  </r>
  <r>
    <n v="341"/>
    <d v="2023-07-21T19:11:00"/>
    <s v="The Reunion Gig"/>
    <s v="Alcoholic Beverages"/>
    <s v="North America"/>
    <n v="0"/>
    <x v="2"/>
    <s v="Tread Lightly by Walker"/>
    <x v="5"/>
    <x v="2"/>
    <s v=""/>
    <s v="Film &amp; Video Production"/>
    <s v="The Reunion Gig"/>
    <s v="harmony_and_Light_TheReunionGig_LiveAction"/>
    <s v="Original"/>
    <n v="726861.22089999996"/>
    <s v="firm-bid"/>
    <m/>
    <m/>
    <m/>
    <m/>
    <m/>
    <m/>
    <m/>
    <m/>
    <m/>
    <m/>
    <m/>
    <m/>
    <m/>
    <s v=""/>
    <m/>
    <s v=""/>
    <s v=""/>
    <m/>
    <s v=""/>
    <s v=""/>
    <m/>
    <m/>
    <m/>
    <m/>
    <m/>
    <s v=""/>
    <m/>
    <m/>
    <s v=""/>
    <s v=""/>
    <s v=""/>
    <m/>
    <s v=""/>
    <m/>
    <m/>
    <s v=""/>
    <s v=""/>
    <m/>
    <m/>
    <m/>
    <m/>
    <s v=""/>
    <m/>
    <m/>
    <s v=""/>
    <s v=""/>
    <m/>
    <s v=""/>
    <m/>
    <m/>
    <m/>
    <m/>
    <m/>
    <s v=""/>
    <s v=""/>
    <n v="0"/>
    <n v="0"/>
    <n v="791032.91916666669"/>
  </r>
  <r>
    <n v="341"/>
    <d v="2023-07-21T19:11:00"/>
    <s v="The Reunion Gig"/>
    <s v="Alcoholic Beverages"/>
    <s v="North America"/>
    <n v="0"/>
    <x v="2"/>
    <s v="Tread Lightly by Walker"/>
    <x v="5"/>
    <x v="2"/>
    <s v=""/>
    <s v="Film &amp; Video Production"/>
    <s v="TRG"/>
    <s v="Petulant_TheReunionGig_LiveAction"/>
    <s v="Original"/>
    <n v="621145.79859999998"/>
    <s v="firm-bid"/>
    <m/>
    <m/>
    <m/>
    <m/>
    <m/>
    <m/>
    <m/>
    <m/>
    <m/>
    <m/>
    <m/>
    <m/>
    <m/>
    <s v=""/>
    <m/>
    <s v=""/>
    <s v=""/>
    <m/>
    <s v=""/>
    <s v=""/>
    <m/>
    <m/>
    <m/>
    <m/>
    <m/>
    <s v=""/>
    <m/>
    <m/>
    <s v=""/>
    <s v=""/>
    <s v=""/>
    <m/>
    <s v=""/>
    <m/>
    <m/>
    <s v=""/>
    <s v=""/>
    <m/>
    <m/>
    <m/>
    <m/>
    <s v=""/>
    <m/>
    <m/>
    <s v=""/>
    <s v=""/>
    <m/>
    <s v=""/>
    <m/>
    <m/>
    <m/>
    <m/>
    <m/>
    <s v=""/>
    <s v=""/>
    <n v="0"/>
    <n v="0"/>
    <n v="791032.91916666669"/>
  </r>
  <r>
    <n v="341"/>
    <d v="2023-07-21T19:11:00"/>
    <s v="The Reunion Gig"/>
    <s v="Alcoholic Beverages"/>
    <s v="North America"/>
    <n v="1"/>
    <x v="2"/>
    <s v="Tread Lightly by Walker"/>
    <x v="5"/>
    <x v="2"/>
    <s v="Audio Lab Technologies"/>
    <s v="Audio Post"/>
    <s v="AUdio Labs  &quot;The Reunion Gig&quot;"/>
    <s v="Audio_93"/>
    <s v="Original"/>
    <n v="27850"/>
    <s v="firm-bid"/>
    <n v="38780"/>
    <m/>
    <m/>
    <m/>
    <n v="1"/>
    <m/>
    <n v="1"/>
    <m/>
    <m/>
    <m/>
    <n v="27850"/>
    <m/>
    <m/>
    <s v=""/>
    <m/>
    <s v=""/>
    <s v=""/>
    <m/>
    <s v=""/>
    <s v=""/>
    <m/>
    <m/>
    <m/>
    <m/>
    <m/>
    <s v=""/>
    <m/>
    <m/>
    <s v=""/>
    <s v=""/>
    <s v=""/>
    <m/>
    <s v=""/>
    <m/>
    <m/>
    <s v=""/>
    <s v=""/>
    <m/>
    <m/>
    <m/>
    <m/>
    <s v=""/>
    <m/>
    <m/>
    <s v=""/>
    <s v=""/>
    <m/>
    <s v=""/>
    <m/>
    <m/>
    <m/>
    <m/>
    <m/>
    <s v=""/>
    <s v=""/>
    <n v="0"/>
    <n v="0"/>
    <n v="38780"/>
  </r>
  <r>
    <n v="341"/>
    <d v="2023-07-21T19:11:00"/>
    <s v="The Reunion Gig"/>
    <s v="Alcoholic Beverages"/>
    <s v="North America"/>
    <n v="0"/>
    <x v="2"/>
    <s v="Tread Lightly by Walker"/>
    <x v="5"/>
    <x v="2"/>
    <s v=""/>
    <s v="Audio Post"/>
    <s v="Arsonist&quot;The Reunion Gig&quot;"/>
    <s v="Arsonist"/>
    <s v="Original"/>
    <n v="49710"/>
    <s v="firm-bid"/>
    <m/>
    <m/>
    <m/>
    <n v="1"/>
    <n v="1"/>
    <m/>
    <m/>
    <m/>
    <m/>
    <m/>
    <m/>
    <m/>
    <m/>
    <s v=""/>
    <m/>
    <s v=""/>
    <s v=""/>
    <m/>
    <s v=""/>
    <s v=""/>
    <m/>
    <m/>
    <m/>
    <m/>
    <m/>
    <s v=""/>
    <m/>
    <m/>
    <s v=""/>
    <s v=""/>
    <s v=""/>
    <m/>
    <s v=""/>
    <m/>
    <m/>
    <s v=""/>
    <s v=""/>
    <m/>
    <m/>
    <m/>
    <m/>
    <s v=""/>
    <m/>
    <m/>
    <s v=""/>
    <s v=""/>
    <m/>
    <s v=""/>
    <m/>
    <m/>
    <m/>
    <m/>
    <m/>
    <s v=""/>
    <s v=""/>
    <n v="0"/>
    <n v="0"/>
    <n v="38780"/>
  </r>
  <r>
    <n v="341"/>
    <d v="2023-07-21T19:11:00"/>
    <s v="The Reunion Gig"/>
    <s v="Alcoholic Beverages"/>
    <s v="North America"/>
    <n v="1"/>
    <x v="2"/>
    <s v="Tread Lightly by Walker"/>
    <x v="5"/>
    <x v="2"/>
    <s v="Open Frameworks Image Creation"/>
    <s v="Sanitary Production Costs"/>
    <s v="The Reunion Gig"/>
    <s v="OpenFrameworks_TheReunionGig_Covid"/>
    <s v="Original"/>
    <n v="10327.4025"/>
    <s v="firm-bid"/>
    <n v="10028.057500000001"/>
    <m/>
    <m/>
    <m/>
    <m/>
    <m/>
    <m/>
    <m/>
    <m/>
    <m/>
    <m/>
    <m/>
    <m/>
    <s v=""/>
    <n v="5900"/>
    <s v=""/>
    <s v=""/>
    <m/>
    <s v=""/>
    <s v=""/>
    <m/>
    <m/>
    <m/>
    <m/>
    <m/>
    <s v=""/>
    <m/>
    <m/>
    <s v=""/>
    <s v=""/>
    <s v=""/>
    <m/>
    <s v=""/>
    <m/>
    <m/>
    <s v=""/>
    <s v=""/>
    <m/>
    <m/>
    <n v="655"/>
    <m/>
    <s v=""/>
    <m/>
    <m/>
    <s v=""/>
    <s v=""/>
    <m/>
    <s v=""/>
    <m/>
    <m/>
    <m/>
    <m/>
    <m/>
    <s v=""/>
    <s v=""/>
    <n v="0"/>
    <n v="0"/>
    <n v="10028.057500000001"/>
  </r>
  <r>
    <n v="341"/>
    <d v="2023-07-21T19:11:00"/>
    <s v="The Reunion Gig"/>
    <s v="Alcoholic Beverages"/>
    <s v="North America"/>
    <n v="0"/>
    <x v="2"/>
    <s v="Tread Lightly by Walker"/>
    <x v="5"/>
    <x v="2"/>
    <s v=""/>
    <s v="Sanitary Production Costs"/>
    <s v="The Reunion Gig"/>
    <s v="harmony_and_Light_TheReunionGig_Covid"/>
    <s v="Original"/>
    <n v="6168.0825000000004"/>
    <s v="firm-bid"/>
    <m/>
    <m/>
    <m/>
    <m/>
    <m/>
    <m/>
    <m/>
    <m/>
    <m/>
    <m/>
    <m/>
    <m/>
    <m/>
    <s v=""/>
    <m/>
    <s v=""/>
    <s v=""/>
    <m/>
    <s v=""/>
    <s v=""/>
    <m/>
    <m/>
    <m/>
    <m/>
    <m/>
    <s v=""/>
    <m/>
    <m/>
    <s v=""/>
    <s v=""/>
    <s v=""/>
    <m/>
    <s v=""/>
    <m/>
    <m/>
    <s v=""/>
    <s v=""/>
    <m/>
    <m/>
    <m/>
    <m/>
    <s v=""/>
    <m/>
    <m/>
    <s v=""/>
    <s v=""/>
    <m/>
    <s v=""/>
    <m/>
    <m/>
    <m/>
    <m/>
    <m/>
    <s v=""/>
    <s v=""/>
    <n v="0"/>
    <n v="0"/>
    <n v="10028.057500000001"/>
  </r>
  <r>
    <n v="341"/>
    <d v="2023-07-21T19:11:00"/>
    <s v="The Reunion Gig"/>
    <s v="Alcoholic Beverages"/>
    <s v="North America"/>
    <n v="0"/>
    <x v="2"/>
    <s v="Tread Lightly by Walker"/>
    <x v="4"/>
    <x v="2"/>
    <s v=""/>
    <s v="Sanitary Production Costs"/>
    <s v="TRG"/>
    <s v="Petulant_TheReunionGig_Covid"/>
    <s v="Original"/>
    <n v="13588.6875"/>
    <s v="firm-bid"/>
    <m/>
    <m/>
    <m/>
    <m/>
    <m/>
    <m/>
    <m/>
    <m/>
    <m/>
    <m/>
    <m/>
    <m/>
    <m/>
    <s v=""/>
    <m/>
    <s v=""/>
    <s v=""/>
    <m/>
    <s v=""/>
    <s v=""/>
    <m/>
    <m/>
    <m/>
    <m/>
    <m/>
    <s v=""/>
    <m/>
    <m/>
    <s v=""/>
    <s v=""/>
    <s v=""/>
    <m/>
    <s v=""/>
    <m/>
    <m/>
    <s v=""/>
    <s v=""/>
    <m/>
    <m/>
    <m/>
    <m/>
    <s v=""/>
    <m/>
    <m/>
    <s v=""/>
    <s v=""/>
    <m/>
    <s v=""/>
    <m/>
    <m/>
    <m/>
    <m/>
    <m/>
    <s v=""/>
    <s v=""/>
    <n v="0"/>
    <n v="0"/>
    <n v="10028.057500000001"/>
  </r>
  <r>
    <n v="341"/>
    <d v="2023-07-21T19:11:00"/>
    <s v="The Reunion Gig"/>
    <s v="Alcoholic Beverages"/>
    <s v="North America"/>
    <n v="1"/>
    <x v="2"/>
    <s v="Tread Lightly by Walker"/>
    <x v="4"/>
    <x v="2"/>
    <s v="Open Frameworks Image Creation"/>
    <s v="Green Production Costs"/>
    <s v="The Reunion Gig"/>
    <s v="OpenFrameworks_TheReunionGig_Green"/>
    <s v="Original"/>
    <n v="18576"/>
    <s v="firm-bid"/>
    <n v="16579.333330000001"/>
    <m/>
    <m/>
    <m/>
    <m/>
    <m/>
    <m/>
    <m/>
    <n v="0"/>
    <n v="0"/>
    <m/>
    <m/>
    <m/>
    <s v=""/>
    <m/>
    <s v=""/>
    <s v=""/>
    <n v="0"/>
    <s v=""/>
    <s v=""/>
    <n v="0"/>
    <m/>
    <n v="0"/>
    <m/>
    <n v="0"/>
    <s v=""/>
    <n v="0"/>
    <m/>
    <s v=""/>
    <s v=""/>
    <s v=""/>
    <n v="0"/>
    <s v=""/>
    <n v="14400"/>
    <m/>
    <s v=""/>
    <s v=""/>
    <n v="0"/>
    <n v="0"/>
    <m/>
    <m/>
    <s v=""/>
    <n v="0"/>
    <n v="0"/>
    <s v=""/>
    <s v=""/>
    <m/>
    <s v=""/>
    <m/>
    <m/>
    <n v="0"/>
    <n v="0"/>
    <n v="0"/>
    <s v=""/>
    <s v=""/>
    <n v="0"/>
    <n v="0"/>
    <n v="16579.333333333332"/>
  </r>
  <r>
    <n v="341"/>
    <d v="2023-07-21T19:11:00"/>
    <s v="The Reunion Gig"/>
    <s v="Alcoholic Beverages"/>
    <s v="North America"/>
    <n v="0"/>
    <x v="2"/>
    <s v="Tread Lightly by Walker"/>
    <x v="4"/>
    <x v="2"/>
    <s v=""/>
    <s v="Green Production Costs"/>
    <s v="The Reunion Gig"/>
    <s v="harmony_and_Light_TheReunionGig_Green"/>
    <s v="Original"/>
    <n v="12474"/>
    <s v="firm-bid"/>
    <m/>
    <m/>
    <m/>
    <m/>
    <m/>
    <m/>
    <m/>
    <m/>
    <m/>
    <m/>
    <m/>
    <m/>
    <m/>
    <s v=""/>
    <m/>
    <s v=""/>
    <s v=""/>
    <m/>
    <s v=""/>
    <s v=""/>
    <m/>
    <m/>
    <m/>
    <m/>
    <m/>
    <s v=""/>
    <m/>
    <m/>
    <s v=""/>
    <s v=""/>
    <s v=""/>
    <m/>
    <s v=""/>
    <m/>
    <m/>
    <s v=""/>
    <s v=""/>
    <m/>
    <m/>
    <m/>
    <m/>
    <s v=""/>
    <m/>
    <m/>
    <s v=""/>
    <s v=""/>
    <m/>
    <s v=""/>
    <m/>
    <m/>
    <m/>
    <m/>
    <m/>
    <s v=""/>
    <s v=""/>
    <n v="0"/>
    <n v="0"/>
    <n v="16579.333333333332"/>
  </r>
  <r>
    <n v="341"/>
    <d v="2023-07-21T19:11:00"/>
    <s v="The Reunion Gig"/>
    <s v="Alcoholic Beverages"/>
    <s v="North America"/>
    <n v="0"/>
    <x v="2"/>
    <s v="Tread Lightly by Walker"/>
    <x v="4"/>
    <x v="2"/>
    <s v=""/>
    <s v="Green Production Costs"/>
    <s v="TRG"/>
    <s v="Petulant_TheReunionGig_Green"/>
    <s v="Original"/>
    <n v="18688"/>
    <s v="firm-bid"/>
    <m/>
    <m/>
    <m/>
    <m/>
    <m/>
    <m/>
    <m/>
    <m/>
    <m/>
    <m/>
    <m/>
    <m/>
    <m/>
    <s v=""/>
    <m/>
    <s v=""/>
    <s v=""/>
    <m/>
    <s v=""/>
    <s v=""/>
    <m/>
    <m/>
    <m/>
    <m/>
    <m/>
    <s v=""/>
    <m/>
    <m/>
    <s v=""/>
    <s v=""/>
    <s v=""/>
    <m/>
    <s v=""/>
    <m/>
    <m/>
    <s v=""/>
    <s v=""/>
    <m/>
    <m/>
    <m/>
    <m/>
    <s v=""/>
    <m/>
    <m/>
    <s v=""/>
    <s v=""/>
    <m/>
    <s v=""/>
    <m/>
    <m/>
    <m/>
    <m/>
    <m/>
    <s v=""/>
    <s v=""/>
    <n v="0"/>
    <n v="0"/>
    <n v="16579.333333333332"/>
  </r>
  <r>
    <n v="341"/>
    <d v="2023-07-21T19:11:00"/>
    <s v="The Reunion Gig"/>
    <s v="Alcoholic Beverages"/>
    <s v="North America"/>
    <n v="1"/>
    <x v="2"/>
    <s v="Tread Lightly by Walker"/>
    <x v="4"/>
    <x v="2"/>
    <s v="Fight Club"/>
    <s v="Editorial"/>
    <s v="The Reunion Gig"/>
    <s v="Fightclub_TheReunionGig_Edit"/>
    <s v="Original"/>
    <n v="86910.833329999994"/>
    <s v="firm-bid"/>
    <n v="91396.2"/>
    <m/>
    <m/>
    <m/>
    <m/>
    <m/>
    <m/>
    <m/>
    <m/>
    <m/>
    <m/>
    <m/>
    <m/>
    <s v=""/>
    <m/>
    <s v=""/>
    <s v=""/>
    <m/>
    <s v=""/>
    <s v=""/>
    <n v="28650"/>
    <n v="18700"/>
    <n v="4250"/>
    <n v="11800"/>
    <m/>
    <s v=""/>
    <m/>
    <m/>
    <s v=""/>
    <s v=""/>
    <s v=""/>
    <m/>
    <s v=""/>
    <m/>
    <m/>
    <s v=""/>
    <s v=""/>
    <m/>
    <m/>
    <m/>
    <m/>
    <s v=""/>
    <m/>
    <m/>
    <s v=""/>
    <s v=""/>
    <m/>
    <s v=""/>
    <m/>
    <m/>
    <m/>
    <m/>
    <m/>
    <s v=""/>
    <s v=""/>
    <n v="0"/>
    <n v="0"/>
    <n v="91396.2"/>
  </r>
  <r>
    <n v="341"/>
    <d v="2023-07-21T19:11:00"/>
    <s v="The Reunion Gig"/>
    <s v="Alcoholic Beverages"/>
    <s v="North America"/>
    <n v="0"/>
    <x v="2"/>
    <s v="Tread Lightly by Walker"/>
    <x v="4"/>
    <x v="2"/>
    <s v=""/>
    <s v="Editorial"/>
    <s v="TRG v4"/>
    <s v="TotalCuts_TheReunionGig_Edit"/>
    <s v="Original"/>
    <n v="95881.56667"/>
    <s v="firm-bid"/>
    <m/>
    <m/>
    <m/>
    <m/>
    <m/>
    <m/>
    <m/>
    <m/>
    <m/>
    <m/>
    <m/>
    <m/>
    <m/>
    <s v=""/>
    <m/>
    <s v=""/>
    <s v=""/>
    <m/>
    <s v=""/>
    <s v=""/>
    <m/>
    <m/>
    <m/>
    <m/>
    <m/>
    <s v=""/>
    <m/>
    <m/>
    <s v=""/>
    <s v=""/>
    <s v=""/>
    <m/>
    <s v=""/>
    <m/>
    <m/>
    <s v=""/>
    <s v=""/>
    <m/>
    <m/>
    <m/>
    <m/>
    <s v=""/>
    <m/>
    <m/>
    <s v=""/>
    <s v=""/>
    <m/>
    <s v=""/>
    <m/>
    <m/>
    <m/>
    <m/>
    <m/>
    <s v=""/>
    <s v=""/>
    <n v="0"/>
    <n v="0"/>
    <n v="91396.2"/>
  </r>
  <r>
    <n v="341"/>
    <d v="2023-07-21T19:11:00"/>
    <s v="The Reunion Gig"/>
    <s v="Alcoholic Beverages"/>
    <s v="North America"/>
    <n v="0"/>
    <x v="2"/>
    <s v="Tread Lightly by Walker"/>
    <x v="4"/>
    <x v="2"/>
    <s v=""/>
    <s v="Finishing"/>
    <s v="‚ÄúThe Reunion Gig‚Äù | Dub House"/>
    <s v="TheDubHouse_TheReunionGig_Finishing"/>
    <s v="Original"/>
    <n v="36850"/>
    <s v="firm-bid"/>
    <m/>
    <m/>
    <m/>
    <m/>
    <m/>
    <m/>
    <m/>
    <m/>
    <m/>
    <m/>
    <m/>
    <m/>
    <m/>
    <s v=""/>
    <m/>
    <s v=""/>
    <s v=""/>
    <m/>
    <s v=""/>
    <s v=""/>
    <m/>
    <m/>
    <m/>
    <m/>
    <m/>
    <s v=""/>
    <m/>
    <m/>
    <s v=""/>
    <s v=""/>
    <s v=""/>
    <m/>
    <s v=""/>
    <m/>
    <m/>
    <s v=""/>
    <s v=""/>
    <m/>
    <m/>
    <m/>
    <m/>
    <s v=""/>
    <m/>
    <m/>
    <s v=""/>
    <s v=""/>
    <m/>
    <s v=""/>
    <m/>
    <m/>
    <m/>
    <m/>
    <m/>
    <s v=""/>
    <s v=""/>
    <n v="0"/>
    <n v="0"/>
    <n v="28966.666666666668"/>
  </r>
  <r>
    <n v="341"/>
    <d v="2023-07-21T19:11:00"/>
    <s v="The Reunion Gig"/>
    <s v="Alcoholic Beverages"/>
    <s v="North America"/>
    <n v="1"/>
    <x v="2"/>
    <s v="Tread Lightly by Walker"/>
    <x v="4"/>
    <x v="2"/>
    <s v="Andiamo Images"/>
    <s v="Finishing"/>
    <s v="&quot;The Reunion Gig&quot; Andiamo"/>
    <s v="AndiamoImages_TheReunionGig_Finishing"/>
    <s v="Original"/>
    <n v="29550"/>
    <s v="firm-bid"/>
    <n v="28966.666669999999"/>
    <m/>
    <m/>
    <n v="1"/>
    <m/>
    <n v="1"/>
    <m/>
    <m/>
    <m/>
    <m/>
    <m/>
    <m/>
    <m/>
    <s v=""/>
    <m/>
    <s v=""/>
    <s v=""/>
    <m/>
    <s v=""/>
    <s v=""/>
    <m/>
    <m/>
    <m/>
    <m/>
    <m/>
    <s v=""/>
    <m/>
    <n v="29550"/>
    <s v=""/>
    <s v=""/>
    <s v=""/>
    <m/>
    <s v=""/>
    <m/>
    <m/>
    <s v=""/>
    <s v=""/>
    <m/>
    <m/>
    <m/>
    <m/>
    <s v=""/>
    <m/>
    <m/>
    <s v=""/>
    <s v=""/>
    <m/>
    <s v=""/>
    <m/>
    <m/>
    <m/>
    <m/>
    <m/>
    <s v=""/>
    <s v=""/>
    <n v="0"/>
    <n v="0"/>
    <n v="28966.666666666668"/>
  </r>
  <r>
    <n v="341"/>
    <d v="2023-07-21T19:11:00"/>
    <s v="The Reunion Gig"/>
    <s v="Alcoholic Beverages"/>
    <s v="North America"/>
    <n v="0"/>
    <x v="2"/>
    <s v="Tread Lightly by Walker"/>
    <x v="4"/>
    <x v="2"/>
    <s v=""/>
    <s v="Finishing"/>
    <s v="EB  &quot;The Reunion Gig&quot;"/>
    <s v="EvanBanderLLC_TheReunionGig_Finishing"/>
    <s v="Original"/>
    <n v="20500"/>
    <s v="firm-bid"/>
    <m/>
    <m/>
    <m/>
    <m/>
    <n v="1"/>
    <m/>
    <n v="1"/>
    <m/>
    <m/>
    <m/>
    <m/>
    <m/>
    <m/>
    <s v=""/>
    <m/>
    <s v=""/>
    <s v=""/>
    <m/>
    <s v=""/>
    <s v=""/>
    <m/>
    <m/>
    <m/>
    <m/>
    <m/>
    <s v=""/>
    <m/>
    <m/>
    <s v=""/>
    <s v=""/>
    <s v=""/>
    <m/>
    <s v=""/>
    <m/>
    <m/>
    <s v=""/>
    <s v=""/>
    <m/>
    <m/>
    <m/>
    <m/>
    <s v=""/>
    <m/>
    <m/>
    <s v=""/>
    <s v=""/>
    <m/>
    <s v=""/>
    <m/>
    <m/>
    <m/>
    <m/>
    <m/>
    <s v=""/>
    <s v=""/>
    <n v="0"/>
    <n v="0"/>
    <n v="28966.666666666668"/>
  </r>
  <r>
    <n v="342"/>
    <d v="2023-07-21T20:57:00"/>
    <s v="Ethically Tarnished"/>
    <s v="Cleaning Products"/>
    <s v="North America"/>
    <n v="0"/>
    <x v="3"/>
    <s v="Color Guard Finishers"/>
    <x v="4"/>
    <x v="5"/>
    <s v=""/>
    <s v="Editorial"/>
    <s v="Ethically Tarnished"/>
    <s v="Armistace_EthicallyTarnished_Edit"/>
    <s v="Original"/>
    <n v="153774.6"/>
    <s v="firm-bid"/>
    <m/>
    <m/>
    <m/>
    <m/>
    <m/>
    <m/>
    <m/>
    <m/>
    <m/>
    <m/>
    <m/>
    <m/>
    <m/>
    <s v=""/>
    <m/>
    <s v=""/>
    <s v=""/>
    <m/>
    <s v=""/>
    <s v=""/>
    <m/>
    <m/>
    <m/>
    <m/>
    <m/>
    <s v=""/>
    <m/>
    <m/>
    <s v=""/>
    <s v=""/>
    <s v=""/>
    <m/>
    <s v=""/>
    <m/>
    <m/>
    <s v=""/>
    <s v=""/>
    <m/>
    <m/>
    <m/>
    <m/>
    <s v=""/>
    <m/>
    <m/>
    <s v=""/>
    <s v=""/>
    <m/>
    <s v=""/>
    <m/>
    <m/>
    <m/>
    <m/>
    <m/>
    <s v=""/>
    <s v=""/>
    <n v="0"/>
    <n v="0"/>
    <n v="143791.27776666667"/>
  </r>
  <r>
    <n v="342"/>
    <d v="2023-07-21T20:57:00"/>
    <s v="Ethically Tarnished"/>
    <s v="Cleaning Products"/>
    <s v="North America"/>
    <n v="0"/>
    <x v="3"/>
    <s v="Color Guard Finishers"/>
    <x v="4"/>
    <x v="5"/>
    <s v=""/>
    <s v="Editorial"/>
    <s v="Ethically Tarnished"/>
    <s v="TotalCuts_EthicallyTarnished_Edit"/>
    <s v="Original"/>
    <n v="145154.79999999999"/>
    <s v="firm-bid"/>
    <m/>
    <m/>
    <m/>
    <m/>
    <m/>
    <m/>
    <m/>
    <m/>
    <m/>
    <m/>
    <m/>
    <m/>
    <m/>
    <s v=""/>
    <m/>
    <s v=""/>
    <s v=""/>
    <m/>
    <s v=""/>
    <s v=""/>
    <m/>
    <m/>
    <m/>
    <m/>
    <m/>
    <s v=""/>
    <m/>
    <m/>
    <s v=""/>
    <s v=""/>
    <s v=""/>
    <m/>
    <s v=""/>
    <m/>
    <m/>
    <s v=""/>
    <s v=""/>
    <m/>
    <m/>
    <m/>
    <m/>
    <s v=""/>
    <m/>
    <m/>
    <s v=""/>
    <s v=""/>
    <m/>
    <s v=""/>
    <m/>
    <m/>
    <m/>
    <m/>
    <m/>
    <s v=""/>
    <s v=""/>
    <n v="0"/>
    <n v="0"/>
    <n v="143791.27776666667"/>
  </r>
  <r>
    <n v="342"/>
    <d v="2023-07-21T20:57:00"/>
    <s v="Ethically Tarnished"/>
    <s v="Cleaning Products"/>
    <s v="North America"/>
    <n v="1"/>
    <x v="3"/>
    <s v="Color Guard Finishers"/>
    <x v="4"/>
    <x v="5"/>
    <s v="Margin Five"/>
    <s v="Editorial"/>
    <s v="Ethically Tarnished"/>
    <s v="Margin5_EthicallyTarnished_Edit"/>
    <s v="Original"/>
    <n v="132444.4333"/>
    <s v="firm-bid"/>
    <n v="143791.27780000001"/>
    <m/>
    <m/>
    <m/>
    <m/>
    <m/>
    <m/>
    <m/>
    <m/>
    <m/>
    <m/>
    <m/>
    <m/>
    <s v=""/>
    <m/>
    <s v=""/>
    <s v=""/>
    <m/>
    <s v=""/>
    <s v=""/>
    <n v="21250"/>
    <n v="56450"/>
    <n v="11600"/>
    <n v="7316"/>
    <m/>
    <s v=""/>
    <m/>
    <m/>
    <s v=""/>
    <s v=""/>
    <s v=""/>
    <m/>
    <s v=""/>
    <m/>
    <m/>
    <s v=""/>
    <s v=""/>
    <m/>
    <m/>
    <m/>
    <m/>
    <s v=""/>
    <m/>
    <m/>
    <s v=""/>
    <s v=""/>
    <m/>
    <s v=""/>
    <m/>
    <m/>
    <m/>
    <m/>
    <m/>
    <s v=""/>
    <s v=""/>
    <n v="0"/>
    <n v="0"/>
    <n v="143791.27776666667"/>
  </r>
  <r>
    <n v="343"/>
    <d v="2023-07-21T20:57:00"/>
    <s v="Moral Stains"/>
    <s v="Cleaning Products"/>
    <s v="North America"/>
    <n v="0"/>
    <x v="3"/>
    <s v="Color Guard Finishers"/>
    <x v="4"/>
    <x v="5"/>
    <s v=""/>
    <s v="Audio Post"/>
    <s v="Arosnist&quot;Moral Stains&quot;"/>
    <s v="Arsonist"/>
    <s v="Original"/>
    <n v="50780"/>
    <s v="firm-bid"/>
    <m/>
    <m/>
    <m/>
    <m/>
    <m/>
    <m/>
    <m/>
    <m/>
    <m/>
    <m/>
    <m/>
    <m/>
    <m/>
    <s v=""/>
    <m/>
    <s v=""/>
    <s v=""/>
    <m/>
    <s v=""/>
    <s v=""/>
    <m/>
    <m/>
    <m/>
    <m/>
    <m/>
    <s v=""/>
    <m/>
    <m/>
    <s v=""/>
    <s v=""/>
    <s v=""/>
    <m/>
    <s v=""/>
    <m/>
    <m/>
    <s v=""/>
    <s v=""/>
    <m/>
    <m/>
    <m/>
    <m/>
    <s v=""/>
    <m/>
    <m/>
    <s v=""/>
    <s v=""/>
    <m/>
    <s v=""/>
    <m/>
    <m/>
    <m/>
    <m/>
    <m/>
    <s v=""/>
    <s v=""/>
    <n v="0"/>
    <n v="0"/>
    <n v="52585"/>
  </r>
  <r>
    <n v="343"/>
    <d v="2023-07-21T20:57:00"/>
    <s v="Moral Stains"/>
    <s v="Cleaning Products"/>
    <s v="North America"/>
    <n v="1"/>
    <x v="3"/>
    <s v="Color Guard Finishers"/>
    <x v="4"/>
    <x v="5"/>
    <s v="Love Language"/>
    <s v="Audio Post"/>
    <s v="Love Language &quot;Moral Stains&quot;"/>
    <s v="Love133"/>
    <s v="Original"/>
    <n v="54390"/>
    <s v="firm-bid"/>
    <n v="52585"/>
    <m/>
    <m/>
    <m/>
    <m/>
    <m/>
    <m/>
    <m/>
    <m/>
    <m/>
    <n v="54390"/>
    <m/>
    <m/>
    <s v=""/>
    <m/>
    <s v=""/>
    <s v=""/>
    <m/>
    <s v=""/>
    <s v=""/>
    <m/>
    <m/>
    <m/>
    <m/>
    <m/>
    <s v=""/>
    <m/>
    <m/>
    <s v=""/>
    <s v=""/>
    <s v=""/>
    <m/>
    <s v=""/>
    <m/>
    <m/>
    <s v=""/>
    <s v=""/>
    <m/>
    <m/>
    <m/>
    <m/>
    <s v=""/>
    <m/>
    <m/>
    <s v=""/>
    <s v=""/>
    <m/>
    <s v=""/>
    <m/>
    <m/>
    <m/>
    <m/>
    <m/>
    <s v=""/>
    <s v=""/>
    <n v="0"/>
    <n v="0"/>
    <n v="52585"/>
  </r>
  <r>
    <n v="343"/>
    <d v="2023-07-21T20:57:00"/>
    <s v="Moral Stains"/>
    <s v="Cleaning Products"/>
    <s v="North America"/>
    <n v="0"/>
    <x v="3"/>
    <s v="Color Guard Finishers"/>
    <x v="4"/>
    <x v="5"/>
    <s v=""/>
    <s v="Film &amp; Video Production"/>
    <s v="Moral Stains"/>
    <s v="TestFlight_MoralStains_LiveAction"/>
    <s v="Original"/>
    <n v="766626.6825"/>
    <s v="firm-bid"/>
    <m/>
    <m/>
    <n v="1"/>
    <m/>
    <m/>
    <m/>
    <n v="1"/>
    <m/>
    <m/>
    <m/>
    <m/>
    <m/>
    <m/>
    <s v=""/>
    <m/>
    <s v=""/>
    <s v=""/>
    <m/>
    <s v=""/>
    <s v=""/>
    <m/>
    <m/>
    <m/>
    <m/>
    <m/>
    <s v=""/>
    <m/>
    <m/>
    <s v=""/>
    <s v=""/>
    <s v=""/>
    <m/>
    <s v=""/>
    <m/>
    <m/>
    <s v=""/>
    <s v=""/>
    <m/>
    <m/>
    <m/>
    <m/>
    <s v=""/>
    <m/>
    <m/>
    <s v=""/>
    <s v=""/>
    <m/>
    <s v=""/>
    <m/>
    <m/>
    <m/>
    <m/>
    <m/>
    <s v=""/>
    <s v=""/>
    <n v="0"/>
    <n v="0"/>
    <n v="825872.91529999999"/>
  </r>
  <r>
    <n v="343"/>
    <d v="2023-07-21T20:57:00"/>
    <s v="Moral Stains"/>
    <s v="Cleaning Products"/>
    <s v="North America"/>
    <n v="0"/>
    <x v="3"/>
    <s v="Color Guard Finishers"/>
    <x v="4"/>
    <x v="5"/>
    <s v=""/>
    <s v="Film &amp; Video Production"/>
    <s v="Moral Stains"/>
    <s v="OpenFrameworks_MoralStains_LiveAction"/>
    <s v="Original"/>
    <n v="942912.96"/>
    <s v="firm-bid"/>
    <m/>
    <m/>
    <m/>
    <m/>
    <m/>
    <m/>
    <m/>
    <m/>
    <m/>
    <m/>
    <m/>
    <m/>
    <m/>
    <s v=""/>
    <m/>
    <s v=""/>
    <s v=""/>
    <m/>
    <s v=""/>
    <s v=""/>
    <m/>
    <m/>
    <m/>
    <m/>
    <m/>
    <s v=""/>
    <m/>
    <m/>
    <s v=""/>
    <s v=""/>
    <s v=""/>
    <m/>
    <s v=""/>
    <m/>
    <m/>
    <s v=""/>
    <s v=""/>
    <m/>
    <m/>
    <m/>
    <m/>
    <s v=""/>
    <m/>
    <m/>
    <s v=""/>
    <s v=""/>
    <m/>
    <s v=""/>
    <m/>
    <m/>
    <m/>
    <m/>
    <m/>
    <s v=""/>
    <s v=""/>
    <n v="0"/>
    <n v="0"/>
    <n v="825872.91529999999"/>
  </r>
  <r>
    <n v="343"/>
    <d v="2023-07-21T20:57:00"/>
    <s v="Moral Stains"/>
    <s v="Cleaning Products"/>
    <s v="North America"/>
    <n v="1"/>
    <x v="3"/>
    <s v="Color Guard Finishers"/>
    <x v="4"/>
    <x v="5"/>
    <s v="CHAW Creative"/>
    <s v="Film &amp; Video Production"/>
    <s v="Moral Stains"/>
    <s v="CHAW_MoralStains_LiveAction"/>
    <s v="Original"/>
    <n v="768079.10340000002"/>
    <s v="firm-bid"/>
    <n v="825872.91529999999"/>
    <m/>
    <n v="1"/>
    <m/>
    <m/>
    <m/>
    <n v="1"/>
    <m/>
    <n v="59345"/>
    <n v="55900"/>
    <m/>
    <m/>
    <m/>
    <s v=""/>
    <m/>
    <s v=""/>
    <s v=""/>
    <n v="30000"/>
    <s v=""/>
    <s v=""/>
    <n v="0"/>
    <m/>
    <n v="0"/>
    <m/>
    <n v="62400"/>
    <s v=""/>
    <n v="2000"/>
    <m/>
    <s v=""/>
    <s v=""/>
    <s v=""/>
    <n v="15462"/>
    <s v=""/>
    <n v="12400"/>
    <m/>
    <s v=""/>
    <s v=""/>
    <n v="38500"/>
    <n v="97490.25"/>
    <m/>
    <m/>
    <s v=""/>
    <n v="7800"/>
    <n v="192389.34"/>
    <s v=""/>
    <s v=""/>
    <m/>
    <s v=""/>
    <m/>
    <m/>
    <n v="35900"/>
    <n v="0"/>
    <n v="0"/>
    <s v=""/>
    <s v=""/>
    <n v="0"/>
    <n v="0"/>
    <n v="825872.91529999999"/>
  </r>
  <r>
    <n v="343"/>
    <d v="2023-07-21T20:57:00"/>
    <s v="Moral Stains"/>
    <s v="Cleaning Products"/>
    <s v="North America"/>
    <n v="0"/>
    <x v="3"/>
    <s v="Color Guard Finishers"/>
    <x v="4"/>
    <x v="5"/>
    <s v=""/>
    <s v="Sanitary Production Costs"/>
    <s v="Moral Stains"/>
    <s v="TestFlight_MoralStains_Covid"/>
    <s v="Original"/>
    <n v="11107.275"/>
    <s v="firm-bid"/>
    <m/>
    <m/>
    <n v="1"/>
    <m/>
    <m/>
    <m/>
    <n v="1"/>
    <m/>
    <m/>
    <m/>
    <m/>
    <m/>
    <m/>
    <s v=""/>
    <m/>
    <s v=""/>
    <s v=""/>
    <m/>
    <s v=""/>
    <s v=""/>
    <m/>
    <m/>
    <m/>
    <m/>
    <m/>
    <s v=""/>
    <m/>
    <m/>
    <s v=""/>
    <s v=""/>
    <s v=""/>
    <m/>
    <s v=""/>
    <m/>
    <m/>
    <s v=""/>
    <s v=""/>
    <m/>
    <m/>
    <m/>
    <m/>
    <s v=""/>
    <m/>
    <m/>
    <s v=""/>
    <s v=""/>
    <m/>
    <s v=""/>
    <m/>
    <m/>
    <m/>
    <m/>
    <m/>
    <s v=""/>
    <s v=""/>
    <n v="0"/>
    <n v="0"/>
    <n v="7738.3308333333334"/>
  </r>
  <r>
    <n v="343"/>
    <d v="2023-07-21T20:57:00"/>
    <s v="Moral Stains"/>
    <s v="Cleaning Products"/>
    <s v="North America"/>
    <n v="0"/>
    <x v="3"/>
    <s v="Color Guard Finishers"/>
    <x v="4"/>
    <x v="5"/>
    <s v=""/>
    <s v="Sanitary Production Costs"/>
    <s v="Moral Stains"/>
    <s v="OpenFrameworks_MoralStains_Covid"/>
    <s v="Original"/>
    <n v="4852.54"/>
    <s v="firm-bid"/>
    <m/>
    <m/>
    <m/>
    <m/>
    <m/>
    <m/>
    <m/>
    <m/>
    <m/>
    <m/>
    <m/>
    <m/>
    <m/>
    <s v=""/>
    <m/>
    <s v=""/>
    <s v=""/>
    <m/>
    <s v=""/>
    <s v=""/>
    <m/>
    <m/>
    <m/>
    <m/>
    <m/>
    <s v=""/>
    <m/>
    <m/>
    <s v=""/>
    <s v=""/>
    <s v=""/>
    <m/>
    <s v=""/>
    <m/>
    <m/>
    <s v=""/>
    <s v=""/>
    <m/>
    <m/>
    <m/>
    <m/>
    <s v=""/>
    <m/>
    <m/>
    <s v=""/>
    <s v=""/>
    <m/>
    <s v=""/>
    <m/>
    <m/>
    <m/>
    <m/>
    <m/>
    <s v=""/>
    <s v=""/>
    <n v="0"/>
    <n v="0"/>
    <n v="7738.3308333333334"/>
  </r>
  <r>
    <n v="343"/>
    <d v="2023-07-21T20:57:00"/>
    <s v="Moral Stains"/>
    <s v="Cleaning Products"/>
    <s v="North America"/>
    <n v="1"/>
    <x v="3"/>
    <s v="Color Guard Finishers"/>
    <x v="4"/>
    <x v="5"/>
    <s v="CHAW Creative"/>
    <s v="Sanitary Production Costs"/>
    <s v="Moral Stains"/>
    <s v="CHAW_MoralStains_Covid"/>
    <s v="Original"/>
    <n v="7255.1774999999998"/>
    <s v="firm-bid"/>
    <n v="7738.330833"/>
    <m/>
    <n v="1"/>
    <m/>
    <m/>
    <m/>
    <n v="1"/>
    <m/>
    <m/>
    <m/>
    <m/>
    <m/>
    <m/>
    <s v=""/>
    <n v="3200"/>
    <s v=""/>
    <s v=""/>
    <m/>
    <s v=""/>
    <s v=""/>
    <m/>
    <m/>
    <m/>
    <m/>
    <m/>
    <s v=""/>
    <m/>
    <m/>
    <s v=""/>
    <s v=""/>
    <s v=""/>
    <m/>
    <s v=""/>
    <m/>
    <m/>
    <s v=""/>
    <s v=""/>
    <m/>
    <m/>
    <n v="1405"/>
    <m/>
    <s v=""/>
    <m/>
    <m/>
    <s v=""/>
    <s v=""/>
    <m/>
    <s v=""/>
    <m/>
    <m/>
    <m/>
    <m/>
    <m/>
    <s v=""/>
    <s v=""/>
    <n v="0"/>
    <n v="0"/>
    <n v="7738.3308333333334"/>
  </r>
  <r>
    <n v="343"/>
    <d v="2023-07-21T20:57:00"/>
    <s v="Moral Stains"/>
    <s v="Cleaning Products"/>
    <s v="North America"/>
    <n v="0"/>
    <x v="3"/>
    <s v="Color Guard Finishers"/>
    <x v="4"/>
    <x v="5"/>
    <s v=""/>
    <s v="Editorial"/>
    <s v="SAKS for Moral Stains"/>
    <s v="SaksStreetEdit_MoralStains_Edit"/>
    <s v="Original"/>
    <n v="122741.675"/>
    <s v="firm-bid"/>
    <m/>
    <m/>
    <m/>
    <m/>
    <n v="1"/>
    <m/>
    <n v="1"/>
    <m/>
    <m/>
    <m/>
    <m/>
    <m/>
    <m/>
    <s v=""/>
    <m/>
    <s v=""/>
    <s v=""/>
    <m/>
    <s v=""/>
    <s v=""/>
    <m/>
    <m/>
    <m/>
    <m/>
    <m/>
    <s v=""/>
    <m/>
    <m/>
    <s v=""/>
    <s v=""/>
    <s v=""/>
    <m/>
    <s v=""/>
    <m/>
    <m/>
    <s v=""/>
    <s v=""/>
    <m/>
    <m/>
    <m/>
    <m/>
    <s v=""/>
    <m/>
    <m/>
    <s v=""/>
    <s v=""/>
    <m/>
    <s v=""/>
    <m/>
    <m/>
    <m/>
    <m/>
    <m/>
    <s v=""/>
    <s v=""/>
    <n v="0"/>
    <n v="0"/>
    <n v="133351.01110999999"/>
  </r>
  <r>
    <n v="343"/>
    <d v="2023-07-21T20:57:00"/>
    <s v="Moral Stains"/>
    <s v="Cleaning Products"/>
    <s v="North America"/>
    <n v="1"/>
    <x v="3"/>
    <s v="Color Guard Finishers"/>
    <x v="4"/>
    <x v="5"/>
    <s v="The Closet"/>
    <s v="Editorial"/>
    <s v="Moral Stains"/>
    <s v="TheCloset_MoralStains_Edit"/>
    <s v="Original"/>
    <n v="95547.083329999994"/>
    <s v="firm-bid"/>
    <n v="133351.0111"/>
    <m/>
    <m/>
    <m/>
    <m/>
    <n v="1"/>
    <n v="1"/>
    <m/>
    <m/>
    <m/>
    <m/>
    <m/>
    <m/>
    <s v=""/>
    <m/>
    <s v=""/>
    <s v=""/>
    <m/>
    <s v=""/>
    <s v=""/>
    <n v="21250"/>
    <n v="22000"/>
    <n v="13300"/>
    <n v="13150"/>
    <m/>
    <s v=""/>
    <m/>
    <m/>
    <s v=""/>
    <s v=""/>
    <s v=""/>
    <m/>
    <s v=""/>
    <m/>
    <m/>
    <s v=""/>
    <s v=""/>
    <m/>
    <m/>
    <m/>
    <m/>
    <s v=""/>
    <m/>
    <m/>
    <s v=""/>
    <s v=""/>
    <m/>
    <s v=""/>
    <m/>
    <m/>
    <m/>
    <m/>
    <m/>
    <s v=""/>
    <s v=""/>
    <n v="0"/>
    <n v="0"/>
    <n v="133351.01110999999"/>
  </r>
  <r>
    <n v="343"/>
    <d v="2023-07-21T20:57:00"/>
    <s v="Moral Stains"/>
    <s v="Cleaning Products"/>
    <s v="North America"/>
    <n v="0"/>
    <x v="3"/>
    <s v="Color Guard Finishers"/>
    <x v="4"/>
    <x v="5"/>
    <s v=""/>
    <s v="Editorial"/>
    <s v="Moral Stains"/>
    <s v="Armistace_MoralStains_Edit"/>
    <s v="Original"/>
    <n v="181764.27499999999"/>
    <s v="firm-bid"/>
    <m/>
    <m/>
    <m/>
    <m/>
    <m/>
    <m/>
    <m/>
    <m/>
    <m/>
    <m/>
    <m/>
    <m/>
    <m/>
    <s v=""/>
    <m/>
    <s v=""/>
    <s v=""/>
    <m/>
    <s v=""/>
    <s v=""/>
    <m/>
    <m/>
    <m/>
    <m/>
    <m/>
    <s v=""/>
    <m/>
    <m/>
    <s v=""/>
    <s v=""/>
    <s v=""/>
    <m/>
    <s v=""/>
    <m/>
    <m/>
    <s v=""/>
    <s v=""/>
    <m/>
    <m/>
    <m/>
    <m/>
    <s v=""/>
    <m/>
    <m/>
    <s v=""/>
    <s v=""/>
    <m/>
    <s v=""/>
    <m/>
    <m/>
    <m/>
    <m/>
    <m/>
    <s v=""/>
    <s v=""/>
    <n v="0"/>
    <n v="0"/>
    <n v="133351.01110999999"/>
  </r>
  <r>
    <n v="343"/>
    <d v="2023-07-21T20:57:00"/>
    <s v="Moral Stains"/>
    <s v="Cleaning Products"/>
    <s v="North America"/>
    <n v="1"/>
    <x v="3"/>
    <s v="Color Guard Finishers"/>
    <x v="4"/>
    <x v="5"/>
    <s v="Rackspace Digital"/>
    <s v="Finishing"/>
    <s v="&quot;Moral Stains&quot; RSD #452034"/>
    <s v="RackspaceDigital_MoralStains_Finishing"/>
    <s v="Original"/>
    <n v="32300"/>
    <s v="firm-bid"/>
    <n v="30325"/>
    <m/>
    <m/>
    <n v="1"/>
    <m/>
    <m/>
    <m/>
    <m/>
    <m/>
    <m/>
    <m/>
    <m/>
    <m/>
    <s v=""/>
    <m/>
    <s v=""/>
    <s v=""/>
    <m/>
    <s v=""/>
    <s v=""/>
    <m/>
    <m/>
    <m/>
    <m/>
    <m/>
    <s v=""/>
    <m/>
    <n v="32300"/>
    <s v=""/>
    <s v=""/>
    <s v=""/>
    <m/>
    <s v=""/>
    <m/>
    <m/>
    <s v=""/>
    <s v=""/>
    <m/>
    <m/>
    <m/>
    <m/>
    <s v=""/>
    <m/>
    <m/>
    <s v=""/>
    <s v=""/>
    <m/>
    <s v=""/>
    <m/>
    <m/>
    <m/>
    <m/>
    <m/>
    <s v=""/>
    <s v=""/>
    <n v="0"/>
    <n v="0"/>
    <n v="30325"/>
  </r>
  <r>
    <n v="343"/>
    <d v="2023-07-21T20:57:00"/>
    <s v="Moral Stains"/>
    <s v="Cleaning Products"/>
    <s v="North America"/>
    <n v="0"/>
    <x v="3"/>
    <s v="Color Guard Finishers"/>
    <x v="4"/>
    <x v="5"/>
    <s v=""/>
    <s v="Finishing"/>
    <s v="EB &quot;Moral Stains&quot;"/>
    <s v="EvanBanderLLC_MoralStains_Finishing"/>
    <s v="Original"/>
    <n v="28350"/>
    <s v="firm-bid"/>
    <m/>
    <m/>
    <m/>
    <m/>
    <n v="1"/>
    <m/>
    <n v="1"/>
    <m/>
    <m/>
    <m/>
    <m/>
    <m/>
    <m/>
    <s v=""/>
    <m/>
    <s v=""/>
    <s v=""/>
    <m/>
    <s v=""/>
    <s v=""/>
    <m/>
    <m/>
    <m/>
    <m/>
    <m/>
    <s v=""/>
    <m/>
    <m/>
    <s v=""/>
    <s v=""/>
    <s v=""/>
    <m/>
    <s v=""/>
    <m/>
    <m/>
    <s v=""/>
    <s v=""/>
    <m/>
    <m/>
    <m/>
    <m/>
    <s v=""/>
    <m/>
    <m/>
    <s v=""/>
    <s v=""/>
    <m/>
    <s v=""/>
    <m/>
    <m/>
    <m/>
    <m/>
    <m/>
    <s v=""/>
    <s v=""/>
    <n v="0"/>
    <n v="0"/>
    <n v="30325"/>
  </r>
  <r>
    <n v="344"/>
    <d v="2023-07-21T20:58:00"/>
    <s v="A Horse of a Different Color"/>
    <s v="Cleaning Products"/>
    <s v="APAC"/>
    <n v="0"/>
    <x v="3"/>
    <s v="Color Guard Finishers"/>
    <x v="4"/>
    <x v="5"/>
    <s v=""/>
    <s v="Editorial"/>
    <s v="A Horse of a Different Color"/>
    <s v="Margin5_AHorseofaDifferentColor_Edit"/>
    <s v="Original"/>
    <n v="144247.3083"/>
    <s v="firm-bid"/>
    <m/>
    <m/>
    <m/>
    <m/>
    <m/>
    <m/>
    <m/>
    <m/>
    <m/>
    <m/>
    <m/>
    <m/>
    <m/>
    <s v=""/>
    <m/>
    <s v=""/>
    <s v=""/>
    <m/>
    <s v=""/>
    <s v=""/>
    <m/>
    <m/>
    <m/>
    <m/>
    <m/>
    <s v=""/>
    <m/>
    <m/>
    <s v=""/>
    <s v=""/>
    <s v=""/>
    <m/>
    <s v=""/>
    <m/>
    <m/>
    <s v=""/>
    <s v=""/>
    <m/>
    <m/>
    <m/>
    <m/>
    <s v=""/>
    <m/>
    <m/>
    <s v=""/>
    <s v=""/>
    <m/>
    <s v=""/>
    <m/>
    <m/>
    <m/>
    <m/>
    <m/>
    <s v=""/>
    <s v=""/>
    <n v="0"/>
    <n v="0"/>
    <n v="138920.25"/>
  </r>
  <r>
    <n v="344"/>
    <d v="2023-07-21T20:58:00"/>
    <s v="A Horse of a Different Color"/>
    <s v="Cleaning Products"/>
    <s v="APAC"/>
    <n v="1"/>
    <x v="3"/>
    <s v="Color Guard Finishers"/>
    <x v="4"/>
    <x v="5"/>
    <s v="Time Bomb LLC"/>
    <s v="Editorial"/>
    <s v="TimeBomb - A Horse of a Different Color"/>
    <s v="TimeBomb_AHorseofaDifferentColor_Edit"/>
    <s v="Original"/>
    <n v="161621.25"/>
    <s v="firm-bid"/>
    <n v="138920.25"/>
    <m/>
    <m/>
    <m/>
    <m/>
    <m/>
    <m/>
    <m/>
    <m/>
    <m/>
    <m/>
    <m/>
    <m/>
    <s v=""/>
    <m/>
    <s v=""/>
    <s v=""/>
    <m/>
    <s v=""/>
    <s v=""/>
    <n v="53150"/>
    <n v="27900"/>
    <n v="22600"/>
    <n v="14250"/>
    <m/>
    <s v=""/>
    <m/>
    <m/>
    <s v=""/>
    <s v=""/>
    <s v=""/>
    <m/>
    <s v=""/>
    <m/>
    <m/>
    <s v=""/>
    <s v=""/>
    <m/>
    <m/>
    <m/>
    <m/>
    <s v=""/>
    <m/>
    <m/>
    <s v=""/>
    <s v=""/>
    <m/>
    <s v=""/>
    <m/>
    <m/>
    <m/>
    <m/>
    <m/>
    <s v=""/>
    <s v=""/>
    <n v="0"/>
    <n v="0"/>
    <n v="138920.25"/>
  </r>
  <r>
    <n v="344"/>
    <d v="2023-07-21T20:58:00"/>
    <s v="A Horse of a Different Color"/>
    <s v="Cleaning Products"/>
    <s v="APAC"/>
    <n v="0"/>
    <x v="3"/>
    <s v="Color Guard Finishers"/>
    <x v="4"/>
    <x v="5"/>
    <s v=""/>
    <s v="Editorial"/>
    <s v="A Horse of a Different Color"/>
    <s v="Fightclub_AHorseofaDifferentColor_Edit"/>
    <s v="Original"/>
    <n v="110892.1917"/>
    <s v="firm-bid"/>
    <m/>
    <m/>
    <m/>
    <m/>
    <m/>
    <m/>
    <m/>
    <m/>
    <m/>
    <m/>
    <m/>
    <m/>
    <m/>
    <s v=""/>
    <m/>
    <s v=""/>
    <s v=""/>
    <m/>
    <s v=""/>
    <s v=""/>
    <m/>
    <m/>
    <m/>
    <m/>
    <m/>
    <s v=""/>
    <m/>
    <m/>
    <s v=""/>
    <s v=""/>
    <s v=""/>
    <m/>
    <s v=""/>
    <m/>
    <m/>
    <s v=""/>
    <s v=""/>
    <m/>
    <m/>
    <m/>
    <m/>
    <s v=""/>
    <m/>
    <m/>
    <s v=""/>
    <s v=""/>
    <m/>
    <s v=""/>
    <m/>
    <m/>
    <m/>
    <m/>
    <m/>
    <s v=""/>
    <s v=""/>
    <n v="0"/>
    <n v="0"/>
    <n v="138920.25"/>
  </r>
  <r>
    <n v="345"/>
    <d v="2023-07-21T20:59:00"/>
    <s v="Stay Colorful"/>
    <s v="Cleaning Products"/>
    <s v="North America"/>
    <n v="0"/>
    <x v="3"/>
    <s v="Color Guard Vivid"/>
    <x v="4"/>
    <x v="5"/>
    <s v=""/>
    <s v="Audio Post"/>
    <s v="Audio Labs &quot;Stay Colorful&quot;"/>
    <s v="Audio_94"/>
    <s v="Original"/>
    <n v="13050"/>
    <s v="firm-bid"/>
    <m/>
    <m/>
    <m/>
    <m/>
    <m/>
    <m/>
    <m/>
    <m/>
    <m/>
    <m/>
    <m/>
    <m/>
    <m/>
    <s v=""/>
    <m/>
    <s v=""/>
    <s v=""/>
    <m/>
    <s v=""/>
    <s v=""/>
    <m/>
    <m/>
    <m/>
    <m/>
    <m/>
    <s v=""/>
    <m/>
    <m/>
    <s v=""/>
    <s v=""/>
    <s v=""/>
    <m/>
    <s v=""/>
    <m/>
    <m/>
    <s v=""/>
    <s v=""/>
    <m/>
    <m/>
    <m/>
    <m/>
    <s v=""/>
    <m/>
    <m/>
    <s v=""/>
    <s v=""/>
    <m/>
    <s v=""/>
    <m/>
    <m/>
    <m/>
    <m/>
    <m/>
    <s v=""/>
    <s v=""/>
    <n v="0"/>
    <n v="0"/>
    <n v="28613.333333333336"/>
  </r>
  <r>
    <n v="345"/>
    <d v="2023-07-21T20:59:00"/>
    <s v="Stay Colorful"/>
    <s v="Cleaning Products"/>
    <s v="North America"/>
    <n v="1"/>
    <x v="3"/>
    <s v="Color Guard Vivid"/>
    <x v="4"/>
    <x v="5"/>
    <s v="Funny Rabbit"/>
    <s v="Audio Post"/>
    <s v="FunnyRabbit&quot;Stay Colorful&quot;"/>
    <s v="FunnyRabbit"/>
    <s v="Original"/>
    <n v="27240"/>
    <s v="firm-bid"/>
    <n v="28613.333330000001"/>
    <m/>
    <m/>
    <m/>
    <m/>
    <m/>
    <m/>
    <m/>
    <m/>
    <m/>
    <n v="27240"/>
    <m/>
    <m/>
    <s v=""/>
    <m/>
    <s v=""/>
    <s v=""/>
    <m/>
    <s v=""/>
    <s v=""/>
    <m/>
    <m/>
    <m/>
    <m/>
    <m/>
    <s v=""/>
    <m/>
    <m/>
    <s v=""/>
    <s v=""/>
    <s v=""/>
    <m/>
    <s v=""/>
    <m/>
    <m/>
    <s v=""/>
    <s v=""/>
    <m/>
    <m/>
    <m/>
    <m/>
    <s v=""/>
    <m/>
    <m/>
    <s v=""/>
    <s v=""/>
    <m/>
    <s v=""/>
    <m/>
    <m/>
    <m/>
    <m/>
    <m/>
    <s v=""/>
    <s v=""/>
    <n v="0"/>
    <n v="0"/>
    <n v="28613.333333333336"/>
  </r>
  <r>
    <n v="345"/>
    <d v="2023-07-21T20:59:00"/>
    <s v="Stay Colorful"/>
    <s v="Cleaning Products"/>
    <s v="North America"/>
    <n v="0"/>
    <x v="3"/>
    <s v="Color Guard Vivid"/>
    <x v="4"/>
    <x v="5"/>
    <s v=""/>
    <s v="Audio Post"/>
    <s v="Earwax &quot;Stay Colorful&quot;"/>
    <s v="Earwax"/>
    <s v="Original"/>
    <n v="45550"/>
    <s v="firm-bid"/>
    <m/>
    <m/>
    <m/>
    <m/>
    <m/>
    <n v="1"/>
    <m/>
    <m/>
    <m/>
    <m/>
    <m/>
    <m/>
    <m/>
    <s v=""/>
    <m/>
    <s v=""/>
    <s v=""/>
    <m/>
    <s v=""/>
    <s v=""/>
    <m/>
    <m/>
    <m/>
    <m/>
    <m/>
    <s v=""/>
    <m/>
    <m/>
    <s v=""/>
    <s v=""/>
    <s v=""/>
    <m/>
    <s v=""/>
    <m/>
    <m/>
    <s v=""/>
    <s v=""/>
    <m/>
    <m/>
    <m/>
    <m/>
    <s v=""/>
    <m/>
    <m/>
    <s v=""/>
    <s v=""/>
    <m/>
    <s v=""/>
    <m/>
    <m/>
    <m/>
    <m/>
    <m/>
    <s v=""/>
    <s v=""/>
    <n v="0"/>
    <n v="0"/>
    <n v="28613.333333333336"/>
  </r>
  <r>
    <n v="345"/>
    <d v="2023-07-21T20:59:00"/>
    <s v="Stay Colorful"/>
    <s v="Cleaning Products"/>
    <s v="North America"/>
    <n v="1"/>
    <x v="3"/>
    <s v="Color Guard Vivid"/>
    <x v="4"/>
    <x v="5"/>
    <s v="Here &amp; Now"/>
    <s v="Finishing"/>
    <s v="Here &amp; Now for¬†&quot;Stay Colorful&quot;"/>
    <s v="HereandNow_StayColorful_Finishing"/>
    <s v="Original"/>
    <n v="14200"/>
    <s v="firm-bid"/>
    <n v="23825"/>
    <m/>
    <m/>
    <n v="1"/>
    <n v="1"/>
    <m/>
    <m/>
    <m/>
    <m/>
    <m/>
    <m/>
    <m/>
    <m/>
    <s v=""/>
    <m/>
    <s v=""/>
    <s v=""/>
    <m/>
    <s v=""/>
    <s v=""/>
    <m/>
    <m/>
    <m/>
    <m/>
    <m/>
    <s v=""/>
    <m/>
    <n v="14200"/>
    <s v=""/>
    <s v=""/>
    <s v=""/>
    <m/>
    <s v=""/>
    <m/>
    <m/>
    <s v=""/>
    <s v=""/>
    <m/>
    <m/>
    <m/>
    <m/>
    <s v=""/>
    <m/>
    <m/>
    <s v=""/>
    <s v=""/>
    <m/>
    <s v=""/>
    <m/>
    <m/>
    <m/>
    <m/>
    <m/>
    <s v=""/>
    <s v=""/>
    <n v="0"/>
    <n v="0"/>
    <n v="23825"/>
  </r>
  <r>
    <n v="345"/>
    <d v="2023-07-21T20:59:00"/>
    <s v="Stay Colorful"/>
    <s v="Cleaning Products"/>
    <s v="North America"/>
    <n v="0"/>
    <x v="3"/>
    <s v="Color Guard Vivid"/>
    <x v="4"/>
    <x v="5"/>
    <s v=""/>
    <s v="Finishing"/>
    <s v="&quot;Stay Colorful&quot; RSD #452099"/>
    <s v="RackspaceDigital_StayColorful_Finishing"/>
    <s v="Original"/>
    <n v="33450"/>
    <s v="firm-bid"/>
    <m/>
    <m/>
    <m/>
    <m/>
    <m/>
    <m/>
    <m/>
    <m/>
    <m/>
    <m/>
    <m/>
    <m/>
    <m/>
    <s v=""/>
    <m/>
    <s v=""/>
    <s v=""/>
    <m/>
    <s v=""/>
    <s v=""/>
    <m/>
    <m/>
    <m/>
    <m/>
    <m/>
    <s v=""/>
    <m/>
    <m/>
    <s v=""/>
    <s v=""/>
    <s v=""/>
    <m/>
    <s v=""/>
    <m/>
    <m/>
    <s v=""/>
    <s v=""/>
    <m/>
    <m/>
    <m/>
    <m/>
    <s v=""/>
    <m/>
    <m/>
    <s v=""/>
    <s v=""/>
    <m/>
    <s v=""/>
    <m/>
    <m/>
    <m/>
    <m/>
    <m/>
    <s v=""/>
    <s v=""/>
    <n v="0"/>
    <n v="0"/>
    <n v="23825"/>
  </r>
  <r>
    <n v="345"/>
    <d v="2023-07-21T20:59:00"/>
    <s v="Stay Colorful"/>
    <s v="Cleaning Products"/>
    <s v="North America"/>
    <n v="1"/>
    <x v="3"/>
    <s v="Color Guard Vivid"/>
    <x v="4"/>
    <x v="5"/>
    <s v="Fight Club"/>
    <s v="Editorial"/>
    <s v="Stay Colorful"/>
    <s v="Fightclub_StayColorful_Edit"/>
    <s v="Original"/>
    <n v="145993.75"/>
    <s v="firm-bid"/>
    <n v="127258.5708"/>
    <m/>
    <m/>
    <n v="1"/>
    <m/>
    <m/>
    <m/>
    <m/>
    <m/>
    <m/>
    <m/>
    <m/>
    <m/>
    <s v=""/>
    <m/>
    <s v=""/>
    <s v=""/>
    <m/>
    <s v=""/>
    <s v=""/>
    <n v="16350"/>
    <n v="51900"/>
    <n v="24950"/>
    <n v="13300"/>
    <m/>
    <s v=""/>
    <m/>
    <m/>
    <s v=""/>
    <s v=""/>
    <s v=""/>
    <m/>
    <s v=""/>
    <m/>
    <m/>
    <s v=""/>
    <s v=""/>
    <m/>
    <m/>
    <m/>
    <m/>
    <s v=""/>
    <m/>
    <m/>
    <s v=""/>
    <s v=""/>
    <m/>
    <s v=""/>
    <m/>
    <m/>
    <m/>
    <m/>
    <m/>
    <s v=""/>
    <s v=""/>
    <n v="0"/>
    <n v="0"/>
    <n v="127258.57084999999"/>
  </r>
  <r>
    <n v="345"/>
    <d v="2023-07-21T20:59:00"/>
    <s v="Stay Colorful"/>
    <s v="Cleaning Products"/>
    <s v="North America"/>
    <n v="0"/>
    <x v="3"/>
    <s v="Color Guard Vivid"/>
    <x v="4"/>
    <x v="5"/>
    <s v=""/>
    <s v="Editorial"/>
    <s v="Stay Colorful"/>
    <s v="MyrtleRow_StayColorful_Edit"/>
    <s v="Original"/>
    <n v="108523.39169999999"/>
    <s v="firm-bid"/>
    <m/>
    <m/>
    <m/>
    <m/>
    <m/>
    <m/>
    <n v="1"/>
    <m/>
    <m/>
    <m/>
    <m/>
    <m/>
    <m/>
    <s v=""/>
    <m/>
    <s v=""/>
    <s v=""/>
    <m/>
    <s v=""/>
    <s v=""/>
    <m/>
    <m/>
    <m/>
    <m/>
    <m/>
    <s v=""/>
    <m/>
    <m/>
    <s v=""/>
    <s v=""/>
    <s v=""/>
    <m/>
    <s v=""/>
    <m/>
    <m/>
    <s v=""/>
    <s v=""/>
    <m/>
    <m/>
    <m/>
    <m/>
    <s v=""/>
    <m/>
    <m/>
    <s v=""/>
    <s v=""/>
    <m/>
    <s v=""/>
    <m/>
    <m/>
    <m/>
    <m/>
    <m/>
    <s v=""/>
    <s v=""/>
    <n v="0"/>
    <n v="0"/>
    <n v="127258.57084999999"/>
  </r>
  <r>
    <n v="345"/>
    <d v="2023-07-21T20:59:00"/>
    <s v="Stay Colorful"/>
    <s v="Cleaning Products"/>
    <s v="North America"/>
    <n v="1"/>
    <x v="3"/>
    <s v="Color Guard Vivid"/>
    <x v="4"/>
    <x v="5"/>
    <s v="Petulant Pictures"/>
    <s v="Sanitary Production Costs"/>
    <s v="Stay Colorful"/>
    <s v="Petulant_StayColorful_Covid"/>
    <s v="Original"/>
    <n v="9350.5925000000007"/>
    <s v="firm-bid"/>
    <n v="8098.07"/>
    <m/>
    <m/>
    <m/>
    <m/>
    <m/>
    <m/>
    <m/>
    <m/>
    <m/>
    <m/>
    <m/>
    <m/>
    <s v=""/>
    <n v="3400"/>
    <s v=""/>
    <s v=""/>
    <m/>
    <s v=""/>
    <s v=""/>
    <m/>
    <m/>
    <m/>
    <m/>
    <m/>
    <s v=""/>
    <m/>
    <m/>
    <s v=""/>
    <s v=""/>
    <s v=""/>
    <m/>
    <s v=""/>
    <m/>
    <m/>
    <s v=""/>
    <s v=""/>
    <m/>
    <m/>
    <n v="2535"/>
    <m/>
    <s v=""/>
    <m/>
    <m/>
    <s v=""/>
    <s v=""/>
    <m/>
    <s v=""/>
    <m/>
    <m/>
    <m/>
    <m/>
    <m/>
    <s v=""/>
    <s v=""/>
    <n v="0"/>
    <n v="0"/>
    <n v="8098.07"/>
  </r>
  <r>
    <n v="345"/>
    <d v="2023-07-21T20:59:00"/>
    <s v="Stay Colorful"/>
    <s v="Cleaning Products"/>
    <s v="North America"/>
    <n v="0"/>
    <x v="3"/>
    <s v="Color Guard Vivid"/>
    <x v="6"/>
    <x v="5"/>
    <s v=""/>
    <s v="Sanitary Production Costs"/>
    <s v="Stay Colorful"/>
    <s v="Interstate_StayColorful_Covid"/>
    <s v="Original"/>
    <n v="6845.5474999999997"/>
    <s v="firm-bid"/>
    <m/>
    <m/>
    <m/>
    <m/>
    <m/>
    <n v="1"/>
    <m/>
    <m/>
    <m/>
    <m/>
    <m/>
    <m/>
    <m/>
    <s v=""/>
    <m/>
    <s v=""/>
    <s v=""/>
    <m/>
    <s v=""/>
    <s v=""/>
    <m/>
    <m/>
    <m/>
    <m/>
    <m/>
    <s v=""/>
    <m/>
    <m/>
    <s v=""/>
    <s v=""/>
    <s v=""/>
    <m/>
    <s v=""/>
    <m/>
    <m/>
    <s v=""/>
    <s v=""/>
    <m/>
    <m/>
    <m/>
    <m/>
    <s v=""/>
    <m/>
    <m/>
    <s v=""/>
    <s v=""/>
    <m/>
    <s v=""/>
    <m/>
    <m/>
    <m/>
    <m/>
    <m/>
    <s v=""/>
    <s v=""/>
    <n v="0"/>
    <n v="0"/>
    <n v="8098.07"/>
  </r>
  <r>
    <n v="345"/>
    <d v="2023-07-21T20:59:00"/>
    <s v="Stay Colorful"/>
    <s v="Cleaning Products"/>
    <s v="North America"/>
    <n v="1"/>
    <x v="3"/>
    <s v="Color Guard Vivid"/>
    <x v="6"/>
    <x v="5"/>
    <s v="Petulant Pictures"/>
    <s v="Film &amp; Video Production"/>
    <s v="Stay Colorful"/>
    <s v="Petulant_StayColorful_LiveAction"/>
    <s v="Original"/>
    <n v="895921.25"/>
    <s v="firm-bid"/>
    <n v="775087.81499999994"/>
    <m/>
    <m/>
    <m/>
    <m/>
    <m/>
    <m/>
    <m/>
    <n v="19090.5"/>
    <n v="139400"/>
    <m/>
    <m/>
    <m/>
    <s v=""/>
    <m/>
    <s v=""/>
    <s v=""/>
    <n v="195000"/>
    <s v=""/>
    <s v=""/>
    <n v="0"/>
    <m/>
    <n v="0"/>
    <m/>
    <n v="21900"/>
    <s v=""/>
    <n v="2000"/>
    <m/>
    <s v=""/>
    <s v=""/>
    <s v=""/>
    <n v="22252"/>
    <s v=""/>
    <n v="10700"/>
    <m/>
    <s v=""/>
    <s v=""/>
    <n v="11050"/>
    <n v="154368.5"/>
    <m/>
    <m/>
    <s v=""/>
    <n v="23000"/>
    <n v="94666"/>
    <s v=""/>
    <s v=""/>
    <m/>
    <s v=""/>
    <m/>
    <m/>
    <n v="23310"/>
    <n v="0"/>
    <n v="0"/>
    <s v=""/>
    <s v=""/>
    <n v="0"/>
    <n v="0"/>
    <n v="775087.81499999994"/>
  </r>
  <r>
    <n v="345"/>
    <d v="2023-07-21T20:59:00"/>
    <s v="Stay Colorful"/>
    <s v="Cleaning Products"/>
    <s v="North America"/>
    <n v="0"/>
    <x v="3"/>
    <s v="Color Guard Vivid"/>
    <x v="6"/>
    <x v="5"/>
    <s v=""/>
    <s v="Film &amp; Video Production"/>
    <s v="Stay Colorful"/>
    <s v="Interstate_StayColorful_LiveAction"/>
    <s v="Original"/>
    <n v="654254.38"/>
    <s v="firm-bid"/>
    <m/>
    <m/>
    <m/>
    <m/>
    <m/>
    <n v="1"/>
    <m/>
    <m/>
    <m/>
    <m/>
    <m/>
    <m/>
    <m/>
    <s v=""/>
    <m/>
    <s v=""/>
    <s v=""/>
    <m/>
    <s v=""/>
    <s v=""/>
    <m/>
    <m/>
    <m/>
    <m/>
    <m/>
    <s v=""/>
    <m/>
    <m/>
    <s v=""/>
    <s v=""/>
    <s v=""/>
    <m/>
    <s v=""/>
    <m/>
    <m/>
    <s v=""/>
    <s v=""/>
    <m/>
    <m/>
    <m/>
    <m/>
    <s v=""/>
    <m/>
    <m/>
    <s v=""/>
    <s v=""/>
    <m/>
    <s v=""/>
    <m/>
    <m/>
    <m/>
    <m/>
    <m/>
    <s v=""/>
    <s v=""/>
    <n v="0"/>
    <n v="0"/>
    <n v="775087.81499999994"/>
  </r>
  <r>
    <n v="347"/>
    <d v="2023-07-21T21:04:00"/>
    <s v="Not My Baby"/>
    <s v="Cleaning Products"/>
    <s v="APAC"/>
    <n v="0"/>
    <x v="4"/>
    <s v="Tinkerbell Cling-Free Dryer Sheets"/>
    <x v="6"/>
    <x v="6"/>
    <s v=""/>
    <s v="Audio Post"/>
    <s v="FunnyRabbit &quot;Not My Baby&quot;"/>
    <s v="FunnyRabbit"/>
    <s v="Original"/>
    <n v="34420"/>
    <s v="firm-bid"/>
    <m/>
    <m/>
    <m/>
    <n v="1"/>
    <m/>
    <m/>
    <m/>
    <m/>
    <m/>
    <m/>
    <m/>
    <m/>
    <m/>
    <s v=""/>
    <m/>
    <s v=""/>
    <s v=""/>
    <m/>
    <s v=""/>
    <s v=""/>
    <m/>
    <m/>
    <m/>
    <m/>
    <m/>
    <s v=""/>
    <m/>
    <m/>
    <s v=""/>
    <s v=""/>
    <s v=""/>
    <m/>
    <s v=""/>
    <m/>
    <m/>
    <s v=""/>
    <s v=""/>
    <m/>
    <m/>
    <m/>
    <m/>
    <s v=""/>
    <m/>
    <m/>
    <s v=""/>
    <s v=""/>
    <m/>
    <s v=""/>
    <m/>
    <m/>
    <m/>
    <m/>
    <m/>
    <s v=""/>
    <s v=""/>
    <n v="0"/>
    <n v="0"/>
    <n v="32550"/>
  </r>
  <r>
    <n v="347"/>
    <d v="2023-07-21T21:04:00"/>
    <s v="Not My Baby"/>
    <s v="Cleaning Products"/>
    <s v="APAC"/>
    <n v="0"/>
    <x v="4"/>
    <s v="Tinkerbell Cling-Free Dryer Sheets"/>
    <x v="6"/>
    <x v="6"/>
    <s v=""/>
    <s v="Audio Post"/>
    <s v="Audio Labs &quot;Not My Baby&quot;"/>
    <s v="Audio_95"/>
    <s v="Original"/>
    <n v="34780"/>
    <s v="firm-bid"/>
    <m/>
    <m/>
    <n v="1"/>
    <m/>
    <n v="1"/>
    <m/>
    <m/>
    <m/>
    <m/>
    <m/>
    <m/>
    <m/>
    <m/>
    <s v=""/>
    <m/>
    <s v=""/>
    <s v=""/>
    <m/>
    <s v=""/>
    <s v=""/>
    <m/>
    <m/>
    <m/>
    <m/>
    <m/>
    <s v=""/>
    <m/>
    <m/>
    <s v=""/>
    <s v=""/>
    <s v=""/>
    <m/>
    <s v=""/>
    <m/>
    <m/>
    <s v=""/>
    <s v=""/>
    <m/>
    <m/>
    <m/>
    <m/>
    <s v=""/>
    <m/>
    <m/>
    <s v=""/>
    <s v=""/>
    <m/>
    <s v=""/>
    <m/>
    <m/>
    <m/>
    <m/>
    <m/>
    <s v=""/>
    <s v=""/>
    <n v="0"/>
    <n v="0"/>
    <n v="32550"/>
  </r>
  <r>
    <n v="347"/>
    <d v="2023-07-21T21:04:00"/>
    <s v="Not My Baby"/>
    <s v="Cleaning Products"/>
    <s v="APAC"/>
    <n v="1"/>
    <x v="4"/>
    <s v="Tinkerbell Cling-Free Dryer Sheets"/>
    <x v="6"/>
    <x v="6"/>
    <s v="Arsonist Post"/>
    <s v="Audio Post"/>
    <s v="Arsonist&quot;Not My Baby&quot;"/>
    <s v="Arsonist"/>
    <s v="Original"/>
    <n v="28450"/>
    <s v="firm-bid"/>
    <n v="32550"/>
    <m/>
    <m/>
    <m/>
    <m/>
    <n v="1"/>
    <m/>
    <m/>
    <m/>
    <m/>
    <n v="28450"/>
    <m/>
    <m/>
    <s v=""/>
    <m/>
    <s v=""/>
    <s v=""/>
    <m/>
    <s v=""/>
    <s v=""/>
    <m/>
    <m/>
    <m/>
    <m/>
    <m/>
    <s v=""/>
    <m/>
    <m/>
    <s v=""/>
    <s v=""/>
    <s v=""/>
    <m/>
    <s v=""/>
    <m/>
    <m/>
    <s v=""/>
    <s v=""/>
    <m/>
    <m/>
    <m/>
    <m/>
    <s v=""/>
    <m/>
    <m/>
    <s v=""/>
    <s v=""/>
    <m/>
    <s v=""/>
    <m/>
    <m/>
    <m/>
    <m/>
    <m/>
    <s v=""/>
    <s v=""/>
    <n v="0"/>
    <n v="0"/>
    <n v="32550"/>
  </r>
  <r>
    <n v="347"/>
    <d v="2023-07-21T21:04:00"/>
    <s v="Not My Baby"/>
    <s v="Cleaning Products"/>
    <s v="APAC"/>
    <n v="0"/>
    <x v="4"/>
    <s v="Tinkerbell Cling-Free Dryer Sheets"/>
    <x v="6"/>
    <x v="6"/>
    <s v=""/>
    <s v="Behind The Scenes (BTS)"/>
    <s v="Not My Baby"/>
    <s v="Mighty_NotMyBaby_BTS"/>
    <s v="Original"/>
    <n v="15439.9"/>
    <s v="firm-bid"/>
    <m/>
    <m/>
    <m/>
    <m/>
    <m/>
    <m/>
    <m/>
    <m/>
    <m/>
    <m/>
    <m/>
    <m/>
    <m/>
    <s v=""/>
    <m/>
    <s v=""/>
    <s v=""/>
    <m/>
    <s v=""/>
    <s v=""/>
    <m/>
    <m/>
    <m/>
    <m/>
    <m/>
    <s v=""/>
    <m/>
    <m/>
    <s v=""/>
    <s v=""/>
    <s v=""/>
    <m/>
    <s v=""/>
    <m/>
    <m/>
    <s v=""/>
    <s v=""/>
    <m/>
    <m/>
    <m/>
    <m/>
    <s v=""/>
    <m/>
    <m/>
    <s v=""/>
    <s v=""/>
    <m/>
    <s v=""/>
    <m/>
    <m/>
    <m/>
    <m/>
    <m/>
    <s v=""/>
    <s v=""/>
    <n v="0"/>
    <n v="0"/>
    <n v="16175.133333333333"/>
  </r>
  <r>
    <n v="347"/>
    <d v="2023-07-21T21:04:00"/>
    <s v="Not My Baby"/>
    <s v="Cleaning Products"/>
    <s v="APAC"/>
    <n v="1"/>
    <x v="4"/>
    <s v="Tinkerbell Cling-Free Dryer Sheets"/>
    <x v="6"/>
    <x v="6"/>
    <s v="Petulant Pictures"/>
    <s v="Behind The Scenes (BTS)"/>
    <s v="Not My Baby"/>
    <s v="Petulant_NotMyBaby_BTS"/>
    <s v="Original"/>
    <n v="13549.3"/>
    <s v="firm-bid"/>
    <n v="16175.133330000001"/>
    <m/>
    <m/>
    <m/>
    <m/>
    <m/>
    <m/>
    <m/>
    <m/>
    <m/>
    <m/>
    <n v="8600"/>
    <m/>
    <s v=""/>
    <m/>
    <s v=""/>
    <s v=""/>
    <m/>
    <s v=""/>
    <s v=""/>
    <m/>
    <m/>
    <m/>
    <m/>
    <m/>
    <s v=""/>
    <m/>
    <m/>
    <s v=""/>
    <s v=""/>
    <s v=""/>
    <m/>
    <s v=""/>
    <m/>
    <m/>
    <s v=""/>
    <s v=""/>
    <m/>
    <m/>
    <m/>
    <m/>
    <s v=""/>
    <m/>
    <m/>
    <s v=""/>
    <s v=""/>
    <m/>
    <s v=""/>
    <m/>
    <m/>
    <m/>
    <m/>
    <m/>
    <s v=""/>
    <s v=""/>
    <n v="0"/>
    <n v="0"/>
    <n v="16175.133333333333"/>
  </r>
  <r>
    <n v="347"/>
    <d v="2023-07-21T21:04:00"/>
    <s v="Not My Baby"/>
    <s v="Cleaning Products"/>
    <s v="APAC"/>
    <n v="0"/>
    <x v="4"/>
    <s v="Tinkerbell Cling-Free Dryer Sheets"/>
    <x v="6"/>
    <x v="6"/>
    <s v=""/>
    <s v="Behind The Scenes (BTS)"/>
    <s v="Not My Baby"/>
    <s v="harmony_and_Light_NotMyBaby_BTS"/>
    <s v="Original"/>
    <n v="19536.2"/>
    <s v="firm-bid"/>
    <m/>
    <m/>
    <m/>
    <m/>
    <m/>
    <m/>
    <m/>
    <m/>
    <m/>
    <m/>
    <m/>
    <m/>
    <m/>
    <s v=""/>
    <m/>
    <s v=""/>
    <s v=""/>
    <m/>
    <s v=""/>
    <s v=""/>
    <m/>
    <m/>
    <m/>
    <m/>
    <m/>
    <s v=""/>
    <m/>
    <m/>
    <s v=""/>
    <s v=""/>
    <s v=""/>
    <m/>
    <s v=""/>
    <m/>
    <m/>
    <s v=""/>
    <s v=""/>
    <m/>
    <m/>
    <m/>
    <m/>
    <s v=""/>
    <m/>
    <m/>
    <s v=""/>
    <s v=""/>
    <m/>
    <s v=""/>
    <m/>
    <m/>
    <m/>
    <m/>
    <m/>
    <s v=""/>
    <s v=""/>
    <n v="0"/>
    <n v="0"/>
    <n v="16175.133333333333"/>
  </r>
  <r>
    <n v="347"/>
    <d v="2023-07-21T21:04:00"/>
    <s v="Not My Baby"/>
    <s v="Cleaning Products"/>
    <s v="APAC"/>
    <n v="1"/>
    <x v="4"/>
    <s v="Tinkerbell Cling-Free Dryer Sheets"/>
    <x v="6"/>
    <x v="6"/>
    <s v="The Dub House"/>
    <s v="Finishing"/>
    <s v="‚ÄúNot My Baby‚Äù | Dub House"/>
    <s v="TheDubHouse_NotMyBaby_Finishing"/>
    <s v="Original"/>
    <n v="34400"/>
    <s v="firm-bid"/>
    <n v="30133.333330000001"/>
    <m/>
    <m/>
    <m/>
    <m/>
    <m/>
    <m/>
    <m/>
    <m/>
    <m/>
    <m/>
    <m/>
    <m/>
    <s v=""/>
    <m/>
    <s v=""/>
    <s v=""/>
    <m/>
    <s v=""/>
    <s v=""/>
    <m/>
    <m/>
    <m/>
    <m/>
    <m/>
    <s v=""/>
    <m/>
    <n v="34400"/>
    <s v=""/>
    <s v=""/>
    <s v=""/>
    <m/>
    <s v=""/>
    <m/>
    <m/>
    <s v=""/>
    <s v=""/>
    <m/>
    <m/>
    <m/>
    <m/>
    <s v=""/>
    <m/>
    <m/>
    <s v=""/>
    <s v=""/>
    <m/>
    <s v=""/>
    <m/>
    <m/>
    <m/>
    <m/>
    <m/>
    <s v=""/>
    <s v=""/>
    <n v="0"/>
    <n v="0"/>
    <n v="30133.333333333332"/>
  </r>
  <r>
    <n v="347"/>
    <d v="2023-07-21T21:04:00"/>
    <s v="Not My Baby"/>
    <s v="Cleaning Products"/>
    <s v="APAC"/>
    <n v="0"/>
    <x v="4"/>
    <s v="Tinkerbell Cling-Free Dryer Sheets"/>
    <x v="6"/>
    <x v="6"/>
    <s v=""/>
    <s v="Finishing"/>
    <s v="Not My Baby - Burnish"/>
    <s v="Burnish_NotMyBaby_Finishing"/>
    <s v="Original"/>
    <n v="23350"/>
    <s v="firm-bid"/>
    <m/>
    <m/>
    <m/>
    <m/>
    <m/>
    <n v="1"/>
    <m/>
    <m/>
    <m/>
    <m/>
    <m/>
    <m/>
    <m/>
    <s v=""/>
    <m/>
    <s v=""/>
    <s v=""/>
    <m/>
    <s v=""/>
    <s v=""/>
    <m/>
    <m/>
    <m/>
    <m/>
    <m/>
    <s v=""/>
    <m/>
    <m/>
    <s v=""/>
    <s v=""/>
    <s v=""/>
    <m/>
    <s v=""/>
    <m/>
    <m/>
    <s v=""/>
    <s v=""/>
    <m/>
    <m/>
    <m/>
    <m/>
    <s v=""/>
    <m/>
    <m/>
    <s v=""/>
    <s v=""/>
    <m/>
    <s v=""/>
    <m/>
    <m/>
    <m/>
    <m/>
    <m/>
    <s v=""/>
    <s v=""/>
    <n v="0"/>
    <n v="0"/>
    <n v="30133.333333333332"/>
  </r>
  <r>
    <n v="347"/>
    <d v="2023-07-21T21:04:00"/>
    <s v="Not My Baby"/>
    <s v="Cleaning Products"/>
    <s v="APAC"/>
    <n v="0"/>
    <x v="4"/>
    <s v="Tinkerbell Cling-Free Dryer Sheets"/>
    <x v="6"/>
    <x v="6"/>
    <s v=""/>
    <s v="Finishing"/>
    <s v="colorMaven &quot;Not My Baby&quot; v3"/>
    <s v="ColorMaven_NotMyBaby_Finishing"/>
    <s v="Original"/>
    <n v="32650"/>
    <s v="firm-bid"/>
    <m/>
    <m/>
    <m/>
    <n v="1"/>
    <m/>
    <n v="1"/>
    <m/>
    <m/>
    <m/>
    <m/>
    <m/>
    <m/>
    <m/>
    <s v=""/>
    <m/>
    <s v=""/>
    <s v=""/>
    <m/>
    <s v=""/>
    <s v=""/>
    <m/>
    <m/>
    <m/>
    <m/>
    <m/>
    <s v=""/>
    <m/>
    <m/>
    <s v=""/>
    <s v=""/>
    <s v=""/>
    <m/>
    <s v=""/>
    <m/>
    <m/>
    <s v=""/>
    <s v=""/>
    <m/>
    <m/>
    <m/>
    <m/>
    <s v=""/>
    <m/>
    <m/>
    <s v=""/>
    <s v=""/>
    <m/>
    <s v=""/>
    <m/>
    <m/>
    <m/>
    <m/>
    <m/>
    <s v=""/>
    <s v=""/>
    <n v="0"/>
    <n v="0"/>
    <n v="30133.333333333332"/>
  </r>
  <r>
    <n v="347"/>
    <d v="2023-07-21T21:04:00"/>
    <s v="Not My Baby"/>
    <s v="Cleaning Products"/>
    <s v="APAC"/>
    <n v="1"/>
    <x v="4"/>
    <s v="Tinkerbell Cling-Free Dryer Sheets"/>
    <x v="6"/>
    <x v="6"/>
    <s v="Total Cuts Post"/>
    <s v="Editorial"/>
    <s v="Not My Baby"/>
    <s v="TotalCuts_NotMyBaby_Edit"/>
    <s v="Original"/>
    <n v="76794.083329999994"/>
    <s v="firm-bid"/>
    <n v="87986.9375"/>
    <m/>
    <m/>
    <m/>
    <n v="1"/>
    <m/>
    <m/>
    <m/>
    <m/>
    <m/>
    <m/>
    <m/>
    <m/>
    <s v=""/>
    <m/>
    <s v=""/>
    <s v=""/>
    <m/>
    <s v=""/>
    <s v=""/>
    <n v="21200"/>
    <n v="19950"/>
    <n v="11900"/>
    <n v="2970"/>
    <m/>
    <s v=""/>
    <m/>
    <m/>
    <s v=""/>
    <s v=""/>
    <s v=""/>
    <m/>
    <s v=""/>
    <m/>
    <m/>
    <s v=""/>
    <s v=""/>
    <m/>
    <m/>
    <m/>
    <m/>
    <s v=""/>
    <m/>
    <m/>
    <s v=""/>
    <s v=""/>
    <m/>
    <s v=""/>
    <m/>
    <m/>
    <m/>
    <m/>
    <m/>
    <s v=""/>
    <s v=""/>
    <n v="0"/>
    <n v="0"/>
    <n v="87986.9375"/>
  </r>
  <r>
    <n v="347"/>
    <d v="2023-07-21T21:04:00"/>
    <s v="Not My Baby"/>
    <s v="Cleaning Products"/>
    <s v="APAC"/>
    <n v="0"/>
    <x v="4"/>
    <s v="Tinkerbell Cling-Free Dryer Sheets"/>
    <x v="6"/>
    <x v="6"/>
    <s v=""/>
    <s v="Editorial"/>
    <s v="Not My Baby"/>
    <s v="Armistace_NotMyBaby_Edit"/>
    <s v="Original"/>
    <n v="99179.791670000006"/>
    <s v="firm-bid"/>
    <m/>
    <m/>
    <m/>
    <m/>
    <m/>
    <m/>
    <m/>
    <m/>
    <m/>
    <m/>
    <m/>
    <m/>
    <m/>
    <s v=""/>
    <m/>
    <s v=""/>
    <s v=""/>
    <m/>
    <s v=""/>
    <s v=""/>
    <m/>
    <m/>
    <m/>
    <m/>
    <m/>
    <s v=""/>
    <m/>
    <m/>
    <s v=""/>
    <s v=""/>
    <s v=""/>
    <m/>
    <s v=""/>
    <m/>
    <m/>
    <s v=""/>
    <s v=""/>
    <m/>
    <m/>
    <m/>
    <m/>
    <s v=""/>
    <m/>
    <m/>
    <s v=""/>
    <s v=""/>
    <m/>
    <s v=""/>
    <m/>
    <m/>
    <m/>
    <m/>
    <m/>
    <s v=""/>
    <s v=""/>
    <n v="0"/>
    <n v="0"/>
    <n v="87986.9375"/>
  </r>
  <r>
    <n v="347"/>
    <d v="2023-07-21T21:04:00"/>
    <s v="Not My Baby"/>
    <s v="Cleaning Products"/>
    <s v="APAC"/>
    <n v="0"/>
    <x v="4"/>
    <s v="Tinkerbell Cling-Free Dryer Sheets"/>
    <x v="6"/>
    <x v="6"/>
    <s v=""/>
    <s v="Green Production Costs"/>
    <s v="Not My Baby"/>
    <s v="Mighty_NotMyBaby_Green"/>
    <s v="Original"/>
    <n v="12065"/>
    <s v="firm-bid"/>
    <m/>
    <m/>
    <m/>
    <m/>
    <m/>
    <m/>
    <m/>
    <m/>
    <m/>
    <m/>
    <m/>
    <m/>
    <m/>
    <s v=""/>
    <m/>
    <s v=""/>
    <s v=""/>
    <m/>
    <s v=""/>
    <s v=""/>
    <m/>
    <m/>
    <m/>
    <m/>
    <m/>
    <s v=""/>
    <m/>
    <m/>
    <s v=""/>
    <s v=""/>
    <s v=""/>
    <m/>
    <s v=""/>
    <m/>
    <m/>
    <s v=""/>
    <s v=""/>
    <m/>
    <m/>
    <m/>
    <m/>
    <s v=""/>
    <m/>
    <m/>
    <s v=""/>
    <s v=""/>
    <m/>
    <s v=""/>
    <m/>
    <m/>
    <m/>
    <m/>
    <m/>
    <s v=""/>
    <s v=""/>
    <n v="0"/>
    <n v="0"/>
    <n v="14816.666666666666"/>
  </r>
  <r>
    <n v="347"/>
    <d v="2023-07-21T21:04:00"/>
    <s v="Not My Baby"/>
    <s v="Cleaning Products"/>
    <s v="APAC"/>
    <n v="1"/>
    <x v="4"/>
    <s v="Tinkerbell Cling-Free Dryer Sheets"/>
    <x v="6"/>
    <x v="6"/>
    <s v="Petulant Pictures"/>
    <s v="Green Production Costs"/>
    <s v="Not My Baby"/>
    <s v="Petulant_NotMyBaby_Green"/>
    <s v="Original"/>
    <n v="18288"/>
    <s v="firm-bid"/>
    <n v="14816.666670000001"/>
    <m/>
    <m/>
    <m/>
    <m/>
    <m/>
    <m/>
    <m/>
    <n v="0"/>
    <n v="0"/>
    <m/>
    <m/>
    <m/>
    <s v=""/>
    <m/>
    <s v=""/>
    <s v=""/>
    <n v="0"/>
    <s v=""/>
    <s v=""/>
    <n v="0"/>
    <m/>
    <n v="0"/>
    <m/>
    <n v="0"/>
    <s v=""/>
    <n v="0"/>
    <m/>
    <s v=""/>
    <s v=""/>
    <s v=""/>
    <n v="0"/>
    <s v=""/>
    <n v="14400"/>
    <m/>
    <s v=""/>
    <s v=""/>
    <n v="0"/>
    <n v="0"/>
    <m/>
    <m/>
    <s v=""/>
    <n v="0"/>
    <n v="0"/>
    <s v=""/>
    <s v=""/>
    <m/>
    <s v=""/>
    <m/>
    <m/>
    <n v="0"/>
    <n v="0"/>
    <n v="0"/>
    <s v=""/>
    <s v=""/>
    <n v="0"/>
    <n v="0"/>
    <n v="14816.666666666666"/>
  </r>
  <r>
    <n v="347"/>
    <d v="2023-07-21T21:04:00"/>
    <s v="Not My Baby"/>
    <s v="Cleaning Products"/>
    <s v="APAC"/>
    <n v="0"/>
    <x v="4"/>
    <s v="Tinkerbell Cling-Free Dryer Sheets"/>
    <x v="6"/>
    <x v="6"/>
    <s v=""/>
    <s v="Green Production Costs"/>
    <s v="Not My Baby"/>
    <s v="harmony_and_Light_NotMyBaby_Green"/>
    <s v="Original"/>
    <n v="14097"/>
    <s v="firm-bid"/>
    <m/>
    <m/>
    <m/>
    <m/>
    <m/>
    <m/>
    <m/>
    <m/>
    <m/>
    <m/>
    <m/>
    <m/>
    <m/>
    <s v=""/>
    <m/>
    <s v=""/>
    <s v=""/>
    <m/>
    <s v=""/>
    <s v=""/>
    <m/>
    <m/>
    <m/>
    <m/>
    <m/>
    <s v=""/>
    <m/>
    <m/>
    <s v=""/>
    <s v=""/>
    <s v=""/>
    <m/>
    <s v=""/>
    <m/>
    <m/>
    <s v=""/>
    <s v=""/>
    <m/>
    <m/>
    <m/>
    <m/>
    <s v=""/>
    <m/>
    <m/>
    <s v=""/>
    <s v=""/>
    <m/>
    <s v=""/>
    <m/>
    <m/>
    <m/>
    <m/>
    <m/>
    <s v=""/>
    <s v=""/>
    <n v="0"/>
    <n v="0"/>
    <n v="14816.666666666666"/>
  </r>
  <r>
    <n v="347"/>
    <d v="2023-07-21T21:04:00"/>
    <s v="Not My Baby"/>
    <s v="Cleaning Products"/>
    <s v="APAC"/>
    <n v="0"/>
    <x v="4"/>
    <s v="Tinkerbell Cling-Free Dryer Sheets"/>
    <x v="6"/>
    <x v="6"/>
    <s v=""/>
    <s v="Sanitary Production Costs"/>
    <s v="Not My Baby"/>
    <s v="Mighty_NotMyBaby_Covid"/>
    <s v="Original"/>
    <n v="10083.200000000001"/>
    <s v="firm-bid"/>
    <m/>
    <m/>
    <m/>
    <m/>
    <m/>
    <m/>
    <m/>
    <m/>
    <m/>
    <m/>
    <m/>
    <m/>
    <m/>
    <s v=""/>
    <m/>
    <s v=""/>
    <s v=""/>
    <m/>
    <s v=""/>
    <s v=""/>
    <m/>
    <m/>
    <m/>
    <m/>
    <m/>
    <s v=""/>
    <m/>
    <m/>
    <s v=""/>
    <s v=""/>
    <s v=""/>
    <m/>
    <s v=""/>
    <m/>
    <m/>
    <s v=""/>
    <s v=""/>
    <m/>
    <m/>
    <m/>
    <m/>
    <s v=""/>
    <m/>
    <m/>
    <s v=""/>
    <s v=""/>
    <m/>
    <s v=""/>
    <m/>
    <m/>
    <m/>
    <m/>
    <m/>
    <s v=""/>
    <s v=""/>
    <n v="0"/>
    <n v="0"/>
    <n v="7780.3441666666668"/>
  </r>
  <r>
    <n v="347"/>
    <d v="2023-07-21T21:04:00"/>
    <s v="Not My Baby"/>
    <s v="Cleaning Products"/>
    <s v="APAC"/>
    <n v="1"/>
    <x v="4"/>
    <s v="Tinkerbell Cling-Free Dryer Sheets"/>
    <x v="6"/>
    <x v="6"/>
    <s v="Petulant Pictures"/>
    <s v="Sanitary Production Costs"/>
    <s v="Not My Baby"/>
    <s v="Petulant_NotMyBaby_Covid"/>
    <s v="Original"/>
    <n v="8736.1474999999991"/>
    <s v="firm-bid"/>
    <n v="7780.3441670000002"/>
    <m/>
    <m/>
    <m/>
    <m/>
    <m/>
    <m/>
    <m/>
    <m/>
    <m/>
    <m/>
    <m/>
    <m/>
    <s v=""/>
    <n v="4050"/>
    <s v=""/>
    <s v=""/>
    <m/>
    <s v=""/>
    <s v=""/>
    <m/>
    <m/>
    <m/>
    <m/>
    <m/>
    <s v=""/>
    <m/>
    <m/>
    <s v=""/>
    <s v=""/>
    <s v=""/>
    <m/>
    <s v=""/>
    <m/>
    <m/>
    <s v=""/>
    <s v=""/>
    <m/>
    <m/>
    <n v="1495"/>
    <m/>
    <s v=""/>
    <m/>
    <m/>
    <s v=""/>
    <s v=""/>
    <m/>
    <s v=""/>
    <m/>
    <m/>
    <m/>
    <m/>
    <m/>
    <s v=""/>
    <s v=""/>
    <n v="0"/>
    <n v="0"/>
    <n v="7780.3441666666668"/>
  </r>
  <r>
    <n v="347"/>
    <d v="2023-07-21T21:04:00"/>
    <s v="Not My Baby"/>
    <s v="Cleaning Products"/>
    <s v="APAC"/>
    <n v="0"/>
    <x v="4"/>
    <s v="Tinkerbell Cling-Free Dryer Sheets"/>
    <x v="6"/>
    <x v="6"/>
    <s v=""/>
    <s v="Sanitary Production Costs"/>
    <s v="Not My Baby"/>
    <s v="harmony_and_Light_NotMyBaby_Covid"/>
    <s v="Original"/>
    <n v="4521.6850000000004"/>
    <s v="firm-bid"/>
    <m/>
    <m/>
    <m/>
    <m/>
    <m/>
    <m/>
    <m/>
    <m/>
    <m/>
    <m/>
    <m/>
    <m/>
    <m/>
    <s v=""/>
    <m/>
    <s v=""/>
    <s v=""/>
    <m/>
    <s v=""/>
    <s v=""/>
    <m/>
    <m/>
    <m/>
    <m/>
    <m/>
    <s v=""/>
    <m/>
    <m/>
    <s v=""/>
    <s v=""/>
    <s v=""/>
    <m/>
    <s v=""/>
    <m/>
    <m/>
    <s v=""/>
    <s v=""/>
    <m/>
    <m/>
    <m/>
    <m/>
    <s v=""/>
    <m/>
    <m/>
    <s v=""/>
    <s v=""/>
    <m/>
    <s v=""/>
    <m/>
    <m/>
    <m/>
    <m/>
    <m/>
    <s v=""/>
    <s v=""/>
    <n v="0"/>
    <n v="0"/>
    <n v="7780.3441666666668"/>
  </r>
  <r>
    <n v="347"/>
    <d v="2023-07-21T21:04:00"/>
    <s v="Not My Baby"/>
    <s v="Cleaning Products"/>
    <s v="APAC"/>
    <n v="0"/>
    <x v="4"/>
    <s v="Tinkerbell Cling-Free Dryer Sheets"/>
    <x v="6"/>
    <x v="6"/>
    <s v=""/>
    <s v="Film &amp; Video Production"/>
    <s v="Not My Baby"/>
    <s v="Mighty_NotMyBaby_LiveAction"/>
    <s v="Original"/>
    <n v="891654.0625"/>
    <s v="firm-bid"/>
    <m/>
    <m/>
    <m/>
    <m/>
    <m/>
    <m/>
    <m/>
    <m/>
    <m/>
    <m/>
    <m/>
    <m/>
    <m/>
    <s v=""/>
    <m/>
    <s v=""/>
    <s v=""/>
    <m/>
    <s v=""/>
    <s v=""/>
    <m/>
    <m/>
    <m/>
    <m/>
    <m/>
    <s v=""/>
    <m/>
    <m/>
    <s v=""/>
    <s v=""/>
    <s v=""/>
    <m/>
    <s v=""/>
    <m/>
    <m/>
    <s v=""/>
    <s v=""/>
    <m/>
    <m/>
    <m/>
    <m/>
    <s v=""/>
    <m/>
    <m/>
    <s v=""/>
    <s v=""/>
    <m/>
    <s v=""/>
    <m/>
    <m/>
    <m/>
    <m/>
    <m/>
    <s v=""/>
    <s v=""/>
    <n v="0"/>
    <n v="0"/>
    <n v="834064.01939999999"/>
  </r>
  <r>
    <n v="347"/>
    <d v="2023-07-21T21:04:00"/>
    <s v="Not My Baby"/>
    <s v="Cleaning Products"/>
    <s v="APAC"/>
    <n v="1"/>
    <x v="4"/>
    <s v="Tinkerbell Cling-Free Dryer Sheets"/>
    <x v="6"/>
    <x v="6"/>
    <s v="Petulant Pictures"/>
    <s v="Film &amp; Video Production"/>
    <s v="Not My Baby"/>
    <s v="Petulant_NotMyBaby_LiveAction"/>
    <s v="Original"/>
    <n v="805591.46250000002"/>
    <s v="firm-bid"/>
    <n v="834064.01939999999"/>
    <m/>
    <m/>
    <m/>
    <m/>
    <m/>
    <m/>
    <m/>
    <n v="34177"/>
    <n v="15350"/>
    <m/>
    <m/>
    <m/>
    <s v=""/>
    <m/>
    <s v=""/>
    <s v=""/>
    <n v="95000"/>
    <s v=""/>
    <s v=""/>
    <n v="0"/>
    <m/>
    <n v="0"/>
    <m/>
    <n v="81850"/>
    <s v=""/>
    <n v="2000"/>
    <m/>
    <s v=""/>
    <s v=""/>
    <s v=""/>
    <n v="39334"/>
    <s v=""/>
    <n v="0"/>
    <m/>
    <s v=""/>
    <s v=""/>
    <n v="18050"/>
    <n v="165236.5"/>
    <m/>
    <m/>
    <s v=""/>
    <n v="30000"/>
    <n v="155825.67000000001"/>
    <s v=""/>
    <s v=""/>
    <m/>
    <s v=""/>
    <m/>
    <m/>
    <n v="7650"/>
    <n v="0"/>
    <n v="0"/>
    <s v=""/>
    <s v=""/>
    <n v="0"/>
    <n v="0"/>
    <n v="834064.01939999999"/>
  </r>
  <r>
    <n v="347"/>
    <d v="2023-07-21T21:04:00"/>
    <s v="Not My Baby"/>
    <s v="Cleaning Products"/>
    <s v="APAC"/>
    <n v="0"/>
    <x v="4"/>
    <s v="Tinkerbell Cling-Free Dryer Sheets"/>
    <x v="6"/>
    <x v="6"/>
    <s v=""/>
    <s v="Film &amp; Video Production"/>
    <s v="Not My Baby"/>
    <s v="harmony_and_Light_NotMyBaby_LiveAction"/>
    <s v="Original"/>
    <n v="804946.53319999995"/>
    <s v="firm-bid"/>
    <m/>
    <m/>
    <m/>
    <m/>
    <m/>
    <m/>
    <m/>
    <m/>
    <m/>
    <m/>
    <m/>
    <m/>
    <m/>
    <s v=""/>
    <m/>
    <s v=""/>
    <s v=""/>
    <m/>
    <s v=""/>
    <s v=""/>
    <m/>
    <m/>
    <m/>
    <m/>
    <m/>
    <s v=""/>
    <m/>
    <m/>
    <s v=""/>
    <s v=""/>
    <s v=""/>
    <m/>
    <s v=""/>
    <m/>
    <m/>
    <s v=""/>
    <s v=""/>
    <m/>
    <m/>
    <m/>
    <m/>
    <s v=""/>
    <m/>
    <m/>
    <s v=""/>
    <s v=""/>
    <m/>
    <s v=""/>
    <m/>
    <m/>
    <m/>
    <m/>
    <m/>
    <s v=""/>
    <s v=""/>
    <n v="0"/>
    <n v="0"/>
    <n v="834064.01939999999"/>
  </r>
  <r>
    <n v="350"/>
    <d v="2023-07-21T21:06:00"/>
    <s v="Hold the Ketchup!"/>
    <s v="Cleaning Products"/>
    <s v="APAC"/>
    <n v="1"/>
    <x v="4"/>
    <s v="Tinkerbell Crystal Clear"/>
    <x v="6"/>
    <x v="6"/>
    <s v="Love Language"/>
    <s v="Audio Post"/>
    <s v="Love Language &quot;Hold the Ketchup!&quot;"/>
    <s v="Love135"/>
    <s v="Original"/>
    <n v="30170"/>
    <s v="firm-bid"/>
    <n v="38485"/>
    <n v="1"/>
    <m/>
    <m/>
    <m/>
    <m/>
    <m/>
    <m/>
    <m/>
    <m/>
    <n v="30170"/>
    <m/>
    <m/>
    <s v=""/>
    <m/>
    <s v=""/>
    <s v=""/>
    <m/>
    <s v=""/>
    <s v=""/>
    <m/>
    <m/>
    <m/>
    <m/>
    <m/>
    <s v=""/>
    <m/>
    <m/>
    <s v=""/>
    <s v=""/>
    <s v=""/>
    <m/>
    <s v=""/>
    <m/>
    <m/>
    <s v=""/>
    <s v=""/>
    <m/>
    <m/>
    <m/>
    <m/>
    <s v=""/>
    <m/>
    <m/>
    <s v=""/>
    <s v=""/>
    <m/>
    <s v=""/>
    <m/>
    <m/>
    <m/>
    <m/>
    <m/>
    <s v=""/>
    <s v=""/>
    <n v="30170"/>
    <n v="30170"/>
    <n v="38485"/>
  </r>
  <r>
    <n v="350"/>
    <d v="2023-07-21T21:06:00"/>
    <s v="Hold the Ketchup!"/>
    <s v="Cleaning Products"/>
    <s v="APAC"/>
    <n v="0"/>
    <x v="4"/>
    <s v="Tinkerbell Crystal Clear"/>
    <x v="6"/>
    <x v="6"/>
    <s v=""/>
    <s v="Audio Post"/>
    <s v="FunnyRabbit"/>
    <s v="FunnyRabbit"/>
    <s v="Original"/>
    <n v="46800"/>
    <s v="firm-bid"/>
    <m/>
    <m/>
    <m/>
    <m/>
    <m/>
    <m/>
    <m/>
    <m/>
    <m/>
    <m/>
    <m/>
    <m/>
    <m/>
    <s v=""/>
    <m/>
    <s v=""/>
    <s v=""/>
    <m/>
    <s v=""/>
    <s v=""/>
    <m/>
    <m/>
    <m/>
    <m/>
    <m/>
    <s v=""/>
    <m/>
    <m/>
    <s v=""/>
    <s v=""/>
    <s v=""/>
    <m/>
    <s v=""/>
    <m/>
    <m/>
    <s v=""/>
    <s v=""/>
    <m/>
    <m/>
    <m/>
    <m/>
    <s v=""/>
    <m/>
    <m/>
    <s v=""/>
    <s v=""/>
    <m/>
    <s v=""/>
    <m/>
    <m/>
    <m/>
    <m/>
    <m/>
    <s v=""/>
    <s v=""/>
    <n v="0"/>
    <n v="0"/>
    <n v="38485"/>
  </r>
  <r>
    <n v="350"/>
    <d v="2023-07-21T21:06:00"/>
    <s v="Hold the Ketchup!"/>
    <s v="Cleaning Products"/>
    <s v="APAC"/>
    <n v="0"/>
    <x v="4"/>
    <s v="Tinkerbell Crystal Clear"/>
    <x v="6"/>
    <x v="6"/>
    <s v=""/>
    <s v="Film &amp; Video Production"/>
    <s v="Hold the Ketchup!"/>
    <s v="TestFlight_HoldtheKetchup_LiveAction"/>
    <s v="Original"/>
    <n v="767907.3125"/>
    <s v="firm-bid"/>
    <m/>
    <m/>
    <n v="1"/>
    <m/>
    <m/>
    <m/>
    <m/>
    <m/>
    <m/>
    <m/>
    <m/>
    <m/>
    <m/>
    <s v=""/>
    <m/>
    <s v=""/>
    <s v=""/>
    <m/>
    <s v=""/>
    <s v=""/>
    <m/>
    <m/>
    <m/>
    <m/>
    <m/>
    <s v=""/>
    <m/>
    <m/>
    <s v=""/>
    <s v=""/>
    <s v=""/>
    <m/>
    <s v=""/>
    <m/>
    <m/>
    <s v=""/>
    <s v=""/>
    <m/>
    <m/>
    <m/>
    <m/>
    <s v=""/>
    <m/>
    <m/>
    <s v=""/>
    <s v=""/>
    <m/>
    <s v=""/>
    <m/>
    <m/>
    <m/>
    <m/>
    <m/>
    <s v=""/>
    <s v=""/>
    <n v="0"/>
    <n v="0"/>
    <n v="831311.73625000007"/>
  </r>
  <r>
    <n v="350"/>
    <d v="2023-07-21T21:06:00"/>
    <s v="Hold the Ketchup!"/>
    <s v="Cleaning Products"/>
    <s v="APAC"/>
    <n v="1"/>
    <x v="4"/>
    <s v="Tinkerbell Crystal Clear"/>
    <x v="6"/>
    <x v="6"/>
    <s v="Open Frameworks Image Creation"/>
    <s v="Film &amp; Video Production"/>
    <s v="Ketchup"/>
    <s v="OpenFrameworks_HoldtheKetchup_LiveAction"/>
    <s v="Original"/>
    <n v="894716.16"/>
    <s v="firm-bid"/>
    <n v="831311.73629999999"/>
    <m/>
    <m/>
    <m/>
    <m/>
    <m/>
    <m/>
    <m/>
    <n v="50050"/>
    <n v="85850"/>
    <m/>
    <m/>
    <m/>
    <s v=""/>
    <m/>
    <s v=""/>
    <s v=""/>
    <n v="90000"/>
    <s v=""/>
    <s v=""/>
    <n v="0"/>
    <m/>
    <n v="0"/>
    <m/>
    <n v="51500"/>
    <s v=""/>
    <n v="2400"/>
    <m/>
    <s v=""/>
    <s v=""/>
    <s v=""/>
    <n v="17899"/>
    <s v=""/>
    <n v="7600"/>
    <m/>
    <s v=""/>
    <s v=""/>
    <n v="26400"/>
    <n v="187866.25"/>
    <m/>
    <m/>
    <s v=""/>
    <n v="4000"/>
    <n v="160481.75"/>
    <s v=""/>
    <s v=""/>
    <m/>
    <s v=""/>
    <m/>
    <m/>
    <n v="14950"/>
    <n v="0"/>
    <n v="0"/>
    <s v=""/>
    <s v=""/>
    <n v="0"/>
    <n v="0"/>
    <n v="831311.73625000007"/>
  </r>
  <r>
    <n v="350"/>
    <d v="2023-07-21T21:06:00"/>
    <s v="Hold the Ketchup!"/>
    <s v="Cleaning Products"/>
    <s v="APAC"/>
    <n v="0"/>
    <x v="4"/>
    <s v="Tinkerbell Crystal Clear"/>
    <x v="6"/>
    <x v="6"/>
    <s v=""/>
    <s v="Editorial"/>
    <s v="Hold the Ketchup!"/>
    <s v="Margin5_HoldtheKetchup_Edit"/>
    <s v="Original"/>
    <n v="103909.1667"/>
    <s v="firm-bid"/>
    <m/>
    <m/>
    <m/>
    <n v="1"/>
    <m/>
    <m/>
    <m/>
    <m/>
    <m/>
    <m/>
    <m/>
    <m/>
    <m/>
    <s v=""/>
    <m/>
    <s v=""/>
    <s v=""/>
    <m/>
    <s v=""/>
    <s v=""/>
    <m/>
    <m/>
    <m/>
    <m/>
    <m/>
    <s v=""/>
    <m/>
    <m/>
    <s v=""/>
    <s v=""/>
    <s v=""/>
    <m/>
    <s v=""/>
    <m/>
    <m/>
    <s v=""/>
    <s v=""/>
    <m/>
    <m/>
    <m/>
    <m/>
    <s v=""/>
    <m/>
    <m/>
    <s v=""/>
    <s v=""/>
    <m/>
    <s v=""/>
    <m/>
    <m/>
    <m/>
    <m/>
    <m/>
    <s v=""/>
    <s v=""/>
    <n v="0"/>
    <n v="0"/>
    <n v="122096.46946666666"/>
  </r>
  <r>
    <n v="350"/>
    <d v="2023-07-21T21:06:00"/>
    <s v="Hold the Ketchup!"/>
    <s v="Cleaning Products"/>
    <s v="APAC"/>
    <n v="1"/>
    <x v="4"/>
    <s v="Tinkerbell Crystal Clear"/>
    <x v="6"/>
    <x v="6"/>
    <s v="Fight Club"/>
    <s v="Editorial"/>
    <s v="Hold the Ketchup!"/>
    <s v="Fightclub_HoldtheKetchup_Edit"/>
    <s v="Original"/>
    <n v="109025.1167"/>
    <s v="firm-bid"/>
    <n v="122096.4694"/>
    <m/>
    <m/>
    <m/>
    <m/>
    <m/>
    <m/>
    <m/>
    <m/>
    <m/>
    <m/>
    <m/>
    <m/>
    <s v=""/>
    <m/>
    <s v=""/>
    <s v=""/>
    <m/>
    <s v=""/>
    <s v=""/>
    <n v="20400"/>
    <n v="21300"/>
    <n v="32250"/>
    <n v="5582"/>
    <m/>
    <s v=""/>
    <m/>
    <m/>
    <s v=""/>
    <s v=""/>
    <s v=""/>
    <m/>
    <s v=""/>
    <m/>
    <m/>
    <s v=""/>
    <s v=""/>
    <m/>
    <m/>
    <m/>
    <m/>
    <s v=""/>
    <m/>
    <m/>
    <s v=""/>
    <s v=""/>
    <m/>
    <s v=""/>
    <m/>
    <m/>
    <m/>
    <m/>
    <m/>
    <s v=""/>
    <s v=""/>
    <n v="0"/>
    <n v="0"/>
    <n v="122096.46946666666"/>
  </r>
  <r>
    <n v="350"/>
    <d v="2023-07-21T21:06:00"/>
    <s v="Hold the Ketchup!"/>
    <s v="Cleaning Products"/>
    <s v="APAC"/>
    <n v="0"/>
    <x v="4"/>
    <s v="Tinkerbell Crystal Clear"/>
    <x v="6"/>
    <x v="6"/>
    <s v=""/>
    <s v="Editorial"/>
    <s v="SAKS - Hold the Ketchup! 5/12 v3"/>
    <s v="SaksStreetEdit_HoldtheKetchup_Edit"/>
    <s v="Original"/>
    <n v="153355.125"/>
    <s v="firm-bid"/>
    <m/>
    <m/>
    <m/>
    <m/>
    <n v="1"/>
    <m/>
    <n v="1"/>
    <m/>
    <m/>
    <m/>
    <m/>
    <m/>
    <m/>
    <s v=""/>
    <m/>
    <s v=""/>
    <s v=""/>
    <m/>
    <s v=""/>
    <s v=""/>
    <m/>
    <m/>
    <m/>
    <m/>
    <m/>
    <s v=""/>
    <m/>
    <m/>
    <s v=""/>
    <s v=""/>
    <s v=""/>
    <m/>
    <s v=""/>
    <m/>
    <m/>
    <s v=""/>
    <s v=""/>
    <m/>
    <m/>
    <m/>
    <m/>
    <s v=""/>
    <m/>
    <m/>
    <s v=""/>
    <s v=""/>
    <m/>
    <s v=""/>
    <m/>
    <m/>
    <m/>
    <m/>
    <m/>
    <s v=""/>
    <s v=""/>
    <n v="0"/>
    <n v="0"/>
    <n v="122096.46946666666"/>
  </r>
  <r>
    <n v="350"/>
    <d v="2023-07-21T21:06:00"/>
    <s v="Hold the Ketchup!"/>
    <s v="Cleaning Products"/>
    <s v="APAC"/>
    <n v="0"/>
    <x v="4"/>
    <s v="Tinkerbell Crystal Clear"/>
    <x v="6"/>
    <x v="6"/>
    <s v=""/>
    <s v="Finishing"/>
    <s v="‚ÄúHold the Ketchup!‚Äù | Dub House"/>
    <s v="TheDubHouse_HoldtheKetchup_Finishing"/>
    <s v="Original"/>
    <n v="16750"/>
    <s v="firm-bid"/>
    <m/>
    <m/>
    <m/>
    <n v="1"/>
    <m/>
    <m/>
    <m/>
    <m/>
    <m/>
    <m/>
    <m/>
    <m/>
    <m/>
    <s v=""/>
    <m/>
    <s v=""/>
    <s v=""/>
    <m/>
    <s v=""/>
    <s v=""/>
    <m/>
    <m/>
    <m/>
    <m/>
    <m/>
    <s v=""/>
    <m/>
    <m/>
    <s v=""/>
    <s v=""/>
    <s v=""/>
    <m/>
    <s v=""/>
    <m/>
    <m/>
    <s v=""/>
    <s v=""/>
    <m/>
    <m/>
    <m/>
    <m/>
    <s v=""/>
    <m/>
    <m/>
    <s v=""/>
    <s v=""/>
    <m/>
    <s v=""/>
    <m/>
    <m/>
    <m/>
    <m/>
    <m/>
    <s v=""/>
    <s v=""/>
    <n v="0"/>
    <n v="0"/>
    <n v="23066.666666666668"/>
  </r>
  <r>
    <n v="350"/>
    <d v="2023-07-21T21:06:00"/>
    <s v="Hold the Ketchup!"/>
    <s v="Cleaning Products"/>
    <s v="APAC"/>
    <n v="1"/>
    <x v="4"/>
    <s v="Tinkerbell Crystal Clear"/>
    <x v="6"/>
    <x v="6"/>
    <s v="Rackspace Digital"/>
    <s v="Finishing"/>
    <s v="&quot;Hold the Ketchup!&quot;  RSD #452088"/>
    <s v="RackspaceDigital_HoldtheKetchup_Finishing"/>
    <s v="Original"/>
    <n v="30450"/>
    <s v="firm-bid"/>
    <n v="23066.666669999999"/>
    <m/>
    <m/>
    <m/>
    <m/>
    <m/>
    <m/>
    <m/>
    <m/>
    <m/>
    <m/>
    <m/>
    <m/>
    <s v=""/>
    <m/>
    <s v=""/>
    <s v=""/>
    <m/>
    <s v=""/>
    <s v=""/>
    <m/>
    <m/>
    <m/>
    <m/>
    <m/>
    <s v=""/>
    <m/>
    <n v="30450"/>
    <s v=""/>
    <s v=""/>
    <s v=""/>
    <m/>
    <s v=""/>
    <m/>
    <m/>
    <s v=""/>
    <s v=""/>
    <m/>
    <m/>
    <m/>
    <m/>
    <s v=""/>
    <m/>
    <m/>
    <s v=""/>
    <s v=""/>
    <m/>
    <s v=""/>
    <m/>
    <m/>
    <m/>
    <m/>
    <m/>
    <s v=""/>
    <s v=""/>
    <n v="0"/>
    <n v="0"/>
    <n v="23066.666666666668"/>
  </r>
  <r>
    <n v="350"/>
    <d v="2023-07-21T21:06:00"/>
    <s v="Hold the Ketchup!"/>
    <s v="Cleaning Products"/>
    <s v="APAC"/>
    <n v="0"/>
    <x v="4"/>
    <s v="Tinkerbell Crystal Clear"/>
    <x v="6"/>
    <x v="6"/>
    <s v=""/>
    <s v="Finishing"/>
    <s v="Hold the Ketchup Finishing -  Burnish"/>
    <s v="Burnish_HoldtheKetchup_Finishing"/>
    <s v="Original"/>
    <n v="22000"/>
    <s v="firm-bid"/>
    <m/>
    <m/>
    <m/>
    <m/>
    <m/>
    <n v="1"/>
    <m/>
    <m/>
    <m/>
    <m/>
    <m/>
    <m/>
    <m/>
    <s v=""/>
    <m/>
    <s v=""/>
    <s v=""/>
    <m/>
    <s v=""/>
    <s v=""/>
    <m/>
    <m/>
    <m/>
    <m/>
    <m/>
    <s v=""/>
    <m/>
    <m/>
    <s v=""/>
    <s v=""/>
    <s v=""/>
    <m/>
    <s v=""/>
    <m/>
    <m/>
    <s v=""/>
    <s v=""/>
    <m/>
    <m/>
    <m/>
    <m/>
    <s v=""/>
    <m/>
    <m/>
    <s v=""/>
    <s v=""/>
    <m/>
    <s v=""/>
    <m/>
    <m/>
    <m/>
    <m/>
    <m/>
    <s v=""/>
    <s v=""/>
    <n v="0"/>
    <n v="0"/>
    <n v="23066.666666666668"/>
  </r>
  <r>
    <n v="350"/>
    <d v="2023-07-21T21:06:00"/>
    <s v="Hold the Ketchup!"/>
    <s v="Cleaning Products"/>
    <s v="APAC"/>
    <n v="0"/>
    <x v="4"/>
    <s v="Tinkerbell Crystal Clear"/>
    <x v="6"/>
    <x v="6"/>
    <s v=""/>
    <s v="Sanitary Production Costs"/>
    <s v="Hold the Ketchup!"/>
    <s v="TestFlight_HoldtheKetchup_Covid"/>
    <s v="Original"/>
    <n v="13147.547500000001"/>
    <s v="firm-bid"/>
    <m/>
    <m/>
    <n v="1"/>
    <m/>
    <m/>
    <m/>
    <m/>
    <m/>
    <m/>
    <m/>
    <m/>
    <m/>
    <m/>
    <s v=""/>
    <m/>
    <s v=""/>
    <s v=""/>
    <m/>
    <s v=""/>
    <s v=""/>
    <m/>
    <m/>
    <m/>
    <m/>
    <m/>
    <s v=""/>
    <m/>
    <m/>
    <s v=""/>
    <s v=""/>
    <s v=""/>
    <m/>
    <s v=""/>
    <m/>
    <m/>
    <s v=""/>
    <s v=""/>
    <m/>
    <m/>
    <m/>
    <m/>
    <s v=""/>
    <m/>
    <m/>
    <s v=""/>
    <s v=""/>
    <m/>
    <s v=""/>
    <m/>
    <m/>
    <m/>
    <m/>
    <m/>
    <s v=""/>
    <s v=""/>
    <n v="0"/>
    <n v="0"/>
    <n v="9449.0612500000007"/>
  </r>
  <r>
    <n v="350"/>
    <d v="2023-07-21T21:06:00"/>
    <s v="Hold the Ketchup!"/>
    <s v="Cleaning Products"/>
    <s v="APAC"/>
    <n v="1"/>
    <x v="4"/>
    <s v="Tinkerbell Crystal Clear"/>
    <x v="6"/>
    <x v="6"/>
    <s v="Open Frameworks Image Creation"/>
    <s v="Sanitary Production Costs"/>
    <s v="Ketchup"/>
    <s v="OpenFrameworks_HoldtheKetchup_Covid"/>
    <s v="Original"/>
    <n v="5750.5749999999998"/>
    <s v="firm-bid"/>
    <n v="9449.0612500000007"/>
    <m/>
    <m/>
    <m/>
    <m/>
    <m/>
    <m/>
    <m/>
    <m/>
    <m/>
    <m/>
    <m/>
    <m/>
    <s v=""/>
    <n v="2000"/>
    <s v=""/>
    <s v=""/>
    <m/>
    <s v=""/>
    <s v=""/>
    <m/>
    <m/>
    <m/>
    <m/>
    <m/>
    <s v=""/>
    <m/>
    <m/>
    <s v=""/>
    <s v=""/>
    <s v=""/>
    <m/>
    <s v=""/>
    <m/>
    <m/>
    <s v=""/>
    <s v=""/>
    <m/>
    <m/>
    <n v="1650"/>
    <m/>
    <s v=""/>
    <m/>
    <m/>
    <s v=""/>
    <s v=""/>
    <m/>
    <s v=""/>
    <m/>
    <m/>
    <m/>
    <m/>
    <m/>
    <s v=""/>
    <s v=""/>
    <n v="0"/>
    <n v="0"/>
    <n v="9449.0612500000007"/>
  </r>
  <r>
    <n v="350"/>
    <d v="2023-07-21T21:06:00"/>
    <s v="Hold the Ketchup!"/>
    <s v="Cleaning Products"/>
    <s v="APAC"/>
    <n v="0"/>
    <x v="4"/>
    <s v="Tinkerbell Crystal Clear"/>
    <x v="6"/>
    <x v="6"/>
    <s v=""/>
    <s v="Green Production Costs"/>
    <s v="Hold the Ketchup!"/>
    <s v="TestFlight_HoldtheKetchup_Green"/>
    <s v="Original"/>
    <n v="7680"/>
    <s v="firm-bid"/>
    <m/>
    <m/>
    <n v="1"/>
    <m/>
    <m/>
    <m/>
    <m/>
    <m/>
    <m/>
    <m/>
    <m/>
    <m/>
    <m/>
    <s v=""/>
    <m/>
    <s v=""/>
    <s v=""/>
    <m/>
    <s v=""/>
    <s v=""/>
    <m/>
    <m/>
    <m/>
    <m/>
    <m/>
    <s v=""/>
    <m/>
    <m/>
    <s v=""/>
    <s v=""/>
    <s v=""/>
    <m/>
    <s v=""/>
    <m/>
    <m/>
    <s v=""/>
    <s v=""/>
    <m/>
    <m/>
    <m/>
    <m/>
    <s v=""/>
    <m/>
    <m/>
    <s v=""/>
    <s v=""/>
    <m/>
    <s v=""/>
    <m/>
    <m/>
    <m/>
    <m/>
    <m/>
    <s v=""/>
    <s v=""/>
    <n v="0"/>
    <n v="0"/>
    <n v="13794"/>
  </r>
  <r>
    <n v="350"/>
    <d v="2023-07-21T21:06:00"/>
    <s v="Hold the Ketchup!"/>
    <s v="Cleaning Products"/>
    <s v="APAC"/>
    <n v="1"/>
    <x v="4"/>
    <s v="Tinkerbell Crystal Clear"/>
    <x v="6"/>
    <x v="6"/>
    <s v="Open Frameworks Image Creation"/>
    <s v="Green Production Costs"/>
    <s v="Ketchup"/>
    <s v="OpenFrameworks_HoldtheKetchup_Green"/>
    <s v="Original"/>
    <n v="19908"/>
    <s v="firm-bid"/>
    <n v="13794"/>
    <m/>
    <m/>
    <m/>
    <m/>
    <m/>
    <m/>
    <m/>
    <n v="0"/>
    <n v="0"/>
    <m/>
    <m/>
    <m/>
    <s v=""/>
    <m/>
    <s v=""/>
    <s v=""/>
    <n v="0"/>
    <s v=""/>
    <s v=""/>
    <n v="0"/>
    <m/>
    <n v="0"/>
    <m/>
    <n v="0"/>
    <s v=""/>
    <n v="0"/>
    <m/>
    <s v=""/>
    <s v=""/>
    <s v=""/>
    <n v="0"/>
    <s v=""/>
    <n v="15800"/>
    <m/>
    <s v=""/>
    <s v=""/>
    <n v="0"/>
    <n v="0"/>
    <m/>
    <m/>
    <s v=""/>
    <n v="0"/>
    <n v="0"/>
    <s v=""/>
    <s v=""/>
    <m/>
    <s v=""/>
    <m/>
    <m/>
    <n v="0"/>
    <n v="0"/>
    <n v="0"/>
    <s v=""/>
    <s v=""/>
    <n v="0"/>
    <n v="0"/>
    <n v="13794"/>
  </r>
  <r>
    <n v="350"/>
    <d v="2023-07-21T21:06:00"/>
    <s v="Hold the Ketchup!"/>
    <s v="Cleaning Products"/>
    <s v="APAC"/>
    <n v="0"/>
    <x v="4"/>
    <s v="Tinkerbell Crystal Clear"/>
    <x v="6"/>
    <x v="6"/>
    <s v=""/>
    <s v="Behind The Scenes (BTS)"/>
    <s v="Hold the Ketchup!"/>
    <s v="TestFlight_HoldtheKetchup_BTS"/>
    <s v="Original"/>
    <n v="19299.875"/>
    <s v="firm-bid"/>
    <m/>
    <m/>
    <n v="1"/>
    <m/>
    <m/>
    <m/>
    <m/>
    <m/>
    <m/>
    <m/>
    <m/>
    <m/>
    <m/>
    <s v=""/>
    <m/>
    <s v=""/>
    <s v=""/>
    <m/>
    <s v=""/>
    <s v=""/>
    <m/>
    <m/>
    <m/>
    <m/>
    <m/>
    <s v=""/>
    <m/>
    <m/>
    <s v=""/>
    <s v=""/>
    <s v=""/>
    <m/>
    <s v=""/>
    <m/>
    <m/>
    <s v=""/>
    <s v=""/>
    <m/>
    <m/>
    <m/>
    <m/>
    <s v=""/>
    <m/>
    <m/>
    <s v=""/>
    <s v=""/>
    <m/>
    <s v=""/>
    <m/>
    <m/>
    <m/>
    <m/>
    <m/>
    <s v=""/>
    <s v=""/>
    <n v="0"/>
    <n v="0"/>
    <n v="20323.95"/>
  </r>
  <r>
    <n v="350"/>
    <d v="2023-07-21T21:06:00"/>
    <s v="Hold the Ketchup!"/>
    <s v="Cleaning Products"/>
    <s v="APAC"/>
    <n v="1"/>
    <x v="4"/>
    <s v="Tinkerbell Crystal Clear"/>
    <x v="6"/>
    <x v="6"/>
    <s v="Open Frameworks Image Creation"/>
    <s v="Behind The Scenes (BTS)"/>
    <s v="Ketchup"/>
    <s v="OpenFrameworks_HoldtheKetchup_BTS"/>
    <s v="Original"/>
    <n v="21348.025000000001"/>
    <s v="firm-bid"/>
    <n v="20323.95"/>
    <m/>
    <m/>
    <m/>
    <m/>
    <m/>
    <m/>
    <m/>
    <m/>
    <m/>
    <m/>
    <n v="13550"/>
    <m/>
    <s v=""/>
    <m/>
    <s v=""/>
    <s v=""/>
    <m/>
    <s v=""/>
    <s v=""/>
    <m/>
    <m/>
    <m/>
    <m/>
    <m/>
    <s v=""/>
    <m/>
    <m/>
    <s v=""/>
    <s v=""/>
    <s v=""/>
    <m/>
    <s v=""/>
    <m/>
    <m/>
    <s v=""/>
    <s v=""/>
    <m/>
    <m/>
    <m/>
    <m/>
    <s v=""/>
    <m/>
    <m/>
    <s v=""/>
    <s v=""/>
    <m/>
    <s v=""/>
    <m/>
    <m/>
    <m/>
    <m/>
    <m/>
    <s v=""/>
    <s v=""/>
    <n v="0"/>
    <n v="0"/>
    <n v="20323.95"/>
  </r>
  <r>
    <n v="356"/>
    <d v="2023-07-21T21:13:00"/>
    <s v="I'll Take Your Word For It"/>
    <s v="Cleaning Products"/>
    <s v="North America"/>
    <n v="0"/>
    <x v="5"/>
    <s v="Ultra White Plus"/>
    <x v="6"/>
    <x v="7"/>
    <s v=""/>
    <s v="Audio Post"/>
    <s v="Audio Labs &quot;I'll Take Your Word For It&quot;"/>
    <s v="Audio_97"/>
    <s v="Original"/>
    <n v="77780"/>
    <s v="firm-bid"/>
    <m/>
    <m/>
    <m/>
    <n v="1"/>
    <m/>
    <m/>
    <n v="1"/>
    <m/>
    <m/>
    <m/>
    <m/>
    <m/>
    <m/>
    <s v=""/>
    <m/>
    <s v=""/>
    <s v=""/>
    <m/>
    <s v=""/>
    <s v=""/>
    <m/>
    <m/>
    <m/>
    <m/>
    <m/>
    <s v=""/>
    <m/>
    <m/>
    <s v=""/>
    <s v=""/>
    <s v=""/>
    <m/>
    <s v=""/>
    <m/>
    <m/>
    <s v=""/>
    <s v=""/>
    <m/>
    <m/>
    <m/>
    <m/>
    <s v=""/>
    <m/>
    <m/>
    <s v=""/>
    <s v=""/>
    <m/>
    <s v=""/>
    <m/>
    <m/>
    <m/>
    <m/>
    <m/>
    <s v=""/>
    <s v=""/>
    <n v="0"/>
    <n v="0"/>
    <n v="65180"/>
  </r>
  <r>
    <n v="356"/>
    <d v="2023-07-21T21:13:00"/>
    <s v="I'll Take Your Word For It"/>
    <s v="Cleaning Products"/>
    <s v="North America"/>
    <n v="1"/>
    <x v="5"/>
    <s v="Ultra White Plus"/>
    <x v="6"/>
    <x v="7"/>
    <s v="Sound Monster"/>
    <s v="Audio Post"/>
    <s v="Sound Monster &quot;I'll Take Your Word For It&quot;"/>
    <s v="Sound Monster"/>
    <s v="Original"/>
    <n v="52580"/>
    <s v="firm-bid"/>
    <n v="65180"/>
    <m/>
    <m/>
    <m/>
    <m/>
    <m/>
    <m/>
    <m/>
    <m/>
    <m/>
    <n v="52580"/>
    <m/>
    <m/>
    <s v=""/>
    <m/>
    <s v=""/>
    <s v=""/>
    <m/>
    <s v=""/>
    <s v=""/>
    <m/>
    <m/>
    <m/>
    <m/>
    <m/>
    <s v=""/>
    <m/>
    <m/>
    <s v=""/>
    <s v=""/>
    <s v=""/>
    <m/>
    <s v=""/>
    <m/>
    <m/>
    <s v=""/>
    <s v=""/>
    <m/>
    <m/>
    <m/>
    <m/>
    <s v=""/>
    <m/>
    <m/>
    <s v=""/>
    <s v=""/>
    <m/>
    <s v=""/>
    <m/>
    <m/>
    <m/>
    <m/>
    <m/>
    <s v=""/>
    <s v=""/>
    <n v="0"/>
    <n v="0"/>
    <n v="65180"/>
  </r>
  <r>
    <n v="356"/>
    <d v="2023-07-21T21:13:00"/>
    <s v="I'll Take Your Word For It"/>
    <s v="Cleaning Products"/>
    <s v="North America"/>
    <n v="0"/>
    <x v="5"/>
    <s v="Ultra White Plus"/>
    <x v="6"/>
    <x v="7"/>
    <s v=""/>
    <s v="Finishing"/>
    <s v="‚ÄúI'll Take Your Word For It‚Äù | Dub House"/>
    <s v="TheDubHouse_IllTakeYourWordForIt_Finishing"/>
    <s v="Original"/>
    <n v="29750"/>
    <s v="firm-bid"/>
    <m/>
    <m/>
    <m/>
    <m/>
    <m/>
    <m/>
    <m/>
    <m/>
    <m/>
    <m/>
    <m/>
    <m/>
    <m/>
    <s v=""/>
    <m/>
    <s v=""/>
    <s v=""/>
    <m/>
    <s v=""/>
    <s v=""/>
    <m/>
    <m/>
    <m/>
    <m/>
    <m/>
    <s v=""/>
    <m/>
    <m/>
    <s v=""/>
    <s v=""/>
    <s v=""/>
    <m/>
    <s v=""/>
    <m/>
    <m/>
    <s v=""/>
    <s v=""/>
    <m/>
    <m/>
    <m/>
    <m/>
    <s v=""/>
    <m/>
    <m/>
    <s v=""/>
    <s v=""/>
    <m/>
    <s v=""/>
    <m/>
    <m/>
    <m/>
    <m/>
    <m/>
    <s v=""/>
    <s v=""/>
    <n v="0"/>
    <n v="0"/>
    <n v="36666.666666666664"/>
  </r>
  <r>
    <n v="356"/>
    <d v="2023-07-21T21:13:00"/>
    <s v="I'll Take Your Word For It"/>
    <s v="Cleaning Products"/>
    <s v="North America"/>
    <n v="0"/>
    <x v="5"/>
    <s v="Ultra White Plus"/>
    <x v="6"/>
    <x v="7"/>
    <s v=""/>
    <s v="Finishing"/>
    <s v="colorMaven &quot;I'll Take Your Word For It&quot;"/>
    <s v="ColorMaven_IllTakeYourWordForIt_Finishing"/>
    <s v="Original"/>
    <n v="16600"/>
    <s v="firm-bid"/>
    <m/>
    <m/>
    <m/>
    <m/>
    <m/>
    <n v="1"/>
    <m/>
    <m/>
    <m/>
    <m/>
    <m/>
    <m/>
    <m/>
    <s v=""/>
    <m/>
    <s v=""/>
    <s v=""/>
    <m/>
    <s v=""/>
    <s v=""/>
    <m/>
    <m/>
    <m/>
    <m/>
    <m/>
    <s v=""/>
    <m/>
    <m/>
    <s v=""/>
    <s v=""/>
    <s v=""/>
    <m/>
    <s v=""/>
    <m/>
    <m/>
    <s v=""/>
    <s v=""/>
    <m/>
    <m/>
    <m/>
    <m/>
    <s v=""/>
    <m/>
    <m/>
    <s v=""/>
    <s v=""/>
    <m/>
    <s v=""/>
    <m/>
    <m/>
    <m/>
    <m/>
    <m/>
    <s v=""/>
    <s v=""/>
    <n v="0"/>
    <n v="0"/>
    <n v="36666.666666666664"/>
  </r>
  <r>
    <n v="356"/>
    <d v="2023-07-21T21:13:00"/>
    <s v="I'll Take Your Word For It"/>
    <s v="Cleaning Products"/>
    <s v="North America"/>
    <n v="1"/>
    <x v="5"/>
    <s v="Ultra White Plus"/>
    <x v="6"/>
    <x v="7"/>
    <s v="Evan Bander LLC"/>
    <s v="Finishing"/>
    <s v="EB &quot;I'll Take Your Word For It&quot;"/>
    <s v="EvanBanderLLC_IllTakeYourWordForIt_Finishing"/>
    <s v="Original"/>
    <n v="63650"/>
    <s v="firm-bid"/>
    <n v="36666.666669999999"/>
    <m/>
    <m/>
    <m/>
    <n v="1"/>
    <m/>
    <n v="1"/>
    <m/>
    <m/>
    <m/>
    <m/>
    <m/>
    <m/>
    <s v=""/>
    <m/>
    <s v=""/>
    <s v=""/>
    <m/>
    <s v=""/>
    <s v=""/>
    <m/>
    <m/>
    <m/>
    <m/>
    <m/>
    <s v=""/>
    <m/>
    <n v="63650"/>
    <s v=""/>
    <s v=""/>
    <s v=""/>
    <m/>
    <s v=""/>
    <m/>
    <m/>
    <s v=""/>
    <s v=""/>
    <m/>
    <m/>
    <m/>
    <m/>
    <s v=""/>
    <m/>
    <m/>
    <s v=""/>
    <s v=""/>
    <m/>
    <s v=""/>
    <m/>
    <m/>
    <m/>
    <m/>
    <m/>
    <s v=""/>
    <s v=""/>
    <n v="0"/>
    <n v="0"/>
    <n v="36666.666666666664"/>
  </r>
  <r>
    <n v="356"/>
    <d v="2023-07-21T21:13:00"/>
    <s v="I'll Take Your Word For It"/>
    <s v="Cleaning Products"/>
    <s v="North America"/>
    <n v="0"/>
    <x v="5"/>
    <s v="Ultra White Plus"/>
    <x v="6"/>
    <x v="7"/>
    <s v=""/>
    <s v="Editorial"/>
    <s v="&quot;I'll Take Your Word For It&quot; V2"/>
    <s v="Margin5_IllTakeYourWordForIt_Edit"/>
    <s v="Original"/>
    <n v="110045.01669999999"/>
    <s v="firm-bid"/>
    <m/>
    <m/>
    <m/>
    <m/>
    <m/>
    <m/>
    <m/>
    <m/>
    <m/>
    <m/>
    <m/>
    <m/>
    <m/>
    <s v=""/>
    <m/>
    <s v=""/>
    <s v=""/>
    <m/>
    <s v=""/>
    <s v=""/>
    <m/>
    <m/>
    <m/>
    <m/>
    <m/>
    <s v=""/>
    <m/>
    <m/>
    <s v=""/>
    <s v=""/>
    <s v=""/>
    <m/>
    <s v=""/>
    <m/>
    <m/>
    <s v=""/>
    <s v=""/>
    <m/>
    <m/>
    <m/>
    <m/>
    <s v=""/>
    <m/>
    <m/>
    <s v=""/>
    <s v=""/>
    <m/>
    <s v=""/>
    <m/>
    <m/>
    <m/>
    <m/>
    <m/>
    <s v=""/>
    <s v=""/>
    <n v="0"/>
    <n v="0"/>
    <n v="116541.85279999999"/>
  </r>
  <r>
    <n v="356"/>
    <d v="2023-07-21T21:13:00"/>
    <s v="I'll Take Your Word For It"/>
    <s v="Cleaning Products"/>
    <s v="North America"/>
    <n v="1"/>
    <x v="5"/>
    <s v="Ultra White Plus"/>
    <x v="6"/>
    <x v="7"/>
    <s v="Time Bomb LLC"/>
    <s v="Editorial"/>
    <s v="ITYWFI - TimeBomb"/>
    <s v="TimeBomb_IllTakeYourWordForIt_Edit"/>
    <s v="Original"/>
    <n v="112271.25"/>
    <s v="firm-bid"/>
    <n v="116541.85279999999"/>
    <m/>
    <m/>
    <m/>
    <m/>
    <m/>
    <m/>
    <m/>
    <m/>
    <m/>
    <m/>
    <m/>
    <m/>
    <s v=""/>
    <m/>
    <s v=""/>
    <s v=""/>
    <m/>
    <s v=""/>
    <s v=""/>
    <n v="23900"/>
    <n v="10200"/>
    <n v="39500"/>
    <n v="8300"/>
    <m/>
    <s v=""/>
    <m/>
    <m/>
    <s v=""/>
    <s v=""/>
    <s v=""/>
    <m/>
    <s v=""/>
    <m/>
    <m/>
    <s v=""/>
    <s v=""/>
    <m/>
    <m/>
    <m/>
    <m/>
    <s v=""/>
    <m/>
    <m/>
    <s v=""/>
    <s v=""/>
    <m/>
    <s v=""/>
    <m/>
    <m/>
    <m/>
    <m/>
    <m/>
    <s v=""/>
    <s v=""/>
    <n v="0"/>
    <n v="0"/>
    <n v="116541.85279999999"/>
  </r>
  <r>
    <n v="356"/>
    <d v="2023-07-21T21:13:00"/>
    <s v="I'll Take Your Word For It"/>
    <s v="Cleaning Products"/>
    <s v="North America"/>
    <n v="0"/>
    <x v="5"/>
    <s v="Ultra White Plus"/>
    <x v="6"/>
    <x v="7"/>
    <s v=""/>
    <s v="Editorial"/>
    <s v="&quot;I'll Take Your Word For It&quot; Rev 3"/>
    <s v="Fightclub_IllTakeYourWordForIt_Edit"/>
    <s v="Original"/>
    <n v="127309.2917"/>
    <s v="firm-bid"/>
    <m/>
    <m/>
    <m/>
    <n v="1"/>
    <n v="1"/>
    <m/>
    <m/>
    <m/>
    <m/>
    <m/>
    <m/>
    <m/>
    <m/>
    <s v=""/>
    <m/>
    <s v=""/>
    <s v=""/>
    <m/>
    <s v=""/>
    <s v=""/>
    <m/>
    <m/>
    <m/>
    <m/>
    <m/>
    <s v=""/>
    <m/>
    <m/>
    <s v=""/>
    <s v=""/>
    <s v=""/>
    <m/>
    <s v=""/>
    <m/>
    <m/>
    <s v=""/>
    <s v=""/>
    <m/>
    <m/>
    <m/>
    <m/>
    <s v=""/>
    <m/>
    <m/>
    <s v=""/>
    <s v=""/>
    <m/>
    <s v=""/>
    <m/>
    <m/>
    <m/>
    <m/>
    <m/>
    <s v=""/>
    <s v=""/>
    <n v="0"/>
    <n v="0"/>
    <n v="116541.85279999999"/>
  </r>
  <r>
    <n v="356"/>
    <d v="2023-07-21T21:13:00"/>
    <s v="I'll Take Your Word For It"/>
    <s v="Cleaning Products"/>
    <s v="North America"/>
    <n v="1"/>
    <x v="5"/>
    <s v="Ultra White Plus"/>
    <x v="6"/>
    <x v="7"/>
    <s v="Mighty Industry"/>
    <s v="Film &amp; Video Production"/>
    <s v="I'll Take Your Word For It"/>
    <s v="Mighty_IllTakeYourWordForIt_LiveAction"/>
    <s v="Original"/>
    <n v="696940.44"/>
    <s v="firm-bid"/>
    <n v="729332.05169999995"/>
    <m/>
    <m/>
    <m/>
    <m/>
    <m/>
    <m/>
    <m/>
    <n v="39503.75"/>
    <n v="77500"/>
    <m/>
    <m/>
    <m/>
    <s v=""/>
    <m/>
    <s v=""/>
    <s v=""/>
    <n v="30000"/>
    <s v=""/>
    <s v=""/>
    <n v="0"/>
    <m/>
    <n v="0"/>
    <m/>
    <n v="51200"/>
    <s v=""/>
    <n v="3000"/>
    <m/>
    <s v=""/>
    <s v=""/>
    <s v=""/>
    <n v="29800"/>
    <s v=""/>
    <n v="5000"/>
    <m/>
    <s v=""/>
    <s v=""/>
    <n v="15000"/>
    <n v="136708"/>
    <m/>
    <m/>
    <s v=""/>
    <n v="17000"/>
    <n v="130380.25"/>
    <s v=""/>
    <s v=""/>
    <m/>
    <s v=""/>
    <m/>
    <m/>
    <n v="13680"/>
    <n v="0"/>
    <n v="0"/>
    <s v=""/>
    <s v=""/>
    <n v="0"/>
    <n v="0"/>
    <n v="729332.05169999995"/>
  </r>
  <r>
    <n v="356"/>
    <d v="2023-07-21T21:13:00"/>
    <s v="I'll Take Your Word For It"/>
    <s v="Cleaning Products"/>
    <s v="North America"/>
    <n v="0"/>
    <x v="5"/>
    <s v="Ultra White Plus"/>
    <x v="6"/>
    <x v="7"/>
    <s v=""/>
    <s v="Film &amp; Video Production"/>
    <s v="ITYWFI"/>
    <s v="Petulant_IllTakeYourWordForIt_LiveAction"/>
    <s v="Original"/>
    <n v="761723.66339999996"/>
    <s v="firm-bid"/>
    <m/>
    <m/>
    <m/>
    <m/>
    <m/>
    <m/>
    <m/>
    <m/>
    <m/>
    <m/>
    <m/>
    <m/>
    <m/>
    <s v=""/>
    <m/>
    <s v=""/>
    <s v=""/>
    <m/>
    <s v=""/>
    <s v=""/>
    <m/>
    <m/>
    <m/>
    <m/>
    <m/>
    <s v=""/>
    <m/>
    <m/>
    <s v=""/>
    <s v=""/>
    <s v=""/>
    <m/>
    <s v=""/>
    <m/>
    <m/>
    <s v=""/>
    <s v=""/>
    <m/>
    <m/>
    <m/>
    <m/>
    <s v=""/>
    <m/>
    <m/>
    <s v=""/>
    <s v=""/>
    <m/>
    <s v=""/>
    <m/>
    <m/>
    <m/>
    <m/>
    <m/>
    <s v=""/>
    <s v=""/>
    <n v="0"/>
    <n v="0"/>
    <n v="729332.05169999995"/>
  </r>
  <r>
    <n v="358"/>
    <d v="2023-07-21T21:14:00"/>
    <s v="Crash"/>
    <s v="Cleaning Products"/>
    <s v="North America"/>
    <n v="1"/>
    <x v="5"/>
    <s v="Ultra White Plus"/>
    <x v="6"/>
    <x v="7"/>
    <s v="Earwax"/>
    <s v="Audio Post"/>
    <s v="Earwax&quot;Crash&quot;"/>
    <s v="Earwax"/>
    <s v="Original"/>
    <n v="31110"/>
    <s v="firm-bid"/>
    <n v="29100"/>
    <m/>
    <m/>
    <m/>
    <m/>
    <m/>
    <m/>
    <m/>
    <m/>
    <m/>
    <n v="31110"/>
    <m/>
    <m/>
    <s v=""/>
    <m/>
    <s v=""/>
    <s v=""/>
    <m/>
    <s v=""/>
    <s v=""/>
    <m/>
    <m/>
    <m/>
    <m/>
    <m/>
    <s v=""/>
    <m/>
    <m/>
    <s v=""/>
    <s v=""/>
    <s v=""/>
    <m/>
    <s v=""/>
    <m/>
    <m/>
    <s v=""/>
    <s v=""/>
    <m/>
    <m/>
    <m/>
    <m/>
    <s v=""/>
    <m/>
    <m/>
    <s v=""/>
    <s v=""/>
    <m/>
    <s v=""/>
    <m/>
    <m/>
    <m/>
    <m/>
    <m/>
    <s v=""/>
    <s v=""/>
    <n v="0"/>
    <n v="0"/>
    <n v="29100"/>
  </r>
  <r>
    <n v="358"/>
    <d v="2023-07-21T21:14:00"/>
    <s v="Crash"/>
    <s v="Cleaning Products"/>
    <s v="North America"/>
    <n v="0"/>
    <x v="5"/>
    <s v="Ultra White Plus"/>
    <x v="6"/>
    <x v="7"/>
    <s v=""/>
    <s v="Audio Post"/>
    <s v="Love language &quot;Crash&quot;"/>
    <s v="Love136"/>
    <s v="Original"/>
    <n v="27090"/>
    <s v="firm-bid"/>
    <m/>
    <m/>
    <m/>
    <m/>
    <m/>
    <m/>
    <m/>
    <m/>
    <m/>
    <m/>
    <m/>
    <m/>
    <m/>
    <s v=""/>
    <m/>
    <s v=""/>
    <s v=""/>
    <m/>
    <s v=""/>
    <s v=""/>
    <m/>
    <m/>
    <m/>
    <m/>
    <m/>
    <s v=""/>
    <m/>
    <m/>
    <s v=""/>
    <s v=""/>
    <s v=""/>
    <m/>
    <s v=""/>
    <m/>
    <m/>
    <s v=""/>
    <s v=""/>
    <m/>
    <m/>
    <m/>
    <m/>
    <s v=""/>
    <m/>
    <m/>
    <s v=""/>
    <s v=""/>
    <m/>
    <s v=""/>
    <m/>
    <m/>
    <m/>
    <m/>
    <m/>
    <s v=""/>
    <s v=""/>
    <n v="0"/>
    <n v="0"/>
    <n v="29100"/>
  </r>
  <r>
    <n v="358"/>
    <d v="2023-07-21T21:14:00"/>
    <s v="Crash"/>
    <s v="Cleaning Products"/>
    <s v="North America"/>
    <n v="0"/>
    <x v="5"/>
    <s v="Ultra White Plus"/>
    <x v="6"/>
    <x v="7"/>
    <s v=""/>
    <s v="Finishing"/>
    <s v="Crash - Burnish"/>
    <s v="Burnish_Crash_Finishing"/>
    <s v="Original"/>
    <n v="34400"/>
    <s v="firm-bid"/>
    <m/>
    <m/>
    <m/>
    <m/>
    <m/>
    <n v="1"/>
    <m/>
    <m/>
    <m/>
    <m/>
    <m/>
    <m/>
    <m/>
    <s v=""/>
    <m/>
    <s v=""/>
    <s v=""/>
    <m/>
    <s v=""/>
    <s v=""/>
    <m/>
    <m/>
    <m/>
    <m/>
    <m/>
    <s v=""/>
    <m/>
    <m/>
    <s v=""/>
    <s v=""/>
    <s v=""/>
    <m/>
    <s v=""/>
    <m/>
    <m/>
    <s v=""/>
    <s v=""/>
    <m/>
    <m/>
    <m/>
    <m/>
    <s v=""/>
    <m/>
    <m/>
    <s v=""/>
    <s v=""/>
    <m/>
    <s v=""/>
    <m/>
    <m/>
    <m/>
    <m/>
    <m/>
    <s v=""/>
    <s v=""/>
    <n v="0"/>
    <n v="0"/>
    <n v="30216.666666666668"/>
  </r>
  <r>
    <n v="358"/>
    <d v="2023-07-21T21:14:00"/>
    <s v="Crash"/>
    <s v="Cleaning Products"/>
    <s v="North America"/>
    <n v="1"/>
    <x v="5"/>
    <s v="Ultra White Plus"/>
    <x v="6"/>
    <x v="7"/>
    <s v="Here &amp; Now"/>
    <s v="Finishing"/>
    <s v="Here &amp; Now for¬†&quot;Crash&quot;"/>
    <s v="HereandNow_Crash_Finishing"/>
    <s v="Original"/>
    <n v="35000"/>
    <s v="firm-bid"/>
    <n v="30216.666669999999"/>
    <m/>
    <m/>
    <m/>
    <m/>
    <m/>
    <m/>
    <m/>
    <m/>
    <m/>
    <m/>
    <m/>
    <m/>
    <s v=""/>
    <m/>
    <s v=""/>
    <s v=""/>
    <m/>
    <s v=""/>
    <s v=""/>
    <m/>
    <m/>
    <m/>
    <m/>
    <m/>
    <s v=""/>
    <m/>
    <n v="35000"/>
    <s v=""/>
    <s v=""/>
    <s v=""/>
    <m/>
    <s v=""/>
    <m/>
    <m/>
    <s v=""/>
    <s v=""/>
    <m/>
    <m/>
    <m/>
    <m/>
    <s v=""/>
    <m/>
    <m/>
    <s v=""/>
    <s v=""/>
    <m/>
    <s v=""/>
    <m/>
    <m/>
    <m/>
    <m/>
    <m/>
    <s v=""/>
    <s v=""/>
    <n v="0"/>
    <n v="0"/>
    <n v="30216.666666666668"/>
  </r>
  <r>
    <n v="358"/>
    <d v="2023-07-21T21:14:00"/>
    <s v="Crash"/>
    <s v="Cleaning Products"/>
    <s v="North America"/>
    <n v="0"/>
    <x v="5"/>
    <s v="Ultra White Plus"/>
    <x v="6"/>
    <x v="7"/>
    <s v=""/>
    <s v="Finishing"/>
    <s v="&quot;Crash&quot; RSD #452077"/>
    <s v="RackspaceDigital_Crash_Finishing"/>
    <s v="Original"/>
    <n v="21250"/>
    <s v="firm-bid"/>
    <m/>
    <m/>
    <m/>
    <m/>
    <m/>
    <m/>
    <m/>
    <m/>
    <m/>
    <m/>
    <m/>
    <m/>
    <m/>
    <s v=""/>
    <m/>
    <s v=""/>
    <s v=""/>
    <m/>
    <s v=""/>
    <s v=""/>
    <m/>
    <m/>
    <m/>
    <m/>
    <m/>
    <s v=""/>
    <m/>
    <m/>
    <s v=""/>
    <s v=""/>
    <s v=""/>
    <m/>
    <s v=""/>
    <m/>
    <m/>
    <s v=""/>
    <s v=""/>
    <m/>
    <m/>
    <m/>
    <m/>
    <s v=""/>
    <m/>
    <m/>
    <s v=""/>
    <s v=""/>
    <m/>
    <s v=""/>
    <m/>
    <m/>
    <m/>
    <m/>
    <m/>
    <s v=""/>
    <s v=""/>
    <n v="0"/>
    <n v="0"/>
    <n v="30216.666666666668"/>
  </r>
  <r>
    <n v="358"/>
    <d v="2023-07-21T21:14:00"/>
    <s v="Crash"/>
    <s v="Cleaning Products"/>
    <s v="North America"/>
    <n v="0"/>
    <x v="5"/>
    <s v="Ultra White Plus"/>
    <x v="6"/>
    <x v="7"/>
    <s v=""/>
    <s v="Editorial"/>
    <s v="Crash"/>
    <s v="TheCloset_Crash_Edit"/>
    <s v="Original"/>
    <n v="101570.52499999999"/>
    <s v="firm-bid"/>
    <m/>
    <m/>
    <m/>
    <m/>
    <m/>
    <n v="1"/>
    <n v="1"/>
    <m/>
    <m/>
    <m/>
    <m/>
    <m/>
    <m/>
    <s v=""/>
    <m/>
    <s v=""/>
    <s v=""/>
    <m/>
    <s v=""/>
    <s v=""/>
    <m/>
    <m/>
    <m/>
    <m/>
    <m/>
    <s v=""/>
    <m/>
    <m/>
    <s v=""/>
    <s v=""/>
    <s v=""/>
    <m/>
    <s v=""/>
    <m/>
    <m/>
    <s v=""/>
    <s v=""/>
    <m/>
    <m/>
    <m/>
    <m/>
    <s v=""/>
    <m/>
    <m/>
    <s v=""/>
    <s v=""/>
    <m/>
    <s v=""/>
    <m/>
    <m/>
    <m/>
    <m/>
    <m/>
    <s v=""/>
    <s v=""/>
    <n v="0"/>
    <n v="0"/>
    <n v="109087.2611"/>
  </r>
  <r>
    <n v="358"/>
    <d v="2023-07-21T21:14:00"/>
    <s v="Crash"/>
    <s v="Cleaning Products"/>
    <s v="North America"/>
    <n v="1"/>
    <x v="5"/>
    <s v="Ultra White Plus"/>
    <x v="6"/>
    <x v="7"/>
    <s v="Fight Club"/>
    <s v="Editorial"/>
    <s v="Crash"/>
    <s v="Fightclub_Crash_Edit"/>
    <s v="Original"/>
    <n v="109992.925"/>
    <s v="firm-bid"/>
    <n v="109087.2611"/>
    <m/>
    <m/>
    <m/>
    <m/>
    <m/>
    <m/>
    <m/>
    <m/>
    <m/>
    <m/>
    <m/>
    <m/>
    <s v=""/>
    <m/>
    <s v=""/>
    <s v=""/>
    <m/>
    <s v=""/>
    <s v=""/>
    <n v="30350"/>
    <n v="20500"/>
    <n v="18700"/>
    <n v="10688"/>
    <m/>
    <s v=""/>
    <m/>
    <m/>
    <s v=""/>
    <s v=""/>
    <s v=""/>
    <m/>
    <s v=""/>
    <m/>
    <m/>
    <s v=""/>
    <s v=""/>
    <m/>
    <m/>
    <m/>
    <m/>
    <s v=""/>
    <m/>
    <m/>
    <s v=""/>
    <s v=""/>
    <m/>
    <s v=""/>
    <m/>
    <m/>
    <m/>
    <m/>
    <m/>
    <s v=""/>
    <s v=""/>
    <n v="0"/>
    <n v="0"/>
    <n v="109087.2611"/>
  </r>
  <r>
    <n v="358"/>
    <d v="2023-07-21T21:14:00"/>
    <s v="Crash"/>
    <s v="Cleaning Products"/>
    <s v="North America"/>
    <n v="0"/>
    <x v="5"/>
    <s v="Ultra White Plus"/>
    <x v="6"/>
    <x v="7"/>
    <s v=""/>
    <s v="Editorial"/>
    <s v="Crash/SAKS"/>
    <s v="SaksStreetEdit_Crash_Edit"/>
    <s v="Original"/>
    <n v="115698.3333"/>
    <s v="firm-bid"/>
    <m/>
    <m/>
    <m/>
    <m/>
    <m/>
    <m/>
    <n v="1"/>
    <m/>
    <m/>
    <m/>
    <m/>
    <m/>
    <m/>
    <s v=""/>
    <m/>
    <s v=""/>
    <s v=""/>
    <m/>
    <s v=""/>
    <s v=""/>
    <m/>
    <m/>
    <m/>
    <m/>
    <m/>
    <s v=""/>
    <m/>
    <m/>
    <s v=""/>
    <s v=""/>
    <s v=""/>
    <m/>
    <s v=""/>
    <m/>
    <m/>
    <s v=""/>
    <s v=""/>
    <m/>
    <m/>
    <m/>
    <m/>
    <s v=""/>
    <m/>
    <m/>
    <s v=""/>
    <s v=""/>
    <m/>
    <s v=""/>
    <m/>
    <m/>
    <m/>
    <m/>
    <m/>
    <s v=""/>
    <s v=""/>
    <n v="0"/>
    <n v="0"/>
    <n v="109087.2611"/>
  </r>
  <r>
    <n v="358"/>
    <d v="2023-07-21T21:14:00"/>
    <s v="Crash"/>
    <s v="Cleaning Products"/>
    <s v="North America"/>
    <n v="0"/>
    <x v="5"/>
    <s v="Ultra White Plus"/>
    <x v="6"/>
    <x v="7"/>
    <s v=""/>
    <s v="Film &amp; Video Production"/>
    <s v="Crash"/>
    <s v="Mighty_Crash_LiveAction"/>
    <s v="Original"/>
    <n v="797565.82929999998"/>
    <s v="firm-bid"/>
    <m/>
    <m/>
    <m/>
    <m/>
    <m/>
    <m/>
    <m/>
    <m/>
    <m/>
    <m/>
    <m/>
    <m/>
    <m/>
    <s v=""/>
    <m/>
    <s v=""/>
    <s v=""/>
    <m/>
    <s v=""/>
    <s v=""/>
    <m/>
    <m/>
    <m/>
    <m/>
    <m/>
    <s v=""/>
    <m/>
    <m/>
    <s v=""/>
    <s v=""/>
    <s v=""/>
    <m/>
    <s v=""/>
    <m/>
    <m/>
    <s v=""/>
    <s v=""/>
    <m/>
    <m/>
    <m/>
    <m/>
    <s v=""/>
    <m/>
    <m/>
    <s v=""/>
    <s v=""/>
    <m/>
    <s v=""/>
    <m/>
    <m/>
    <m/>
    <m/>
    <m/>
    <s v=""/>
    <s v=""/>
    <n v="0"/>
    <n v="0"/>
    <n v="801505.2209666667"/>
  </r>
  <r>
    <n v="358"/>
    <d v="2023-07-21T21:14:00"/>
    <s v="Crash"/>
    <s v="Cleaning Products"/>
    <s v="North America"/>
    <n v="0"/>
    <x v="5"/>
    <s v="Ultra White Plus"/>
    <x v="6"/>
    <x v="7"/>
    <s v=""/>
    <s v="Film &amp; Video Production"/>
    <s v="Crash"/>
    <s v="Level12_Crash_LiveAction"/>
    <s v="Original"/>
    <n v="808227.59360000002"/>
    <s v="firm-bid"/>
    <m/>
    <m/>
    <m/>
    <m/>
    <m/>
    <m/>
    <m/>
    <m/>
    <m/>
    <m/>
    <m/>
    <m/>
    <m/>
    <s v=""/>
    <m/>
    <s v=""/>
    <s v=""/>
    <m/>
    <s v=""/>
    <s v=""/>
    <m/>
    <m/>
    <m/>
    <m/>
    <m/>
    <s v=""/>
    <m/>
    <m/>
    <s v=""/>
    <s v=""/>
    <s v=""/>
    <m/>
    <s v=""/>
    <m/>
    <m/>
    <s v=""/>
    <s v=""/>
    <m/>
    <m/>
    <m/>
    <m/>
    <s v=""/>
    <m/>
    <m/>
    <s v=""/>
    <s v=""/>
    <m/>
    <s v=""/>
    <m/>
    <m/>
    <m/>
    <m/>
    <m/>
    <s v=""/>
    <s v=""/>
    <n v="0"/>
    <n v="0"/>
    <n v="801505.2209666667"/>
  </r>
  <r>
    <n v="358"/>
    <d v="2023-07-21T21:14:00"/>
    <s v="Crash"/>
    <s v="Cleaning Products"/>
    <s v="North America"/>
    <n v="1"/>
    <x v="5"/>
    <s v="Ultra White Plus"/>
    <x v="6"/>
    <x v="7"/>
    <s v="Harmony &amp; Light"/>
    <s v="Film &amp; Video Production"/>
    <s v="Crash"/>
    <s v="harmony_and_Light_Crash_LiveAction"/>
    <s v="Original"/>
    <n v="798722.24"/>
    <s v="firm-bid"/>
    <n v="801505.22100000002"/>
    <m/>
    <m/>
    <m/>
    <m/>
    <m/>
    <m/>
    <m/>
    <n v="21271.25"/>
    <n v="74300"/>
    <m/>
    <m/>
    <m/>
    <s v=""/>
    <m/>
    <s v=""/>
    <s v=""/>
    <n v="205000"/>
    <s v=""/>
    <s v=""/>
    <n v="0"/>
    <m/>
    <n v="0"/>
    <m/>
    <n v="53400"/>
    <s v=""/>
    <n v="3000"/>
    <m/>
    <s v=""/>
    <s v=""/>
    <s v=""/>
    <n v="31138"/>
    <s v=""/>
    <n v="4400"/>
    <m/>
    <s v=""/>
    <s v=""/>
    <n v="23300"/>
    <n v="60203"/>
    <m/>
    <m/>
    <s v=""/>
    <n v="14400"/>
    <n v="118189.5"/>
    <s v=""/>
    <s v=""/>
    <m/>
    <s v=""/>
    <m/>
    <m/>
    <n v="15400"/>
    <n v="0"/>
    <n v="0"/>
    <s v=""/>
    <s v=""/>
    <n v="0"/>
    <n v="0"/>
    <n v="801505.2209666667"/>
  </r>
  <r>
    <n v="361"/>
    <d v="2023-07-21T21:16:00"/>
    <s v="One Time Hero"/>
    <s v="Cleaning Products"/>
    <s v="North America"/>
    <n v="0"/>
    <x v="5"/>
    <s v="Ultra White Singles"/>
    <x v="6"/>
    <x v="7"/>
    <s v=""/>
    <s v="Audio Post"/>
    <s v="Earwax&quot;One Time Hero&quot;"/>
    <s v="Earwax"/>
    <s v="Original"/>
    <n v="38480"/>
    <s v="firm-bid"/>
    <m/>
    <m/>
    <n v="1"/>
    <m/>
    <m/>
    <m/>
    <m/>
    <m/>
    <m/>
    <m/>
    <m/>
    <m/>
    <m/>
    <s v=""/>
    <m/>
    <s v=""/>
    <s v=""/>
    <m/>
    <s v=""/>
    <s v=""/>
    <m/>
    <m/>
    <m/>
    <m/>
    <m/>
    <s v=""/>
    <m/>
    <m/>
    <s v=""/>
    <s v=""/>
    <s v=""/>
    <m/>
    <s v=""/>
    <m/>
    <m/>
    <s v=""/>
    <s v=""/>
    <m/>
    <m/>
    <m/>
    <m/>
    <s v=""/>
    <m/>
    <m/>
    <s v=""/>
    <s v=""/>
    <m/>
    <s v=""/>
    <m/>
    <m/>
    <m/>
    <m/>
    <m/>
    <s v=""/>
    <s v=""/>
    <n v="0"/>
    <n v="0"/>
    <n v="48485"/>
  </r>
  <r>
    <n v="361"/>
    <d v="2023-07-21T21:16:00"/>
    <s v="One Time Hero"/>
    <s v="Cleaning Products"/>
    <s v="North America"/>
    <n v="1"/>
    <x v="5"/>
    <s v="Ultra White Singles"/>
    <x v="6"/>
    <x v="7"/>
    <s v="Arsonist Post"/>
    <s v="Audio Post"/>
    <s v="Arsonist&quot;One Time Hero&quot;"/>
    <s v="Arsonist"/>
    <s v="Original"/>
    <n v="58490"/>
    <s v="firm-bid"/>
    <n v="48485"/>
    <n v="1"/>
    <m/>
    <m/>
    <n v="1"/>
    <n v="1"/>
    <m/>
    <m/>
    <m/>
    <m/>
    <n v="58490"/>
    <m/>
    <m/>
    <s v=""/>
    <m/>
    <s v=""/>
    <s v=""/>
    <m/>
    <s v=""/>
    <s v=""/>
    <m/>
    <m/>
    <m/>
    <m/>
    <m/>
    <s v=""/>
    <m/>
    <m/>
    <s v=""/>
    <s v=""/>
    <s v=""/>
    <m/>
    <s v=""/>
    <m/>
    <m/>
    <s v=""/>
    <s v=""/>
    <m/>
    <m/>
    <m/>
    <m/>
    <s v=""/>
    <m/>
    <m/>
    <s v=""/>
    <s v=""/>
    <m/>
    <s v=""/>
    <m/>
    <m/>
    <m/>
    <m/>
    <m/>
    <s v=""/>
    <s v=""/>
    <n v="58490"/>
    <n v="58490"/>
    <n v="48485"/>
  </r>
  <r>
    <n v="361"/>
    <d v="2023-07-21T21:16:00"/>
    <s v="One Time Hero"/>
    <s v="Cleaning Products"/>
    <s v="North America"/>
    <n v="1"/>
    <x v="5"/>
    <s v="Ultra White Singles"/>
    <x v="6"/>
    <x v="7"/>
    <s v="Witness"/>
    <s v="Finishing"/>
    <s v="WITNESS:: OTH"/>
    <s v="Witness_OneTimeHero_Finishing"/>
    <s v="Original"/>
    <n v="47100"/>
    <s v="firm-bid"/>
    <n v="29333.333330000001"/>
    <m/>
    <m/>
    <m/>
    <m/>
    <m/>
    <m/>
    <m/>
    <m/>
    <m/>
    <m/>
    <m/>
    <m/>
    <s v=""/>
    <m/>
    <s v=""/>
    <s v=""/>
    <m/>
    <s v=""/>
    <s v=""/>
    <m/>
    <m/>
    <m/>
    <m/>
    <m/>
    <s v=""/>
    <m/>
    <n v="47100"/>
    <s v=""/>
    <s v=""/>
    <s v=""/>
    <m/>
    <s v=""/>
    <m/>
    <m/>
    <s v=""/>
    <s v=""/>
    <m/>
    <m/>
    <m/>
    <m/>
    <s v=""/>
    <m/>
    <m/>
    <s v=""/>
    <s v=""/>
    <m/>
    <s v=""/>
    <m/>
    <m/>
    <m/>
    <m/>
    <m/>
    <s v=""/>
    <s v=""/>
    <n v="0"/>
    <n v="0"/>
    <n v="29333.333333333332"/>
  </r>
  <r>
    <n v="361"/>
    <d v="2023-07-21T21:16:00"/>
    <s v="One Time Hero"/>
    <s v="Cleaning Products"/>
    <s v="North America"/>
    <n v="0"/>
    <x v="5"/>
    <s v="Ultra White Singles"/>
    <x v="6"/>
    <x v="7"/>
    <s v=""/>
    <s v="Finishing"/>
    <s v="colorMaven &quot;One Time Hero&quot;"/>
    <s v="ColorMaven_OneTimeHero_Finishing"/>
    <s v="Original"/>
    <n v="22650"/>
    <s v="firm-bid"/>
    <m/>
    <m/>
    <m/>
    <m/>
    <m/>
    <n v="1"/>
    <m/>
    <m/>
    <m/>
    <m/>
    <m/>
    <m/>
    <m/>
    <s v=""/>
    <m/>
    <s v=""/>
    <s v=""/>
    <m/>
    <s v=""/>
    <s v=""/>
    <m/>
    <m/>
    <m/>
    <m/>
    <m/>
    <s v=""/>
    <m/>
    <m/>
    <s v=""/>
    <s v=""/>
    <s v=""/>
    <m/>
    <s v=""/>
    <m/>
    <m/>
    <s v=""/>
    <s v=""/>
    <m/>
    <m/>
    <m/>
    <m/>
    <s v=""/>
    <m/>
    <m/>
    <s v=""/>
    <s v=""/>
    <m/>
    <s v=""/>
    <m/>
    <m/>
    <m/>
    <m/>
    <m/>
    <s v=""/>
    <s v=""/>
    <n v="0"/>
    <n v="0"/>
    <n v="29333.333333333332"/>
  </r>
  <r>
    <n v="361"/>
    <d v="2023-07-21T21:16:00"/>
    <s v="One Time Hero"/>
    <s v="Cleaning Products"/>
    <s v="North America"/>
    <n v="0"/>
    <x v="5"/>
    <s v="Ultra White Singles"/>
    <x v="6"/>
    <x v="7"/>
    <s v=""/>
    <s v="Finishing"/>
    <s v="Here &amp; Now for¬†&quot;One Time Hero&quot;"/>
    <s v="HereandNow_OneTimeHero_Finishing"/>
    <s v="Original"/>
    <n v="18250"/>
    <s v="firm-bid"/>
    <m/>
    <m/>
    <m/>
    <m/>
    <n v="1"/>
    <m/>
    <m/>
    <m/>
    <m/>
    <m/>
    <m/>
    <m/>
    <m/>
    <s v=""/>
    <m/>
    <s v=""/>
    <s v=""/>
    <m/>
    <s v=""/>
    <s v=""/>
    <m/>
    <m/>
    <m/>
    <m/>
    <m/>
    <s v=""/>
    <m/>
    <m/>
    <s v=""/>
    <s v=""/>
    <s v=""/>
    <m/>
    <s v=""/>
    <m/>
    <m/>
    <s v=""/>
    <s v=""/>
    <m/>
    <m/>
    <m/>
    <m/>
    <s v=""/>
    <m/>
    <m/>
    <s v=""/>
    <s v=""/>
    <m/>
    <s v=""/>
    <m/>
    <m/>
    <m/>
    <m/>
    <m/>
    <s v=""/>
    <s v=""/>
    <n v="0"/>
    <n v="0"/>
    <n v="29333.333333333332"/>
  </r>
  <r>
    <n v="361"/>
    <d v="2023-07-21T21:16:00"/>
    <s v="One Time Hero"/>
    <s v="Cleaning Products"/>
    <s v="North America"/>
    <n v="1"/>
    <x v="5"/>
    <s v="Ultra White Singles"/>
    <x v="6"/>
    <x v="7"/>
    <s v="Time Bomb LLC"/>
    <s v="Editorial"/>
    <s v="One Time Hero TBLLC"/>
    <s v="TimeBomb_OneTimeHero_Edit"/>
    <s v="Original"/>
    <n v="128682.8667"/>
    <s v="firm-bid"/>
    <n v="128325.07919999999"/>
    <m/>
    <m/>
    <m/>
    <m/>
    <m/>
    <m/>
    <m/>
    <m/>
    <m/>
    <m/>
    <m/>
    <m/>
    <s v=""/>
    <m/>
    <s v=""/>
    <s v=""/>
    <m/>
    <s v=""/>
    <s v=""/>
    <n v="21250"/>
    <n v="29200"/>
    <n v="33600"/>
    <n v="9822"/>
    <m/>
    <s v=""/>
    <m/>
    <m/>
    <s v=""/>
    <s v=""/>
    <s v=""/>
    <m/>
    <s v=""/>
    <m/>
    <m/>
    <s v=""/>
    <s v=""/>
    <m/>
    <m/>
    <m/>
    <m/>
    <s v=""/>
    <m/>
    <m/>
    <s v=""/>
    <s v=""/>
    <m/>
    <s v=""/>
    <m/>
    <m/>
    <m/>
    <m/>
    <m/>
    <s v=""/>
    <s v=""/>
    <n v="0"/>
    <n v="0"/>
    <n v="128325.07920000001"/>
  </r>
  <r>
    <n v="361"/>
    <d v="2023-07-21T21:16:00"/>
    <s v="One Time Hero"/>
    <s v="Cleaning Products"/>
    <s v="North America"/>
    <n v="0"/>
    <x v="5"/>
    <s v="Ultra White Singles"/>
    <x v="6"/>
    <x v="7"/>
    <s v=""/>
    <s v="Editorial"/>
    <s v="One Time Hero"/>
    <s v="Armistace_OneTimeHero_Edit"/>
    <s v="Original"/>
    <n v="127967.2917"/>
    <s v="firm-bid"/>
    <m/>
    <m/>
    <m/>
    <m/>
    <m/>
    <m/>
    <m/>
    <m/>
    <m/>
    <m/>
    <m/>
    <m/>
    <m/>
    <s v=""/>
    <m/>
    <s v=""/>
    <s v=""/>
    <m/>
    <s v=""/>
    <s v=""/>
    <m/>
    <m/>
    <m/>
    <m/>
    <m/>
    <s v=""/>
    <m/>
    <m/>
    <s v=""/>
    <s v=""/>
    <s v=""/>
    <m/>
    <s v=""/>
    <m/>
    <m/>
    <s v=""/>
    <s v=""/>
    <m/>
    <m/>
    <m/>
    <m/>
    <s v=""/>
    <m/>
    <m/>
    <s v=""/>
    <s v=""/>
    <m/>
    <s v=""/>
    <m/>
    <m/>
    <m/>
    <m/>
    <m/>
    <s v=""/>
    <s v=""/>
    <n v="0"/>
    <n v="0"/>
    <n v="128325.07920000001"/>
  </r>
  <r>
    <n v="361"/>
    <d v="2023-07-21T21:16:00"/>
    <s v="One Time Hero"/>
    <s v="Cleaning Products"/>
    <s v="North America"/>
    <n v="0"/>
    <x v="5"/>
    <s v="Ultra White Singles"/>
    <x v="6"/>
    <x v="7"/>
    <s v=""/>
    <s v="Film &amp; Video Production"/>
    <s v="O.T.H."/>
    <s v="OpenFrameworks_OneTimeHero_LiveAction"/>
    <s v="Original"/>
    <n v="921879.46180000005"/>
    <s v="firm-bid"/>
    <m/>
    <m/>
    <m/>
    <m/>
    <m/>
    <m/>
    <m/>
    <m/>
    <m/>
    <m/>
    <m/>
    <m/>
    <m/>
    <s v=""/>
    <m/>
    <s v=""/>
    <s v=""/>
    <m/>
    <s v=""/>
    <s v=""/>
    <m/>
    <m/>
    <m/>
    <m/>
    <m/>
    <s v=""/>
    <m/>
    <m/>
    <s v=""/>
    <s v=""/>
    <s v=""/>
    <m/>
    <s v=""/>
    <m/>
    <m/>
    <s v=""/>
    <s v=""/>
    <m/>
    <m/>
    <m/>
    <m/>
    <s v=""/>
    <m/>
    <m/>
    <s v=""/>
    <s v=""/>
    <m/>
    <s v=""/>
    <m/>
    <m/>
    <m/>
    <m/>
    <m/>
    <s v=""/>
    <s v=""/>
    <n v="0"/>
    <n v="0"/>
    <n v="752620.27560000005"/>
  </r>
  <r>
    <n v="361"/>
    <d v="2023-07-21T21:16:00"/>
    <s v="One Time Hero"/>
    <s v="Cleaning Products"/>
    <s v="North America"/>
    <n v="0"/>
    <x v="5"/>
    <s v="Ultra White Singles"/>
    <x v="6"/>
    <x v="7"/>
    <s v=""/>
    <s v="Film &amp; Video Production"/>
    <s v="One TIme Hero"/>
    <s v="Interstate_OneTimeHero_LiveAction"/>
    <s v="Original"/>
    <n v="664739.125"/>
    <s v="firm-bid"/>
    <m/>
    <m/>
    <m/>
    <m/>
    <m/>
    <n v="1"/>
    <m/>
    <m/>
    <m/>
    <m/>
    <m/>
    <m/>
    <m/>
    <s v=""/>
    <m/>
    <s v=""/>
    <s v=""/>
    <m/>
    <s v=""/>
    <s v=""/>
    <m/>
    <m/>
    <m/>
    <m/>
    <m/>
    <s v=""/>
    <m/>
    <m/>
    <s v=""/>
    <s v=""/>
    <s v=""/>
    <m/>
    <s v=""/>
    <m/>
    <m/>
    <s v=""/>
    <s v=""/>
    <m/>
    <m/>
    <m/>
    <m/>
    <s v=""/>
    <m/>
    <m/>
    <s v=""/>
    <s v=""/>
    <m/>
    <s v=""/>
    <m/>
    <m/>
    <m/>
    <m/>
    <m/>
    <s v=""/>
    <s v=""/>
    <n v="0"/>
    <n v="0"/>
    <n v="752620.27560000005"/>
  </r>
  <r>
    <n v="361"/>
    <d v="2023-07-21T21:16:00"/>
    <s v="One Time Hero"/>
    <s v="Cleaning Products"/>
    <s v="North America"/>
    <n v="1"/>
    <x v="5"/>
    <s v="Ultra White Singles"/>
    <x v="6"/>
    <x v="7"/>
    <s v="CHAW Creative"/>
    <s v="Film &amp; Video Production"/>
    <s v="OTH"/>
    <s v="CHAW_OneTimeHero_LiveAction"/>
    <s v="Original"/>
    <n v="671242.23999999999"/>
    <s v="firm-bid"/>
    <n v="752620.27560000005"/>
    <m/>
    <n v="1"/>
    <m/>
    <m/>
    <m/>
    <n v="1"/>
    <m/>
    <n v="30709.25"/>
    <n v="44100"/>
    <m/>
    <m/>
    <m/>
    <s v=""/>
    <m/>
    <s v=""/>
    <s v=""/>
    <n v="80000"/>
    <s v=""/>
    <s v=""/>
    <n v="0"/>
    <m/>
    <n v="0"/>
    <m/>
    <n v="11000"/>
    <s v=""/>
    <n v="2400"/>
    <m/>
    <s v=""/>
    <s v=""/>
    <s v=""/>
    <n v="27898"/>
    <s v=""/>
    <n v="0"/>
    <m/>
    <s v=""/>
    <s v=""/>
    <n v="34750"/>
    <n v="113577.75"/>
    <m/>
    <m/>
    <s v=""/>
    <n v="29000"/>
    <n v="130273"/>
    <s v=""/>
    <s v=""/>
    <m/>
    <s v=""/>
    <m/>
    <m/>
    <n v="20700"/>
    <n v="0"/>
    <n v="0"/>
    <s v=""/>
    <s v=""/>
    <n v="0"/>
    <n v="0"/>
    <n v="752620.27560000005"/>
  </r>
  <r>
    <n v="362"/>
    <d v="2023-07-21T21:16:00"/>
    <s v="Never Say Never (ever)"/>
    <s v="Cleaning Products"/>
    <s v="North America"/>
    <n v="0"/>
    <x v="5"/>
    <s v="Ultra White Singles"/>
    <x v="6"/>
    <x v="7"/>
    <s v=""/>
    <s v="Audio Post"/>
    <s v="FunnyRabbit&quot;Never Say Never (ever)&quot;"/>
    <s v="FunnyRabbit"/>
    <s v="Original"/>
    <n v="38410"/>
    <s v="firm-bid"/>
    <m/>
    <m/>
    <m/>
    <m/>
    <n v="1"/>
    <n v="1"/>
    <m/>
    <m/>
    <m/>
    <m/>
    <m/>
    <m/>
    <m/>
    <s v=""/>
    <m/>
    <s v=""/>
    <s v=""/>
    <m/>
    <s v=""/>
    <s v=""/>
    <m/>
    <m/>
    <m/>
    <m/>
    <m/>
    <s v=""/>
    <m/>
    <m/>
    <s v=""/>
    <s v=""/>
    <s v=""/>
    <m/>
    <s v=""/>
    <m/>
    <m/>
    <s v=""/>
    <s v=""/>
    <m/>
    <m/>
    <m/>
    <m/>
    <s v=""/>
    <m/>
    <m/>
    <s v=""/>
    <s v=""/>
    <m/>
    <s v=""/>
    <m/>
    <m/>
    <m/>
    <m/>
    <m/>
    <s v=""/>
    <s v=""/>
    <n v="0"/>
    <n v="0"/>
    <n v="40866.666666666664"/>
  </r>
  <r>
    <n v="362"/>
    <d v="2023-07-21T21:16:00"/>
    <s v="Never Say Never (ever)"/>
    <s v="Cleaning Products"/>
    <s v="North America"/>
    <n v="1"/>
    <x v="5"/>
    <s v="Ultra White Singles"/>
    <x v="6"/>
    <x v="7"/>
    <s v="Sound Monster"/>
    <s v="Audio Post"/>
    <s v="Sound Monster"/>
    <s v="Sound Monster"/>
    <s v="Original"/>
    <n v="55620"/>
    <s v="firm-bid"/>
    <n v="40866.666669999999"/>
    <n v="1"/>
    <m/>
    <m/>
    <n v="1"/>
    <m/>
    <m/>
    <m/>
    <m/>
    <m/>
    <n v="55620"/>
    <m/>
    <m/>
    <s v=""/>
    <m/>
    <s v=""/>
    <s v=""/>
    <m/>
    <s v=""/>
    <s v=""/>
    <m/>
    <m/>
    <m/>
    <m/>
    <m/>
    <s v=""/>
    <m/>
    <m/>
    <s v=""/>
    <s v=""/>
    <s v=""/>
    <m/>
    <s v=""/>
    <m/>
    <m/>
    <s v=""/>
    <s v=""/>
    <m/>
    <m/>
    <m/>
    <m/>
    <s v=""/>
    <m/>
    <m/>
    <s v=""/>
    <s v=""/>
    <m/>
    <s v=""/>
    <m/>
    <m/>
    <m/>
    <m/>
    <m/>
    <s v=""/>
    <s v=""/>
    <n v="55620"/>
    <n v="55620"/>
    <n v="40866.666666666664"/>
  </r>
  <r>
    <n v="362"/>
    <d v="2023-07-21T21:16:00"/>
    <s v="Never Say Never (ever)"/>
    <s v="Cleaning Products"/>
    <s v="North America"/>
    <n v="0"/>
    <x v="5"/>
    <s v="Ultra White Singles"/>
    <x v="6"/>
    <x v="7"/>
    <s v=""/>
    <s v="Audio Post"/>
    <s v="Audio Fantasy &quot;Never Say Never (ever)&quot;"/>
    <s v="AudioFantasyBid"/>
    <s v="Original"/>
    <n v="28570"/>
    <s v="firm-bid"/>
    <m/>
    <m/>
    <n v="1"/>
    <m/>
    <n v="1"/>
    <m/>
    <n v="1"/>
    <m/>
    <m/>
    <m/>
    <m/>
    <m/>
    <m/>
    <s v=""/>
    <m/>
    <s v=""/>
    <s v=""/>
    <m/>
    <s v=""/>
    <s v=""/>
    <m/>
    <m/>
    <m/>
    <m/>
    <m/>
    <s v=""/>
    <m/>
    <m/>
    <s v=""/>
    <s v=""/>
    <s v=""/>
    <m/>
    <s v=""/>
    <m/>
    <m/>
    <s v=""/>
    <s v=""/>
    <m/>
    <m/>
    <m/>
    <m/>
    <s v=""/>
    <m/>
    <m/>
    <s v=""/>
    <s v=""/>
    <m/>
    <s v=""/>
    <m/>
    <m/>
    <m/>
    <m/>
    <m/>
    <s v=""/>
    <s v=""/>
    <n v="0"/>
    <n v="0"/>
    <n v="40866.666666666664"/>
  </r>
  <r>
    <n v="362"/>
    <d v="2023-07-21T21:16:00"/>
    <s v="Never Say Never (ever)"/>
    <s v="Cleaning Products"/>
    <s v="North America"/>
    <n v="0"/>
    <x v="5"/>
    <s v="Ultra White Singles"/>
    <x v="6"/>
    <x v="7"/>
    <s v=""/>
    <s v="Finishing"/>
    <s v="EB &quot;Never Say Never (ever)&quot;"/>
    <s v="EvanBanderLLC_NeverSayNever(ever)_Finishing"/>
    <s v="Original"/>
    <n v="20550"/>
    <s v="firm-bid"/>
    <m/>
    <m/>
    <m/>
    <m/>
    <n v="1"/>
    <m/>
    <n v="1"/>
    <m/>
    <m/>
    <m/>
    <m/>
    <m/>
    <m/>
    <s v=""/>
    <m/>
    <s v=""/>
    <s v=""/>
    <m/>
    <s v=""/>
    <s v=""/>
    <m/>
    <m/>
    <m/>
    <m/>
    <m/>
    <s v=""/>
    <m/>
    <m/>
    <s v=""/>
    <s v=""/>
    <s v=""/>
    <m/>
    <s v=""/>
    <m/>
    <m/>
    <s v=""/>
    <s v=""/>
    <m/>
    <m/>
    <m/>
    <m/>
    <s v=""/>
    <m/>
    <m/>
    <s v=""/>
    <s v=""/>
    <m/>
    <s v=""/>
    <m/>
    <m/>
    <m/>
    <m/>
    <m/>
    <s v=""/>
    <s v=""/>
    <n v="0"/>
    <n v="0"/>
    <n v="27483.333333333332"/>
  </r>
  <r>
    <n v="362"/>
    <d v="2023-07-21T21:16:00"/>
    <s v="Never Say Never (ever)"/>
    <s v="Cleaning Products"/>
    <s v="North America"/>
    <n v="1"/>
    <x v="5"/>
    <s v="Ultra White Singles"/>
    <x v="6"/>
    <x v="7"/>
    <s v="Here &amp; Now"/>
    <s v="Finishing"/>
    <s v="Here &amp; Now for¬†&quot;Never Say Never (ever)&quot;"/>
    <s v="HereandNow_NeverSayNever(ever)_Finishing"/>
    <s v="Original"/>
    <n v="28950"/>
    <s v="firm-bid"/>
    <n v="27483.333330000001"/>
    <m/>
    <m/>
    <m/>
    <m/>
    <m/>
    <m/>
    <m/>
    <m/>
    <m/>
    <m/>
    <m/>
    <m/>
    <s v=""/>
    <m/>
    <s v=""/>
    <s v=""/>
    <m/>
    <s v=""/>
    <s v=""/>
    <m/>
    <m/>
    <m/>
    <m/>
    <m/>
    <s v=""/>
    <m/>
    <n v="28950"/>
    <s v=""/>
    <s v=""/>
    <s v=""/>
    <m/>
    <s v=""/>
    <m/>
    <m/>
    <s v=""/>
    <s v=""/>
    <m/>
    <m/>
    <m/>
    <m/>
    <s v=""/>
    <m/>
    <m/>
    <s v=""/>
    <s v=""/>
    <m/>
    <s v=""/>
    <m/>
    <m/>
    <m/>
    <m/>
    <m/>
    <s v=""/>
    <s v=""/>
    <n v="0"/>
    <n v="0"/>
    <n v="27483.333333333332"/>
  </r>
  <r>
    <n v="362"/>
    <d v="2023-07-21T21:16:00"/>
    <s v="Never Say Never (ever)"/>
    <s v="Cleaning Products"/>
    <s v="North America"/>
    <n v="0"/>
    <x v="5"/>
    <s v="Ultra White Singles"/>
    <x v="6"/>
    <x v="7"/>
    <s v=""/>
    <s v="Finishing"/>
    <s v="‚ÄúNever Say Never (ever) ‚Äù - POI"/>
    <s v="PersonsofInterest_NeverSayNever(ever)_Finishing"/>
    <s v="Original"/>
    <n v="32950"/>
    <s v="firm-bid"/>
    <m/>
    <m/>
    <m/>
    <m/>
    <m/>
    <m/>
    <m/>
    <m/>
    <m/>
    <m/>
    <m/>
    <m/>
    <m/>
    <s v=""/>
    <m/>
    <s v=""/>
    <s v=""/>
    <m/>
    <s v=""/>
    <s v=""/>
    <m/>
    <m/>
    <m/>
    <m/>
    <m/>
    <s v=""/>
    <m/>
    <m/>
    <s v=""/>
    <s v=""/>
    <s v=""/>
    <m/>
    <s v=""/>
    <m/>
    <m/>
    <s v=""/>
    <s v=""/>
    <m/>
    <m/>
    <m/>
    <m/>
    <s v=""/>
    <m/>
    <m/>
    <s v=""/>
    <s v=""/>
    <m/>
    <s v=""/>
    <m/>
    <m/>
    <m/>
    <m/>
    <m/>
    <s v=""/>
    <s v=""/>
    <n v="0"/>
    <n v="0"/>
    <n v="27483.333333333332"/>
  </r>
  <r>
    <n v="362"/>
    <d v="2023-07-21T21:16:00"/>
    <s v="Never Say Never (ever)"/>
    <s v="Cleaning Products"/>
    <s v="North America"/>
    <n v="0"/>
    <x v="5"/>
    <s v="Ultra White Singles"/>
    <x v="6"/>
    <x v="7"/>
    <s v=""/>
    <s v="Editorial"/>
    <s v="Never Say Never (ever)"/>
    <s v="ToTo_NeverSayNever(ever)_Edit"/>
    <s v="Original"/>
    <n v="96361.358330000003"/>
    <s v="firm-bid"/>
    <m/>
    <m/>
    <m/>
    <n v="1"/>
    <m/>
    <m/>
    <m/>
    <m/>
    <m/>
    <m/>
    <m/>
    <m/>
    <m/>
    <s v=""/>
    <m/>
    <s v=""/>
    <s v=""/>
    <m/>
    <s v=""/>
    <s v=""/>
    <m/>
    <m/>
    <m/>
    <m/>
    <m/>
    <s v=""/>
    <m/>
    <m/>
    <s v=""/>
    <s v=""/>
    <s v=""/>
    <m/>
    <s v=""/>
    <m/>
    <m/>
    <s v=""/>
    <s v=""/>
    <m/>
    <m/>
    <m/>
    <m/>
    <s v=""/>
    <m/>
    <m/>
    <s v=""/>
    <s v=""/>
    <m/>
    <s v=""/>
    <m/>
    <m/>
    <m/>
    <m/>
    <m/>
    <s v=""/>
    <s v=""/>
    <n v="0"/>
    <n v="0"/>
    <n v="112854.31111"/>
  </r>
  <r>
    <n v="362"/>
    <d v="2023-07-21T21:16:00"/>
    <s v="Never Say Never (ever)"/>
    <s v="Cleaning Products"/>
    <s v="North America"/>
    <n v="0"/>
    <x v="5"/>
    <s v="Ultra White Singles"/>
    <x v="6"/>
    <x v="7"/>
    <s v=""/>
    <s v="Editorial"/>
    <s v="Never Say Never"/>
    <s v="TotalCuts_NeverSayNever(ever)_Edit"/>
    <s v="Original"/>
    <n v="169632.4"/>
    <s v="firm-bid"/>
    <m/>
    <m/>
    <m/>
    <n v="1"/>
    <m/>
    <m/>
    <m/>
    <m/>
    <m/>
    <m/>
    <m/>
    <m/>
    <m/>
    <s v=""/>
    <m/>
    <s v=""/>
    <s v=""/>
    <m/>
    <s v=""/>
    <s v=""/>
    <m/>
    <m/>
    <m/>
    <m/>
    <m/>
    <s v=""/>
    <m/>
    <m/>
    <s v=""/>
    <s v=""/>
    <s v=""/>
    <m/>
    <s v=""/>
    <m/>
    <m/>
    <s v=""/>
    <s v=""/>
    <m/>
    <m/>
    <m/>
    <m/>
    <s v=""/>
    <m/>
    <m/>
    <s v=""/>
    <s v=""/>
    <m/>
    <s v=""/>
    <m/>
    <m/>
    <m/>
    <m/>
    <m/>
    <s v=""/>
    <s v=""/>
    <n v="0"/>
    <n v="0"/>
    <n v="112854.31111"/>
  </r>
  <r>
    <n v="362"/>
    <d v="2023-07-21T21:16:00"/>
    <s v="Never Say Never (ever)"/>
    <s v="Cleaning Products"/>
    <s v="North America"/>
    <n v="1"/>
    <x v="5"/>
    <s v="Ultra White Singles"/>
    <x v="6"/>
    <x v="7"/>
    <s v="Myrtle Row Editorial"/>
    <s v="Editorial"/>
    <s v="Never Say Never (ever)"/>
    <s v="MyrtleRow_NeverSayNever(ever)_Edit"/>
    <s v="Original"/>
    <n v="72569.175000000003"/>
    <s v="firm-bid"/>
    <n v="112854.31110000001"/>
    <m/>
    <m/>
    <m/>
    <m/>
    <m/>
    <n v="1"/>
    <m/>
    <m/>
    <m/>
    <m/>
    <m/>
    <m/>
    <s v=""/>
    <m/>
    <s v=""/>
    <s v=""/>
    <m/>
    <s v=""/>
    <s v=""/>
    <n v="16400"/>
    <n v="19200"/>
    <n v="8850"/>
    <n v="8488"/>
    <m/>
    <s v=""/>
    <m/>
    <m/>
    <s v=""/>
    <s v=""/>
    <s v=""/>
    <m/>
    <s v=""/>
    <m/>
    <m/>
    <s v=""/>
    <s v=""/>
    <m/>
    <m/>
    <m/>
    <m/>
    <s v=""/>
    <m/>
    <m/>
    <s v=""/>
    <s v=""/>
    <m/>
    <s v=""/>
    <m/>
    <m/>
    <m/>
    <m/>
    <m/>
    <s v=""/>
    <s v=""/>
    <n v="0"/>
    <n v="0"/>
    <n v="112854.31111"/>
  </r>
  <r>
    <n v="362"/>
    <d v="2023-07-21T21:16:00"/>
    <s v="Never Say Never (ever)"/>
    <s v="Cleaning Products"/>
    <s v="North America"/>
    <n v="0"/>
    <x v="5"/>
    <s v="Ultra White Singles"/>
    <x v="6"/>
    <x v="7"/>
    <s v=""/>
    <s v="Film &amp; Video Production"/>
    <s v="Never Say Never (ever)"/>
    <s v="harmony_and_Light_NeverSayNeverever_LiveAction"/>
    <s v="Original"/>
    <n v="718279.31240000005"/>
    <s v="firm-bid"/>
    <m/>
    <m/>
    <m/>
    <m/>
    <m/>
    <m/>
    <m/>
    <m/>
    <m/>
    <m/>
    <m/>
    <m/>
    <m/>
    <s v=""/>
    <m/>
    <s v=""/>
    <s v=""/>
    <m/>
    <s v=""/>
    <s v=""/>
    <m/>
    <m/>
    <m/>
    <m/>
    <m/>
    <s v=""/>
    <m/>
    <m/>
    <s v=""/>
    <s v=""/>
    <s v=""/>
    <m/>
    <s v=""/>
    <m/>
    <m/>
    <s v=""/>
    <s v=""/>
    <m/>
    <m/>
    <m/>
    <m/>
    <s v=""/>
    <m/>
    <m/>
    <s v=""/>
    <s v=""/>
    <m/>
    <s v=""/>
    <m/>
    <m/>
    <m/>
    <m/>
    <m/>
    <s v=""/>
    <s v=""/>
    <n v="0"/>
    <n v="0"/>
    <n v="815339.00746666675"/>
  </r>
  <r>
    <n v="362"/>
    <d v="2023-07-21T21:16:00"/>
    <s v="Never Say Never (ever)"/>
    <s v="Cleaning Products"/>
    <s v="North America"/>
    <n v="1"/>
    <x v="5"/>
    <s v="Ultra White Singles"/>
    <x v="6"/>
    <x v="7"/>
    <s v="Level 12 Shooters Inc"/>
    <s v="Film &amp; Video Production"/>
    <s v="NSN(e)"/>
    <s v="Level12_NeverSayNeverever_LiveAction"/>
    <s v="Original"/>
    <n v="787930.41"/>
    <s v="firm-bid"/>
    <n v="815339.00749999995"/>
    <m/>
    <n v="1"/>
    <m/>
    <m/>
    <m/>
    <m/>
    <m/>
    <n v="36608"/>
    <n v="43400"/>
    <m/>
    <m/>
    <m/>
    <s v=""/>
    <m/>
    <s v=""/>
    <s v=""/>
    <n v="270000"/>
    <s v=""/>
    <s v=""/>
    <n v="0"/>
    <m/>
    <n v="0"/>
    <m/>
    <n v="26600"/>
    <s v=""/>
    <n v="2500"/>
    <m/>
    <s v=""/>
    <s v=""/>
    <s v=""/>
    <n v="14600"/>
    <s v=""/>
    <n v="500"/>
    <m/>
    <s v=""/>
    <s v=""/>
    <n v="11750"/>
    <n v="105426.75"/>
    <m/>
    <m/>
    <s v=""/>
    <n v="1600"/>
    <n v="107393"/>
    <s v=""/>
    <s v=""/>
    <m/>
    <s v=""/>
    <m/>
    <m/>
    <n v="15050"/>
    <n v="0"/>
    <n v="0"/>
    <s v=""/>
    <s v=""/>
    <n v="0"/>
    <n v="0"/>
    <n v="815339.00746666675"/>
  </r>
  <r>
    <n v="362"/>
    <d v="2023-07-21T21:16:00"/>
    <s v="Never Say Never (ever)"/>
    <s v="Cleaning Products"/>
    <s v="North America"/>
    <n v="0"/>
    <x v="5"/>
    <s v="Ultra White Singles"/>
    <x v="6"/>
    <x v="7"/>
    <s v=""/>
    <s v="Film &amp; Video Production"/>
    <s v="NSNe"/>
    <s v="OpenFrameworks_NeverSayNeverever_LiveAction"/>
    <s v="Original"/>
    <n v="939807.3"/>
    <s v="firm-bid"/>
    <m/>
    <m/>
    <m/>
    <m/>
    <m/>
    <m/>
    <m/>
    <m/>
    <m/>
    <m/>
    <m/>
    <m/>
    <m/>
    <s v=""/>
    <m/>
    <s v=""/>
    <s v=""/>
    <m/>
    <s v=""/>
    <s v=""/>
    <m/>
    <m/>
    <m/>
    <m/>
    <m/>
    <s v=""/>
    <m/>
    <m/>
    <s v=""/>
    <s v=""/>
    <s v=""/>
    <m/>
    <s v=""/>
    <m/>
    <m/>
    <s v=""/>
    <s v=""/>
    <m/>
    <m/>
    <m/>
    <m/>
    <s v=""/>
    <m/>
    <m/>
    <s v=""/>
    <s v=""/>
    <m/>
    <s v=""/>
    <m/>
    <m/>
    <m/>
    <m/>
    <m/>
    <s v=""/>
    <s v=""/>
    <n v="0"/>
    <n v="0"/>
    <n v="815339.00746666675"/>
  </r>
  <r>
    <n v="363"/>
    <d v="2023-07-21T21:17:00"/>
    <s v="I Slipped"/>
    <s v="Cleaning Products"/>
    <s v="North America"/>
    <n v="1"/>
    <x v="5"/>
    <s v="Ultra White Tile &amp; Tub"/>
    <x v="6"/>
    <x v="7"/>
    <s v="Special Oaks"/>
    <s v="Audio Post"/>
    <s v="Special Oaks"/>
    <s v="Special Oaks"/>
    <s v="Original"/>
    <n v="39180"/>
    <s v="firm-bid"/>
    <n v="39333.333330000001"/>
    <n v="1"/>
    <m/>
    <m/>
    <m/>
    <m/>
    <m/>
    <m/>
    <m/>
    <m/>
    <n v="39180"/>
    <m/>
    <m/>
    <s v=""/>
    <m/>
    <s v=""/>
    <s v=""/>
    <m/>
    <s v=""/>
    <s v=""/>
    <m/>
    <m/>
    <m/>
    <m/>
    <m/>
    <s v=""/>
    <m/>
    <m/>
    <s v=""/>
    <s v=""/>
    <s v=""/>
    <m/>
    <s v=""/>
    <m/>
    <m/>
    <s v=""/>
    <s v=""/>
    <m/>
    <m/>
    <m/>
    <m/>
    <s v=""/>
    <m/>
    <m/>
    <s v=""/>
    <s v=""/>
    <m/>
    <s v=""/>
    <m/>
    <m/>
    <m/>
    <m/>
    <m/>
    <s v=""/>
    <s v=""/>
    <n v="39180"/>
    <n v="39180"/>
    <n v="39333.333333333336"/>
  </r>
  <r>
    <n v="363"/>
    <d v="2023-07-21T21:17:00"/>
    <s v="I Slipped"/>
    <s v="Cleaning Products"/>
    <s v="North America"/>
    <n v="0"/>
    <x v="5"/>
    <s v="Ultra White Tile &amp; Tub"/>
    <x v="6"/>
    <x v="7"/>
    <s v=""/>
    <s v="Audio Post"/>
    <s v="Arsonist&quot;I Slipped&quot;"/>
    <s v="Arsonist"/>
    <s v="Original"/>
    <n v="41010"/>
    <s v="firm-bid"/>
    <m/>
    <n v="1"/>
    <n v="1"/>
    <n v="1"/>
    <n v="1"/>
    <n v="1"/>
    <n v="1"/>
    <m/>
    <m/>
    <m/>
    <m/>
    <m/>
    <m/>
    <s v=""/>
    <m/>
    <s v=""/>
    <s v=""/>
    <m/>
    <s v=""/>
    <s v=""/>
    <m/>
    <m/>
    <m/>
    <m/>
    <m/>
    <s v=""/>
    <m/>
    <m/>
    <s v=""/>
    <s v=""/>
    <s v=""/>
    <m/>
    <s v=""/>
    <m/>
    <m/>
    <s v=""/>
    <s v=""/>
    <m/>
    <m/>
    <m/>
    <m/>
    <s v=""/>
    <m/>
    <m/>
    <s v=""/>
    <s v=""/>
    <m/>
    <s v=""/>
    <m/>
    <m/>
    <m/>
    <m/>
    <m/>
    <s v=""/>
    <s v=""/>
    <n v="41010"/>
    <n v="0"/>
    <n v="39333.333333333336"/>
  </r>
  <r>
    <n v="363"/>
    <d v="2023-07-21T21:17:00"/>
    <s v="I Slipped"/>
    <s v="Cleaning Products"/>
    <s v="North America"/>
    <n v="0"/>
    <x v="5"/>
    <s v="Ultra White Tile &amp; Tub"/>
    <x v="6"/>
    <x v="7"/>
    <s v=""/>
    <s v="Audio Post"/>
    <s v="Earwax &quot;I Slipped&quot;"/>
    <s v="Earwax"/>
    <s v="Original"/>
    <n v="37810"/>
    <s v="firm-bid"/>
    <m/>
    <m/>
    <m/>
    <m/>
    <m/>
    <m/>
    <m/>
    <m/>
    <m/>
    <m/>
    <m/>
    <m/>
    <m/>
    <s v=""/>
    <m/>
    <s v=""/>
    <s v=""/>
    <m/>
    <s v=""/>
    <s v=""/>
    <m/>
    <m/>
    <m/>
    <m/>
    <m/>
    <s v=""/>
    <m/>
    <m/>
    <s v=""/>
    <s v=""/>
    <s v=""/>
    <m/>
    <s v=""/>
    <m/>
    <m/>
    <s v=""/>
    <s v=""/>
    <m/>
    <m/>
    <m/>
    <m/>
    <s v=""/>
    <m/>
    <m/>
    <s v=""/>
    <s v=""/>
    <m/>
    <s v=""/>
    <m/>
    <m/>
    <m/>
    <m/>
    <m/>
    <s v=""/>
    <s v=""/>
    <n v="0"/>
    <n v="0"/>
    <n v="39333.333333333336"/>
  </r>
  <r>
    <n v="363"/>
    <d v="2023-07-21T21:17:00"/>
    <s v="I Slipped"/>
    <s v="Cleaning Products"/>
    <s v="North America"/>
    <n v="0"/>
    <x v="5"/>
    <s v="Ultra White Tile &amp; Tub"/>
    <x v="6"/>
    <x v="7"/>
    <s v=""/>
    <s v="Finishing"/>
    <s v="&quot;I Slipped&quot;"/>
    <s v="AndiamoImages_ISlipped_Finishing"/>
    <s v="Original"/>
    <n v="21400"/>
    <s v="firm-bid"/>
    <m/>
    <m/>
    <m/>
    <m/>
    <m/>
    <n v="1"/>
    <m/>
    <m/>
    <m/>
    <m/>
    <m/>
    <m/>
    <m/>
    <s v=""/>
    <m/>
    <s v=""/>
    <s v=""/>
    <m/>
    <s v=""/>
    <s v=""/>
    <m/>
    <m/>
    <m/>
    <m/>
    <m/>
    <s v=""/>
    <m/>
    <m/>
    <s v=""/>
    <s v=""/>
    <s v=""/>
    <m/>
    <s v=""/>
    <m/>
    <m/>
    <s v=""/>
    <s v=""/>
    <m/>
    <m/>
    <m/>
    <m/>
    <s v=""/>
    <m/>
    <m/>
    <s v=""/>
    <s v=""/>
    <m/>
    <s v=""/>
    <m/>
    <m/>
    <m/>
    <m/>
    <m/>
    <s v=""/>
    <s v=""/>
    <n v="0"/>
    <n v="0"/>
    <n v="34116.666666666664"/>
  </r>
  <r>
    <n v="363"/>
    <d v="2023-07-21T21:17:00"/>
    <s v="I Slipped"/>
    <s v="Cleaning Products"/>
    <s v="North America"/>
    <n v="0"/>
    <x v="5"/>
    <s v="Ultra White Tile &amp; Tub"/>
    <x v="6"/>
    <x v="7"/>
    <s v=""/>
    <s v="Finishing"/>
    <s v="WITNESS::  Slipped"/>
    <s v="Witness_ISlipped_Finishing"/>
    <s v="Original"/>
    <n v="30950"/>
    <s v="firm-bid"/>
    <m/>
    <m/>
    <m/>
    <n v="1"/>
    <n v="1"/>
    <m/>
    <m/>
    <m/>
    <m/>
    <m/>
    <m/>
    <m/>
    <m/>
    <s v=""/>
    <m/>
    <s v=""/>
    <s v=""/>
    <m/>
    <s v=""/>
    <s v=""/>
    <m/>
    <m/>
    <m/>
    <m/>
    <m/>
    <s v=""/>
    <m/>
    <m/>
    <s v=""/>
    <s v=""/>
    <s v=""/>
    <m/>
    <s v=""/>
    <m/>
    <m/>
    <s v=""/>
    <s v=""/>
    <m/>
    <m/>
    <m/>
    <m/>
    <s v=""/>
    <m/>
    <m/>
    <s v=""/>
    <s v=""/>
    <m/>
    <s v=""/>
    <m/>
    <m/>
    <m/>
    <m/>
    <m/>
    <s v=""/>
    <s v=""/>
    <n v="0"/>
    <n v="0"/>
    <n v="34116.666666666664"/>
  </r>
  <r>
    <n v="363"/>
    <d v="2023-07-21T21:17:00"/>
    <s v="I Slipped"/>
    <s v="Cleaning Products"/>
    <s v="North America"/>
    <n v="1"/>
    <x v="5"/>
    <s v="Ultra White Tile &amp; Tub"/>
    <x v="6"/>
    <x v="7"/>
    <s v="ColorMaven"/>
    <s v="Finishing"/>
    <s v="colorMaven &quot;I Slipped&quot;"/>
    <s v="ColorMaven_ISlipped_Finishing"/>
    <s v="Original"/>
    <n v="50000"/>
    <s v="firm-bid"/>
    <n v="34116.666669999999"/>
    <m/>
    <m/>
    <m/>
    <m/>
    <n v="1"/>
    <m/>
    <m/>
    <m/>
    <m/>
    <m/>
    <m/>
    <m/>
    <s v=""/>
    <m/>
    <s v=""/>
    <s v=""/>
    <m/>
    <s v=""/>
    <s v=""/>
    <m/>
    <m/>
    <m/>
    <m/>
    <m/>
    <s v=""/>
    <m/>
    <n v="50000"/>
    <s v=""/>
    <s v=""/>
    <s v=""/>
    <m/>
    <s v=""/>
    <m/>
    <m/>
    <s v=""/>
    <s v=""/>
    <m/>
    <m/>
    <m/>
    <m/>
    <s v=""/>
    <m/>
    <m/>
    <s v=""/>
    <s v=""/>
    <m/>
    <s v=""/>
    <m/>
    <m/>
    <m/>
    <m/>
    <m/>
    <s v=""/>
    <s v=""/>
    <n v="0"/>
    <n v="0"/>
    <n v="34116.666666666664"/>
  </r>
  <r>
    <n v="363"/>
    <d v="2023-07-21T21:17:00"/>
    <s v="I Slipped"/>
    <s v="Cleaning Products"/>
    <s v="North America"/>
    <n v="0"/>
    <x v="5"/>
    <s v="Ultra White Tile &amp; Tub"/>
    <x v="6"/>
    <x v="7"/>
    <s v=""/>
    <s v="Editorial"/>
    <s v="I Slipped"/>
    <s v="Margin5_ISlipped_Edit"/>
    <s v="Original"/>
    <n v="114637.3083"/>
    <s v="firm-bid"/>
    <m/>
    <m/>
    <m/>
    <m/>
    <m/>
    <m/>
    <m/>
    <m/>
    <m/>
    <m/>
    <m/>
    <m/>
    <m/>
    <s v=""/>
    <m/>
    <s v=""/>
    <s v=""/>
    <m/>
    <s v=""/>
    <s v=""/>
    <m/>
    <m/>
    <m/>
    <m/>
    <m/>
    <s v=""/>
    <m/>
    <m/>
    <s v=""/>
    <s v=""/>
    <s v=""/>
    <m/>
    <s v=""/>
    <m/>
    <m/>
    <s v=""/>
    <s v=""/>
    <m/>
    <m/>
    <m/>
    <m/>
    <s v=""/>
    <m/>
    <m/>
    <s v=""/>
    <s v=""/>
    <m/>
    <s v=""/>
    <m/>
    <m/>
    <m/>
    <m/>
    <m/>
    <s v=""/>
    <s v=""/>
    <n v="0"/>
    <n v="0"/>
    <n v="100280.11387666667"/>
  </r>
  <r>
    <n v="363"/>
    <d v="2023-07-21T21:17:00"/>
    <s v="I Slipped"/>
    <s v="Cleaning Products"/>
    <s v="North America"/>
    <n v="0"/>
    <x v="5"/>
    <s v="Ultra White Tile &amp; Tub"/>
    <x v="6"/>
    <x v="7"/>
    <s v=""/>
    <s v="Editorial"/>
    <s v="TBLLC I Slipped"/>
    <s v="TimeBomb_ISlipped_Edit"/>
    <s v="Original"/>
    <n v="101759.7"/>
    <s v="firm-bid"/>
    <m/>
    <m/>
    <m/>
    <m/>
    <m/>
    <m/>
    <m/>
    <m/>
    <m/>
    <m/>
    <m/>
    <m/>
    <m/>
    <s v=""/>
    <m/>
    <s v=""/>
    <s v=""/>
    <m/>
    <s v=""/>
    <s v=""/>
    <m/>
    <m/>
    <m/>
    <m/>
    <m/>
    <s v=""/>
    <m/>
    <m/>
    <s v=""/>
    <s v=""/>
    <s v=""/>
    <m/>
    <s v=""/>
    <m/>
    <m/>
    <s v=""/>
    <s v=""/>
    <m/>
    <m/>
    <m/>
    <m/>
    <s v=""/>
    <m/>
    <m/>
    <s v=""/>
    <s v=""/>
    <m/>
    <s v=""/>
    <m/>
    <m/>
    <m/>
    <m/>
    <m/>
    <s v=""/>
    <s v=""/>
    <n v="0"/>
    <n v="0"/>
    <n v="100280.11387666667"/>
  </r>
  <r>
    <n v="363"/>
    <d v="2023-07-21T21:17:00"/>
    <s v="I Slipped"/>
    <s v="Cleaning Products"/>
    <s v="North America"/>
    <n v="1"/>
    <x v="5"/>
    <s v="Ultra White Tile &amp; Tub"/>
    <x v="6"/>
    <x v="7"/>
    <s v="Toto"/>
    <s v="Editorial"/>
    <s v="I Slipped"/>
    <s v="ToTo_ISlipped_Edit"/>
    <s v="Original"/>
    <n v="84443.333329999994"/>
    <s v="firm-bid"/>
    <n v="100280.1139"/>
    <m/>
    <m/>
    <m/>
    <m/>
    <m/>
    <m/>
    <m/>
    <m/>
    <m/>
    <m/>
    <m/>
    <m/>
    <s v=""/>
    <m/>
    <s v=""/>
    <s v=""/>
    <m/>
    <s v=""/>
    <s v=""/>
    <n v="24650"/>
    <n v="23550"/>
    <n v="6000"/>
    <n v="7400"/>
    <m/>
    <s v=""/>
    <m/>
    <m/>
    <s v=""/>
    <s v=""/>
    <s v=""/>
    <m/>
    <s v=""/>
    <m/>
    <m/>
    <s v=""/>
    <s v=""/>
    <m/>
    <m/>
    <m/>
    <m/>
    <s v=""/>
    <m/>
    <m/>
    <s v=""/>
    <s v=""/>
    <m/>
    <s v=""/>
    <m/>
    <m/>
    <m/>
    <m/>
    <m/>
    <s v=""/>
    <s v=""/>
    <n v="0"/>
    <n v="0"/>
    <n v="100280.11387666667"/>
  </r>
  <r>
    <n v="363"/>
    <d v="2023-07-21T21:17:00"/>
    <s v="I Slipped"/>
    <s v="Cleaning Products"/>
    <s v="North America"/>
    <n v="1"/>
    <x v="5"/>
    <s v="Ultra White Tile &amp; Tub"/>
    <x v="6"/>
    <x v="7"/>
    <s v="Interstate"/>
    <s v="Film &amp; Video Production"/>
    <s v="I Slipped"/>
    <s v="Interstate_ISlipped_LiveAction"/>
    <s v="Original"/>
    <n v="695741.97759999998"/>
    <s v="firm-bid"/>
    <n v="747040.61529999995"/>
    <m/>
    <m/>
    <m/>
    <m/>
    <n v="1"/>
    <m/>
    <m/>
    <n v="43579.25"/>
    <n v="13200"/>
    <m/>
    <m/>
    <m/>
    <s v=""/>
    <m/>
    <s v=""/>
    <s v=""/>
    <n v="85000"/>
    <s v=""/>
    <s v=""/>
    <n v="0"/>
    <m/>
    <n v="0"/>
    <m/>
    <n v="57650"/>
    <s v=""/>
    <n v="2800"/>
    <m/>
    <s v=""/>
    <s v=""/>
    <s v=""/>
    <n v="38650"/>
    <s v=""/>
    <n v="13600"/>
    <m/>
    <s v=""/>
    <s v=""/>
    <n v="22550"/>
    <n v="130058.5"/>
    <m/>
    <m/>
    <s v=""/>
    <n v="7900"/>
    <n v="82180.67"/>
    <s v=""/>
    <s v=""/>
    <m/>
    <s v=""/>
    <m/>
    <m/>
    <n v="46380"/>
    <n v="0"/>
    <n v="0"/>
    <s v=""/>
    <s v=""/>
    <n v="0"/>
    <n v="0"/>
    <n v="747040.61526666663"/>
  </r>
  <r>
    <n v="363"/>
    <d v="2023-07-21T21:17:00"/>
    <s v="I Slipped"/>
    <s v="Cleaning Products"/>
    <s v="North America"/>
    <n v="0"/>
    <x v="5"/>
    <s v="Ultra White Tile &amp; Tub"/>
    <x v="6"/>
    <x v="7"/>
    <s v=""/>
    <s v="Film &amp; Video Production"/>
    <s v="I Slipped"/>
    <s v="Petulant_ISlipped_LiveAction"/>
    <s v="Original"/>
    <n v="873108.54399999999"/>
    <s v="firm-bid"/>
    <m/>
    <m/>
    <n v="1"/>
    <m/>
    <m/>
    <m/>
    <m/>
    <m/>
    <m/>
    <m/>
    <m/>
    <m/>
    <m/>
    <s v=""/>
    <m/>
    <s v=""/>
    <s v=""/>
    <m/>
    <s v=""/>
    <s v=""/>
    <m/>
    <m/>
    <m/>
    <m/>
    <m/>
    <s v=""/>
    <m/>
    <m/>
    <s v=""/>
    <s v=""/>
    <s v=""/>
    <m/>
    <s v=""/>
    <m/>
    <m/>
    <s v=""/>
    <s v=""/>
    <m/>
    <m/>
    <m/>
    <m/>
    <s v=""/>
    <m/>
    <m/>
    <s v=""/>
    <s v=""/>
    <m/>
    <s v=""/>
    <m/>
    <m/>
    <m/>
    <m/>
    <m/>
    <s v=""/>
    <s v=""/>
    <n v="0"/>
    <n v="0"/>
    <n v="747040.61526666663"/>
  </r>
  <r>
    <n v="363"/>
    <d v="2023-07-21T21:17:00"/>
    <s v="I Slipped"/>
    <s v="Cleaning Products"/>
    <s v="North America"/>
    <n v="0"/>
    <x v="5"/>
    <s v="Ultra White Tile &amp; Tub"/>
    <x v="6"/>
    <x v="7"/>
    <s v=""/>
    <s v="Film &amp; Video Production"/>
    <s v="I Slipped"/>
    <s v="Level12_ISlipped_LiveAction"/>
    <s v="Original"/>
    <n v="672271.32420000003"/>
    <s v="firm-bid"/>
    <m/>
    <n v="1"/>
    <m/>
    <m/>
    <m/>
    <m/>
    <m/>
    <m/>
    <m/>
    <m/>
    <m/>
    <m/>
    <m/>
    <s v=""/>
    <m/>
    <s v=""/>
    <s v=""/>
    <m/>
    <s v=""/>
    <s v=""/>
    <m/>
    <m/>
    <m/>
    <m/>
    <m/>
    <s v=""/>
    <m/>
    <m/>
    <s v=""/>
    <s v=""/>
    <s v=""/>
    <m/>
    <s v=""/>
    <m/>
    <m/>
    <s v=""/>
    <s v=""/>
    <m/>
    <m/>
    <m/>
    <m/>
    <s v=""/>
    <m/>
    <m/>
    <s v=""/>
    <s v=""/>
    <m/>
    <s v=""/>
    <m/>
    <m/>
    <m/>
    <m/>
    <m/>
    <s v=""/>
    <s v=""/>
    <n v="672271.32420000003"/>
    <n v="0"/>
    <n v="747040.61526666663"/>
  </r>
  <r>
    <n v="363"/>
    <d v="2023-07-21T21:17:00"/>
    <s v="I Slipped"/>
    <s v="Cleaning Products"/>
    <s v="North America"/>
    <n v="1"/>
    <x v="5"/>
    <s v="Ultra White Tile &amp; Tub"/>
    <x v="6"/>
    <x v="7"/>
    <s v="Interstate"/>
    <s v="Sanitary Production Costs"/>
    <s v="I Slipped"/>
    <s v="Interstate_ISlipped_Covid"/>
    <s v="Original"/>
    <n v="13817.135"/>
    <s v="firm-bid"/>
    <n v="10621.49583"/>
    <m/>
    <m/>
    <m/>
    <m/>
    <n v="1"/>
    <m/>
    <m/>
    <m/>
    <m/>
    <m/>
    <m/>
    <m/>
    <s v=""/>
    <n v="6750"/>
    <s v=""/>
    <s v=""/>
    <m/>
    <s v=""/>
    <s v=""/>
    <m/>
    <m/>
    <m/>
    <m/>
    <m/>
    <s v=""/>
    <m/>
    <m/>
    <s v=""/>
    <s v=""/>
    <s v=""/>
    <m/>
    <s v=""/>
    <m/>
    <m/>
    <s v=""/>
    <s v=""/>
    <m/>
    <m/>
    <n v="2020"/>
    <m/>
    <s v=""/>
    <m/>
    <m/>
    <s v=""/>
    <s v=""/>
    <m/>
    <s v=""/>
    <m/>
    <m/>
    <m/>
    <m/>
    <m/>
    <s v=""/>
    <s v=""/>
    <n v="0"/>
    <n v="0"/>
    <n v="10621.495833333334"/>
  </r>
  <r>
    <n v="363"/>
    <d v="2023-07-21T21:17:00"/>
    <s v="I Slipped"/>
    <s v="Cleaning Products"/>
    <s v="North America"/>
    <n v="0"/>
    <x v="5"/>
    <s v="Ultra White Tile &amp; Tub"/>
    <x v="6"/>
    <x v="7"/>
    <s v=""/>
    <s v="Sanitary Production Costs"/>
    <s v="I Slipped"/>
    <s v="Petulant_ISlipped_Covid"/>
    <s v="Original"/>
    <n v="9098.5125000000007"/>
    <s v="firm-bid"/>
    <m/>
    <m/>
    <n v="1"/>
    <m/>
    <m/>
    <m/>
    <m/>
    <m/>
    <m/>
    <m/>
    <m/>
    <m/>
    <m/>
    <s v=""/>
    <m/>
    <s v=""/>
    <s v=""/>
    <m/>
    <s v=""/>
    <s v=""/>
    <m/>
    <m/>
    <m/>
    <m/>
    <m/>
    <s v=""/>
    <m/>
    <m/>
    <s v=""/>
    <s v=""/>
    <s v=""/>
    <m/>
    <s v=""/>
    <m/>
    <m/>
    <s v=""/>
    <s v=""/>
    <m/>
    <m/>
    <m/>
    <m/>
    <s v=""/>
    <m/>
    <m/>
    <s v=""/>
    <s v=""/>
    <m/>
    <s v=""/>
    <m/>
    <m/>
    <m/>
    <m/>
    <m/>
    <s v=""/>
    <s v=""/>
    <n v="0"/>
    <n v="0"/>
    <n v="10621.495833333334"/>
  </r>
  <r>
    <n v="363"/>
    <d v="2023-07-21T21:17:00"/>
    <s v="I Slipped"/>
    <s v="Cleaning Products"/>
    <s v="North America"/>
    <n v="0"/>
    <x v="5"/>
    <s v="Ultra White Tile &amp; Tub"/>
    <x v="6"/>
    <x v="7"/>
    <s v=""/>
    <s v="Sanitary Production Costs"/>
    <s v="I Slipped"/>
    <s v="Level12_ISlipped_Covid"/>
    <s v="Original"/>
    <n v="8948.84"/>
    <s v="firm-bid"/>
    <m/>
    <n v="1"/>
    <m/>
    <m/>
    <m/>
    <m/>
    <m/>
    <m/>
    <m/>
    <m/>
    <m/>
    <m/>
    <m/>
    <s v=""/>
    <m/>
    <s v=""/>
    <s v=""/>
    <m/>
    <s v=""/>
    <s v=""/>
    <m/>
    <m/>
    <m/>
    <m/>
    <m/>
    <s v=""/>
    <m/>
    <m/>
    <s v=""/>
    <s v=""/>
    <s v=""/>
    <m/>
    <s v=""/>
    <m/>
    <m/>
    <s v=""/>
    <s v=""/>
    <m/>
    <m/>
    <m/>
    <m/>
    <s v=""/>
    <m/>
    <m/>
    <s v=""/>
    <s v=""/>
    <m/>
    <s v=""/>
    <m/>
    <m/>
    <m/>
    <m/>
    <m/>
    <s v=""/>
    <s v=""/>
    <n v="8948.84"/>
    <n v="0"/>
    <n v="10621.495833333334"/>
  </r>
  <r>
    <n v="363"/>
    <d v="2023-07-21T21:17:00"/>
    <s v="I Slipped"/>
    <s v="Cleaning Products"/>
    <s v="North America"/>
    <n v="1"/>
    <x v="5"/>
    <s v="Ultra White Tile &amp; Tub"/>
    <x v="6"/>
    <x v="7"/>
    <s v="Interstate"/>
    <s v="Green Production Costs"/>
    <s v="I Slipped"/>
    <s v="Interstate_ISlipped_Green"/>
    <s v="Original"/>
    <n v="9300"/>
    <s v="firm-bid"/>
    <n v="11143.333329999999"/>
    <m/>
    <m/>
    <m/>
    <m/>
    <n v="1"/>
    <m/>
    <m/>
    <n v="0"/>
    <n v="0"/>
    <m/>
    <m/>
    <m/>
    <s v=""/>
    <m/>
    <s v=""/>
    <s v=""/>
    <n v="0"/>
    <s v=""/>
    <s v=""/>
    <n v="0"/>
    <m/>
    <n v="0"/>
    <m/>
    <n v="0"/>
    <s v=""/>
    <n v="0"/>
    <m/>
    <s v=""/>
    <s v=""/>
    <s v=""/>
    <n v="0"/>
    <s v=""/>
    <n v="7500"/>
    <m/>
    <s v=""/>
    <s v=""/>
    <n v="0"/>
    <n v="0"/>
    <m/>
    <m/>
    <s v=""/>
    <n v="0"/>
    <n v="0"/>
    <s v=""/>
    <s v=""/>
    <m/>
    <s v=""/>
    <m/>
    <m/>
    <n v="0"/>
    <n v="0"/>
    <n v="0"/>
    <s v=""/>
    <s v=""/>
    <n v="0"/>
    <n v="0"/>
    <n v="11143.333333333334"/>
  </r>
  <r>
    <n v="363"/>
    <d v="2023-07-21T21:17:00"/>
    <s v="I Slipped"/>
    <s v="Cleaning Products"/>
    <s v="North America"/>
    <n v="0"/>
    <x v="5"/>
    <s v="Ultra White Tile &amp; Tub"/>
    <x v="6"/>
    <x v="7"/>
    <s v=""/>
    <s v="Green Production Costs"/>
    <s v="I Slipped"/>
    <s v="Petulant_ISlipped_Green"/>
    <s v="Original"/>
    <n v="9250"/>
    <s v="firm-bid"/>
    <m/>
    <m/>
    <n v="1"/>
    <m/>
    <m/>
    <m/>
    <m/>
    <m/>
    <m/>
    <m/>
    <m/>
    <m/>
    <m/>
    <s v=""/>
    <m/>
    <s v=""/>
    <s v=""/>
    <m/>
    <s v=""/>
    <s v=""/>
    <m/>
    <m/>
    <m/>
    <m/>
    <m/>
    <s v=""/>
    <m/>
    <m/>
    <s v=""/>
    <s v=""/>
    <s v=""/>
    <m/>
    <s v=""/>
    <m/>
    <m/>
    <s v=""/>
    <s v=""/>
    <m/>
    <m/>
    <m/>
    <m/>
    <s v=""/>
    <m/>
    <m/>
    <s v=""/>
    <s v=""/>
    <m/>
    <s v=""/>
    <m/>
    <m/>
    <m/>
    <m/>
    <m/>
    <s v=""/>
    <s v=""/>
    <n v="0"/>
    <n v="0"/>
    <n v="11143.333333333334"/>
  </r>
  <r>
    <n v="363"/>
    <d v="2023-07-21T21:17:00"/>
    <s v="I Slipped"/>
    <s v="Cleaning Products"/>
    <s v="North America"/>
    <n v="0"/>
    <x v="5"/>
    <s v="Ultra White Tile &amp; Tub"/>
    <x v="6"/>
    <x v="7"/>
    <s v=""/>
    <s v="Green Production Costs"/>
    <s v="I Slipped"/>
    <s v="Level12_ISlipped_Green"/>
    <s v="Original"/>
    <n v="14880"/>
    <s v="firm-bid"/>
    <m/>
    <n v="1"/>
    <m/>
    <m/>
    <m/>
    <m/>
    <m/>
    <m/>
    <m/>
    <m/>
    <m/>
    <m/>
    <m/>
    <s v=""/>
    <m/>
    <s v=""/>
    <s v=""/>
    <m/>
    <s v=""/>
    <s v=""/>
    <m/>
    <m/>
    <m/>
    <m/>
    <m/>
    <s v=""/>
    <m/>
    <m/>
    <s v=""/>
    <s v=""/>
    <s v=""/>
    <m/>
    <s v=""/>
    <m/>
    <m/>
    <s v=""/>
    <s v=""/>
    <m/>
    <m/>
    <m/>
    <m/>
    <s v=""/>
    <m/>
    <m/>
    <s v=""/>
    <s v=""/>
    <m/>
    <s v=""/>
    <m/>
    <m/>
    <m/>
    <m/>
    <m/>
    <s v=""/>
    <s v=""/>
    <n v="14880"/>
    <n v="0"/>
    <n v="11143.333333333334"/>
  </r>
  <r>
    <n v="364"/>
    <d v="2023-07-21T21:17:00"/>
    <s v="As Cold as it Gets"/>
    <s v="Cleaning Products"/>
    <s v="North America"/>
    <n v="1"/>
    <x v="5"/>
    <s v="Ultra White Tile &amp; Tub"/>
    <x v="6"/>
    <x v="7"/>
    <s v="Special Oaks"/>
    <s v="Audio Post"/>
    <s v="Special Oaks&quot;As Cold as it Gets&quot;"/>
    <s v="Special Oaks"/>
    <s v="Original"/>
    <n v="28890"/>
    <s v="firm-bid"/>
    <n v="37863.333330000001"/>
    <m/>
    <m/>
    <m/>
    <n v="1"/>
    <m/>
    <m/>
    <m/>
    <m/>
    <m/>
    <n v="28890"/>
    <m/>
    <m/>
    <s v=""/>
    <m/>
    <s v=""/>
    <s v=""/>
    <m/>
    <s v=""/>
    <s v=""/>
    <m/>
    <m/>
    <m/>
    <m/>
    <m/>
    <s v=""/>
    <m/>
    <m/>
    <s v=""/>
    <s v=""/>
    <s v=""/>
    <m/>
    <s v=""/>
    <m/>
    <m/>
    <s v=""/>
    <s v=""/>
    <m/>
    <m/>
    <m/>
    <m/>
    <s v=""/>
    <m/>
    <m/>
    <s v=""/>
    <s v=""/>
    <m/>
    <s v=""/>
    <m/>
    <m/>
    <m/>
    <m/>
    <m/>
    <s v=""/>
    <s v=""/>
    <n v="0"/>
    <n v="0"/>
    <n v="37863.333333333336"/>
  </r>
  <r>
    <n v="364"/>
    <d v="2023-07-21T21:17:00"/>
    <s v="As Cold as it Gets"/>
    <s v="Cleaning Products"/>
    <s v="North America"/>
    <n v="0"/>
    <x v="5"/>
    <s v="Ultra White Tile &amp; Tub"/>
    <x v="6"/>
    <x v="7"/>
    <s v=""/>
    <s v="Audio Post"/>
    <s v="Audio Labs &quot;As Cold as it Gets&quot;"/>
    <s v="Audio_99"/>
    <s v="Original"/>
    <n v="43020"/>
    <s v="firm-bid"/>
    <m/>
    <m/>
    <m/>
    <n v="1"/>
    <m/>
    <m/>
    <m/>
    <m/>
    <m/>
    <m/>
    <m/>
    <m/>
    <m/>
    <s v=""/>
    <m/>
    <s v=""/>
    <s v=""/>
    <m/>
    <s v=""/>
    <s v=""/>
    <m/>
    <m/>
    <m/>
    <m/>
    <m/>
    <s v=""/>
    <m/>
    <m/>
    <s v=""/>
    <s v=""/>
    <s v=""/>
    <m/>
    <s v=""/>
    <m/>
    <m/>
    <s v=""/>
    <s v=""/>
    <m/>
    <m/>
    <m/>
    <m/>
    <s v=""/>
    <m/>
    <m/>
    <s v=""/>
    <s v=""/>
    <m/>
    <s v=""/>
    <m/>
    <m/>
    <m/>
    <m/>
    <m/>
    <s v=""/>
    <s v=""/>
    <n v="0"/>
    <n v="0"/>
    <n v="37863.333333333336"/>
  </r>
  <r>
    <n v="364"/>
    <d v="2023-07-21T21:17:00"/>
    <s v="As Cold as it Gets"/>
    <s v="Cleaning Products"/>
    <s v="North America"/>
    <n v="0"/>
    <x v="5"/>
    <s v="Ultra White Tile &amp; Tub"/>
    <x v="6"/>
    <x v="7"/>
    <s v=""/>
    <s v="Audio Post"/>
    <s v="Sound Monster&quot;As Cold as it Gets&quot;"/>
    <s v="Sound Monster"/>
    <s v="Original"/>
    <n v="41680"/>
    <s v="firm-bid"/>
    <m/>
    <m/>
    <m/>
    <m/>
    <m/>
    <m/>
    <m/>
    <m/>
    <m/>
    <m/>
    <m/>
    <m/>
    <m/>
    <s v=""/>
    <m/>
    <s v=""/>
    <s v=""/>
    <m/>
    <s v=""/>
    <s v=""/>
    <m/>
    <m/>
    <m/>
    <m/>
    <m/>
    <s v=""/>
    <m/>
    <m/>
    <s v=""/>
    <s v=""/>
    <s v=""/>
    <m/>
    <s v=""/>
    <m/>
    <m/>
    <s v=""/>
    <s v=""/>
    <m/>
    <m/>
    <m/>
    <m/>
    <s v=""/>
    <m/>
    <m/>
    <s v=""/>
    <s v=""/>
    <m/>
    <s v=""/>
    <m/>
    <m/>
    <m/>
    <m/>
    <m/>
    <s v=""/>
    <s v=""/>
    <n v="0"/>
    <n v="0"/>
    <n v="37863.333333333336"/>
  </r>
  <r>
    <n v="364"/>
    <d v="2023-07-21T21:17:00"/>
    <s v="As Cold as it Gets"/>
    <s v="Cleaning Products"/>
    <s v="North America"/>
    <n v="0"/>
    <x v="5"/>
    <s v="Ultra White Tile &amp; Tub"/>
    <x v="6"/>
    <x v="7"/>
    <s v=""/>
    <s v="Finishing"/>
    <s v="&quot;As Cold as it Gets&quot;"/>
    <s v="AndiamoImages_AsColdasitGets_Finishing"/>
    <s v="Original"/>
    <n v="26750"/>
    <s v="firm-bid"/>
    <m/>
    <m/>
    <m/>
    <m/>
    <m/>
    <n v="1"/>
    <m/>
    <m/>
    <m/>
    <m/>
    <m/>
    <m/>
    <m/>
    <s v=""/>
    <m/>
    <s v=""/>
    <s v=""/>
    <m/>
    <s v=""/>
    <s v=""/>
    <m/>
    <m/>
    <m/>
    <m/>
    <m/>
    <s v=""/>
    <m/>
    <m/>
    <s v=""/>
    <s v=""/>
    <s v=""/>
    <m/>
    <s v=""/>
    <m/>
    <m/>
    <s v=""/>
    <s v=""/>
    <m/>
    <m/>
    <m/>
    <m/>
    <s v=""/>
    <m/>
    <m/>
    <s v=""/>
    <s v=""/>
    <m/>
    <s v=""/>
    <m/>
    <m/>
    <m/>
    <m/>
    <m/>
    <s v=""/>
    <s v=""/>
    <n v="0"/>
    <n v="0"/>
    <n v="31400"/>
  </r>
  <r>
    <n v="364"/>
    <d v="2023-07-21T21:17:00"/>
    <s v="As Cold as it Gets"/>
    <s v="Cleaning Products"/>
    <s v="North America"/>
    <n v="1"/>
    <x v="5"/>
    <s v="Ultra White Tile &amp; Tub"/>
    <x v="6"/>
    <x v="7"/>
    <s v="Witness"/>
    <s v="Finishing"/>
    <s v="WITNESS:: As Cold as it Gets"/>
    <s v="Witness_AsColdasitGets_Finishing"/>
    <s v="Original"/>
    <n v="36050"/>
    <s v="firm-bid"/>
    <n v="31400"/>
    <m/>
    <m/>
    <m/>
    <m/>
    <m/>
    <m/>
    <m/>
    <m/>
    <m/>
    <m/>
    <m/>
    <m/>
    <s v=""/>
    <m/>
    <s v=""/>
    <s v=""/>
    <m/>
    <s v=""/>
    <s v=""/>
    <m/>
    <m/>
    <m/>
    <m/>
    <m/>
    <s v=""/>
    <m/>
    <n v="36050"/>
    <s v=""/>
    <s v=""/>
    <s v=""/>
    <m/>
    <s v=""/>
    <m/>
    <m/>
    <s v=""/>
    <s v=""/>
    <m/>
    <m/>
    <m/>
    <m/>
    <s v=""/>
    <m/>
    <m/>
    <s v=""/>
    <s v=""/>
    <m/>
    <s v=""/>
    <m/>
    <m/>
    <m/>
    <m/>
    <m/>
    <s v=""/>
    <s v=""/>
    <n v="0"/>
    <n v="0"/>
    <n v="31400"/>
  </r>
  <r>
    <n v="364"/>
    <d v="2023-07-21T21:17:00"/>
    <s v="As Cold as it Gets"/>
    <s v="Cleaning Products"/>
    <s v="North America"/>
    <n v="0"/>
    <x v="5"/>
    <s v="Ultra White Tile &amp; Tub"/>
    <x v="6"/>
    <x v="7"/>
    <s v=""/>
    <s v="Editorial"/>
    <s v="SAKS As Cold as it Gets V1"/>
    <s v="SaksStreetEdit_AsColdasitGets_Edit"/>
    <s v="Original"/>
    <n v="154630"/>
    <s v="firm-bid"/>
    <m/>
    <m/>
    <m/>
    <n v="1"/>
    <m/>
    <m/>
    <n v="1"/>
    <m/>
    <m/>
    <m/>
    <m/>
    <m/>
    <m/>
    <s v=""/>
    <m/>
    <s v=""/>
    <s v=""/>
    <m/>
    <s v=""/>
    <s v=""/>
    <m/>
    <m/>
    <m/>
    <m/>
    <m/>
    <s v=""/>
    <m/>
    <m/>
    <s v=""/>
    <s v=""/>
    <s v=""/>
    <m/>
    <s v=""/>
    <m/>
    <m/>
    <s v=""/>
    <s v=""/>
    <m/>
    <m/>
    <m/>
    <m/>
    <s v=""/>
    <m/>
    <m/>
    <s v=""/>
    <s v=""/>
    <m/>
    <s v=""/>
    <m/>
    <m/>
    <m/>
    <m/>
    <m/>
    <s v=""/>
    <s v=""/>
    <n v="0"/>
    <n v="0"/>
    <n v="154258.96113333333"/>
  </r>
  <r>
    <n v="364"/>
    <d v="2023-07-21T21:17:00"/>
    <s v="As Cold as it Gets"/>
    <s v="Cleaning Products"/>
    <s v="North America"/>
    <n v="1"/>
    <x v="5"/>
    <s v="Ultra White Tile &amp; Tub"/>
    <x v="6"/>
    <x v="7"/>
    <s v="Time Bomb LLC"/>
    <s v="Editorial"/>
    <s v="TimeBombe - As Cold as it Gets v2 1/12/22"/>
    <s v="TimeBomb_AsColdasitGets_Edit"/>
    <s v="Original"/>
    <n v="135575.4167"/>
    <s v="firm-bid"/>
    <n v="154258.96109999999"/>
    <m/>
    <m/>
    <m/>
    <m/>
    <m/>
    <m/>
    <m/>
    <m/>
    <m/>
    <m/>
    <m/>
    <m/>
    <s v=""/>
    <m/>
    <s v=""/>
    <s v=""/>
    <m/>
    <s v=""/>
    <s v=""/>
    <n v="38900"/>
    <n v="15100"/>
    <n v="30200"/>
    <n v="14700"/>
    <m/>
    <s v=""/>
    <m/>
    <m/>
    <s v=""/>
    <s v=""/>
    <s v=""/>
    <m/>
    <s v=""/>
    <m/>
    <m/>
    <s v=""/>
    <s v=""/>
    <m/>
    <m/>
    <m/>
    <m/>
    <s v=""/>
    <m/>
    <m/>
    <s v=""/>
    <s v=""/>
    <m/>
    <s v=""/>
    <m/>
    <m/>
    <m/>
    <m/>
    <m/>
    <s v=""/>
    <s v=""/>
    <n v="0"/>
    <n v="0"/>
    <n v="154258.96113333333"/>
  </r>
  <r>
    <n v="364"/>
    <d v="2023-07-21T21:17:00"/>
    <s v="As Cold as it Gets"/>
    <s v="Cleaning Products"/>
    <s v="North America"/>
    <n v="0"/>
    <x v="5"/>
    <s v="Ultra White Tile &amp; Tub"/>
    <x v="6"/>
    <x v="7"/>
    <s v=""/>
    <s v="Editorial"/>
    <s v="As Cold as it Gets"/>
    <s v="TheCloset_AsColdasitGets_Edit"/>
    <s v="Original"/>
    <n v="172571.46669999999"/>
    <s v="firm-bid"/>
    <m/>
    <m/>
    <m/>
    <m/>
    <m/>
    <n v="1"/>
    <n v="1"/>
    <m/>
    <m/>
    <m/>
    <m/>
    <m/>
    <m/>
    <s v=""/>
    <m/>
    <s v=""/>
    <s v=""/>
    <m/>
    <s v=""/>
    <s v=""/>
    <m/>
    <m/>
    <m/>
    <m/>
    <m/>
    <s v=""/>
    <m/>
    <m/>
    <s v=""/>
    <s v=""/>
    <s v=""/>
    <m/>
    <s v=""/>
    <m/>
    <m/>
    <s v=""/>
    <s v=""/>
    <m/>
    <m/>
    <m/>
    <m/>
    <s v=""/>
    <m/>
    <m/>
    <s v=""/>
    <s v=""/>
    <m/>
    <s v=""/>
    <m/>
    <m/>
    <m/>
    <m/>
    <m/>
    <s v=""/>
    <s v=""/>
    <n v="0"/>
    <n v="0"/>
    <n v="154258.96113333333"/>
  </r>
  <r>
    <n v="364"/>
    <d v="2023-07-21T21:17:00"/>
    <s v="As Cold as it Gets"/>
    <s v="Cleaning Products"/>
    <s v="North America"/>
    <n v="0"/>
    <x v="5"/>
    <s v="Ultra White Tile &amp; Tub"/>
    <x v="6"/>
    <x v="7"/>
    <s v=""/>
    <s v="Green Production Costs"/>
    <s v="As Cold As It Gets"/>
    <s v="CHAW_AsColdasitGets_Green"/>
    <s v="Original"/>
    <n v="12750"/>
    <s v="firm-bid"/>
    <m/>
    <m/>
    <n v="1"/>
    <m/>
    <m/>
    <m/>
    <n v="1"/>
    <m/>
    <m/>
    <m/>
    <m/>
    <m/>
    <m/>
    <s v=""/>
    <m/>
    <s v=""/>
    <s v=""/>
    <m/>
    <s v=""/>
    <s v=""/>
    <m/>
    <m/>
    <m/>
    <m/>
    <m/>
    <s v=""/>
    <m/>
    <m/>
    <s v=""/>
    <s v=""/>
    <s v=""/>
    <m/>
    <s v=""/>
    <m/>
    <m/>
    <s v=""/>
    <s v=""/>
    <m/>
    <m/>
    <m/>
    <m/>
    <s v=""/>
    <m/>
    <m/>
    <s v=""/>
    <s v=""/>
    <m/>
    <s v=""/>
    <m/>
    <m/>
    <m/>
    <m/>
    <m/>
    <s v=""/>
    <s v=""/>
    <n v="0"/>
    <n v="0"/>
    <n v="15299.666666666666"/>
  </r>
  <r>
    <n v="364"/>
    <d v="2023-07-21T21:17:00"/>
    <s v="As Cold as it Gets"/>
    <s v="Cleaning Products"/>
    <s v="North America"/>
    <n v="1"/>
    <x v="5"/>
    <s v="Ultra White Tile &amp; Tub"/>
    <x v="6"/>
    <x v="7"/>
    <s v="Test Flight Productions"/>
    <s v="Green Production Costs"/>
    <s v="As Cold as it Gets"/>
    <s v="TestFlight_AsColdasitGets_Green"/>
    <s v="Original"/>
    <n v="14375"/>
    <s v="firm-bid"/>
    <n v="15299.666670000001"/>
    <m/>
    <n v="1"/>
    <m/>
    <m/>
    <m/>
    <n v="1"/>
    <m/>
    <n v="0"/>
    <n v="0"/>
    <m/>
    <m/>
    <m/>
    <s v=""/>
    <m/>
    <s v=""/>
    <s v=""/>
    <n v="0"/>
    <s v=""/>
    <s v=""/>
    <n v="0"/>
    <m/>
    <n v="0"/>
    <m/>
    <n v="0"/>
    <s v=""/>
    <n v="0"/>
    <m/>
    <s v=""/>
    <s v=""/>
    <s v=""/>
    <n v="0"/>
    <s v=""/>
    <n v="11500"/>
    <m/>
    <s v=""/>
    <s v=""/>
    <n v="0"/>
    <n v="0"/>
    <m/>
    <m/>
    <s v=""/>
    <n v="0"/>
    <n v="0"/>
    <s v=""/>
    <s v=""/>
    <m/>
    <s v=""/>
    <m/>
    <m/>
    <n v="0"/>
    <n v="0"/>
    <n v="0"/>
    <s v=""/>
    <s v=""/>
    <n v="0"/>
    <n v="0"/>
    <n v="15299.666666666666"/>
  </r>
  <r>
    <n v="364"/>
    <d v="2023-07-21T21:17:00"/>
    <s v="As Cold as it Gets"/>
    <s v="Cleaning Products"/>
    <s v="North America"/>
    <n v="0"/>
    <x v="5"/>
    <s v="Ultra White Tile &amp; Tub"/>
    <x v="6"/>
    <x v="7"/>
    <s v=""/>
    <s v="Green Production Costs"/>
    <s v="As Cold as it Gets"/>
    <s v=""/>
    <s v="Original"/>
    <n v="18774"/>
    <s v="firm-bid"/>
    <m/>
    <m/>
    <m/>
    <m/>
    <m/>
    <n v="1"/>
    <m/>
    <m/>
    <m/>
    <m/>
    <m/>
    <m/>
    <m/>
    <s v=""/>
    <m/>
    <s v=""/>
    <s v=""/>
    <m/>
    <s v=""/>
    <s v=""/>
    <m/>
    <m/>
    <m/>
    <m/>
    <m/>
    <s v=""/>
    <m/>
    <m/>
    <s v=""/>
    <s v=""/>
    <s v=""/>
    <m/>
    <s v=""/>
    <m/>
    <m/>
    <s v=""/>
    <s v=""/>
    <m/>
    <m/>
    <m/>
    <m/>
    <s v=""/>
    <m/>
    <m/>
    <s v=""/>
    <s v=""/>
    <m/>
    <s v=""/>
    <m/>
    <m/>
    <m/>
    <m/>
    <m/>
    <s v=""/>
    <s v=""/>
    <n v="0"/>
    <n v="0"/>
    <n v="15299.666666666666"/>
  </r>
  <r>
    <n v="364"/>
    <d v="2023-07-21T21:17:00"/>
    <s v="As Cold as it Gets"/>
    <s v="Cleaning Products"/>
    <s v="North America"/>
    <n v="0"/>
    <x v="5"/>
    <s v="Ultra White Tile &amp; Tub"/>
    <x v="6"/>
    <x v="7"/>
    <s v=""/>
    <s v="Sanitary Production Costs"/>
    <s v="As Cold As It Gets"/>
    <s v="CHAW_AsColdasitGets_Covid"/>
    <s v="Original"/>
    <n v="10839.44"/>
    <s v="firm-bid"/>
    <m/>
    <m/>
    <n v="1"/>
    <m/>
    <m/>
    <m/>
    <n v="1"/>
    <m/>
    <m/>
    <m/>
    <m/>
    <m/>
    <m/>
    <s v=""/>
    <m/>
    <s v=""/>
    <s v=""/>
    <m/>
    <s v=""/>
    <s v=""/>
    <m/>
    <m/>
    <m/>
    <m/>
    <m/>
    <s v=""/>
    <m/>
    <m/>
    <s v=""/>
    <s v=""/>
    <s v=""/>
    <m/>
    <s v=""/>
    <m/>
    <m/>
    <s v=""/>
    <s v=""/>
    <m/>
    <m/>
    <m/>
    <m/>
    <s v=""/>
    <m/>
    <m/>
    <s v=""/>
    <s v=""/>
    <m/>
    <s v=""/>
    <m/>
    <m/>
    <m/>
    <m/>
    <m/>
    <s v=""/>
    <s v=""/>
    <n v="0"/>
    <n v="0"/>
    <n v="10064.819166666666"/>
  </r>
  <r>
    <n v="364"/>
    <d v="2023-07-21T21:17:00"/>
    <s v="As Cold as it Gets"/>
    <s v="Cleaning Products"/>
    <s v="North America"/>
    <n v="1"/>
    <x v="5"/>
    <s v="Ultra White Tile &amp; Tub"/>
    <x v="6"/>
    <x v="7"/>
    <s v="Test Flight Productions"/>
    <s v="Sanitary Production Costs"/>
    <s v="As Cold as it Gets"/>
    <s v="TestFlight_AsColdasitGets_Covid"/>
    <s v="Original"/>
    <n v="10926.092500000001"/>
    <s v="firm-bid"/>
    <n v="10064.819170000001"/>
    <m/>
    <n v="1"/>
    <m/>
    <m/>
    <m/>
    <n v="1"/>
    <m/>
    <m/>
    <m/>
    <m/>
    <m/>
    <m/>
    <s v=""/>
    <n v="4900"/>
    <s v=""/>
    <s v=""/>
    <m/>
    <s v=""/>
    <s v=""/>
    <m/>
    <m/>
    <m/>
    <m/>
    <m/>
    <s v=""/>
    <m/>
    <m/>
    <s v=""/>
    <s v=""/>
    <s v=""/>
    <m/>
    <s v=""/>
    <m/>
    <m/>
    <s v=""/>
    <s v=""/>
    <m/>
    <m/>
    <n v="2035"/>
    <m/>
    <s v=""/>
    <m/>
    <m/>
    <s v=""/>
    <s v=""/>
    <m/>
    <s v=""/>
    <m/>
    <m/>
    <m/>
    <m/>
    <m/>
    <s v=""/>
    <s v=""/>
    <n v="0"/>
    <n v="0"/>
    <n v="10064.819166666666"/>
  </r>
  <r>
    <n v="364"/>
    <d v="2023-07-21T21:17:00"/>
    <s v="As Cold as it Gets"/>
    <s v="Cleaning Products"/>
    <s v="North America"/>
    <n v="0"/>
    <x v="5"/>
    <s v="Ultra White Tile &amp; Tub"/>
    <x v="6"/>
    <x v="7"/>
    <s v=""/>
    <s v="Sanitary Production Costs"/>
    <s v="As Cold as it Gets"/>
    <s v="Interstate_AsColdasitGets_Covid"/>
    <s v="Original"/>
    <n v="8428.9249999999993"/>
    <s v="firm-bid"/>
    <m/>
    <m/>
    <m/>
    <m/>
    <m/>
    <n v="1"/>
    <m/>
    <m/>
    <m/>
    <m/>
    <m/>
    <m/>
    <m/>
    <s v=""/>
    <m/>
    <s v=""/>
    <s v=""/>
    <m/>
    <s v=""/>
    <s v=""/>
    <m/>
    <m/>
    <m/>
    <m/>
    <m/>
    <s v=""/>
    <m/>
    <m/>
    <s v=""/>
    <s v=""/>
    <s v=""/>
    <m/>
    <s v=""/>
    <m/>
    <m/>
    <s v=""/>
    <s v=""/>
    <m/>
    <m/>
    <m/>
    <m/>
    <s v=""/>
    <m/>
    <m/>
    <s v=""/>
    <s v=""/>
    <m/>
    <s v=""/>
    <m/>
    <m/>
    <m/>
    <m/>
    <m/>
    <s v=""/>
    <s v=""/>
    <n v="0"/>
    <n v="0"/>
    <n v="10064.819166666666"/>
  </r>
  <r>
    <n v="364"/>
    <d v="2023-07-21T21:17:00"/>
    <s v="As Cold as it Gets"/>
    <s v="Cleaning Products"/>
    <s v="North America"/>
    <n v="0"/>
    <x v="5"/>
    <s v="Ultra White Tile &amp; Tub"/>
    <x v="6"/>
    <x v="7"/>
    <s v=""/>
    <s v="Film &amp; Video Production"/>
    <s v="As Cold As It Gets"/>
    <s v="CHAW_AsColdasitGets_LiveAction"/>
    <s v="Original"/>
    <n v="654508.57499999995"/>
    <s v="firm-bid"/>
    <m/>
    <m/>
    <n v="1"/>
    <m/>
    <m/>
    <m/>
    <n v="1"/>
    <m/>
    <m/>
    <m/>
    <m/>
    <m/>
    <m/>
    <s v=""/>
    <m/>
    <s v=""/>
    <s v=""/>
    <m/>
    <s v=""/>
    <s v=""/>
    <m/>
    <m/>
    <m/>
    <m/>
    <m/>
    <s v=""/>
    <m/>
    <m/>
    <s v=""/>
    <s v=""/>
    <s v=""/>
    <m/>
    <s v=""/>
    <m/>
    <m/>
    <s v=""/>
    <s v=""/>
    <m/>
    <m/>
    <m/>
    <m/>
    <s v=""/>
    <m/>
    <m/>
    <s v=""/>
    <s v=""/>
    <m/>
    <s v=""/>
    <m/>
    <m/>
    <m/>
    <m/>
    <m/>
    <s v=""/>
    <s v=""/>
    <n v="0"/>
    <n v="0"/>
    <n v="706387.15280000004"/>
  </r>
  <r>
    <n v="364"/>
    <d v="2023-07-21T21:17:00"/>
    <s v="As Cold as it Gets"/>
    <s v="Cleaning Products"/>
    <s v="North America"/>
    <n v="1"/>
    <x v="5"/>
    <s v="Ultra White Tile &amp; Tub"/>
    <x v="6"/>
    <x v="7"/>
    <s v="Test Flight Productions"/>
    <s v="Film &amp; Video Production"/>
    <s v="As Cold as it Gets"/>
    <s v="TestFlight_AsColdasitGets_LiveAction"/>
    <s v="Original"/>
    <n v="831998.99340000004"/>
    <s v="firm-bid"/>
    <n v="706387.15280000004"/>
    <m/>
    <n v="1"/>
    <m/>
    <m/>
    <m/>
    <n v="1"/>
    <m/>
    <n v="33390.5"/>
    <n v="125100"/>
    <m/>
    <m/>
    <m/>
    <s v=""/>
    <m/>
    <s v=""/>
    <s v=""/>
    <n v="10000"/>
    <s v=""/>
    <s v=""/>
    <n v="0"/>
    <m/>
    <n v="0"/>
    <m/>
    <n v="123900"/>
    <s v=""/>
    <n v="2400"/>
    <m/>
    <s v=""/>
    <s v=""/>
    <s v=""/>
    <n v="18596"/>
    <s v=""/>
    <n v="6800"/>
    <m/>
    <s v=""/>
    <s v=""/>
    <n v="15400"/>
    <n v="127162.75"/>
    <m/>
    <m/>
    <s v=""/>
    <n v="13700"/>
    <n v="151361.21"/>
    <s v=""/>
    <s v=""/>
    <m/>
    <s v=""/>
    <m/>
    <m/>
    <n v="17150"/>
    <n v="0"/>
    <n v="0"/>
    <s v=""/>
    <s v=""/>
    <n v="0"/>
    <n v="0"/>
    <n v="706387.15280000004"/>
  </r>
  <r>
    <n v="364"/>
    <d v="2023-07-21T21:17:00"/>
    <s v="As Cold as it Gets"/>
    <s v="Cleaning Products"/>
    <s v="North America"/>
    <n v="0"/>
    <x v="5"/>
    <s v="Ultra White Tile &amp; Tub"/>
    <x v="6"/>
    <x v="7"/>
    <s v=""/>
    <s v="Film &amp; Video Production"/>
    <s v="As Cold as it Gets"/>
    <s v="Interstate_AsColdasitGets_LiveAction"/>
    <s v="Original"/>
    <n v="632653.89"/>
    <s v="firm-bid"/>
    <m/>
    <m/>
    <m/>
    <m/>
    <m/>
    <n v="1"/>
    <m/>
    <m/>
    <m/>
    <m/>
    <m/>
    <m/>
    <m/>
    <s v=""/>
    <m/>
    <s v=""/>
    <s v=""/>
    <m/>
    <s v=""/>
    <s v=""/>
    <m/>
    <m/>
    <m/>
    <m/>
    <m/>
    <s v=""/>
    <m/>
    <m/>
    <s v=""/>
    <s v=""/>
    <s v=""/>
    <m/>
    <s v=""/>
    <m/>
    <m/>
    <s v=""/>
    <s v=""/>
    <m/>
    <m/>
    <m/>
    <m/>
    <s v=""/>
    <m/>
    <m/>
    <s v=""/>
    <s v=""/>
    <m/>
    <s v=""/>
    <m/>
    <m/>
    <m/>
    <m/>
    <m/>
    <s v=""/>
    <s v=""/>
    <n v="0"/>
    <n v="0"/>
    <n v="706387.15280000004"/>
  </r>
  <r>
    <n v="367"/>
    <d v="2023-07-21T21:21:00"/>
    <s v="ENVY"/>
    <s v="Snack Foods"/>
    <s v="North America"/>
    <n v="0"/>
    <x v="6"/>
    <s v="Big Chew Sugarless"/>
    <x v="2"/>
    <x v="8"/>
    <s v=""/>
    <s v="Audio Post"/>
    <s v="Earwax &quot;ENVY&quot;"/>
    <s v="Earwax"/>
    <s v="Original"/>
    <n v="26570"/>
    <s v="firm-bid"/>
    <m/>
    <m/>
    <m/>
    <m/>
    <m/>
    <m/>
    <m/>
    <m/>
    <m/>
    <m/>
    <m/>
    <m/>
    <m/>
    <s v=""/>
    <m/>
    <s v=""/>
    <s v=""/>
    <m/>
    <s v=""/>
    <s v=""/>
    <m/>
    <m/>
    <m/>
    <m/>
    <m/>
    <s v=""/>
    <m/>
    <m/>
    <s v=""/>
    <s v=""/>
    <s v=""/>
    <m/>
    <s v=""/>
    <m/>
    <m/>
    <s v=""/>
    <s v=""/>
    <m/>
    <m/>
    <m/>
    <m/>
    <s v=""/>
    <m/>
    <m/>
    <s v=""/>
    <s v=""/>
    <m/>
    <s v=""/>
    <m/>
    <m/>
    <m/>
    <m/>
    <m/>
    <s v=""/>
    <s v=""/>
    <n v="0"/>
    <n v="0"/>
    <n v="46565"/>
  </r>
  <r>
    <n v="367"/>
    <d v="2023-07-21T21:21:00"/>
    <s v="ENVY"/>
    <s v="Snack Foods"/>
    <s v="North America"/>
    <n v="1"/>
    <x v="6"/>
    <s v="Big Chew Sugarless"/>
    <x v="2"/>
    <x v="8"/>
    <s v="Sound Monster"/>
    <s v="Audio Post"/>
    <s v="SOund Monster"/>
    <s v="Sound Monster"/>
    <s v="Original"/>
    <n v="66560"/>
    <s v="firm-bid"/>
    <n v="46565"/>
    <m/>
    <m/>
    <m/>
    <m/>
    <m/>
    <m/>
    <m/>
    <m/>
    <m/>
    <n v="66560"/>
    <m/>
    <m/>
    <s v=""/>
    <m/>
    <s v=""/>
    <s v=""/>
    <m/>
    <s v=""/>
    <s v=""/>
    <m/>
    <m/>
    <m/>
    <m/>
    <m/>
    <s v=""/>
    <m/>
    <m/>
    <s v=""/>
    <s v=""/>
    <s v=""/>
    <m/>
    <s v=""/>
    <m/>
    <m/>
    <s v=""/>
    <s v=""/>
    <m/>
    <m/>
    <m/>
    <m/>
    <s v=""/>
    <m/>
    <m/>
    <s v=""/>
    <s v=""/>
    <m/>
    <s v=""/>
    <m/>
    <m/>
    <m/>
    <m/>
    <m/>
    <s v=""/>
    <s v=""/>
    <n v="0"/>
    <n v="0"/>
    <n v="46565"/>
  </r>
  <r>
    <n v="367"/>
    <d v="2023-07-21T21:21:00"/>
    <s v="ENVY"/>
    <s v="Snack Foods"/>
    <s v="North America"/>
    <n v="1"/>
    <x v="6"/>
    <s v="Big Chew Sugarless"/>
    <x v="2"/>
    <x v="8"/>
    <s v="Interstate"/>
    <s v="Photo Retouching &amp; Post"/>
    <s v="ENVY"/>
    <s v="Interstate_ENVY_Retouching"/>
    <s v="Original"/>
    <n v="42850"/>
    <s v="firm-bid"/>
    <n v="31316.666669999999"/>
    <m/>
    <m/>
    <m/>
    <m/>
    <n v="1"/>
    <m/>
    <m/>
    <m/>
    <m/>
    <m/>
    <m/>
    <m/>
    <s v=""/>
    <m/>
    <s v=""/>
    <s v=""/>
    <m/>
    <s v=""/>
    <s v=""/>
    <m/>
    <m/>
    <m/>
    <m/>
    <m/>
    <s v=""/>
    <m/>
    <m/>
    <s v=""/>
    <s v=""/>
    <s v=""/>
    <m/>
    <s v=""/>
    <m/>
    <m/>
    <s v=""/>
    <s v=""/>
    <m/>
    <m/>
    <m/>
    <m/>
    <s v=""/>
    <m/>
    <m/>
    <s v=""/>
    <s v=""/>
    <m/>
    <s v=""/>
    <n v="42850"/>
    <m/>
    <m/>
    <m/>
    <m/>
    <s v=""/>
    <s v=""/>
    <n v="0"/>
    <n v="0"/>
    <n v="31316.666666666664"/>
  </r>
  <r>
    <n v="367"/>
    <d v="2023-07-21T21:21:00"/>
    <s v="ENVY"/>
    <s v="Snack Foods"/>
    <s v="North America"/>
    <n v="0"/>
    <x v="6"/>
    <s v="Big Chew Sugarless"/>
    <x v="2"/>
    <x v="8"/>
    <s v=""/>
    <s v="Photo Retouching &amp; Post"/>
    <s v="&quot;ENVY&quot; Stills - Furrier"/>
    <s v="Furrier_ENVY_Retouching"/>
    <s v="Original"/>
    <n v="23200"/>
    <s v="firm-bid"/>
    <m/>
    <n v="1"/>
    <m/>
    <m/>
    <m/>
    <m/>
    <m/>
    <m/>
    <m/>
    <m/>
    <m/>
    <m/>
    <m/>
    <s v=""/>
    <m/>
    <s v=""/>
    <s v=""/>
    <m/>
    <s v=""/>
    <s v=""/>
    <m/>
    <m/>
    <m/>
    <m/>
    <m/>
    <s v=""/>
    <m/>
    <m/>
    <s v=""/>
    <s v=""/>
    <s v=""/>
    <m/>
    <s v=""/>
    <m/>
    <m/>
    <s v=""/>
    <s v=""/>
    <m/>
    <m/>
    <m/>
    <m/>
    <s v=""/>
    <m/>
    <m/>
    <s v=""/>
    <s v=""/>
    <m/>
    <s v=""/>
    <m/>
    <m/>
    <m/>
    <m/>
    <m/>
    <s v=""/>
    <s v=""/>
    <n v="23200"/>
    <n v="0"/>
    <n v="31316.666666666664"/>
  </r>
  <r>
    <n v="367"/>
    <d v="2023-07-21T21:21:00"/>
    <s v="ENVY"/>
    <s v="Snack Foods"/>
    <s v="North America"/>
    <n v="0"/>
    <x v="6"/>
    <s v="Big Chew Sugarless"/>
    <x v="2"/>
    <x v="8"/>
    <s v=""/>
    <s v="Photo Retouching &amp; Post"/>
    <s v="ENVY"/>
    <s v="CHAW_ENVY_Retouching"/>
    <s v="Original"/>
    <n v="27900"/>
    <s v="firm-bid"/>
    <m/>
    <m/>
    <n v="1"/>
    <m/>
    <m/>
    <m/>
    <n v="1"/>
    <m/>
    <m/>
    <m/>
    <m/>
    <m/>
    <m/>
    <s v=""/>
    <m/>
    <s v=""/>
    <s v=""/>
    <m/>
    <s v=""/>
    <s v=""/>
    <m/>
    <m/>
    <m/>
    <m/>
    <m/>
    <s v=""/>
    <m/>
    <m/>
    <s v=""/>
    <s v=""/>
    <s v=""/>
    <m/>
    <s v=""/>
    <m/>
    <m/>
    <s v=""/>
    <s v=""/>
    <m/>
    <m/>
    <m/>
    <m/>
    <s v=""/>
    <m/>
    <m/>
    <s v=""/>
    <s v=""/>
    <m/>
    <s v=""/>
    <m/>
    <m/>
    <m/>
    <m/>
    <m/>
    <s v=""/>
    <s v=""/>
    <n v="0"/>
    <n v="0"/>
    <n v="31316.666666666664"/>
  </r>
  <r>
    <n v="367"/>
    <d v="2023-07-21T21:21:00"/>
    <s v="ENVY"/>
    <s v="Snack Foods"/>
    <s v="North America"/>
    <n v="1"/>
    <x v="6"/>
    <s v="Big Chew Sugarless"/>
    <x v="2"/>
    <x v="8"/>
    <s v="Interstate"/>
    <s v="Still Photography Production"/>
    <s v="ENVY"/>
    <s v="Interstate_ENVY_Stills"/>
    <s v="Original"/>
    <n v="193795.97099999999"/>
    <s v="firm-bid"/>
    <n v="182920.4215"/>
    <m/>
    <m/>
    <m/>
    <m/>
    <n v="1"/>
    <m/>
    <m/>
    <m/>
    <n v="0"/>
    <m/>
    <m/>
    <n v="19980"/>
    <s v=""/>
    <m/>
    <s v=""/>
    <s v=""/>
    <m/>
    <s v=""/>
    <s v=""/>
    <m/>
    <m/>
    <m/>
    <m/>
    <n v="1532"/>
    <s v=""/>
    <n v="12093"/>
    <m/>
    <s v=""/>
    <s v=""/>
    <s v=""/>
    <m/>
    <s v=""/>
    <n v="0"/>
    <m/>
    <s v=""/>
    <s v=""/>
    <n v="19515"/>
    <m/>
    <m/>
    <n v="10081"/>
    <s v=""/>
    <n v="24840"/>
    <n v="36593"/>
    <s v=""/>
    <s v=""/>
    <n v="18310"/>
    <s v=""/>
    <m/>
    <n v="2824"/>
    <m/>
    <n v="602"/>
    <n v="0"/>
    <s v=""/>
    <s v=""/>
    <n v="0"/>
    <n v="0"/>
    <n v="182920.4215"/>
  </r>
  <r>
    <n v="367"/>
    <d v="2023-07-21T21:21:00"/>
    <s v="ENVY"/>
    <s v="Snack Foods"/>
    <s v="North America"/>
    <n v="0"/>
    <x v="6"/>
    <s v="Big Chew Sugarless"/>
    <x v="2"/>
    <x v="8"/>
    <s v=""/>
    <s v="Still Photography Production"/>
    <s v="&quot;ENVY&quot; Stills - Furrier"/>
    <s v="Furrier_ENVY_Stills"/>
    <s v="Original"/>
    <n v="170725.97829999999"/>
    <s v="firm-bid"/>
    <m/>
    <n v="1"/>
    <m/>
    <m/>
    <m/>
    <m/>
    <m/>
    <m/>
    <m/>
    <m/>
    <m/>
    <m/>
    <m/>
    <s v=""/>
    <m/>
    <s v=""/>
    <s v=""/>
    <m/>
    <s v=""/>
    <s v=""/>
    <m/>
    <m/>
    <m/>
    <m/>
    <m/>
    <s v=""/>
    <m/>
    <m/>
    <s v=""/>
    <s v=""/>
    <s v=""/>
    <m/>
    <s v=""/>
    <m/>
    <m/>
    <s v=""/>
    <s v=""/>
    <m/>
    <m/>
    <m/>
    <m/>
    <s v=""/>
    <m/>
    <m/>
    <s v=""/>
    <s v=""/>
    <m/>
    <s v=""/>
    <m/>
    <m/>
    <m/>
    <m/>
    <m/>
    <s v=""/>
    <s v=""/>
    <n v="170725.97829999999"/>
    <n v="0"/>
    <n v="182920.4215"/>
  </r>
  <r>
    <n v="367"/>
    <d v="2023-07-21T21:21:00"/>
    <s v="ENVY"/>
    <s v="Snack Foods"/>
    <s v="North America"/>
    <n v="0"/>
    <x v="6"/>
    <s v="Big Chew Sugarless"/>
    <x v="2"/>
    <x v="8"/>
    <s v=""/>
    <s v="Still Photography Production"/>
    <s v="ENVY"/>
    <s v="CHAW_ENVY_Stills"/>
    <s v="Original"/>
    <n v="184239.31520000001"/>
    <s v="firm-bid"/>
    <m/>
    <m/>
    <n v="1"/>
    <m/>
    <m/>
    <m/>
    <n v="1"/>
    <m/>
    <m/>
    <m/>
    <m/>
    <m/>
    <m/>
    <s v=""/>
    <m/>
    <s v=""/>
    <s v=""/>
    <m/>
    <s v=""/>
    <s v=""/>
    <m/>
    <m/>
    <m/>
    <m/>
    <m/>
    <s v=""/>
    <m/>
    <m/>
    <s v=""/>
    <s v=""/>
    <s v=""/>
    <m/>
    <s v=""/>
    <m/>
    <m/>
    <s v=""/>
    <s v=""/>
    <m/>
    <m/>
    <m/>
    <m/>
    <s v=""/>
    <m/>
    <m/>
    <s v=""/>
    <s v=""/>
    <m/>
    <s v=""/>
    <m/>
    <m/>
    <m/>
    <m/>
    <m/>
    <s v=""/>
    <s v=""/>
    <n v="0"/>
    <n v="0"/>
    <n v="182920.4215"/>
  </r>
  <r>
    <n v="367"/>
    <d v="2023-07-21T21:21:00"/>
    <s v="ENVY"/>
    <s v="Snack Foods"/>
    <s v="North America"/>
    <n v="0"/>
    <x v="6"/>
    <s v="Big Chew Sugarless"/>
    <x v="2"/>
    <x v="8"/>
    <s v=""/>
    <s v="VFX"/>
    <s v="EFXvfx \\ &quot;ENVY&quot; \\ v1.1"/>
    <s v="EFXVFX_ENVY_VFX"/>
    <s v="Original"/>
    <n v="108745"/>
    <s v="firm-bid"/>
    <m/>
    <m/>
    <m/>
    <m/>
    <m/>
    <m/>
    <m/>
    <m/>
    <m/>
    <m/>
    <m/>
    <m/>
    <m/>
    <s v=""/>
    <m/>
    <s v=""/>
    <s v=""/>
    <m/>
    <s v=""/>
    <s v=""/>
    <m/>
    <m/>
    <m/>
    <m/>
    <m/>
    <s v=""/>
    <m/>
    <m/>
    <s v=""/>
    <s v=""/>
    <s v=""/>
    <m/>
    <s v=""/>
    <m/>
    <m/>
    <s v=""/>
    <s v=""/>
    <m/>
    <m/>
    <m/>
    <m/>
    <s v=""/>
    <m/>
    <m/>
    <s v=""/>
    <s v=""/>
    <m/>
    <s v=""/>
    <m/>
    <m/>
    <m/>
    <m/>
    <m/>
    <s v=""/>
    <s v=""/>
    <n v="0"/>
    <n v="0"/>
    <n v="98085"/>
  </r>
  <r>
    <n v="367"/>
    <d v="2023-07-21T21:21:00"/>
    <s v="ENVY"/>
    <s v="Snack Foods"/>
    <s v="North America"/>
    <n v="1"/>
    <x v="6"/>
    <s v="Big Chew Sugarless"/>
    <x v="2"/>
    <x v="8"/>
    <s v="Sorcery"/>
    <s v="VFX"/>
    <s v="v1 - &quot;ENVY&quot; //SORCERY"/>
    <s v="Sorcery_ENVY_VFX"/>
    <s v="Original"/>
    <n v="87425"/>
    <s v="firm-bid"/>
    <n v="98085"/>
    <m/>
    <m/>
    <m/>
    <m/>
    <m/>
    <m/>
    <n v="52400"/>
    <m/>
    <m/>
    <m/>
    <m/>
    <m/>
    <s v=""/>
    <m/>
    <s v=""/>
    <s v=""/>
    <m/>
    <s v=""/>
    <s v=""/>
    <m/>
    <m/>
    <m/>
    <m/>
    <m/>
    <s v=""/>
    <n v="7500"/>
    <n v="2250"/>
    <s v=""/>
    <s v=""/>
    <s v=""/>
    <m/>
    <s v=""/>
    <n v="2100"/>
    <m/>
    <s v=""/>
    <s v=""/>
    <m/>
    <m/>
    <m/>
    <n v="3000"/>
    <s v=""/>
    <m/>
    <m/>
    <s v=""/>
    <s v=""/>
    <m/>
    <s v=""/>
    <m/>
    <m/>
    <m/>
    <m/>
    <m/>
    <s v=""/>
    <s v=""/>
    <n v="0"/>
    <n v="0"/>
    <n v="98085"/>
  </r>
  <r>
    <n v="367"/>
    <d v="2023-07-21T21:21:00"/>
    <s v="ENVY"/>
    <s v="Snack Foods"/>
    <s v="North America"/>
    <n v="1"/>
    <x v="6"/>
    <s v="Big Chew Sugarless"/>
    <x v="2"/>
    <x v="8"/>
    <s v="The Dub House"/>
    <s v="Finishing"/>
    <s v="‚ÄúENVY‚Äù | Dub House"/>
    <s v="TheDubHouse_ENVY_Finishing"/>
    <s v="Original"/>
    <n v="51900"/>
    <s v="firm-bid"/>
    <n v="44125"/>
    <m/>
    <m/>
    <n v="1"/>
    <m/>
    <m/>
    <m/>
    <m/>
    <m/>
    <m/>
    <m/>
    <m/>
    <m/>
    <s v=""/>
    <m/>
    <s v=""/>
    <s v=""/>
    <m/>
    <s v=""/>
    <s v=""/>
    <m/>
    <m/>
    <m/>
    <m/>
    <m/>
    <s v=""/>
    <m/>
    <n v="51900"/>
    <s v=""/>
    <s v=""/>
    <s v=""/>
    <m/>
    <s v=""/>
    <m/>
    <m/>
    <s v=""/>
    <s v=""/>
    <m/>
    <m/>
    <m/>
    <m/>
    <s v=""/>
    <m/>
    <m/>
    <s v=""/>
    <s v=""/>
    <m/>
    <s v=""/>
    <m/>
    <m/>
    <m/>
    <m/>
    <m/>
    <s v=""/>
    <s v=""/>
    <n v="0"/>
    <n v="0"/>
    <n v="44125"/>
  </r>
  <r>
    <n v="367"/>
    <d v="2023-07-21T21:21:00"/>
    <s v="ENVY"/>
    <s v="Snack Foods"/>
    <s v="North America"/>
    <n v="0"/>
    <x v="6"/>
    <s v="Big Chew Sugarless"/>
    <x v="2"/>
    <x v="8"/>
    <s v=""/>
    <s v="Finishing"/>
    <s v="WITNESS:: ENVY"/>
    <s v="Witness_ENVY_Finishing"/>
    <s v="Original"/>
    <n v="36350"/>
    <s v="firm-bid"/>
    <m/>
    <m/>
    <m/>
    <m/>
    <m/>
    <m/>
    <m/>
    <m/>
    <m/>
    <m/>
    <m/>
    <m/>
    <m/>
    <s v=""/>
    <m/>
    <s v=""/>
    <s v=""/>
    <m/>
    <s v=""/>
    <s v=""/>
    <m/>
    <m/>
    <m/>
    <m/>
    <m/>
    <s v=""/>
    <m/>
    <m/>
    <s v=""/>
    <s v=""/>
    <s v=""/>
    <m/>
    <s v=""/>
    <m/>
    <m/>
    <s v=""/>
    <s v=""/>
    <m/>
    <m/>
    <m/>
    <m/>
    <s v=""/>
    <m/>
    <m/>
    <s v=""/>
    <s v=""/>
    <m/>
    <s v=""/>
    <m/>
    <m/>
    <m/>
    <m/>
    <m/>
    <s v=""/>
    <s v=""/>
    <n v="0"/>
    <n v="0"/>
    <n v="44125"/>
  </r>
  <r>
    <n v="367"/>
    <d v="2023-07-21T21:21:00"/>
    <s v="ENVY"/>
    <s v="Snack Foods"/>
    <s v="North America"/>
    <n v="0"/>
    <x v="6"/>
    <s v="Big Chew Sugarless"/>
    <x v="2"/>
    <x v="8"/>
    <s v=""/>
    <s v="Editorial"/>
    <s v="ENVY"/>
    <s v="Armistace_ENVY_Edit"/>
    <s v="Original"/>
    <n v="125431.25"/>
    <s v="firm-bid"/>
    <m/>
    <m/>
    <m/>
    <m/>
    <m/>
    <m/>
    <m/>
    <m/>
    <m/>
    <m/>
    <m/>
    <m/>
    <m/>
    <s v=""/>
    <m/>
    <s v=""/>
    <s v=""/>
    <m/>
    <s v=""/>
    <s v=""/>
    <m/>
    <m/>
    <m/>
    <m/>
    <m/>
    <s v=""/>
    <m/>
    <m/>
    <s v=""/>
    <s v=""/>
    <s v=""/>
    <m/>
    <s v=""/>
    <m/>
    <m/>
    <s v=""/>
    <s v=""/>
    <m/>
    <m/>
    <m/>
    <m/>
    <s v=""/>
    <m/>
    <m/>
    <s v=""/>
    <s v=""/>
    <m/>
    <s v=""/>
    <m/>
    <m/>
    <m/>
    <m/>
    <m/>
    <s v=""/>
    <s v=""/>
    <n v="0"/>
    <n v="0"/>
    <n v="97059.569433333338"/>
  </r>
  <r>
    <n v="367"/>
    <d v="2023-07-21T21:21:00"/>
    <s v="ENVY"/>
    <s v="Snack Foods"/>
    <s v="North America"/>
    <n v="0"/>
    <x v="6"/>
    <s v="Big Chew Sugarless"/>
    <x v="2"/>
    <x v="8"/>
    <s v=""/>
    <s v="Editorial"/>
    <s v="ENVY"/>
    <s v="ToTo_ENVY_Edit"/>
    <s v="Original"/>
    <n v="65076.2"/>
    <s v="firm-bid"/>
    <m/>
    <m/>
    <m/>
    <m/>
    <m/>
    <m/>
    <m/>
    <m/>
    <m/>
    <m/>
    <m/>
    <m/>
    <m/>
    <s v=""/>
    <m/>
    <s v=""/>
    <s v=""/>
    <m/>
    <s v=""/>
    <s v=""/>
    <m/>
    <m/>
    <m/>
    <m/>
    <m/>
    <s v=""/>
    <m/>
    <m/>
    <s v=""/>
    <s v=""/>
    <s v=""/>
    <m/>
    <s v=""/>
    <m/>
    <m/>
    <s v=""/>
    <s v=""/>
    <m/>
    <m/>
    <m/>
    <m/>
    <s v=""/>
    <m/>
    <m/>
    <s v=""/>
    <s v=""/>
    <m/>
    <s v=""/>
    <m/>
    <m/>
    <m/>
    <m/>
    <m/>
    <s v=""/>
    <s v=""/>
    <n v="0"/>
    <n v="0"/>
    <n v="97059.569433333338"/>
  </r>
  <r>
    <n v="367"/>
    <d v="2023-07-21T21:21:00"/>
    <s v="ENVY"/>
    <s v="Snack Foods"/>
    <s v="North America"/>
    <n v="1"/>
    <x v="6"/>
    <s v="Big Chew Sugarless"/>
    <x v="2"/>
    <x v="8"/>
    <s v="Time Bomb LLC"/>
    <s v="Editorial"/>
    <s v="TBomb ENVY"/>
    <s v="TimeBomb_ENVY_Edit"/>
    <s v="Original"/>
    <n v="100671.2583"/>
    <s v="firm-bid"/>
    <n v="97059.569440000007"/>
    <m/>
    <m/>
    <m/>
    <m/>
    <m/>
    <m/>
    <m/>
    <m/>
    <m/>
    <m/>
    <m/>
    <m/>
    <s v=""/>
    <m/>
    <s v=""/>
    <s v=""/>
    <m/>
    <s v=""/>
    <s v=""/>
    <n v="30800"/>
    <n v="24800"/>
    <n v="11400"/>
    <n v="6438"/>
    <m/>
    <s v=""/>
    <m/>
    <m/>
    <s v=""/>
    <s v=""/>
    <s v=""/>
    <m/>
    <s v=""/>
    <m/>
    <m/>
    <s v=""/>
    <s v=""/>
    <m/>
    <m/>
    <m/>
    <m/>
    <s v=""/>
    <m/>
    <m/>
    <s v=""/>
    <s v=""/>
    <m/>
    <s v=""/>
    <m/>
    <m/>
    <m/>
    <m/>
    <m/>
    <s v=""/>
    <s v=""/>
    <n v="0"/>
    <n v="0"/>
    <n v="97059.569433333338"/>
  </r>
  <r>
    <n v="367"/>
    <d v="2023-07-21T21:21:00"/>
    <s v="ENVY"/>
    <s v="Snack Foods"/>
    <s v="North America"/>
    <n v="0"/>
    <x v="6"/>
    <s v="Big Chew Sugarless"/>
    <x v="2"/>
    <x v="8"/>
    <s v=""/>
    <s v="Green Production Costs"/>
    <s v="ENVY"/>
    <s v="TestFlight_ENVY_Green"/>
    <s v="Original"/>
    <n v="11532"/>
    <s v="firm-bid"/>
    <m/>
    <m/>
    <n v="1"/>
    <m/>
    <m/>
    <m/>
    <n v="1"/>
    <m/>
    <m/>
    <m/>
    <m/>
    <m/>
    <m/>
    <s v=""/>
    <m/>
    <s v=""/>
    <s v=""/>
    <m/>
    <s v=""/>
    <s v=""/>
    <m/>
    <m/>
    <m/>
    <m/>
    <m/>
    <s v=""/>
    <m/>
    <m/>
    <s v=""/>
    <s v=""/>
    <s v=""/>
    <m/>
    <s v=""/>
    <m/>
    <m/>
    <s v=""/>
    <s v=""/>
    <m/>
    <m/>
    <m/>
    <m/>
    <s v=""/>
    <m/>
    <m/>
    <s v=""/>
    <s v=""/>
    <m/>
    <s v=""/>
    <m/>
    <m/>
    <m/>
    <m/>
    <m/>
    <s v=""/>
    <s v=""/>
    <n v="0"/>
    <n v="0"/>
    <n v="10374.666666666666"/>
  </r>
  <r>
    <n v="367"/>
    <d v="2023-07-21T21:21:00"/>
    <s v="ENVY"/>
    <s v="Snack Foods"/>
    <s v="North America"/>
    <n v="1"/>
    <x v="6"/>
    <s v="Big Chew Sugarless"/>
    <x v="2"/>
    <x v="8"/>
    <s v="Petulant Pictures"/>
    <s v="Green Production Costs"/>
    <s v="ENVY"/>
    <s v="Petulant_ENVY_Green"/>
    <s v="Original"/>
    <n v="12032"/>
    <s v="firm-bid"/>
    <n v="10374.666670000001"/>
    <m/>
    <n v="1"/>
    <m/>
    <m/>
    <m/>
    <m/>
    <m/>
    <n v="0"/>
    <n v="0"/>
    <m/>
    <m/>
    <m/>
    <s v=""/>
    <m/>
    <s v=""/>
    <s v=""/>
    <n v="0"/>
    <s v=""/>
    <s v=""/>
    <n v="0"/>
    <m/>
    <n v="0"/>
    <m/>
    <n v="0"/>
    <s v=""/>
    <n v="0"/>
    <m/>
    <s v=""/>
    <s v=""/>
    <s v=""/>
    <n v="0"/>
    <s v=""/>
    <n v="9400"/>
    <m/>
    <s v=""/>
    <s v=""/>
    <n v="0"/>
    <n v="0"/>
    <m/>
    <m/>
    <s v=""/>
    <n v="0"/>
    <n v="0"/>
    <s v=""/>
    <s v=""/>
    <m/>
    <s v=""/>
    <m/>
    <m/>
    <n v="0"/>
    <n v="0"/>
    <n v="0"/>
    <s v=""/>
    <s v=""/>
    <n v="0"/>
    <n v="0"/>
    <n v="10374.666666666666"/>
  </r>
  <r>
    <n v="367"/>
    <d v="2023-07-21T21:21:00"/>
    <s v="ENVY"/>
    <s v="Snack Foods"/>
    <s v="North America"/>
    <n v="0"/>
    <x v="6"/>
    <s v="Big Chew Sugarless"/>
    <x v="2"/>
    <x v="8"/>
    <s v=""/>
    <s v="Green Production Costs"/>
    <s v="ENVY"/>
    <s v="Level12_ENVY_Green"/>
    <s v="Original"/>
    <n v="7560"/>
    <s v="firm-bid"/>
    <m/>
    <m/>
    <m/>
    <m/>
    <m/>
    <m/>
    <m/>
    <m/>
    <m/>
    <m/>
    <m/>
    <m/>
    <m/>
    <s v=""/>
    <m/>
    <s v=""/>
    <s v=""/>
    <m/>
    <s v=""/>
    <s v=""/>
    <m/>
    <m/>
    <m/>
    <m/>
    <m/>
    <s v=""/>
    <m/>
    <m/>
    <s v=""/>
    <s v=""/>
    <s v=""/>
    <m/>
    <s v=""/>
    <m/>
    <m/>
    <s v=""/>
    <s v=""/>
    <m/>
    <m/>
    <m/>
    <m/>
    <s v=""/>
    <m/>
    <m/>
    <s v=""/>
    <s v=""/>
    <m/>
    <s v=""/>
    <m/>
    <m/>
    <m/>
    <m/>
    <m/>
    <s v=""/>
    <s v=""/>
    <n v="0"/>
    <n v="0"/>
    <n v="10374.666666666666"/>
  </r>
  <r>
    <n v="367"/>
    <d v="2023-07-21T21:21:00"/>
    <s v="ENVY"/>
    <s v="Snack Foods"/>
    <s v="North America"/>
    <n v="0"/>
    <x v="6"/>
    <s v="Big Chew Sugarless"/>
    <x v="2"/>
    <x v="8"/>
    <s v=""/>
    <s v="Sanitary Production Costs"/>
    <s v="ENVY"/>
    <s v="TestFlight_ENVY_Covid"/>
    <s v="Original"/>
    <n v="5340.9449999999997"/>
    <s v="firm-bid"/>
    <m/>
    <m/>
    <n v="1"/>
    <m/>
    <m/>
    <m/>
    <n v="1"/>
    <m/>
    <m/>
    <m/>
    <m/>
    <m/>
    <m/>
    <s v=""/>
    <m/>
    <s v=""/>
    <s v=""/>
    <m/>
    <s v=""/>
    <s v=""/>
    <m/>
    <m/>
    <m/>
    <m/>
    <m/>
    <s v=""/>
    <m/>
    <m/>
    <s v=""/>
    <s v=""/>
    <s v=""/>
    <m/>
    <s v=""/>
    <m/>
    <m/>
    <s v=""/>
    <s v=""/>
    <m/>
    <m/>
    <m/>
    <m/>
    <s v=""/>
    <m/>
    <m/>
    <s v=""/>
    <s v=""/>
    <m/>
    <s v=""/>
    <m/>
    <m/>
    <m/>
    <m/>
    <m/>
    <s v=""/>
    <s v=""/>
    <n v="0"/>
    <n v="0"/>
    <n v="7102.8791666666666"/>
  </r>
  <r>
    <n v="367"/>
    <d v="2023-07-21T21:21:00"/>
    <s v="ENVY"/>
    <s v="Snack Foods"/>
    <s v="North America"/>
    <n v="1"/>
    <x v="6"/>
    <s v="Big Chew Sugarless"/>
    <x v="2"/>
    <x v="8"/>
    <s v="Petulant Pictures"/>
    <s v="Sanitary Production Costs"/>
    <s v="ENVY"/>
    <s v="Petulant_ENVY_Covid"/>
    <s v="Original"/>
    <n v="10996.99"/>
    <s v="firm-bid"/>
    <n v="7102.8791670000001"/>
    <m/>
    <n v="1"/>
    <m/>
    <m/>
    <m/>
    <m/>
    <m/>
    <m/>
    <m/>
    <m/>
    <m/>
    <m/>
    <s v=""/>
    <n v="5750"/>
    <s v=""/>
    <s v=""/>
    <m/>
    <s v=""/>
    <s v=""/>
    <m/>
    <m/>
    <m/>
    <m/>
    <m/>
    <s v=""/>
    <m/>
    <m/>
    <s v=""/>
    <s v=""/>
    <s v=""/>
    <m/>
    <s v=""/>
    <m/>
    <m/>
    <s v=""/>
    <s v=""/>
    <m/>
    <m/>
    <n v="1230"/>
    <m/>
    <s v=""/>
    <m/>
    <m/>
    <s v=""/>
    <s v=""/>
    <m/>
    <s v=""/>
    <m/>
    <m/>
    <m/>
    <m/>
    <m/>
    <s v=""/>
    <s v=""/>
    <n v="0"/>
    <n v="0"/>
    <n v="7102.8791666666666"/>
  </r>
  <r>
    <n v="367"/>
    <d v="2023-07-21T21:21:00"/>
    <s v="ENVY"/>
    <s v="Snack Foods"/>
    <s v="North America"/>
    <n v="0"/>
    <x v="6"/>
    <s v="Big Chew Sugarless"/>
    <x v="2"/>
    <x v="8"/>
    <s v=""/>
    <s v="Sanitary Production Costs"/>
    <s v="ENVY"/>
    <s v="Level12_ENVY_Covid"/>
    <s v="Original"/>
    <n v="4970.7025000000003"/>
    <s v="firm-bid"/>
    <m/>
    <m/>
    <m/>
    <m/>
    <m/>
    <m/>
    <m/>
    <m/>
    <m/>
    <m/>
    <m/>
    <m/>
    <m/>
    <s v=""/>
    <m/>
    <s v=""/>
    <s v=""/>
    <m/>
    <s v=""/>
    <s v=""/>
    <m/>
    <m/>
    <m/>
    <m/>
    <m/>
    <s v=""/>
    <m/>
    <m/>
    <s v=""/>
    <s v=""/>
    <s v=""/>
    <m/>
    <s v=""/>
    <m/>
    <m/>
    <s v=""/>
    <s v=""/>
    <m/>
    <m/>
    <m/>
    <m/>
    <s v=""/>
    <m/>
    <m/>
    <s v=""/>
    <s v=""/>
    <m/>
    <s v=""/>
    <m/>
    <m/>
    <m/>
    <m/>
    <m/>
    <s v=""/>
    <s v=""/>
    <n v="0"/>
    <n v="0"/>
    <n v="7102.8791666666666"/>
  </r>
  <r>
    <n v="367"/>
    <d v="2023-07-21T21:21:00"/>
    <s v="ENVY"/>
    <s v="Snack Foods"/>
    <s v="North America"/>
    <n v="0"/>
    <x v="6"/>
    <s v="Big Chew Sugarless"/>
    <x v="2"/>
    <x v="8"/>
    <s v=""/>
    <s v="Film &amp; Video Production"/>
    <s v="ENVY"/>
    <s v="TestFlight_ENVY_LiveAction"/>
    <s v="Original"/>
    <n v="804761.98400000005"/>
    <s v="firm-bid"/>
    <m/>
    <m/>
    <n v="1"/>
    <m/>
    <m/>
    <m/>
    <n v="1"/>
    <m/>
    <m/>
    <m/>
    <m/>
    <m/>
    <m/>
    <s v=""/>
    <m/>
    <s v=""/>
    <s v=""/>
    <m/>
    <s v=""/>
    <s v=""/>
    <m/>
    <m/>
    <m/>
    <m/>
    <m/>
    <s v=""/>
    <m/>
    <m/>
    <s v=""/>
    <s v=""/>
    <s v=""/>
    <m/>
    <s v=""/>
    <m/>
    <m/>
    <s v=""/>
    <s v=""/>
    <m/>
    <m/>
    <m/>
    <m/>
    <s v=""/>
    <m/>
    <m/>
    <s v=""/>
    <s v=""/>
    <m/>
    <s v=""/>
    <m/>
    <m/>
    <m/>
    <m/>
    <m/>
    <s v=""/>
    <s v=""/>
    <n v="0"/>
    <n v="0"/>
    <n v="823789.01633333333"/>
  </r>
  <r>
    <n v="367"/>
    <d v="2023-07-21T21:21:00"/>
    <s v="ENVY"/>
    <s v="Snack Foods"/>
    <s v="North America"/>
    <n v="1"/>
    <x v="6"/>
    <s v="Big Chew Sugarless"/>
    <x v="2"/>
    <x v="8"/>
    <s v="Petulant Pictures"/>
    <s v="Film &amp; Video Production"/>
    <s v="ENVY"/>
    <s v="Petulant_ENVY_LiveAction"/>
    <s v="Original"/>
    <n v="881024.64"/>
    <s v="firm-bid"/>
    <n v="823789.01630000002"/>
    <m/>
    <n v="1"/>
    <m/>
    <m/>
    <m/>
    <m/>
    <m/>
    <n v="11511.5"/>
    <n v="59800"/>
    <m/>
    <m/>
    <m/>
    <s v=""/>
    <m/>
    <s v=""/>
    <s v=""/>
    <n v="195000"/>
    <s v=""/>
    <s v=""/>
    <n v="0"/>
    <m/>
    <n v="0"/>
    <m/>
    <n v="42900"/>
    <s v=""/>
    <n v="2400"/>
    <m/>
    <s v=""/>
    <s v=""/>
    <s v=""/>
    <n v="27890"/>
    <s v=""/>
    <n v="14000"/>
    <m/>
    <s v=""/>
    <s v=""/>
    <n v="33300"/>
    <n v="134420"/>
    <m/>
    <m/>
    <s v=""/>
    <n v="33600"/>
    <n v="110539"/>
    <s v=""/>
    <s v=""/>
    <m/>
    <s v=""/>
    <m/>
    <m/>
    <n v="22940"/>
    <n v="0"/>
    <n v="0"/>
    <s v=""/>
    <s v=""/>
    <n v="0"/>
    <n v="0"/>
    <n v="823789.01633333333"/>
  </r>
  <r>
    <n v="367"/>
    <d v="2023-07-21T21:21:00"/>
    <s v="ENVY"/>
    <s v="Snack Foods"/>
    <s v="North America"/>
    <n v="0"/>
    <x v="6"/>
    <s v="Big Chew Sugarless"/>
    <x v="2"/>
    <x v="8"/>
    <s v=""/>
    <s v="Film &amp; Video Production"/>
    <s v="ENVY"/>
    <s v="Level12_ENVY_LiveAction"/>
    <s v="Original"/>
    <n v="785580.42500000005"/>
    <s v="firm-bid"/>
    <m/>
    <m/>
    <m/>
    <m/>
    <m/>
    <m/>
    <m/>
    <m/>
    <m/>
    <m/>
    <m/>
    <m/>
    <m/>
    <s v=""/>
    <m/>
    <s v=""/>
    <s v=""/>
    <m/>
    <s v=""/>
    <s v=""/>
    <m/>
    <m/>
    <m/>
    <m/>
    <m/>
    <s v=""/>
    <m/>
    <m/>
    <s v=""/>
    <s v=""/>
    <s v=""/>
    <m/>
    <s v=""/>
    <m/>
    <m/>
    <s v=""/>
    <s v=""/>
    <m/>
    <m/>
    <m/>
    <m/>
    <s v=""/>
    <m/>
    <m/>
    <s v=""/>
    <s v=""/>
    <m/>
    <s v=""/>
    <m/>
    <m/>
    <m/>
    <m/>
    <m/>
    <s v=""/>
    <s v=""/>
    <n v="0"/>
    <n v="0"/>
    <n v="823789.01633333333"/>
  </r>
  <r>
    <n v="369"/>
    <d v="2023-07-21T21:22:00"/>
    <s v="GLUTTONY"/>
    <s v="Snack Foods"/>
    <s v="North America"/>
    <n v="0"/>
    <x v="6"/>
    <s v="Big Chew Sugarless"/>
    <x v="2"/>
    <x v="8"/>
    <s v=""/>
    <s v="Audio Post"/>
    <s v="Sound Monster"/>
    <s v="Sound Monster"/>
    <s v="Original"/>
    <n v="32510"/>
    <s v="firm-bid"/>
    <m/>
    <m/>
    <m/>
    <n v="1"/>
    <m/>
    <n v="1"/>
    <m/>
    <m/>
    <m/>
    <m/>
    <m/>
    <m/>
    <m/>
    <s v=""/>
    <m/>
    <s v=""/>
    <s v=""/>
    <m/>
    <s v=""/>
    <s v=""/>
    <m/>
    <m/>
    <m/>
    <m/>
    <m/>
    <s v=""/>
    <m/>
    <m/>
    <s v=""/>
    <s v=""/>
    <s v=""/>
    <m/>
    <s v=""/>
    <m/>
    <m/>
    <s v=""/>
    <s v=""/>
    <m/>
    <m/>
    <m/>
    <m/>
    <s v=""/>
    <m/>
    <m/>
    <s v=""/>
    <s v=""/>
    <m/>
    <s v=""/>
    <m/>
    <m/>
    <m/>
    <m/>
    <m/>
    <s v=""/>
    <s v=""/>
    <n v="0"/>
    <n v="0"/>
    <n v="26410"/>
  </r>
  <r>
    <n v="369"/>
    <d v="2023-07-21T21:22:00"/>
    <s v="GLUTTONY"/>
    <s v="Snack Foods"/>
    <s v="North America"/>
    <n v="1"/>
    <x v="6"/>
    <s v="Big Chew Sugarless"/>
    <x v="2"/>
    <x v="8"/>
    <s v="Love Language"/>
    <s v="Audio Post"/>
    <s v="Love Language &quot;GLUTTONY&quot;"/>
    <s v="Love127"/>
    <s v="Original"/>
    <n v="20310"/>
    <s v="firm-bid"/>
    <n v="26410"/>
    <m/>
    <m/>
    <n v="1"/>
    <m/>
    <m/>
    <n v="1"/>
    <m/>
    <m/>
    <m/>
    <n v="20310"/>
    <m/>
    <m/>
    <s v=""/>
    <m/>
    <s v=""/>
    <s v=""/>
    <m/>
    <s v=""/>
    <s v=""/>
    <m/>
    <m/>
    <m/>
    <m/>
    <m/>
    <s v=""/>
    <m/>
    <m/>
    <s v=""/>
    <s v=""/>
    <s v=""/>
    <m/>
    <s v=""/>
    <m/>
    <m/>
    <s v=""/>
    <s v=""/>
    <m/>
    <m/>
    <m/>
    <m/>
    <s v=""/>
    <m/>
    <m/>
    <s v=""/>
    <s v=""/>
    <m/>
    <s v=""/>
    <m/>
    <m/>
    <m/>
    <m/>
    <m/>
    <s v=""/>
    <s v=""/>
    <n v="0"/>
    <n v="0"/>
    <n v="26410"/>
  </r>
  <r>
    <n v="369"/>
    <d v="2023-07-21T21:22:00"/>
    <s v="GLUTTONY"/>
    <s v="Snack Foods"/>
    <s v="North America"/>
    <n v="0"/>
    <x v="6"/>
    <s v="Big Chew Sugarless"/>
    <x v="2"/>
    <x v="8"/>
    <s v=""/>
    <s v="Behind The Scenes (BTS)"/>
    <s v="GLUTTONY"/>
    <s v="Club101_GLUTTONY_BTS"/>
    <s v="Original"/>
    <n v="17960.7"/>
    <s v="firm-bid"/>
    <m/>
    <m/>
    <m/>
    <m/>
    <m/>
    <m/>
    <m/>
    <m/>
    <m/>
    <m/>
    <m/>
    <m/>
    <m/>
    <s v=""/>
    <m/>
    <s v=""/>
    <s v=""/>
    <m/>
    <s v=""/>
    <s v=""/>
    <m/>
    <m/>
    <m/>
    <m/>
    <m/>
    <s v=""/>
    <m/>
    <m/>
    <s v=""/>
    <s v=""/>
    <s v=""/>
    <m/>
    <s v=""/>
    <m/>
    <m/>
    <s v=""/>
    <s v=""/>
    <m/>
    <m/>
    <m/>
    <m/>
    <s v=""/>
    <m/>
    <m/>
    <s v=""/>
    <s v=""/>
    <m/>
    <s v=""/>
    <m/>
    <m/>
    <m/>
    <m/>
    <m/>
    <s v=""/>
    <s v=""/>
    <n v="0"/>
    <n v="0"/>
    <n v="19142.325000000001"/>
  </r>
  <r>
    <n v="369"/>
    <d v="2023-07-21T21:22:00"/>
    <s v="GLUTTONY"/>
    <s v="Snack Foods"/>
    <s v="North America"/>
    <n v="1"/>
    <x v="6"/>
    <s v="Big Chew Sugarless"/>
    <x v="2"/>
    <x v="8"/>
    <s v="Petulant Pictures"/>
    <s v="Behind The Scenes (BTS)"/>
    <s v="Gluttony"/>
    <s v="Petulant_GLUTTONY_BTS"/>
    <s v="Original"/>
    <n v="20323.95"/>
    <s v="firm-bid"/>
    <n v="19142.325000000001"/>
    <m/>
    <n v="1"/>
    <m/>
    <m/>
    <m/>
    <m/>
    <m/>
    <m/>
    <m/>
    <m/>
    <n v="12900"/>
    <m/>
    <s v=""/>
    <m/>
    <s v=""/>
    <s v=""/>
    <m/>
    <s v=""/>
    <s v=""/>
    <m/>
    <m/>
    <m/>
    <m/>
    <m/>
    <s v=""/>
    <m/>
    <m/>
    <s v=""/>
    <s v=""/>
    <s v=""/>
    <m/>
    <s v=""/>
    <m/>
    <m/>
    <s v=""/>
    <s v=""/>
    <m/>
    <m/>
    <m/>
    <m/>
    <s v=""/>
    <m/>
    <m/>
    <s v=""/>
    <s v=""/>
    <m/>
    <s v=""/>
    <m/>
    <m/>
    <m/>
    <m/>
    <m/>
    <s v=""/>
    <s v=""/>
    <n v="0"/>
    <n v="0"/>
    <n v="19142.325000000001"/>
  </r>
  <r>
    <n v="369"/>
    <d v="2023-07-21T21:22:00"/>
    <s v="GLUTTONY"/>
    <s v="Snack Foods"/>
    <s v="North America"/>
    <n v="1"/>
    <x v="6"/>
    <s v="Big Chew Sugarless"/>
    <x v="2"/>
    <x v="8"/>
    <s v="Interstate"/>
    <s v="Still Photography Production"/>
    <s v="GLUTTONY"/>
    <s v="Interstate_GLUTTONY_Stills"/>
    <s v="Original"/>
    <n v="145024.3322"/>
    <s v="firm-bid"/>
    <n v="151042.9981"/>
    <m/>
    <m/>
    <m/>
    <m/>
    <n v="1"/>
    <m/>
    <m/>
    <m/>
    <n v="0"/>
    <m/>
    <m/>
    <n v="6920"/>
    <s v=""/>
    <m/>
    <s v=""/>
    <s v=""/>
    <m/>
    <s v=""/>
    <s v=""/>
    <m/>
    <m/>
    <m/>
    <m/>
    <n v="2571"/>
    <s v=""/>
    <n v="12737"/>
    <m/>
    <s v=""/>
    <s v=""/>
    <s v=""/>
    <m/>
    <s v=""/>
    <n v="0"/>
    <m/>
    <s v=""/>
    <s v=""/>
    <n v="15885"/>
    <m/>
    <m/>
    <n v="9134"/>
    <s v=""/>
    <n v="12400"/>
    <n v="24334"/>
    <s v=""/>
    <s v=""/>
    <n v="4566"/>
    <s v=""/>
    <m/>
    <n v="9816"/>
    <m/>
    <n v="4820"/>
    <n v="3340"/>
    <s v=""/>
    <s v=""/>
    <n v="0"/>
    <n v="0"/>
    <n v="151042.9981"/>
  </r>
  <r>
    <n v="369"/>
    <d v="2023-07-21T21:22:00"/>
    <s v="GLUTTONY"/>
    <s v="Snack Foods"/>
    <s v="North America"/>
    <n v="0"/>
    <x v="6"/>
    <s v="Big Chew Sugarless"/>
    <x v="2"/>
    <x v="8"/>
    <s v=""/>
    <s v="Still Photography Production"/>
    <s v="&quot;GLUTTONY&quot; Stills - Furrier"/>
    <s v="Furrier_GLUTTONY_Stills"/>
    <s v="Original"/>
    <n v="157061.66399999999"/>
    <s v="firm-bid"/>
    <m/>
    <n v="1"/>
    <m/>
    <m/>
    <m/>
    <m/>
    <m/>
    <m/>
    <m/>
    <m/>
    <m/>
    <m/>
    <m/>
    <s v=""/>
    <m/>
    <s v=""/>
    <s v=""/>
    <m/>
    <s v=""/>
    <s v=""/>
    <m/>
    <m/>
    <m/>
    <m/>
    <m/>
    <s v=""/>
    <m/>
    <m/>
    <s v=""/>
    <s v=""/>
    <s v=""/>
    <m/>
    <s v=""/>
    <m/>
    <m/>
    <s v=""/>
    <s v=""/>
    <m/>
    <m/>
    <m/>
    <m/>
    <s v=""/>
    <m/>
    <m/>
    <s v=""/>
    <s v=""/>
    <m/>
    <s v=""/>
    <m/>
    <m/>
    <m/>
    <m/>
    <m/>
    <s v=""/>
    <s v=""/>
    <n v="157061.66399999999"/>
    <n v="0"/>
    <n v="151042.9981"/>
  </r>
  <r>
    <n v="369"/>
    <d v="2023-07-21T21:22:00"/>
    <s v="GLUTTONY"/>
    <s v="Snack Foods"/>
    <s v="North America"/>
    <n v="1"/>
    <x v="6"/>
    <s v="Big Chew Sugarless"/>
    <x v="2"/>
    <x v="8"/>
    <s v="The Alliance"/>
    <s v="VFX"/>
    <s v="GLUTTONY"/>
    <s v="TheAlliance_GLUTTONY_VFX"/>
    <s v="Original"/>
    <n v="87009"/>
    <s v="firm-bid"/>
    <n v="127887.5"/>
    <m/>
    <m/>
    <m/>
    <m/>
    <m/>
    <m/>
    <n v="42250"/>
    <m/>
    <m/>
    <m/>
    <m/>
    <m/>
    <s v=""/>
    <m/>
    <s v=""/>
    <s v=""/>
    <m/>
    <s v=""/>
    <s v=""/>
    <m/>
    <m/>
    <m/>
    <m/>
    <m/>
    <s v=""/>
    <n v="3150"/>
    <n v="10500"/>
    <s v=""/>
    <s v=""/>
    <s v=""/>
    <m/>
    <s v=""/>
    <n v="800"/>
    <m/>
    <s v=""/>
    <s v=""/>
    <m/>
    <m/>
    <m/>
    <n v="10230"/>
    <s v=""/>
    <m/>
    <m/>
    <s v=""/>
    <s v=""/>
    <m/>
    <s v=""/>
    <m/>
    <m/>
    <m/>
    <m/>
    <m/>
    <s v=""/>
    <s v=""/>
    <n v="0"/>
    <n v="0"/>
    <n v="127887.5"/>
  </r>
  <r>
    <n v="369"/>
    <d v="2023-07-21T21:22:00"/>
    <s v="GLUTTONY"/>
    <s v="Snack Foods"/>
    <s v="North America"/>
    <n v="0"/>
    <x v="6"/>
    <s v="Big Chew Sugarless"/>
    <x v="2"/>
    <x v="8"/>
    <s v=""/>
    <s v="VFX"/>
    <s v="&quot;GLUTTONY&quot; JOB #3987"/>
    <s v="TerminalOutput_GLUTTONY_VFX"/>
    <s v="Original"/>
    <n v="168766"/>
    <s v="firm-bid"/>
    <m/>
    <m/>
    <m/>
    <m/>
    <m/>
    <m/>
    <m/>
    <m/>
    <m/>
    <m/>
    <m/>
    <m/>
    <m/>
    <s v=""/>
    <m/>
    <s v=""/>
    <s v=""/>
    <m/>
    <s v=""/>
    <s v=""/>
    <m/>
    <m/>
    <m/>
    <m/>
    <m/>
    <s v=""/>
    <m/>
    <m/>
    <s v=""/>
    <s v=""/>
    <s v=""/>
    <m/>
    <s v=""/>
    <m/>
    <m/>
    <s v=""/>
    <s v=""/>
    <m/>
    <m/>
    <m/>
    <m/>
    <s v=""/>
    <m/>
    <m/>
    <s v=""/>
    <s v=""/>
    <m/>
    <s v=""/>
    <m/>
    <m/>
    <m/>
    <m/>
    <m/>
    <s v=""/>
    <s v=""/>
    <n v="0"/>
    <n v="0"/>
    <n v="127887.5"/>
  </r>
  <r>
    <n v="369"/>
    <d v="2023-07-21T21:22:00"/>
    <s v="GLUTTONY"/>
    <s v="Snack Foods"/>
    <s v="North America"/>
    <n v="0"/>
    <x v="6"/>
    <s v="Big Chew Sugarless"/>
    <x v="2"/>
    <x v="8"/>
    <s v=""/>
    <s v="Finishing"/>
    <s v="&quot;GLUTTONY&quot; RSD #452021"/>
    <s v="RackspaceDigital_GLUTTONY_Finishing"/>
    <s v="Original"/>
    <n v="34500"/>
    <s v="firm-bid"/>
    <m/>
    <m/>
    <m/>
    <n v="1"/>
    <n v="1"/>
    <m/>
    <m/>
    <m/>
    <m/>
    <m/>
    <m/>
    <m/>
    <m/>
    <s v=""/>
    <m/>
    <s v=""/>
    <s v=""/>
    <m/>
    <s v=""/>
    <s v=""/>
    <m/>
    <m/>
    <m/>
    <m/>
    <m/>
    <s v=""/>
    <m/>
    <m/>
    <s v=""/>
    <s v=""/>
    <s v=""/>
    <m/>
    <s v=""/>
    <m/>
    <m/>
    <s v=""/>
    <s v=""/>
    <m/>
    <m/>
    <m/>
    <m/>
    <s v=""/>
    <m/>
    <m/>
    <s v=""/>
    <s v=""/>
    <m/>
    <s v=""/>
    <m/>
    <m/>
    <m/>
    <m/>
    <m/>
    <s v=""/>
    <s v=""/>
    <n v="0"/>
    <n v="0"/>
    <n v="39187.5"/>
  </r>
  <r>
    <n v="369"/>
    <d v="2023-07-21T21:22:00"/>
    <s v="GLUTTONY"/>
    <s v="Snack Foods"/>
    <s v="North America"/>
    <n v="1"/>
    <x v="6"/>
    <s v="Big Chew Sugarless"/>
    <x v="2"/>
    <x v="8"/>
    <s v="Andiamo Images"/>
    <s v="Finishing"/>
    <s v="&quot;Gluttony&quot;"/>
    <s v="AndiamoImages_GLUTTONY_Finishing"/>
    <s v="Original"/>
    <n v="35150"/>
    <s v="firm-bid"/>
    <n v="39187.5"/>
    <m/>
    <m/>
    <n v="1"/>
    <m/>
    <n v="1"/>
    <m/>
    <m/>
    <m/>
    <m/>
    <m/>
    <m/>
    <m/>
    <s v=""/>
    <m/>
    <s v=""/>
    <s v=""/>
    <m/>
    <s v=""/>
    <s v=""/>
    <m/>
    <m/>
    <m/>
    <m/>
    <m/>
    <s v=""/>
    <m/>
    <n v="35150"/>
    <s v=""/>
    <s v=""/>
    <s v=""/>
    <m/>
    <s v=""/>
    <m/>
    <m/>
    <s v=""/>
    <s v=""/>
    <m/>
    <m/>
    <m/>
    <m/>
    <s v=""/>
    <m/>
    <m/>
    <s v=""/>
    <s v=""/>
    <m/>
    <s v=""/>
    <m/>
    <m/>
    <m/>
    <m/>
    <m/>
    <s v=""/>
    <s v=""/>
    <n v="0"/>
    <n v="0"/>
    <n v="39187.5"/>
  </r>
  <r>
    <n v="369"/>
    <d v="2023-07-21T21:22:00"/>
    <s v="GLUTTONY"/>
    <s v="Snack Foods"/>
    <s v="North America"/>
    <n v="0"/>
    <x v="6"/>
    <s v="Big Chew Sugarless"/>
    <x v="2"/>
    <x v="8"/>
    <s v=""/>
    <s v="Finishing"/>
    <s v="‚ÄúGLUTTONY‚Äù | Dub House"/>
    <s v="TheDubHouse_GLUTTONY_Finishing"/>
    <s v="Original"/>
    <n v="43550"/>
    <s v="firm-bid"/>
    <m/>
    <m/>
    <m/>
    <m/>
    <m/>
    <m/>
    <m/>
    <m/>
    <m/>
    <m/>
    <m/>
    <m/>
    <m/>
    <s v=""/>
    <m/>
    <s v=""/>
    <s v=""/>
    <m/>
    <s v=""/>
    <s v=""/>
    <m/>
    <m/>
    <m/>
    <m/>
    <m/>
    <s v=""/>
    <m/>
    <m/>
    <s v=""/>
    <s v=""/>
    <s v=""/>
    <m/>
    <s v=""/>
    <m/>
    <m/>
    <s v=""/>
    <s v=""/>
    <m/>
    <m/>
    <m/>
    <m/>
    <s v=""/>
    <m/>
    <m/>
    <s v=""/>
    <s v=""/>
    <m/>
    <s v=""/>
    <m/>
    <m/>
    <m/>
    <m/>
    <m/>
    <s v=""/>
    <s v=""/>
    <n v="0"/>
    <n v="0"/>
    <n v="39187.5"/>
  </r>
  <r>
    <n v="369"/>
    <d v="2023-07-21T21:22:00"/>
    <s v="GLUTTONY"/>
    <s v="Snack Foods"/>
    <s v="North America"/>
    <n v="0"/>
    <x v="6"/>
    <s v="Big Chew Sugarless"/>
    <x v="2"/>
    <x v="8"/>
    <s v=""/>
    <s v="Finishing"/>
    <s v="‚ÄúGLUTTONY‚Äù | Dub House"/>
    <s v="TheDubHouse_GLUTTONY_Finishing"/>
    <s v="Original"/>
    <n v="43550"/>
    <s v="firm-bid"/>
    <m/>
    <m/>
    <m/>
    <m/>
    <m/>
    <m/>
    <m/>
    <m/>
    <m/>
    <m/>
    <m/>
    <m/>
    <m/>
    <s v=""/>
    <m/>
    <s v=""/>
    <s v=""/>
    <m/>
    <s v=""/>
    <s v=""/>
    <m/>
    <m/>
    <m/>
    <m/>
    <m/>
    <s v=""/>
    <m/>
    <m/>
    <s v=""/>
    <s v=""/>
    <s v=""/>
    <m/>
    <s v=""/>
    <m/>
    <m/>
    <s v=""/>
    <s v=""/>
    <m/>
    <m/>
    <m/>
    <m/>
    <s v=""/>
    <m/>
    <m/>
    <s v=""/>
    <s v=""/>
    <m/>
    <s v=""/>
    <m/>
    <m/>
    <m/>
    <m/>
    <m/>
    <s v=""/>
    <s v=""/>
    <n v="0"/>
    <n v="0"/>
    <n v="39187.5"/>
  </r>
  <r>
    <n v="369"/>
    <d v="2023-07-21T21:22:00"/>
    <s v="GLUTTONY"/>
    <s v="Snack Foods"/>
    <s v="North America"/>
    <n v="1"/>
    <x v="6"/>
    <s v="Big Chew Sugarless"/>
    <x v="2"/>
    <x v="8"/>
    <s v="Myrtle Row Editorial"/>
    <s v="Editorial"/>
    <s v="GLUTTONY"/>
    <s v="MyrtleRow_GLUTTONY_Edit"/>
    <s v="Original"/>
    <n v="131994.79999999999"/>
    <s v="firm-bid"/>
    <n v="92026.783330000006"/>
    <m/>
    <m/>
    <m/>
    <m/>
    <m/>
    <n v="1"/>
    <m/>
    <m/>
    <m/>
    <m/>
    <m/>
    <m/>
    <s v=""/>
    <m/>
    <s v=""/>
    <s v=""/>
    <m/>
    <s v=""/>
    <s v=""/>
    <n v="23600"/>
    <n v="29800"/>
    <n v="36500"/>
    <n v="6388"/>
    <m/>
    <s v=""/>
    <m/>
    <m/>
    <s v=""/>
    <s v=""/>
    <s v=""/>
    <m/>
    <s v=""/>
    <m/>
    <m/>
    <s v=""/>
    <s v=""/>
    <m/>
    <m/>
    <m/>
    <m/>
    <s v=""/>
    <m/>
    <m/>
    <s v=""/>
    <s v=""/>
    <m/>
    <s v=""/>
    <m/>
    <m/>
    <m/>
    <m/>
    <m/>
    <s v=""/>
    <s v=""/>
    <n v="0"/>
    <n v="0"/>
    <n v="92026.783334999986"/>
  </r>
  <r>
    <n v="369"/>
    <d v="2023-07-21T21:22:00"/>
    <s v="GLUTTONY"/>
    <s v="Snack Foods"/>
    <s v="North America"/>
    <n v="0"/>
    <x v="6"/>
    <s v="Big Chew Sugarless"/>
    <x v="2"/>
    <x v="8"/>
    <s v=""/>
    <s v="Editorial"/>
    <s v="Gluttony"/>
    <s v="TheCloset_GLUTTONY_Edit"/>
    <s v="Original"/>
    <n v="52058.766669999997"/>
    <s v="firm-bid"/>
    <m/>
    <m/>
    <m/>
    <m/>
    <m/>
    <n v="1"/>
    <n v="1"/>
    <m/>
    <m/>
    <m/>
    <m/>
    <m/>
    <m/>
    <s v=""/>
    <m/>
    <s v=""/>
    <s v=""/>
    <m/>
    <s v=""/>
    <s v=""/>
    <m/>
    <m/>
    <m/>
    <m/>
    <m/>
    <s v=""/>
    <m/>
    <m/>
    <s v=""/>
    <s v=""/>
    <s v=""/>
    <m/>
    <s v=""/>
    <m/>
    <m/>
    <s v=""/>
    <s v=""/>
    <m/>
    <m/>
    <m/>
    <m/>
    <s v=""/>
    <m/>
    <m/>
    <s v=""/>
    <s v=""/>
    <m/>
    <s v=""/>
    <m/>
    <m/>
    <m/>
    <m/>
    <m/>
    <s v=""/>
    <s v=""/>
    <n v="0"/>
    <n v="0"/>
    <n v="92026.783334999986"/>
  </r>
  <r>
    <n v="369"/>
    <d v="2023-07-21T21:22:00"/>
    <s v="GLUTTONY"/>
    <s v="Snack Foods"/>
    <s v="North America"/>
    <n v="0"/>
    <x v="6"/>
    <s v="Big Chew Sugarless"/>
    <x v="2"/>
    <x v="8"/>
    <s v=""/>
    <s v="Film &amp; Video Production"/>
    <s v="GLUTTONY"/>
    <s v="Club101_GLUTTONY_LiveAction"/>
    <s v="Original"/>
    <n v="814542.45"/>
    <s v="firm-bid"/>
    <m/>
    <m/>
    <m/>
    <m/>
    <m/>
    <m/>
    <m/>
    <m/>
    <m/>
    <m/>
    <m/>
    <m/>
    <m/>
    <s v=""/>
    <m/>
    <s v=""/>
    <s v=""/>
    <m/>
    <s v=""/>
    <s v=""/>
    <m/>
    <m/>
    <m/>
    <m/>
    <m/>
    <s v=""/>
    <m/>
    <m/>
    <s v=""/>
    <s v=""/>
    <s v=""/>
    <m/>
    <s v=""/>
    <m/>
    <m/>
    <s v=""/>
    <s v=""/>
    <m/>
    <m/>
    <m/>
    <m/>
    <s v=""/>
    <m/>
    <m/>
    <s v=""/>
    <s v=""/>
    <m/>
    <s v=""/>
    <m/>
    <m/>
    <m/>
    <m/>
    <m/>
    <s v=""/>
    <s v=""/>
    <n v="0"/>
    <n v="0"/>
    <n v="865895.91999999993"/>
  </r>
  <r>
    <n v="369"/>
    <d v="2023-07-21T21:22:00"/>
    <s v="GLUTTONY"/>
    <s v="Snack Foods"/>
    <s v="North America"/>
    <n v="1"/>
    <x v="6"/>
    <s v="Big Chew Sugarless"/>
    <x v="2"/>
    <x v="8"/>
    <s v="Petulant Pictures"/>
    <s v="Film &amp; Video Production"/>
    <s v="Gluttony"/>
    <s v="Petulant_GLUTTONY_LiveAction"/>
    <s v="Original"/>
    <n v="917249.39"/>
    <s v="firm-bid"/>
    <n v="865895.92"/>
    <m/>
    <n v="1"/>
    <m/>
    <m/>
    <m/>
    <m/>
    <m/>
    <n v="46260.5"/>
    <n v="136300"/>
    <m/>
    <m/>
    <m/>
    <s v=""/>
    <m/>
    <s v=""/>
    <s v=""/>
    <n v="160000"/>
    <s v=""/>
    <s v=""/>
    <n v="0"/>
    <m/>
    <n v="0"/>
    <m/>
    <n v="43900"/>
    <s v=""/>
    <n v="3600"/>
    <m/>
    <s v=""/>
    <s v=""/>
    <s v=""/>
    <n v="29222"/>
    <s v=""/>
    <n v="10400"/>
    <m/>
    <s v=""/>
    <s v=""/>
    <n v="28550"/>
    <n v="109252"/>
    <m/>
    <m/>
    <s v=""/>
    <n v="6000"/>
    <n v="148612.75"/>
    <s v=""/>
    <s v=""/>
    <m/>
    <s v=""/>
    <m/>
    <m/>
    <n v="17620"/>
    <n v="0"/>
    <n v="0"/>
    <s v=""/>
    <s v=""/>
    <n v="0"/>
    <n v="0"/>
    <n v="865895.91999999993"/>
  </r>
  <r>
    <n v="369"/>
    <d v="2023-07-21T21:22:00"/>
    <s v="GLUTTONY"/>
    <s v="Snack Foods"/>
    <s v="North America"/>
    <n v="0"/>
    <x v="6"/>
    <s v="Big Chew Sugarless"/>
    <x v="2"/>
    <x v="8"/>
    <s v=""/>
    <s v="Sanitary Production Costs"/>
    <s v="GLUTTONY"/>
    <s v="Club101_GLUTTONY_Covid"/>
    <s v="Original"/>
    <n v="9334.8374999999996"/>
    <s v="firm-bid"/>
    <m/>
    <m/>
    <m/>
    <m/>
    <m/>
    <m/>
    <m/>
    <m/>
    <m/>
    <m/>
    <m/>
    <m/>
    <m/>
    <s v=""/>
    <m/>
    <s v=""/>
    <s v=""/>
    <m/>
    <s v=""/>
    <s v=""/>
    <m/>
    <m/>
    <m/>
    <m/>
    <m/>
    <s v=""/>
    <m/>
    <m/>
    <s v=""/>
    <s v=""/>
    <s v=""/>
    <m/>
    <s v=""/>
    <m/>
    <m/>
    <s v=""/>
    <s v=""/>
    <m/>
    <m/>
    <m/>
    <m/>
    <s v=""/>
    <m/>
    <m/>
    <s v=""/>
    <s v=""/>
    <m/>
    <s v=""/>
    <m/>
    <m/>
    <m/>
    <m/>
    <m/>
    <s v=""/>
    <s v=""/>
    <n v="0"/>
    <n v="0"/>
    <n v="8224.11"/>
  </r>
  <r>
    <n v="369"/>
    <d v="2023-07-21T21:22:00"/>
    <s v="GLUTTONY"/>
    <s v="Snack Foods"/>
    <s v="North America"/>
    <n v="1"/>
    <x v="6"/>
    <s v="Big Chew Sugarless"/>
    <x v="2"/>
    <x v="8"/>
    <s v="Petulant Pictures"/>
    <s v="Sanitary Production Costs"/>
    <s v="Gluttony"/>
    <s v="Petulant_GLUTTONY_Covid"/>
    <s v="Original"/>
    <n v="7113.3824999999997"/>
    <s v="firm-bid"/>
    <n v="8224.11"/>
    <m/>
    <n v="1"/>
    <m/>
    <m/>
    <m/>
    <m/>
    <m/>
    <m/>
    <m/>
    <m/>
    <m/>
    <m/>
    <s v=""/>
    <n v="3400"/>
    <s v=""/>
    <s v=""/>
    <m/>
    <s v=""/>
    <s v=""/>
    <m/>
    <m/>
    <m/>
    <m/>
    <m/>
    <s v=""/>
    <m/>
    <m/>
    <s v=""/>
    <s v=""/>
    <s v=""/>
    <m/>
    <s v=""/>
    <m/>
    <m/>
    <s v=""/>
    <s v=""/>
    <m/>
    <m/>
    <n v="1115"/>
    <m/>
    <s v=""/>
    <m/>
    <m/>
    <s v=""/>
    <s v=""/>
    <m/>
    <s v=""/>
    <m/>
    <m/>
    <m/>
    <m/>
    <m/>
    <s v=""/>
    <s v=""/>
    <n v="0"/>
    <n v="0"/>
    <n v="8224.11"/>
  </r>
  <r>
    <n v="369"/>
    <d v="2023-07-21T21:22:00"/>
    <s v="GLUTTONY"/>
    <s v="Snack Foods"/>
    <s v="North America"/>
    <n v="0"/>
    <x v="6"/>
    <s v="Big Chew Sugarless"/>
    <x v="2"/>
    <x v="8"/>
    <s v=""/>
    <s v="Green Production Costs"/>
    <s v="GLUTTONY"/>
    <s v="Club101_GLUTTONY_Green"/>
    <s v="Original"/>
    <n v="13335"/>
    <s v="firm-bid"/>
    <m/>
    <m/>
    <m/>
    <m/>
    <m/>
    <m/>
    <m/>
    <m/>
    <m/>
    <m/>
    <m/>
    <m/>
    <m/>
    <s v=""/>
    <m/>
    <s v=""/>
    <s v=""/>
    <m/>
    <s v=""/>
    <s v=""/>
    <m/>
    <m/>
    <m/>
    <m/>
    <m/>
    <s v=""/>
    <m/>
    <m/>
    <s v=""/>
    <s v=""/>
    <s v=""/>
    <m/>
    <s v=""/>
    <m/>
    <m/>
    <s v=""/>
    <s v=""/>
    <m/>
    <m/>
    <m/>
    <m/>
    <s v=""/>
    <m/>
    <m/>
    <s v=""/>
    <s v=""/>
    <m/>
    <s v=""/>
    <m/>
    <m/>
    <m/>
    <m/>
    <m/>
    <s v=""/>
    <s v=""/>
    <n v="0"/>
    <n v="0"/>
    <n v="17917.5"/>
  </r>
  <r>
    <n v="369"/>
    <d v="2023-07-21T21:22:00"/>
    <s v="GLUTTONY"/>
    <s v="Snack Foods"/>
    <s v="North America"/>
    <n v="1"/>
    <x v="6"/>
    <s v="Big Chew Sugarless"/>
    <x v="2"/>
    <x v="8"/>
    <s v="Petulant Pictures"/>
    <s v="Green Production Costs"/>
    <s v="Gluttony"/>
    <s v="Petulant_GLUTTONY_Green"/>
    <s v="Original"/>
    <n v="22500"/>
    <s v="firm-bid"/>
    <n v="17917.5"/>
    <m/>
    <n v="1"/>
    <m/>
    <m/>
    <m/>
    <m/>
    <m/>
    <n v="0"/>
    <n v="0"/>
    <m/>
    <m/>
    <m/>
    <s v=""/>
    <m/>
    <s v=""/>
    <s v=""/>
    <n v="0"/>
    <s v=""/>
    <s v=""/>
    <n v="0"/>
    <m/>
    <n v="0"/>
    <m/>
    <n v="0"/>
    <s v=""/>
    <n v="0"/>
    <m/>
    <s v=""/>
    <s v=""/>
    <s v=""/>
    <n v="0"/>
    <s v=""/>
    <n v="18000"/>
    <m/>
    <s v=""/>
    <s v=""/>
    <n v="0"/>
    <n v="0"/>
    <m/>
    <m/>
    <s v=""/>
    <n v="0"/>
    <n v="0"/>
    <s v=""/>
    <s v=""/>
    <m/>
    <s v=""/>
    <m/>
    <m/>
    <n v="0"/>
    <n v="0"/>
    <n v="0"/>
    <s v=""/>
    <s v=""/>
    <n v="0"/>
    <n v="0"/>
    <n v="17917.5"/>
  </r>
  <r>
    <n v="369"/>
    <d v="2023-07-21T21:22:00"/>
    <s v="GLUTTONY"/>
    <s v="Snack Foods"/>
    <s v="North America"/>
    <n v="1"/>
    <x v="6"/>
    <s v="Big Chew Sugarless"/>
    <x v="2"/>
    <x v="8"/>
    <s v="Interstate"/>
    <s v="Photo Retouching &amp; Post"/>
    <s v="GLUTTONY"/>
    <s v="Interstate_GLUTTONY_Retouching"/>
    <s v="Original"/>
    <n v="46350"/>
    <s v="firm-bid"/>
    <n v="46475"/>
    <m/>
    <m/>
    <m/>
    <m/>
    <n v="1"/>
    <m/>
    <m/>
    <m/>
    <m/>
    <m/>
    <m/>
    <m/>
    <s v=""/>
    <m/>
    <s v=""/>
    <s v=""/>
    <m/>
    <s v=""/>
    <s v=""/>
    <m/>
    <m/>
    <m/>
    <m/>
    <m/>
    <s v=""/>
    <m/>
    <m/>
    <s v=""/>
    <s v=""/>
    <s v=""/>
    <m/>
    <s v=""/>
    <m/>
    <m/>
    <s v=""/>
    <s v=""/>
    <m/>
    <m/>
    <m/>
    <m/>
    <s v=""/>
    <m/>
    <m/>
    <s v=""/>
    <s v=""/>
    <m/>
    <s v=""/>
    <n v="46350"/>
    <m/>
    <m/>
    <m/>
    <m/>
    <s v=""/>
    <s v=""/>
    <n v="0"/>
    <n v="0"/>
    <n v="46475"/>
  </r>
  <r>
    <n v="369"/>
    <d v="2023-07-21T21:22:00"/>
    <s v="GLUTTONY"/>
    <s v="Snack Foods"/>
    <s v="North America"/>
    <n v="0"/>
    <x v="6"/>
    <s v="Big Chew Sugarless"/>
    <x v="2"/>
    <x v="8"/>
    <s v=""/>
    <s v="Photo Retouching &amp; Post"/>
    <s v="&quot;GLUTTONY&quot; Stills - Furrier"/>
    <s v="Furrier_GLUTTONY_Retouching"/>
    <s v="Original"/>
    <n v="46600"/>
    <s v="firm-bid"/>
    <m/>
    <n v="1"/>
    <m/>
    <m/>
    <m/>
    <m/>
    <m/>
    <m/>
    <m/>
    <m/>
    <m/>
    <m/>
    <m/>
    <s v=""/>
    <m/>
    <s v=""/>
    <s v=""/>
    <m/>
    <s v=""/>
    <s v=""/>
    <m/>
    <m/>
    <m/>
    <m/>
    <m/>
    <s v=""/>
    <m/>
    <m/>
    <s v=""/>
    <s v=""/>
    <s v=""/>
    <m/>
    <s v=""/>
    <m/>
    <m/>
    <s v=""/>
    <s v=""/>
    <m/>
    <m/>
    <m/>
    <m/>
    <s v=""/>
    <m/>
    <m/>
    <s v=""/>
    <s v=""/>
    <m/>
    <s v=""/>
    <m/>
    <m/>
    <m/>
    <m/>
    <m/>
    <s v=""/>
    <s v=""/>
    <n v="46600"/>
    <n v="0"/>
    <n v="46475"/>
  </r>
  <r>
    <n v="373"/>
    <d v="2023-07-21T21:26:00"/>
    <s v="Suspicion"/>
    <s v="Snack Foods"/>
    <s v="North America"/>
    <n v="0"/>
    <x v="7"/>
    <s v="Poppers"/>
    <x v="3"/>
    <x v="9"/>
    <s v=""/>
    <s v="Audio Post"/>
    <s v="Audio Labs &quot;Suspicion&quot;"/>
    <s v="Audio_103"/>
    <s v="Original"/>
    <n v="27510"/>
    <s v="firm-bid"/>
    <m/>
    <m/>
    <m/>
    <m/>
    <m/>
    <m/>
    <m/>
    <m/>
    <m/>
    <m/>
    <m/>
    <m/>
    <m/>
    <s v=""/>
    <m/>
    <s v=""/>
    <s v=""/>
    <m/>
    <s v=""/>
    <s v=""/>
    <m/>
    <m/>
    <m/>
    <m/>
    <m/>
    <s v=""/>
    <m/>
    <m/>
    <s v=""/>
    <s v=""/>
    <s v=""/>
    <m/>
    <s v=""/>
    <m/>
    <m/>
    <s v=""/>
    <s v=""/>
    <m/>
    <m/>
    <m/>
    <m/>
    <s v=""/>
    <m/>
    <m/>
    <s v=""/>
    <s v=""/>
    <m/>
    <s v=""/>
    <m/>
    <m/>
    <m/>
    <m/>
    <m/>
    <s v=""/>
    <s v=""/>
    <n v="0"/>
    <n v="0"/>
    <n v="28400"/>
  </r>
  <r>
    <n v="373"/>
    <d v="2023-07-21T21:26:00"/>
    <s v="Suspicion"/>
    <s v="Snack Foods"/>
    <s v="North America"/>
    <n v="1"/>
    <x v="7"/>
    <s v="Poppers"/>
    <x v="3"/>
    <x v="9"/>
    <s v="Earwax"/>
    <s v="Audio Post"/>
    <s v="Earwax"/>
    <s v="Earwax"/>
    <s v="Original"/>
    <n v="29290"/>
    <s v="firm-bid"/>
    <n v="28400"/>
    <m/>
    <m/>
    <m/>
    <m/>
    <m/>
    <m/>
    <m/>
    <m/>
    <m/>
    <n v="29290"/>
    <m/>
    <m/>
    <s v=""/>
    <m/>
    <s v=""/>
    <s v=""/>
    <m/>
    <s v=""/>
    <s v=""/>
    <m/>
    <m/>
    <m/>
    <m/>
    <m/>
    <s v=""/>
    <m/>
    <m/>
    <s v=""/>
    <s v=""/>
    <s v=""/>
    <m/>
    <s v=""/>
    <m/>
    <m/>
    <s v=""/>
    <s v=""/>
    <m/>
    <m/>
    <m/>
    <m/>
    <s v=""/>
    <m/>
    <m/>
    <s v=""/>
    <s v=""/>
    <m/>
    <s v=""/>
    <m/>
    <m/>
    <m/>
    <m/>
    <m/>
    <s v=""/>
    <s v=""/>
    <n v="0"/>
    <n v="0"/>
    <n v="28400"/>
  </r>
  <r>
    <n v="373"/>
    <d v="2023-07-21T21:26:00"/>
    <s v="Suspicion"/>
    <s v="Snack Foods"/>
    <s v="North America"/>
    <n v="0"/>
    <x v="7"/>
    <s v="Poppers"/>
    <x v="3"/>
    <x v="9"/>
    <s v=""/>
    <s v="VFX"/>
    <s v="&quot;Suspicion&quot; by CJ #2"/>
    <s v="CalamityJane_Suspicion_VFX"/>
    <s v="Original"/>
    <n v="118137.5"/>
    <s v="firm-bid"/>
    <m/>
    <m/>
    <m/>
    <m/>
    <m/>
    <n v="1"/>
    <m/>
    <m/>
    <m/>
    <m/>
    <m/>
    <m/>
    <m/>
    <s v=""/>
    <m/>
    <s v=""/>
    <s v=""/>
    <m/>
    <s v=""/>
    <s v=""/>
    <m/>
    <m/>
    <m/>
    <m/>
    <m/>
    <s v=""/>
    <m/>
    <m/>
    <s v=""/>
    <s v=""/>
    <s v=""/>
    <m/>
    <s v=""/>
    <m/>
    <m/>
    <s v=""/>
    <s v=""/>
    <m/>
    <m/>
    <m/>
    <m/>
    <s v=""/>
    <m/>
    <m/>
    <s v=""/>
    <s v=""/>
    <m/>
    <s v=""/>
    <m/>
    <m/>
    <m/>
    <m/>
    <m/>
    <s v=""/>
    <s v=""/>
    <n v="0"/>
    <n v="0"/>
    <n v="98628.833333333328"/>
  </r>
  <r>
    <n v="373"/>
    <d v="2023-07-21T21:26:00"/>
    <s v="Suspicion"/>
    <s v="Snack Foods"/>
    <s v="North America"/>
    <n v="0"/>
    <x v="7"/>
    <s v="Poppers"/>
    <x v="3"/>
    <x v="9"/>
    <s v=""/>
    <s v="VFX"/>
    <s v="Suspicion"/>
    <s v="TheAlliance_Suspicion_VFX"/>
    <s v="Original"/>
    <n v="75952.5"/>
    <s v="firm-bid"/>
    <m/>
    <m/>
    <m/>
    <m/>
    <m/>
    <m/>
    <m/>
    <m/>
    <m/>
    <m/>
    <m/>
    <m/>
    <m/>
    <s v=""/>
    <m/>
    <s v=""/>
    <s v=""/>
    <m/>
    <s v=""/>
    <s v=""/>
    <m/>
    <m/>
    <m/>
    <m/>
    <m/>
    <s v=""/>
    <m/>
    <m/>
    <s v=""/>
    <s v=""/>
    <s v=""/>
    <m/>
    <s v=""/>
    <m/>
    <m/>
    <s v=""/>
    <s v=""/>
    <m/>
    <m/>
    <m/>
    <m/>
    <s v=""/>
    <m/>
    <m/>
    <s v=""/>
    <s v=""/>
    <m/>
    <s v=""/>
    <m/>
    <m/>
    <m/>
    <m/>
    <m/>
    <s v=""/>
    <s v=""/>
    <n v="0"/>
    <n v="0"/>
    <n v="98628.833333333328"/>
  </r>
  <r>
    <n v="373"/>
    <d v="2023-07-21T21:26:00"/>
    <s v="Suspicion"/>
    <s v="Snack Foods"/>
    <s v="North America"/>
    <n v="1"/>
    <x v="7"/>
    <s v="Poppers"/>
    <x v="3"/>
    <x v="9"/>
    <s v="Edith Mayer Co"/>
    <s v="VFX"/>
    <s v="Edith Mayer ‚ÄúCRY FIGHTERS/Suspicion‚Äù v2"/>
    <s v="EdithMayerCo_Suspicion_VFX"/>
    <s v="Original"/>
    <n v="101796.5"/>
    <s v="firm-bid"/>
    <n v="98628.833329999994"/>
    <m/>
    <m/>
    <m/>
    <m/>
    <m/>
    <m/>
    <n v="65975"/>
    <m/>
    <m/>
    <m/>
    <m/>
    <m/>
    <s v=""/>
    <m/>
    <s v=""/>
    <s v=""/>
    <m/>
    <s v=""/>
    <s v=""/>
    <m/>
    <m/>
    <m/>
    <m/>
    <m/>
    <s v=""/>
    <n v="1200"/>
    <n v="6750"/>
    <s v=""/>
    <s v=""/>
    <s v=""/>
    <m/>
    <s v=""/>
    <n v="0"/>
    <m/>
    <s v=""/>
    <s v=""/>
    <m/>
    <m/>
    <m/>
    <n v="4380"/>
    <s v=""/>
    <m/>
    <m/>
    <s v=""/>
    <s v=""/>
    <m/>
    <s v=""/>
    <m/>
    <m/>
    <m/>
    <m/>
    <m/>
    <s v=""/>
    <s v=""/>
    <n v="0"/>
    <n v="0"/>
    <n v="98628.833333333328"/>
  </r>
  <r>
    <n v="373"/>
    <d v="2023-07-21T21:26:00"/>
    <s v="Suspicion"/>
    <s v="Snack Foods"/>
    <s v="North America"/>
    <n v="0"/>
    <x v="7"/>
    <s v="Poppers"/>
    <x v="3"/>
    <x v="9"/>
    <s v=""/>
    <s v="Finishing"/>
    <s v="‚ÄúSuspicion‚Äù - POI"/>
    <s v="PersonsofInterest_Suspicion_Finishing"/>
    <s v="Original"/>
    <n v="31800"/>
    <s v="firm-bid"/>
    <m/>
    <m/>
    <m/>
    <m/>
    <m/>
    <m/>
    <m/>
    <m/>
    <m/>
    <m/>
    <m/>
    <m/>
    <m/>
    <s v=""/>
    <m/>
    <s v=""/>
    <s v=""/>
    <m/>
    <s v=""/>
    <s v=""/>
    <m/>
    <m/>
    <m/>
    <m/>
    <m/>
    <s v=""/>
    <m/>
    <m/>
    <s v=""/>
    <s v=""/>
    <s v=""/>
    <m/>
    <s v=""/>
    <m/>
    <m/>
    <s v=""/>
    <s v=""/>
    <m/>
    <m/>
    <m/>
    <m/>
    <s v=""/>
    <m/>
    <m/>
    <s v=""/>
    <s v=""/>
    <m/>
    <s v=""/>
    <m/>
    <m/>
    <m/>
    <m/>
    <m/>
    <s v=""/>
    <s v=""/>
    <n v="0"/>
    <n v="0"/>
    <n v="38150"/>
  </r>
  <r>
    <n v="373"/>
    <d v="2023-07-21T21:26:00"/>
    <s v="Suspicion"/>
    <s v="Snack Foods"/>
    <s v="North America"/>
    <n v="0"/>
    <x v="7"/>
    <s v="Poppers"/>
    <x v="3"/>
    <x v="9"/>
    <s v=""/>
    <s v="Finishing"/>
    <s v="&quot;Suspicion&quot;"/>
    <s v="AndiamoImages_Suspicion_Finishing"/>
    <s v="Original"/>
    <n v="17250"/>
    <s v="firm-bid"/>
    <m/>
    <m/>
    <m/>
    <m/>
    <m/>
    <n v="1"/>
    <m/>
    <m/>
    <m/>
    <m/>
    <m/>
    <m/>
    <m/>
    <s v=""/>
    <m/>
    <s v=""/>
    <s v=""/>
    <m/>
    <s v=""/>
    <s v=""/>
    <m/>
    <m/>
    <m/>
    <m/>
    <m/>
    <s v=""/>
    <m/>
    <m/>
    <s v=""/>
    <s v=""/>
    <s v=""/>
    <m/>
    <s v=""/>
    <m/>
    <m/>
    <s v=""/>
    <s v=""/>
    <m/>
    <m/>
    <m/>
    <m/>
    <s v=""/>
    <m/>
    <m/>
    <s v=""/>
    <s v=""/>
    <m/>
    <s v=""/>
    <m/>
    <m/>
    <m/>
    <m/>
    <m/>
    <s v=""/>
    <s v=""/>
    <n v="0"/>
    <n v="0"/>
    <n v="38150"/>
  </r>
  <r>
    <n v="373"/>
    <d v="2023-07-21T21:26:00"/>
    <s v="Suspicion"/>
    <s v="Snack Foods"/>
    <s v="North America"/>
    <n v="1"/>
    <x v="7"/>
    <s v="Poppers"/>
    <x v="3"/>
    <x v="9"/>
    <s v="Evan Bander LLC"/>
    <s v="Finishing"/>
    <s v="EB &quot;Suspicion&quot;"/>
    <s v="EvanBanderLLC_Suspicion_Finishing"/>
    <s v="Original"/>
    <n v="65400"/>
    <s v="firm-bid"/>
    <n v="38150"/>
    <m/>
    <m/>
    <m/>
    <n v="1"/>
    <m/>
    <n v="1"/>
    <m/>
    <m/>
    <m/>
    <m/>
    <m/>
    <m/>
    <s v=""/>
    <m/>
    <s v=""/>
    <s v=""/>
    <m/>
    <s v=""/>
    <s v=""/>
    <m/>
    <m/>
    <m/>
    <m/>
    <m/>
    <s v=""/>
    <m/>
    <n v="65400"/>
    <s v=""/>
    <s v=""/>
    <s v=""/>
    <m/>
    <s v=""/>
    <m/>
    <m/>
    <s v=""/>
    <s v=""/>
    <m/>
    <m/>
    <m/>
    <m/>
    <s v=""/>
    <m/>
    <m/>
    <s v=""/>
    <s v=""/>
    <m/>
    <s v=""/>
    <m/>
    <m/>
    <m/>
    <m/>
    <m/>
    <s v=""/>
    <s v=""/>
    <n v="0"/>
    <n v="0"/>
    <n v="38150"/>
  </r>
  <r>
    <n v="373"/>
    <d v="2023-07-21T21:26:00"/>
    <s v="Suspicion"/>
    <s v="Snack Foods"/>
    <s v="North America"/>
    <n v="0"/>
    <x v="7"/>
    <s v="Poppers"/>
    <x v="3"/>
    <x v="9"/>
    <s v=""/>
    <s v="Editorial"/>
    <s v="Suspicion"/>
    <s v="Fightclub_Suspicion_Edit"/>
    <s v="Original"/>
    <n v="160661.6667"/>
    <s v="firm-bid"/>
    <m/>
    <m/>
    <m/>
    <m/>
    <n v="1"/>
    <m/>
    <m/>
    <m/>
    <m/>
    <m/>
    <m/>
    <m/>
    <m/>
    <s v=""/>
    <m/>
    <s v=""/>
    <s v=""/>
    <m/>
    <s v=""/>
    <s v=""/>
    <m/>
    <m/>
    <m/>
    <m/>
    <m/>
    <s v=""/>
    <m/>
    <m/>
    <s v=""/>
    <s v=""/>
    <s v=""/>
    <m/>
    <s v=""/>
    <m/>
    <m/>
    <s v=""/>
    <s v=""/>
    <m/>
    <m/>
    <m/>
    <m/>
    <s v=""/>
    <m/>
    <m/>
    <s v=""/>
    <s v=""/>
    <m/>
    <s v=""/>
    <m/>
    <m/>
    <m/>
    <m/>
    <m/>
    <s v=""/>
    <s v=""/>
    <n v="0"/>
    <n v="0"/>
    <n v="127133.82501"/>
  </r>
  <r>
    <n v="373"/>
    <d v="2023-07-21T21:26:00"/>
    <s v="Suspicion"/>
    <s v="Snack Foods"/>
    <s v="North America"/>
    <n v="0"/>
    <x v="7"/>
    <s v="Poppers"/>
    <x v="3"/>
    <x v="9"/>
    <s v=""/>
    <s v="Editorial"/>
    <s v="Suspicion"/>
    <s v="MyrtleRow_Suspicion_Edit"/>
    <s v="Original"/>
    <n v="124164.6"/>
    <s v="firm-bid"/>
    <m/>
    <m/>
    <m/>
    <m/>
    <m/>
    <m/>
    <n v="1"/>
    <m/>
    <m/>
    <m/>
    <m/>
    <m/>
    <m/>
    <s v=""/>
    <m/>
    <s v=""/>
    <s v=""/>
    <m/>
    <s v=""/>
    <s v=""/>
    <m/>
    <m/>
    <m/>
    <m/>
    <m/>
    <s v=""/>
    <m/>
    <m/>
    <s v=""/>
    <s v=""/>
    <s v=""/>
    <m/>
    <s v=""/>
    <m/>
    <m/>
    <s v=""/>
    <s v=""/>
    <m/>
    <m/>
    <m/>
    <m/>
    <s v=""/>
    <m/>
    <m/>
    <s v=""/>
    <s v=""/>
    <m/>
    <s v=""/>
    <m/>
    <m/>
    <m/>
    <m/>
    <m/>
    <s v=""/>
    <s v=""/>
    <n v="0"/>
    <n v="0"/>
    <n v="127133.82501"/>
  </r>
  <r>
    <n v="373"/>
    <d v="2023-07-21T21:26:00"/>
    <s v="Suspicion"/>
    <s v="Snack Foods"/>
    <s v="North America"/>
    <n v="1"/>
    <x v="7"/>
    <s v="Poppers"/>
    <x v="3"/>
    <x v="9"/>
    <s v="Toto"/>
    <s v="Editorial"/>
    <s v="Suspicion"/>
    <s v="ToTo_Suspicion_Edit"/>
    <s v="Original"/>
    <n v="96575.208329999994"/>
    <s v="firm-bid"/>
    <n v="127133.825"/>
    <m/>
    <m/>
    <m/>
    <m/>
    <m/>
    <m/>
    <m/>
    <m/>
    <m/>
    <m/>
    <m/>
    <m/>
    <s v=""/>
    <m/>
    <s v=""/>
    <s v=""/>
    <m/>
    <s v=""/>
    <s v=""/>
    <n v="15900"/>
    <n v="12300"/>
    <n v="32400"/>
    <n v="9850"/>
    <m/>
    <s v=""/>
    <m/>
    <m/>
    <s v=""/>
    <s v=""/>
    <s v=""/>
    <m/>
    <s v=""/>
    <m/>
    <m/>
    <s v=""/>
    <s v=""/>
    <m/>
    <m/>
    <m/>
    <m/>
    <s v=""/>
    <m/>
    <m/>
    <s v=""/>
    <s v=""/>
    <m/>
    <s v=""/>
    <m/>
    <m/>
    <m/>
    <m/>
    <m/>
    <s v=""/>
    <s v=""/>
    <n v="0"/>
    <n v="0"/>
    <n v="127133.82501"/>
  </r>
  <r>
    <n v="373"/>
    <d v="2023-07-21T21:26:00"/>
    <s v="Suspicion"/>
    <s v="Snack Foods"/>
    <s v="North America"/>
    <n v="0"/>
    <x v="7"/>
    <s v="Poppers"/>
    <x v="3"/>
    <x v="9"/>
    <s v=""/>
    <s v="Green Production Costs"/>
    <s v="Suspicion"/>
    <s v="Petulant_Suspicion_Green"/>
    <s v="Original"/>
    <n v="16380"/>
    <s v="firm-bid"/>
    <m/>
    <m/>
    <n v="1"/>
    <m/>
    <m/>
    <m/>
    <m/>
    <m/>
    <m/>
    <m/>
    <m/>
    <m/>
    <m/>
    <s v=""/>
    <m/>
    <s v=""/>
    <s v=""/>
    <m/>
    <s v=""/>
    <s v=""/>
    <m/>
    <m/>
    <m/>
    <m/>
    <m/>
    <s v=""/>
    <m/>
    <m/>
    <s v=""/>
    <s v=""/>
    <s v=""/>
    <m/>
    <s v=""/>
    <m/>
    <m/>
    <s v=""/>
    <s v=""/>
    <m/>
    <m/>
    <m/>
    <m/>
    <s v=""/>
    <m/>
    <m/>
    <s v=""/>
    <s v=""/>
    <m/>
    <s v=""/>
    <m/>
    <m/>
    <m/>
    <m/>
    <m/>
    <s v=""/>
    <s v=""/>
    <n v="0"/>
    <n v="0"/>
    <n v="12223"/>
  </r>
  <r>
    <n v="373"/>
    <d v="2023-07-21T21:26:00"/>
    <s v="Suspicion"/>
    <s v="Snack Foods"/>
    <s v="North America"/>
    <n v="1"/>
    <x v="7"/>
    <s v="Poppers"/>
    <x v="3"/>
    <x v="9"/>
    <s v="Level 12 Shooters Inc"/>
    <s v="Green Production Costs"/>
    <s v="Suspicion"/>
    <s v="Level12_Suspicion_Green"/>
    <s v="Original"/>
    <n v="9625"/>
    <s v="firm-bid"/>
    <n v="12223"/>
    <m/>
    <m/>
    <m/>
    <m/>
    <m/>
    <m/>
    <m/>
    <n v="0"/>
    <n v="0"/>
    <m/>
    <m/>
    <m/>
    <s v=""/>
    <m/>
    <s v=""/>
    <s v=""/>
    <n v="0"/>
    <s v=""/>
    <s v=""/>
    <n v="0"/>
    <m/>
    <n v="0"/>
    <m/>
    <n v="0"/>
    <s v=""/>
    <n v="0"/>
    <m/>
    <s v=""/>
    <s v=""/>
    <s v=""/>
    <n v="0"/>
    <s v=""/>
    <n v="7700"/>
    <m/>
    <s v=""/>
    <s v=""/>
    <n v="0"/>
    <n v="0"/>
    <m/>
    <m/>
    <s v=""/>
    <n v="0"/>
    <n v="0"/>
    <s v=""/>
    <s v=""/>
    <m/>
    <s v=""/>
    <m/>
    <m/>
    <n v="0"/>
    <n v="0"/>
    <n v="0"/>
    <s v=""/>
    <s v=""/>
    <n v="0"/>
    <n v="0"/>
    <n v="12223"/>
  </r>
  <r>
    <n v="373"/>
    <d v="2023-07-21T21:26:00"/>
    <s v="Suspicion"/>
    <s v="Snack Foods"/>
    <s v="North America"/>
    <n v="0"/>
    <x v="7"/>
    <s v="Poppers"/>
    <x v="3"/>
    <x v="9"/>
    <s v=""/>
    <s v="Green Production Costs"/>
    <s v="Suspicion"/>
    <s v="harmony_and_Light_Suspicion_Green"/>
    <s v="Original"/>
    <n v="10664"/>
    <s v="firm-bid"/>
    <m/>
    <m/>
    <m/>
    <m/>
    <m/>
    <m/>
    <m/>
    <m/>
    <m/>
    <m/>
    <m/>
    <m/>
    <m/>
    <s v=""/>
    <m/>
    <s v=""/>
    <s v=""/>
    <m/>
    <s v=""/>
    <s v=""/>
    <m/>
    <m/>
    <m/>
    <m/>
    <m/>
    <s v=""/>
    <m/>
    <m/>
    <s v=""/>
    <s v=""/>
    <s v=""/>
    <m/>
    <s v=""/>
    <m/>
    <m/>
    <s v=""/>
    <s v=""/>
    <m/>
    <m/>
    <m/>
    <m/>
    <s v=""/>
    <m/>
    <m/>
    <s v=""/>
    <s v=""/>
    <m/>
    <s v=""/>
    <m/>
    <m/>
    <m/>
    <m/>
    <m/>
    <s v=""/>
    <s v=""/>
    <n v="0"/>
    <n v="0"/>
    <n v="12223"/>
  </r>
  <r>
    <n v="373"/>
    <d v="2023-07-21T21:26:00"/>
    <s v="Suspicion"/>
    <s v="Snack Foods"/>
    <s v="North America"/>
    <n v="0"/>
    <x v="7"/>
    <s v="Poppers"/>
    <x v="3"/>
    <x v="9"/>
    <s v=""/>
    <s v="Sanitary Production Costs"/>
    <s v="Suspicion"/>
    <s v="Petulant_Suspicion_Covid"/>
    <s v="Original"/>
    <n v="12036.82"/>
    <s v="firm-bid"/>
    <m/>
    <m/>
    <n v="1"/>
    <m/>
    <m/>
    <m/>
    <m/>
    <m/>
    <m/>
    <m/>
    <m/>
    <m/>
    <m/>
    <s v=""/>
    <m/>
    <s v=""/>
    <s v=""/>
    <m/>
    <s v=""/>
    <s v=""/>
    <m/>
    <m/>
    <m/>
    <m/>
    <m/>
    <s v=""/>
    <m/>
    <m/>
    <s v=""/>
    <s v=""/>
    <s v=""/>
    <m/>
    <s v=""/>
    <m/>
    <m/>
    <s v=""/>
    <s v=""/>
    <m/>
    <m/>
    <m/>
    <m/>
    <s v=""/>
    <m/>
    <m/>
    <s v=""/>
    <s v=""/>
    <m/>
    <s v=""/>
    <m/>
    <m/>
    <m/>
    <m/>
    <m/>
    <s v=""/>
    <s v=""/>
    <n v="0"/>
    <n v="0"/>
    <n v="11025.874166666666"/>
  </r>
  <r>
    <n v="373"/>
    <d v="2023-07-21T21:26:00"/>
    <s v="Suspicion"/>
    <s v="Snack Foods"/>
    <s v="North America"/>
    <n v="1"/>
    <x v="7"/>
    <s v="Poppers"/>
    <x v="3"/>
    <x v="9"/>
    <s v="Level 12 Shooters Inc"/>
    <s v="Sanitary Production Costs"/>
    <s v="Suspicion"/>
    <s v="Level12_Suspicion_Covid"/>
    <s v="Original"/>
    <n v="11824.127500000001"/>
    <s v="firm-bid"/>
    <n v="11025.874169999999"/>
    <m/>
    <m/>
    <m/>
    <m/>
    <m/>
    <m/>
    <m/>
    <m/>
    <m/>
    <m/>
    <m/>
    <m/>
    <s v=""/>
    <n v="5400"/>
    <s v=""/>
    <s v=""/>
    <m/>
    <s v=""/>
    <s v=""/>
    <m/>
    <m/>
    <m/>
    <m/>
    <m/>
    <s v=""/>
    <m/>
    <m/>
    <s v=""/>
    <s v=""/>
    <s v=""/>
    <m/>
    <s v=""/>
    <m/>
    <m/>
    <s v=""/>
    <s v=""/>
    <m/>
    <m/>
    <n v="2105"/>
    <m/>
    <s v=""/>
    <m/>
    <m/>
    <s v=""/>
    <s v=""/>
    <m/>
    <s v=""/>
    <m/>
    <m/>
    <m/>
    <m/>
    <m/>
    <s v=""/>
    <s v=""/>
    <n v="0"/>
    <n v="0"/>
    <n v="11025.874166666666"/>
  </r>
  <r>
    <n v="373"/>
    <d v="2023-07-21T21:26:00"/>
    <s v="Suspicion"/>
    <s v="Snack Foods"/>
    <s v="North America"/>
    <n v="0"/>
    <x v="7"/>
    <s v="Poppers"/>
    <x v="3"/>
    <x v="9"/>
    <s v=""/>
    <s v="Sanitary Production Costs"/>
    <s v="Suspicion"/>
    <s v="harmony_and_Light_Suspicion_Covid"/>
    <s v="Original"/>
    <n v="9216.6749999999993"/>
    <s v="firm-bid"/>
    <m/>
    <m/>
    <m/>
    <m/>
    <m/>
    <m/>
    <m/>
    <m/>
    <m/>
    <m/>
    <m/>
    <m/>
    <m/>
    <s v=""/>
    <m/>
    <s v=""/>
    <s v=""/>
    <m/>
    <s v=""/>
    <s v=""/>
    <m/>
    <m/>
    <m/>
    <m/>
    <m/>
    <s v=""/>
    <m/>
    <m/>
    <s v=""/>
    <s v=""/>
    <s v=""/>
    <m/>
    <s v=""/>
    <m/>
    <m/>
    <s v=""/>
    <s v=""/>
    <m/>
    <m/>
    <m/>
    <m/>
    <s v=""/>
    <m/>
    <m/>
    <s v=""/>
    <s v=""/>
    <m/>
    <s v=""/>
    <m/>
    <m/>
    <m/>
    <m/>
    <m/>
    <s v=""/>
    <s v=""/>
    <n v="0"/>
    <n v="0"/>
    <n v="11025.874166666666"/>
  </r>
  <r>
    <n v="373"/>
    <d v="2023-07-21T21:26:00"/>
    <s v="Suspicion"/>
    <s v="Snack Foods"/>
    <s v="North America"/>
    <n v="0"/>
    <x v="7"/>
    <s v="Poppers"/>
    <x v="3"/>
    <x v="9"/>
    <s v=""/>
    <s v="Film &amp; Video Production"/>
    <s v="Suspicion"/>
    <s v="Petulant_Suspicion_LiveAction"/>
    <s v="Original"/>
    <n v="727670.19180000003"/>
    <s v="firm-bid"/>
    <m/>
    <m/>
    <n v="1"/>
    <m/>
    <m/>
    <m/>
    <m/>
    <m/>
    <m/>
    <m/>
    <m/>
    <m/>
    <m/>
    <s v=""/>
    <m/>
    <s v=""/>
    <s v=""/>
    <m/>
    <s v=""/>
    <s v=""/>
    <m/>
    <m/>
    <m/>
    <m/>
    <m/>
    <s v=""/>
    <m/>
    <m/>
    <s v=""/>
    <s v=""/>
    <s v=""/>
    <m/>
    <s v=""/>
    <m/>
    <m/>
    <s v=""/>
    <s v=""/>
    <m/>
    <m/>
    <m/>
    <m/>
    <s v=""/>
    <m/>
    <m/>
    <s v=""/>
    <s v=""/>
    <m/>
    <s v=""/>
    <m/>
    <m/>
    <m/>
    <m/>
    <m/>
    <s v=""/>
    <s v=""/>
    <n v="0"/>
    <n v="0"/>
    <n v="723920.4031"/>
  </r>
  <r>
    <n v="373"/>
    <d v="2023-07-21T21:26:00"/>
    <s v="Suspicion"/>
    <s v="Snack Foods"/>
    <s v="North America"/>
    <n v="1"/>
    <x v="7"/>
    <s v="Poppers"/>
    <x v="3"/>
    <x v="9"/>
    <s v="Level 12 Shooters Inc"/>
    <s v="Film &amp; Video Production"/>
    <s v="Suspicion"/>
    <s v="Level12_Suspicion_LiveAction"/>
    <s v="Original"/>
    <n v="798377.58"/>
    <s v="firm-bid"/>
    <n v="723920.4031"/>
    <m/>
    <m/>
    <m/>
    <m/>
    <m/>
    <m/>
    <m/>
    <n v="8008"/>
    <n v="34750"/>
    <m/>
    <m/>
    <m/>
    <s v=""/>
    <m/>
    <s v=""/>
    <s v=""/>
    <n v="125000"/>
    <s v=""/>
    <s v=""/>
    <n v="0"/>
    <m/>
    <n v="0"/>
    <m/>
    <n v="71300"/>
    <s v=""/>
    <n v="3000"/>
    <m/>
    <s v=""/>
    <s v=""/>
    <s v=""/>
    <n v="30869"/>
    <s v=""/>
    <n v="23000"/>
    <m/>
    <s v=""/>
    <s v=""/>
    <n v="10400"/>
    <n v="154511.5"/>
    <m/>
    <m/>
    <s v=""/>
    <n v="21600"/>
    <n v="120334.5"/>
    <s v=""/>
    <s v=""/>
    <m/>
    <s v=""/>
    <m/>
    <m/>
    <n v="30860"/>
    <n v="0"/>
    <n v="0"/>
    <s v=""/>
    <s v=""/>
    <n v="0"/>
    <n v="0"/>
    <n v="723920.4031"/>
  </r>
  <r>
    <n v="373"/>
    <d v="2023-07-21T21:26:00"/>
    <s v="Suspicion"/>
    <s v="Snack Foods"/>
    <s v="North America"/>
    <n v="0"/>
    <x v="7"/>
    <s v="Poppers"/>
    <x v="3"/>
    <x v="9"/>
    <s v=""/>
    <s v="Film &amp; Video Production"/>
    <s v="Suspicion"/>
    <s v="harmony_and_Light_Suspicion_LiveAction"/>
    <s v="Original"/>
    <n v="645713.4375"/>
    <s v="firm-bid"/>
    <m/>
    <m/>
    <m/>
    <m/>
    <m/>
    <m/>
    <m/>
    <m/>
    <m/>
    <m/>
    <m/>
    <m/>
    <m/>
    <s v=""/>
    <m/>
    <s v=""/>
    <s v=""/>
    <m/>
    <s v=""/>
    <s v=""/>
    <m/>
    <m/>
    <m/>
    <m/>
    <m/>
    <s v=""/>
    <m/>
    <m/>
    <s v=""/>
    <s v=""/>
    <s v=""/>
    <m/>
    <s v=""/>
    <m/>
    <m/>
    <s v=""/>
    <s v=""/>
    <m/>
    <m/>
    <m/>
    <m/>
    <s v=""/>
    <m/>
    <m/>
    <s v=""/>
    <s v=""/>
    <m/>
    <s v=""/>
    <m/>
    <m/>
    <m/>
    <m/>
    <m/>
    <s v=""/>
    <s v=""/>
    <n v="0"/>
    <n v="0"/>
    <n v="723920.4031"/>
  </r>
  <r>
    <n v="375"/>
    <d v="2023-07-21T21:27:00"/>
    <s v="You Suck!"/>
    <s v="Snack Foods"/>
    <s v="North America"/>
    <n v="0"/>
    <x v="7"/>
    <s v="Sour Giggles"/>
    <x v="3"/>
    <x v="10"/>
    <s v=""/>
    <s v="Audio Post"/>
    <s v="FunnyRabbit"/>
    <s v="FunnyRabbit"/>
    <s v="Original"/>
    <n v="44140"/>
    <s v="firm-bid"/>
    <m/>
    <m/>
    <n v="1"/>
    <n v="1"/>
    <n v="1"/>
    <n v="1"/>
    <m/>
    <m/>
    <m/>
    <m/>
    <m/>
    <m/>
    <m/>
    <s v=""/>
    <m/>
    <s v=""/>
    <s v=""/>
    <m/>
    <s v=""/>
    <s v=""/>
    <m/>
    <m/>
    <m/>
    <m/>
    <m/>
    <s v=""/>
    <m/>
    <m/>
    <s v=""/>
    <s v=""/>
    <s v=""/>
    <m/>
    <s v=""/>
    <m/>
    <m/>
    <s v=""/>
    <s v=""/>
    <m/>
    <m/>
    <m/>
    <m/>
    <s v=""/>
    <m/>
    <m/>
    <s v=""/>
    <s v=""/>
    <m/>
    <s v=""/>
    <m/>
    <m/>
    <m/>
    <m/>
    <m/>
    <s v=""/>
    <s v=""/>
    <n v="0"/>
    <n v="0"/>
    <n v="33080"/>
  </r>
  <r>
    <n v="375"/>
    <d v="2023-07-21T21:27:00"/>
    <s v="You Suck!"/>
    <s v="Snack Foods"/>
    <s v="North America"/>
    <n v="1"/>
    <x v="7"/>
    <s v="Sour Giggles"/>
    <x v="3"/>
    <x v="10"/>
    <s v="Arsonist Post"/>
    <s v="Audio Post"/>
    <s v="Arsonist&quot;You Suck!&quot;"/>
    <s v="Arsonist"/>
    <s v="Original"/>
    <n v="36360"/>
    <s v="firm-bid"/>
    <n v="33080"/>
    <m/>
    <m/>
    <m/>
    <m/>
    <m/>
    <m/>
    <m/>
    <m/>
    <m/>
    <n v="36360"/>
    <m/>
    <m/>
    <s v=""/>
    <m/>
    <s v=""/>
    <s v=""/>
    <m/>
    <s v=""/>
    <s v=""/>
    <m/>
    <m/>
    <m/>
    <m/>
    <m/>
    <s v=""/>
    <m/>
    <m/>
    <s v=""/>
    <s v=""/>
    <s v=""/>
    <m/>
    <s v=""/>
    <m/>
    <m/>
    <s v=""/>
    <s v=""/>
    <m/>
    <m/>
    <m/>
    <m/>
    <s v=""/>
    <m/>
    <m/>
    <s v=""/>
    <s v=""/>
    <m/>
    <s v=""/>
    <m/>
    <m/>
    <m/>
    <m/>
    <m/>
    <s v=""/>
    <s v=""/>
    <n v="0"/>
    <n v="0"/>
    <n v="33080"/>
  </r>
  <r>
    <n v="375"/>
    <d v="2023-07-21T21:27:00"/>
    <s v="You Suck!"/>
    <s v="Snack Foods"/>
    <s v="North America"/>
    <n v="0"/>
    <x v="7"/>
    <s v="Sour Giggles"/>
    <x v="3"/>
    <x v="10"/>
    <s v=""/>
    <s v="Audio Post"/>
    <s v="Special Oaks&quot;You Suck!&quot;"/>
    <s v="Special Oaks"/>
    <s v="Original"/>
    <n v="18740"/>
    <s v="firm-bid"/>
    <m/>
    <n v="1"/>
    <n v="1"/>
    <m/>
    <n v="1"/>
    <m/>
    <m/>
    <m/>
    <m/>
    <m/>
    <m/>
    <m/>
    <m/>
    <s v=""/>
    <m/>
    <s v=""/>
    <s v=""/>
    <m/>
    <s v=""/>
    <s v=""/>
    <m/>
    <m/>
    <m/>
    <m/>
    <m/>
    <s v=""/>
    <m/>
    <m/>
    <s v=""/>
    <s v=""/>
    <s v=""/>
    <m/>
    <s v=""/>
    <m/>
    <m/>
    <s v=""/>
    <s v=""/>
    <m/>
    <m/>
    <m/>
    <m/>
    <s v=""/>
    <m/>
    <m/>
    <s v=""/>
    <s v=""/>
    <m/>
    <s v=""/>
    <m/>
    <m/>
    <m/>
    <m/>
    <m/>
    <s v=""/>
    <s v=""/>
    <n v="18740"/>
    <n v="0"/>
    <n v="33080"/>
  </r>
  <r>
    <n v="375"/>
    <d v="2023-07-21T21:27:00"/>
    <s v="You Suck!"/>
    <s v="Snack Foods"/>
    <s v="North America"/>
    <n v="0"/>
    <x v="7"/>
    <s v="Sour Giggles"/>
    <x v="3"/>
    <x v="10"/>
    <s v=""/>
    <s v="Film &amp; Video Production"/>
    <s v="You Suck!"/>
    <s v="TestFlight_YouSuck_LiveAction"/>
    <s v="Original"/>
    <n v="923882.24"/>
    <s v="firm-bid"/>
    <m/>
    <m/>
    <n v="1"/>
    <m/>
    <m/>
    <m/>
    <n v="1"/>
    <m/>
    <m/>
    <m/>
    <m/>
    <m/>
    <m/>
    <s v=""/>
    <m/>
    <s v=""/>
    <s v=""/>
    <m/>
    <s v=""/>
    <s v=""/>
    <m/>
    <m/>
    <m/>
    <m/>
    <m/>
    <s v=""/>
    <m/>
    <m/>
    <s v=""/>
    <s v=""/>
    <s v=""/>
    <m/>
    <s v=""/>
    <m/>
    <m/>
    <s v=""/>
    <s v=""/>
    <m/>
    <m/>
    <m/>
    <m/>
    <s v=""/>
    <m/>
    <m/>
    <s v=""/>
    <s v=""/>
    <m/>
    <s v=""/>
    <m/>
    <m/>
    <m/>
    <m/>
    <m/>
    <s v=""/>
    <s v=""/>
    <n v="0"/>
    <n v="0"/>
    <n v="884250.9711666666"/>
  </r>
  <r>
    <n v="375"/>
    <d v="2023-07-21T21:27:00"/>
    <s v="You Suck!"/>
    <s v="Snack Foods"/>
    <s v="North America"/>
    <n v="1"/>
    <x v="7"/>
    <s v="Sour Giggles"/>
    <x v="3"/>
    <x v="10"/>
    <s v="Level 12 Shooters Inc"/>
    <s v="Film &amp; Video Production"/>
    <s v="You Suck!"/>
    <s v="Level12_YouSuck_LiveAction"/>
    <s v="Original"/>
    <n v="955820.34"/>
    <s v="firm-bid"/>
    <n v="884250.97120000003"/>
    <m/>
    <m/>
    <m/>
    <m/>
    <m/>
    <m/>
    <m/>
    <n v="18018"/>
    <n v="72500"/>
    <m/>
    <m/>
    <m/>
    <s v=""/>
    <m/>
    <s v=""/>
    <s v=""/>
    <n v="125000"/>
    <s v=""/>
    <s v=""/>
    <n v="0"/>
    <m/>
    <n v="0"/>
    <m/>
    <n v="59500"/>
    <s v=""/>
    <n v="2400"/>
    <m/>
    <s v=""/>
    <s v=""/>
    <s v=""/>
    <n v="33475"/>
    <s v=""/>
    <n v="11500"/>
    <m/>
    <s v=""/>
    <s v=""/>
    <n v="19900"/>
    <n v="131810.25"/>
    <m/>
    <m/>
    <s v=""/>
    <n v="16200"/>
    <n v="190082.75"/>
    <s v=""/>
    <s v=""/>
    <m/>
    <s v=""/>
    <m/>
    <m/>
    <n v="60560"/>
    <n v="0"/>
    <n v="0"/>
    <s v=""/>
    <s v=""/>
    <n v="0"/>
    <n v="0"/>
    <n v="884250.9711666666"/>
  </r>
  <r>
    <n v="375"/>
    <d v="2023-07-21T21:27:00"/>
    <s v="You Suck!"/>
    <s v="Snack Foods"/>
    <s v="North America"/>
    <n v="0"/>
    <x v="7"/>
    <s v="Sour Giggles"/>
    <x v="3"/>
    <x v="10"/>
    <s v=""/>
    <s v="Film &amp; Video Production"/>
    <s v="You Suck!"/>
    <s v="Club101_YouSuck_LiveAction"/>
    <s v="Original"/>
    <n v="773050.33349999995"/>
    <s v="firm-bid"/>
    <m/>
    <m/>
    <m/>
    <m/>
    <m/>
    <m/>
    <m/>
    <m/>
    <m/>
    <m/>
    <m/>
    <m/>
    <m/>
    <s v=""/>
    <m/>
    <s v=""/>
    <s v=""/>
    <m/>
    <s v=""/>
    <s v=""/>
    <m/>
    <m/>
    <m/>
    <m/>
    <m/>
    <s v=""/>
    <m/>
    <m/>
    <s v=""/>
    <s v=""/>
    <s v=""/>
    <m/>
    <s v=""/>
    <m/>
    <m/>
    <s v=""/>
    <s v=""/>
    <m/>
    <m/>
    <m/>
    <m/>
    <s v=""/>
    <m/>
    <m/>
    <s v=""/>
    <s v=""/>
    <m/>
    <s v=""/>
    <m/>
    <m/>
    <m/>
    <m/>
    <m/>
    <s v=""/>
    <s v=""/>
    <n v="0"/>
    <n v="0"/>
    <n v="884250.9711666666"/>
  </r>
  <r>
    <n v="375"/>
    <d v="2023-07-21T21:27:00"/>
    <s v="You Suck!"/>
    <s v="Snack Foods"/>
    <s v="North America"/>
    <n v="0"/>
    <x v="7"/>
    <s v="Sour Giggles"/>
    <x v="3"/>
    <x v="10"/>
    <s v=""/>
    <s v="Sanitary Production Costs"/>
    <s v="You Suck!"/>
    <s v="TestFlight_YouSuck_Covid"/>
    <s v="Original"/>
    <n v="8578.5974999999999"/>
    <s v="firm-bid"/>
    <m/>
    <m/>
    <n v="1"/>
    <m/>
    <m/>
    <m/>
    <n v="1"/>
    <m/>
    <m/>
    <m/>
    <m/>
    <m/>
    <m/>
    <s v=""/>
    <m/>
    <s v=""/>
    <s v=""/>
    <m/>
    <s v=""/>
    <s v=""/>
    <m/>
    <m/>
    <m/>
    <m/>
    <m/>
    <s v=""/>
    <m/>
    <m/>
    <s v=""/>
    <s v=""/>
    <s v=""/>
    <m/>
    <s v=""/>
    <m/>
    <m/>
    <s v=""/>
    <s v=""/>
    <m/>
    <m/>
    <m/>
    <m/>
    <s v=""/>
    <m/>
    <m/>
    <s v=""/>
    <s v=""/>
    <m/>
    <s v=""/>
    <m/>
    <m/>
    <m/>
    <m/>
    <m/>
    <s v=""/>
    <s v=""/>
    <n v="0"/>
    <n v="0"/>
    <n v="6467.4274999999998"/>
  </r>
  <r>
    <n v="375"/>
    <d v="2023-07-21T21:27:00"/>
    <s v="You Suck!"/>
    <s v="Snack Foods"/>
    <s v="North America"/>
    <n v="1"/>
    <x v="7"/>
    <s v="Sour Giggles"/>
    <x v="3"/>
    <x v="10"/>
    <s v="Level 12 Shooters Inc"/>
    <s v="Sanitary Production Costs"/>
    <s v="You Suck!"/>
    <s v="Level12_YouSuck_Covid"/>
    <s v="Original"/>
    <n v="8255.6200000000008"/>
    <s v="firm-bid"/>
    <n v="6467.4274999999998"/>
    <m/>
    <m/>
    <m/>
    <m/>
    <m/>
    <m/>
    <m/>
    <m/>
    <m/>
    <m/>
    <m/>
    <m/>
    <s v=""/>
    <n v="3550"/>
    <s v=""/>
    <s v=""/>
    <m/>
    <s v=""/>
    <s v=""/>
    <m/>
    <m/>
    <m/>
    <m/>
    <m/>
    <s v=""/>
    <m/>
    <m/>
    <s v=""/>
    <s v=""/>
    <s v=""/>
    <m/>
    <s v=""/>
    <m/>
    <m/>
    <s v=""/>
    <s v=""/>
    <m/>
    <m/>
    <n v="1690"/>
    <m/>
    <s v=""/>
    <m/>
    <m/>
    <s v=""/>
    <s v=""/>
    <m/>
    <s v=""/>
    <m/>
    <m/>
    <m/>
    <m/>
    <m/>
    <s v=""/>
    <s v=""/>
    <n v="0"/>
    <n v="0"/>
    <n v="6467.4274999999998"/>
  </r>
  <r>
    <n v="375"/>
    <d v="2023-07-21T21:27:00"/>
    <s v="You Suck!"/>
    <s v="Snack Foods"/>
    <s v="North America"/>
    <n v="0"/>
    <x v="7"/>
    <s v="Sour Giggles"/>
    <x v="3"/>
    <x v="10"/>
    <s v=""/>
    <s v="Sanitary Production Costs"/>
    <s v="You Suck!"/>
    <s v="Club101_YouSuck_Covid"/>
    <s v="Original"/>
    <n v="2568.0650000000001"/>
    <s v="firm-bid"/>
    <m/>
    <m/>
    <m/>
    <m/>
    <m/>
    <m/>
    <m/>
    <m/>
    <m/>
    <m/>
    <m/>
    <m/>
    <m/>
    <s v=""/>
    <m/>
    <s v=""/>
    <s v=""/>
    <m/>
    <s v=""/>
    <s v=""/>
    <m/>
    <m/>
    <m/>
    <m/>
    <m/>
    <s v=""/>
    <m/>
    <m/>
    <s v=""/>
    <s v=""/>
    <s v=""/>
    <m/>
    <s v=""/>
    <m/>
    <m/>
    <s v=""/>
    <s v=""/>
    <m/>
    <m/>
    <m/>
    <m/>
    <s v=""/>
    <m/>
    <m/>
    <s v=""/>
    <s v=""/>
    <m/>
    <s v=""/>
    <m/>
    <m/>
    <m/>
    <m/>
    <m/>
    <s v=""/>
    <s v=""/>
    <n v="0"/>
    <n v="0"/>
    <n v="6467.4274999999998"/>
  </r>
  <r>
    <n v="375"/>
    <d v="2023-07-21T21:27:00"/>
    <s v="You Suck!"/>
    <s v="Snack Foods"/>
    <s v="North America"/>
    <n v="0"/>
    <x v="7"/>
    <s v="Sour Giggles"/>
    <x v="3"/>
    <x v="10"/>
    <s v=""/>
    <s v="Green Production Costs"/>
    <s v="You Suck!"/>
    <s v="TestFlight_YouSuck_Green"/>
    <s v="Original"/>
    <n v="9198"/>
    <s v="firm-bid"/>
    <m/>
    <m/>
    <n v="1"/>
    <m/>
    <m/>
    <m/>
    <n v="1"/>
    <m/>
    <m/>
    <m/>
    <m/>
    <m/>
    <m/>
    <s v=""/>
    <m/>
    <s v=""/>
    <s v=""/>
    <m/>
    <s v=""/>
    <s v=""/>
    <m/>
    <m/>
    <m/>
    <m/>
    <m/>
    <s v=""/>
    <m/>
    <m/>
    <s v=""/>
    <s v=""/>
    <s v=""/>
    <m/>
    <s v=""/>
    <m/>
    <m/>
    <s v=""/>
    <s v=""/>
    <m/>
    <m/>
    <m/>
    <m/>
    <s v=""/>
    <m/>
    <m/>
    <s v=""/>
    <s v=""/>
    <m/>
    <s v=""/>
    <m/>
    <m/>
    <m/>
    <m/>
    <m/>
    <s v=""/>
    <s v=""/>
    <n v="0"/>
    <n v="0"/>
    <n v="9930"/>
  </r>
  <r>
    <n v="375"/>
    <d v="2023-07-21T21:27:00"/>
    <s v="You Suck!"/>
    <s v="Snack Foods"/>
    <s v="North America"/>
    <n v="1"/>
    <x v="7"/>
    <s v="Sour Giggles"/>
    <x v="3"/>
    <x v="10"/>
    <s v="Level 12 Shooters Inc"/>
    <s v="Green Production Costs"/>
    <s v="You Suck!"/>
    <s v="Level12_YouSuck_Green"/>
    <s v="Original"/>
    <n v="11592"/>
    <s v="firm-bid"/>
    <n v="9930"/>
    <m/>
    <m/>
    <m/>
    <m/>
    <m/>
    <m/>
    <m/>
    <n v="0"/>
    <n v="0"/>
    <m/>
    <m/>
    <m/>
    <s v=""/>
    <m/>
    <s v=""/>
    <s v=""/>
    <n v="0"/>
    <s v=""/>
    <s v=""/>
    <n v="0"/>
    <m/>
    <n v="0"/>
    <m/>
    <n v="0"/>
    <s v=""/>
    <n v="0"/>
    <m/>
    <s v=""/>
    <s v=""/>
    <s v=""/>
    <n v="0"/>
    <s v=""/>
    <n v="9200"/>
    <m/>
    <s v=""/>
    <s v=""/>
    <n v="0"/>
    <n v="0"/>
    <m/>
    <m/>
    <s v=""/>
    <n v="0"/>
    <n v="0"/>
    <s v=""/>
    <s v=""/>
    <m/>
    <s v=""/>
    <m/>
    <m/>
    <n v="0"/>
    <n v="0"/>
    <n v="0"/>
    <s v=""/>
    <s v=""/>
    <n v="0"/>
    <n v="0"/>
    <n v="9930"/>
  </r>
  <r>
    <n v="375"/>
    <d v="2023-07-21T21:27:00"/>
    <s v="You Suck!"/>
    <s v="Snack Foods"/>
    <s v="North America"/>
    <n v="0"/>
    <x v="7"/>
    <s v="Sour Giggles"/>
    <x v="3"/>
    <x v="10"/>
    <s v=""/>
    <s v="Green Production Costs"/>
    <s v="You Suck!"/>
    <s v="Club101_YouSuck_Green"/>
    <s v="Original"/>
    <n v="9000"/>
    <s v="firm-bid"/>
    <m/>
    <m/>
    <m/>
    <m/>
    <m/>
    <m/>
    <m/>
    <m/>
    <m/>
    <m/>
    <m/>
    <m/>
    <m/>
    <s v=""/>
    <m/>
    <s v=""/>
    <s v=""/>
    <m/>
    <s v=""/>
    <s v=""/>
    <m/>
    <m/>
    <m/>
    <m/>
    <m/>
    <s v=""/>
    <m/>
    <m/>
    <s v=""/>
    <s v=""/>
    <s v=""/>
    <m/>
    <s v=""/>
    <m/>
    <m/>
    <s v=""/>
    <s v=""/>
    <m/>
    <m/>
    <m/>
    <m/>
    <s v=""/>
    <m/>
    <m/>
    <s v=""/>
    <s v=""/>
    <m/>
    <s v=""/>
    <m/>
    <m/>
    <m/>
    <m/>
    <m/>
    <s v=""/>
    <s v=""/>
    <n v="0"/>
    <n v="0"/>
    <n v="9930"/>
  </r>
  <r>
    <n v="375"/>
    <d v="2023-07-21T21:27:00"/>
    <s v="You Suck!"/>
    <s v="Snack Foods"/>
    <s v="North America"/>
    <n v="1"/>
    <x v="7"/>
    <s v="Sour Giggles"/>
    <x v="3"/>
    <x v="10"/>
    <s v="Toto"/>
    <s v="Editorial"/>
    <s v="You Suck"/>
    <s v="ToTo_YouSuck_Edit"/>
    <s v="Original"/>
    <n v="120548.3417"/>
    <s v="firm-bid"/>
    <n v="135828.56390000001"/>
    <m/>
    <m/>
    <m/>
    <n v="1"/>
    <m/>
    <m/>
    <m/>
    <m/>
    <m/>
    <m/>
    <m/>
    <m/>
    <s v=""/>
    <m/>
    <s v=""/>
    <s v=""/>
    <m/>
    <s v=""/>
    <s v=""/>
    <n v="14300"/>
    <n v="34400"/>
    <n v="33900"/>
    <n v="5338"/>
    <m/>
    <s v=""/>
    <m/>
    <m/>
    <s v=""/>
    <s v=""/>
    <s v=""/>
    <m/>
    <s v=""/>
    <m/>
    <m/>
    <s v=""/>
    <s v=""/>
    <m/>
    <m/>
    <m/>
    <m/>
    <s v=""/>
    <m/>
    <m/>
    <s v=""/>
    <s v=""/>
    <m/>
    <s v=""/>
    <m/>
    <m/>
    <m/>
    <m/>
    <m/>
    <s v=""/>
    <s v=""/>
    <n v="0"/>
    <n v="0"/>
    <n v="135828.56390000001"/>
  </r>
  <r>
    <n v="375"/>
    <d v="2023-07-21T21:27:00"/>
    <s v="You Suck!"/>
    <s v="Snack Foods"/>
    <s v="North America"/>
    <n v="0"/>
    <x v="7"/>
    <s v="Sour Giggles"/>
    <x v="3"/>
    <x v="10"/>
    <s v=""/>
    <s v="Editorial"/>
    <s v="You Suck!"/>
    <s v="TheCloset_YouSuck_Edit"/>
    <s v="Original"/>
    <n v="124425.0583"/>
    <s v="firm-bid"/>
    <m/>
    <m/>
    <m/>
    <m/>
    <m/>
    <n v="1"/>
    <n v="1"/>
    <m/>
    <m/>
    <m/>
    <m/>
    <m/>
    <m/>
    <s v=""/>
    <m/>
    <s v=""/>
    <s v=""/>
    <m/>
    <s v=""/>
    <s v=""/>
    <m/>
    <m/>
    <m/>
    <m/>
    <m/>
    <s v=""/>
    <m/>
    <m/>
    <s v=""/>
    <s v=""/>
    <s v=""/>
    <m/>
    <s v=""/>
    <m/>
    <m/>
    <s v=""/>
    <s v=""/>
    <m/>
    <m/>
    <m/>
    <m/>
    <s v=""/>
    <m/>
    <m/>
    <s v=""/>
    <s v=""/>
    <m/>
    <s v=""/>
    <m/>
    <m/>
    <m/>
    <m/>
    <m/>
    <s v=""/>
    <s v=""/>
    <n v="0"/>
    <n v="0"/>
    <n v="135828.56390000001"/>
  </r>
  <r>
    <n v="375"/>
    <d v="2023-07-21T21:27:00"/>
    <s v="You Suck!"/>
    <s v="Snack Foods"/>
    <s v="North America"/>
    <n v="0"/>
    <x v="7"/>
    <s v="Sour Giggles"/>
    <x v="3"/>
    <x v="10"/>
    <s v=""/>
    <s v="Editorial"/>
    <s v="Sour Giggles / You Suck sse"/>
    <s v="SaksStreetEdit_YouSuck_Edit"/>
    <s v="Original"/>
    <n v="162512.2917"/>
    <s v="firm-bid"/>
    <m/>
    <m/>
    <m/>
    <m/>
    <m/>
    <m/>
    <n v="1"/>
    <m/>
    <m/>
    <m/>
    <m/>
    <m/>
    <m/>
    <s v=""/>
    <m/>
    <s v=""/>
    <s v=""/>
    <m/>
    <s v=""/>
    <s v=""/>
    <m/>
    <m/>
    <m/>
    <m/>
    <m/>
    <s v=""/>
    <m/>
    <m/>
    <s v=""/>
    <s v=""/>
    <s v=""/>
    <m/>
    <s v=""/>
    <m/>
    <m/>
    <s v=""/>
    <s v=""/>
    <m/>
    <m/>
    <m/>
    <m/>
    <s v=""/>
    <m/>
    <m/>
    <s v=""/>
    <s v=""/>
    <m/>
    <s v=""/>
    <m/>
    <m/>
    <m/>
    <m/>
    <m/>
    <s v=""/>
    <s v=""/>
    <n v="0"/>
    <n v="0"/>
    <n v="135828.56390000001"/>
  </r>
  <r>
    <n v="375"/>
    <d v="2023-07-21T21:27:00"/>
    <s v="You Suck!"/>
    <s v="Snack Foods"/>
    <s v="North America"/>
    <n v="1"/>
    <x v="7"/>
    <s v="Sour Giggles"/>
    <x v="3"/>
    <x v="10"/>
    <s v="Andiamo Images"/>
    <s v="Finishing"/>
    <s v="&quot;YS&quot;"/>
    <s v="AndiamoImages_YouSuck_Finishing"/>
    <s v="Original"/>
    <n v="22550"/>
    <s v="firm-bid"/>
    <n v="21600"/>
    <m/>
    <m/>
    <m/>
    <m/>
    <n v="1"/>
    <m/>
    <m/>
    <m/>
    <m/>
    <m/>
    <m/>
    <m/>
    <s v=""/>
    <m/>
    <s v=""/>
    <s v=""/>
    <m/>
    <s v=""/>
    <s v=""/>
    <m/>
    <m/>
    <m/>
    <m/>
    <m/>
    <s v=""/>
    <m/>
    <n v="22550"/>
    <s v=""/>
    <s v=""/>
    <s v=""/>
    <m/>
    <s v=""/>
    <m/>
    <m/>
    <s v=""/>
    <s v=""/>
    <m/>
    <m/>
    <m/>
    <m/>
    <s v=""/>
    <m/>
    <m/>
    <s v=""/>
    <s v=""/>
    <m/>
    <s v=""/>
    <m/>
    <m/>
    <m/>
    <m/>
    <m/>
    <s v=""/>
    <s v=""/>
    <n v="0"/>
    <n v="0"/>
    <n v="21600"/>
  </r>
  <r>
    <n v="375"/>
    <d v="2023-07-21T21:27:00"/>
    <s v="You Suck!"/>
    <s v="Snack Foods"/>
    <s v="North America"/>
    <n v="0"/>
    <x v="7"/>
    <s v="Sour Giggles"/>
    <x v="3"/>
    <x v="10"/>
    <s v=""/>
    <s v="Finishing"/>
    <s v="‚ÄúYou Suck!‚Äù | Dub House"/>
    <s v="TheDubHouse_YouSuck_Finishing"/>
    <s v="Original"/>
    <n v="20650"/>
    <s v="firm-bid"/>
    <m/>
    <m/>
    <m/>
    <m/>
    <m/>
    <m/>
    <m/>
    <m/>
    <m/>
    <m/>
    <m/>
    <m/>
    <m/>
    <s v=""/>
    <m/>
    <s v=""/>
    <s v=""/>
    <m/>
    <s v=""/>
    <s v=""/>
    <m/>
    <m/>
    <m/>
    <m/>
    <m/>
    <s v=""/>
    <m/>
    <m/>
    <s v=""/>
    <s v=""/>
    <s v=""/>
    <m/>
    <s v=""/>
    <m/>
    <m/>
    <s v=""/>
    <s v=""/>
    <m/>
    <m/>
    <m/>
    <m/>
    <s v=""/>
    <m/>
    <m/>
    <s v=""/>
    <s v=""/>
    <m/>
    <s v=""/>
    <m/>
    <m/>
    <m/>
    <m/>
    <m/>
    <s v=""/>
    <s v=""/>
    <n v="0"/>
    <n v="0"/>
    <n v="21600"/>
  </r>
  <r>
    <n v="375"/>
    <d v="2023-07-21T21:27:00"/>
    <s v="You Suck!"/>
    <s v="Snack Foods"/>
    <s v="North America"/>
    <n v="1"/>
    <x v="7"/>
    <s v="Sour Giggles"/>
    <x v="3"/>
    <x v="10"/>
    <s v="Furrier"/>
    <s v="Still Photography Production"/>
    <s v="&quot;You Suck!&quot; Stills - Furrier¬†"/>
    <s v="Furrier_YouSuck_Stills"/>
    <s v="Original"/>
    <n v="187823.6317"/>
    <s v="firm-bid"/>
    <n v="151739.2697"/>
    <n v="1"/>
    <m/>
    <m/>
    <m/>
    <m/>
    <m/>
    <m/>
    <m/>
    <n v="0"/>
    <m/>
    <m/>
    <n v="15569"/>
    <s v=""/>
    <m/>
    <s v=""/>
    <s v=""/>
    <m/>
    <s v=""/>
    <s v=""/>
    <m/>
    <m/>
    <m/>
    <m/>
    <n v="7932"/>
    <s v=""/>
    <n v="9440"/>
    <m/>
    <s v=""/>
    <s v=""/>
    <s v=""/>
    <m/>
    <s v=""/>
    <n v="0"/>
    <m/>
    <s v=""/>
    <s v=""/>
    <n v="16272"/>
    <m/>
    <m/>
    <n v="9792"/>
    <s v=""/>
    <n v="7113"/>
    <n v="42236"/>
    <s v=""/>
    <s v=""/>
    <n v="18800"/>
    <s v=""/>
    <m/>
    <n v="548"/>
    <m/>
    <n v="3748"/>
    <n v="7020"/>
    <s v=""/>
    <s v=""/>
    <n v="187823.6317"/>
    <n v="187823.6317"/>
    <n v="151739.2697"/>
  </r>
  <r>
    <n v="375"/>
    <d v="2023-07-21T21:27:00"/>
    <s v="You Suck!"/>
    <s v="Snack Foods"/>
    <s v="North America"/>
    <n v="0"/>
    <x v="7"/>
    <s v="Sour Giggles"/>
    <x v="3"/>
    <x v="10"/>
    <s v=""/>
    <s v="Still Photography Production"/>
    <s v="You Suck!"/>
    <s v="Interstate_YouSuck_Stills"/>
    <s v="Original"/>
    <n v="115654.9077"/>
    <s v="firm-bid"/>
    <m/>
    <m/>
    <m/>
    <m/>
    <m/>
    <n v="1"/>
    <m/>
    <m/>
    <m/>
    <m/>
    <m/>
    <m/>
    <m/>
    <s v=""/>
    <m/>
    <s v=""/>
    <s v=""/>
    <m/>
    <s v=""/>
    <s v=""/>
    <m/>
    <m/>
    <m/>
    <m/>
    <m/>
    <s v=""/>
    <m/>
    <m/>
    <s v=""/>
    <s v=""/>
    <s v=""/>
    <m/>
    <s v=""/>
    <m/>
    <m/>
    <s v=""/>
    <s v=""/>
    <m/>
    <m/>
    <m/>
    <m/>
    <s v=""/>
    <m/>
    <m/>
    <s v=""/>
    <s v=""/>
    <m/>
    <s v=""/>
    <m/>
    <m/>
    <m/>
    <m/>
    <m/>
    <s v=""/>
    <s v=""/>
    <n v="0"/>
    <n v="0"/>
    <n v="151739.2697"/>
  </r>
  <r>
    <n v="375"/>
    <d v="2023-07-21T21:27:00"/>
    <s v="You Suck!"/>
    <s v="Snack Foods"/>
    <s v="North America"/>
    <n v="1"/>
    <x v="7"/>
    <s v="Sour Giggles"/>
    <x v="3"/>
    <x v="10"/>
    <s v="Furrier"/>
    <s v="Photo Retouching &amp; Post"/>
    <s v="&quot;You Suck!&quot; Stills - Furrier¬†"/>
    <s v="Furrier_YouSuck_Retouching"/>
    <s v="Original"/>
    <n v="12500"/>
    <s v="firm-bid"/>
    <n v="26250"/>
    <n v="1"/>
    <m/>
    <m/>
    <m/>
    <m/>
    <m/>
    <m/>
    <m/>
    <m/>
    <m/>
    <m/>
    <m/>
    <s v=""/>
    <m/>
    <s v=""/>
    <s v=""/>
    <m/>
    <s v=""/>
    <s v=""/>
    <m/>
    <m/>
    <m/>
    <m/>
    <m/>
    <s v=""/>
    <m/>
    <m/>
    <s v=""/>
    <s v=""/>
    <s v=""/>
    <m/>
    <s v=""/>
    <m/>
    <m/>
    <s v=""/>
    <s v=""/>
    <m/>
    <m/>
    <m/>
    <m/>
    <s v=""/>
    <m/>
    <m/>
    <s v=""/>
    <s v=""/>
    <m/>
    <s v=""/>
    <n v="12500"/>
    <m/>
    <m/>
    <m/>
    <m/>
    <s v=""/>
    <s v=""/>
    <n v="12500"/>
    <n v="12500"/>
    <n v="26250"/>
  </r>
  <r>
    <n v="375"/>
    <d v="2023-07-21T21:27:00"/>
    <s v="You Suck!"/>
    <s v="Snack Foods"/>
    <s v="North America"/>
    <n v="0"/>
    <x v="7"/>
    <s v="Sour Giggles"/>
    <x v="3"/>
    <x v="10"/>
    <s v=""/>
    <s v="Photo Retouching &amp; Post"/>
    <s v="You Suck!"/>
    <s v="Interstate_YouSuck_Retouching"/>
    <s v="Original"/>
    <n v="40000"/>
    <s v="firm-bid"/>
    <m/>
    <m/>
    <m/>
    <m/>
    <m/>
    <n v="1"/>
    <m/>
    <m/>
    <m/>
    <m/>
    <m/>
    <m/>
    <m/>
    <s v=""/>
    <m/>
    <s v=""/>
    <s v=""/>
    <m/>
    <s v=""/>
    <s v=""/>
    <m/>
    <m/>
    <m/>
    <m/>
    <m/>
    <s v=""/>
    <m/>
    <m/>
    <s v=""/>
    <s v=""/>
    <s v=""/>
    <m/>
    <s v=""/>
    <m/>
    <m/>
    <s v=""/>
    <s v=""/>
    <m/>
    <m/>
    <m/>
    <m/>
    <s v=""/>
    <m/>
    <m/>
    <s v=""/>
    <s v=""/>
    <m/>
    <s v=""/>
    <m/>
    <m/>
    <m/>
    <m/>
    <m/>
    <s v=""/>
    <s v=""/>
    <n v="0"/>
    <n v="0"/>
    <n v="26250"/>
  </r>
  <r>
    <n v="378"/>
    <d v="2023-07-21T21:29:00"/>
    <s v="Funeral"/>
    <s v="Snack Foods"/>
    <s v="APAC"/>
    <n v="0"/>
    <x v="8"/>
    <s v="Waffle Chips"/>
    <x v="2"/>
    <x v="11"/>
    <s v=""/>
    <s v="Audio Post"/>
    <s v="Arsonist&quot;Funeral&quot;"/>
    <s v="Arsonist"/>
    <s v="Original"/>
    <n v="21840"/>
    <s v="firm-bid"/>
    <m/>
    <m/>
    <m/>
    <n v="1"/>
    <m/>
    <m/>
    <m/>
    <m/>
    <m/>
    <m/>
    <m/>
    <m/>
    <m/>
    <s v=""/>
    <m/>
    <s v=""/>
    <s v=""/>
    <m/>
    <s v=""/>
    <s v=""/>
    <m/>
    <m/>
    <m/>
    <m/>
    <m/>
    <s v=""/>
    <m/>
    <m/>
    <s v=""/>
    <s v=""/>
    <s v=""/>
    <m/>
    <s v=""/>
    <m/>
    <m/>
    <s v=""/>
    <s v=""/>
    <m/>
    <m/>
    <m/>
    <m/>
    <s v=""/>
    <m/>
    <m/>
    <s v=""/>
    <s v=""/>
    <m/>
    <s v=""/>
    <m/>
    <m/>
    <m/>
    <m/>
    <m/>
    <s v=""/>
    <s v=""/>
    <n v="0"/>
    <n v="0"/>
    <n v="37666.666666666664"/>
  </r>
  <r>
    <n v="378"/>
    <d v="2023-07-21T21:29:00"/>
    <s v="Funeral"/>
    <s v="Snack Foods"/>
    <s v="APAC"/>
    <n v="0"/>
    <x v="8"/>
    <s v="Waffle Chips"/>
    <x v="2"/>
    <x v="11"/>
    <s v=""/>
    <s v="Audio Post"/>
    <s v="Special Oaks &quot;Funeral&quot;"/>
    <s v="Special Oaks"/>
    <s v="Original"/>
    <n v="23630"/>
    <s v="firm-bid"/>
    <m/>
    <m/>
    <m/>
    <n v="1"/>
    <m/>
    <n v="1"/>
    <n v="1"/>
    <m/>
    <m/>
    <m/>
    <m/>
    <m/>
    <m/>
    <s v=""/>
    <m/>
    <s v=""/>
    <s v=""/>
    <m/>
    <s v=""/>
    <s v=""/>
    <m/>
    <m/>
    <m/>
    <m/>
    <m/>
    <s v=""/>
    <m/>
    <m/>
    <s v=""/>
    <s v=""/>
    <s v=""/>
    <m/>
    <s v=""/>
    <m/>
    <m/>
    <s v=""/>
    <s v=""/>
    <m/>
    <m/>
    <m/>
    <m/>
    <s v=""/>
    <m/>
    <m/>
    <s v=""/>
    <s v=""/>
    <m/>
    <s v=""/>
    <m/>
    <m/>
    <m/>
    <m/>
    <m/>
    <s v=""/>
    <s v=""/>
    <n v="0"/>
    <n v="0"/>
    <n v="37666.666666666664"/>
  </r>
  <r>
    <n v="378"/>
    <d v="2023-07-21T21:29:00"/>
    <s v="Funeral"/>
    <s v="Snack Foods"/>
    <s v="APAC"/>
    <n v="1"/>
    <x v="8"/>
    <s v="Waffle Chips"/>
    <x v="2"/>
    <x v="11"/>
    <s v="Earwax"/>
    <s v="Audio Post"/>
    <s v="Earwax&quot;Funeral&quot;"/>
    <s v="Earwax"/>
    <s v="Original"/>
    <n v="67530"/>
    <s v="firm-bid"/>
    <n v="37666.666669999999"/>
    <m/>
    <m/>
    <m/>
    <m/>
    <m/>
    <m/>
    <m/>
    <m/>
    <m/>
    <n v="67530"/>
    <m/>
    <m/>
    <s v=""/>
    <m/>
    <s v=""/>
    <s v=""/>
    <m/>
    <s v=""/>
    <s v=""/>
    <m/>
    <m/>
    <m/>
    <m/>
    <m/>
    <s v=""/>
    <m/>
    <m/>
    <s v=""/>
    <s v=""/>
    <s v=""/>
    <m/>
    <s v=""/>
    <m/>
    <m/>
    <s v=""/>
    <s v=""/>
    <m/>
    <m/>
    <m/>
    <m/>
    <s v=""/>
    <m/>
    <m/>
    <s v=""/>
    <s v=""/>
    <m/>
    <s v=""/>
    <m/>
    <m/>
    <m/>
    <m/>
    <m/>
    <s v=""/>
    <s v=""/>
    <n v="0"/>
    <n v="0"/>
    <n v="37666.666666666664"/>
  </r>
  <r>
    <n v="378"/>
    <d v="2023-07-21T21:29:00"/>
    <s v="Funeral"/>
    <s v="Snack Foods"/>
    <s v="APAC"/>
    <n v="1"/>
    <x v="8"/>
    <s v="Waffle Chips"/>
    <x v="2"/>
    <x v="11"/>
    <s v="CHAW Creative"/>
    <s v="Photo Retouching &amp; Post"/>
    <s v="FUNERAL"/>
    <s v="CHAW_Funeral_Retouching"/>
    <s v="Original"/>
    <n v="40100"/>
    <s v="firm-bid"/>
    <n v="39225"/>
    <m/>
    <m/>
    <m/>
    <m/>
    <m/>
    <n v="1"/>
    <m/>
    <m/>
    <m/>
    <m/>
    <m/>
    <m/>
    <s v=""/>
    <m/>
    <s v=""/>
    <s v=""/>
    <m/>
    <s v=""/>
    <s v=""/>
    <m/>
    <m/>
    <m/>
    <m/>
    <m/>
    <s v=""/>
    <m/>
    <m/>
    <s v=""/>
    <s v=""/>
    <s v=""/>
    <m/>
    <s v=""/>
    <m/>
    <m/>
    <s v=""/>
    <s v=""/>
    <m/>
    <m/>
    <m/>
    <m/>
    <s v=""/>
    <m/>
    <m/>
    <s v=""/>
    <s v=""/>
    <m/>
    <s v=""/>
    <n v="40100"/>
    <m/>
    <m/>
    <m/>
    <m/>
    <s v=""/>
    <s v=""/>
    <n v="0"/>
    <n v="0"/>
    <n v="39225"/>
  </r>
  <r>
    <n v="378"/>
    <d v="2023-07-21T21:29:00"/>
    <s v="Funeral"/>
    <s v="Snack Foods"/>
    <s v="APAC"/>
    <n v="0"/>
    <x v="8"/>
    <s v="Waffle Chips"/>
    <x v="2"/>
    <x v="11"/>
    <s v=""/>
    <s v="Photo Retouching &amp; Post"/>
    <s v="Funeral"/>
    <s v="Interstate_Funeral_Retouching"/>
    <s v="Original"/>
    <n v="38350"/>
    <s v="firm-bid"/>
    <m/>
    <m/>
    <m/>
    <m/>
    <m/>
    <n v="1"/>
    <m/>
    <m/>
    <m/>
    <m/>
    <m/>
    <m/>
    <m/>
    <s v=""/>
    <m/>
    <s v=""/>
    <s v=""/>
    <m/>
    <s v=""/>
    <s v=""/>
    <m/>
    <m/>
    <m/>
    <m/>
    <m/>
    <s v=""/>
    <m/>
    <m/>
    <s v=""/>
    <s v=""/>
    <s v=""/>
    <m/>
    <s v=""/>
    <m/>
    <m/>
    <s v=""/>
    <s v=""/>
    <m/>
    <m/>
    <m/>
    <m/>
    <s v=""/>
    <m/>
    <m/>
    <s v=""/>
    <s v=""/>
    <m/>
    <s v=""/>
    <m/>
    <m/>
    <m/>
    <m/>
    <m/>
    <s v=""/>
    <s v=""/>
    <n v="0"/>
    <n v="0"/>
    <n v="39225"/>
  </r>
  <r>
    <n v="378"/>
    <d v="2023-07-21T21:29:00"/>
    <s v="Funeral"/>
    <s v="Snack Foods"/>
    <s v="APAC"/>
    <n v="1"/>
    <x v="8"/>
    <s v="Waffle Chips"/>
    <x v="2"/>
    <x v="11"/>
    <s v="CHAW Creative"/>
    <s v="Still Photography Production"/>
    <s v="FUNERAL"/>
    <s v="CHAW_Funeral_Stills"/>
    <s v="Original"/>
    <n v="151817.5208"/>
    <s v="firm-bid"/>
    <n v="142410.3443"/>
    <m/>
    <m/>
    <m/>
    <m/>
    <m/>
    <n v="1"/>
    <m/>
    <m/>
    <n v="0"/>
    <m/>
    <m/>
    <n v="7990"/>
    <s v=""/>
    <m/>
    <s v=""/>
    <s v=""/>
    <m/>
    <s v=""/>
    <s v=""/>
    <m/>
    <m/>
    <m/>
    <m/>
    <n v="4592"/>
    <s v=""/>
    <n v="6368"/>
    <m/>
    <s v=""/>
    <s v=""/>
    <s v=""/>
    <m/>
    <s v=""/>
    <n v="0"/>
    <m/>
    <s v=""/>
    <s v=""/>
    <n v="20868"/>
    <m/>
    <m/>
    <n v="6658"/>
    <s v=""/>
    <n v="5539"/>
    <n v="36722"/>
    <s v=""/>
    <s v=""/>
    <n v="7669"/>
    <s v=""/>
    <m/>
    <n v="4310"/>
    <m/>
    <n v="5064"/>
    <n v="1669"/>
    <s v=""/>
    <s v=""/>
    <n v="0"/>
    <n v="0"/>
    <n v="142410.3443"/>
  </r>
  <r>
    <n v="378"/>
    <d v="2023-07-21T21:29:00"/>
    <s v="Funeral"/>
    <s v="Snack Foods"/>
    <s v="APAC"/>
    <n v="0"/>
    <x v="8"/>
    <s v="Waffle Chips"/>
    <x v="2"/>
    <x v="11"/>
    <s v=""/>
    <s v="Still Photography Production"/>
    <s v="Funeral"/>
    <s v="Interstate_Funeral_Stills"/>
    <s v="Original"/>
    <n v="133003.1678"/>
    <s v="firm-bid"/>
    <m/>
    <m/>
    <m/>
    <m/>
    <m/>
    <n v="1"/>
    <m/>
    <m/>
    <m/>
    <m/>
    <m/>
    <m/>
    <m/>
    <s v=""/>
    <m/>
    <s v=""/>
    <s v=""/>
    <m/>
    <s v=""/>
    <s v=""/>
    <m/>
    <m/>
    <m/>
    <m/>
    <m/>
    <s v=""/>
    <m/>
    <m/>
    <s v=""/>
    <s v=""/>
    <s v=""/>
    <m/>
    <s v=""/>
    <m/>
    <m/>
    <s v=""/>
    <s v=""/>
    <m/>
    <m/>
    <m/>
    <m/>
    <s v=""/>
    <m/>
    <m/>
    <s v=""/>
    <s v=""/>
    <m/>
    <s v=""/>
    <m/>
    <m/>
    <m/>
    <m/>
    <m/>
    <s v=""/>
    <s v=""/>
    <n v="0"/>
    <n v="0"/>
    <n v="142410.3443"/>
  </r>
  <r>
    <n v="378"/>
    <d v="2023-07-21T21:29:00"/>
    <s v="Funeral"/>
    <s v="Snack Foods"/>
    <s v="APAC"/>
    <n v="1"/>
    <x v="8"/>
    <s v="Waffle Chips"/>
    <x v="2"/>
    <x v="11"/>
    <s v="Tone &amp; Logic"/>
    <s v="Music"/>
    <s v="T+L for ‚ÄúHuffman's - The Funeral&quot;"/>
    <s v="ToneandLogic_Funeral_Music"/>
    <s v="Original"/>
    <n v="40800"/>
    <s v="firm-bid"/>
    <n v="30116.666669999999"/>
    <m/>
    <m/>
    <m/>
    <m/>
    <m/>
    <n v="1"/>
    <m/>
    <m/>
    <m/>
    <m/>
    <m/>
    <m/>
    <s v=""/>
    <m/>
    <s v=""/>
    <s v=""/>
    <m/>
    <s v=""/>
    <s v=""/>
    <m/>
    <m/>
    <m/>
    <m/>
    <m/>
    <s v=""/>
    <m/>
    <m/>
    <s v=""/>
    <s v=""/>
    <s v=""/>
    <m/>
    <s v=""/>
    <m/>
    <n v="40800"/>
    <s v=""/>
    <s v=""/>
    <m/>
    <m/>
    <m/>
    <m/>
    <s v=""/>
    <m/>
    <m/>
    <s v=""/>
    <s v=""/>
    <m/>
    <s v=""/>
    <m/>
    <m/>
    <m/>
    <m/>
    <m/>
    <s v=""/>
    <s v=""/>
    <n v="0"/>
    <n v="0"/>
    <n v="30116.666666666664"/>
  </r>
  <r>
    <n v="378"/>
    <d v="2023-07-21T21:29:00"/>
    <s v="Funeral"/>
    <s v="Snack Foods"/>
    <s v="APAC"/>
    <n v="0"/>
    <x v="8"/>
    <s v="Waffle Chips"/>
    <x v="2"/>
    <x v="11"/>
    <s v=""/>
    <s v="Music"/>
    <s v="Love Language &quot;Funeral&quot;"/>
    <s v="LoveLanguage_Funeral_Music"/>
    <s v="Original"/>
    <n v="22400"/>
    <s v="firm-bid"/>
    <m/>
    <m/>
    <m/>
    <m/>
    <m/>
    <m/>
    <m/>
    <m/>
    <m/>
    <m/>
    <m/>
    <m/>
    <m/>
    <s v=""/>
    <m/>
    <s v=""/>
    <s v=""/>
    <m/>
    <s v=""/>
    <s v=""/>
    <m/>
    <m/>
    <m/>
    <m/>
    <m/>
    <s v=""/>
    <m/>
    <m/>
    <s v=""/>
    <s v=""/>
    <s v=""/>
    <m/>
    <s v=""/>
    <m/>
    <m/>
    <s v=""/>
    <s v=""/>
    <m/>
    <m/>
    <m/>
    <m/>
    <s v=""/>
    <m/>
    <m/>
    <s v=""/>
    <s v=""/>
    <m/>
    <s v=""/>
    <m/>
    <m/>
    <m/>
    <m/>
    <m/>
    <s v=""/>
    <s v=""/>
    <n v="0"/>
    <n v="0"/>
    <n v="30116.666666666664"/>
  </r>
  <r>
    <n v="378"/>
    <d v="2023-07-21T21:29:00"/>
    <s v="Funeral"/>
    <s v="Snack Foods"/>
    <s v="APAC"/>
    <n v="0"/>
    <x v="8"/>
    <s v="Waffle Chips"/>
    <x v="2"/>
    <x v="11"/>
    <s v=""/>
    <s v="Music"/>
    <s v="Frequency Presentation for &quot;The Funeral&quot; (Bluesy Version)"/>
    <s v="Frequency_Funeral_Music"/>
    <s v="Original"/>
    <n v="27150"/>
    <s v="firm-bid"/>
    <m/>
    <m/>
    <m/>
    <m/>
    <m/>
    <m/>
    <m/>
    <m/>
    <m/>
    <m/>
    <m/>
    <m/>
    <m/>
    <s v=""/>
    <m/>
    <s v=""/>
    <s v=""/>
    <m/>
    <s v=""/>
    <s v=""/>
    <m/>
    <m/>
    <m/>
    <m/>
    <m/>
    <s v=""/>
    <m/>
    <m/>
    <s v=""/>
    <s v=""/>
    <s v=""/>
    <m/>
    <s v=""/>
    <m/>
    <m/>
    <s v=""/>
    <s v=""/>
    <m/>
    <m/>
    <m/>
    <m/>
    <s v=""/>
    <m/>
    <m/>
    <s v=""/>
    <s v=""/>
    <m/>
    <s v=""/>
    <m/>
    <m/>
    <m/>
    <m/>
    <m/>
    <s v=""/>
    <s v=""/>
    <n v="0"/>
    <n v="0"/>
    <n v="30116.666666666664"/>
  </r>
  <r>
    <n v="378"/>
    <d v="2023-07-21T21:29:00"/>
    <s v="Funeral"/>
    <s v="Snack Foods"/>
    <s v="APAC"/>
    <n v="0"/>
    <x v="8"/>
    <s v="Waffle Chips"/>
    <x v="2"/>
    <x v="11"/>
    <s v=""/>
    <s v="Finishing"/>
    <s v="‚ÄúFuneral ‚Äù | Dub House"/>
    <s v="TheDubHouse_Funeral_Finishing"/>
    <s v="Original"/>
    <n v="27450"/>
    <s v="firm-bid"/>
    <m/>
    <m/>
    <m/>
    <m/>
    <m/>
    <m/>
    <m/>
    <m/>
    <m/>
    <m/>
    <m/>
    <m/>
    <m/>
    <s v=""/>
    <m/>
    <s v=""/>
    <s v=""/>
    <m/>
    <s v=""/>
    <s v=""/>
    <m/>
    <m/>
    <m/>
    <m/>
    <m/>
    <s v=""/>
    <m/>
    <m/>
    <s v=""/>
    <s v=""/>
    <s v=""/>
    <m/>
    <s v=""/>
    <m/>
    <m/>
    <s v=""/>
    <s v=""/>
    <m/>
    <m/>
    <m/>
    <m/>
    <s v=""/>
    <m/>
    <m/>
    <s v=""/>
    <s v=""/>
    <m/>
    <s v=""/>
    <m/>
    <m/>
    <m/>
    <m/>
    <m/>
    <s v=""/>
    <s v=""/>
    <n v="0"/>
    <n v="0"/>
    <n v="33800"/>
  </r>
  <r>
    <n v="378"/>
    <d v="2023-07-21T21:29:00"/>
    <s v="Funeral"/>
    <s v="Snack Foods"/>
    <s v="APAC"/>
    <n v="1"/>
    <x v="8"/>
    <s v="Waffle Chips"/>
    <x v="2"/>
    <x v="11"/>
    <s v="ColorMaven"/>
    <s v="Finishing"/>
    <s v="colorMaven &quot;Funeral&quot; v4"/>
    <s v="ColorMaven_Funeral_Finishing"/>
    <s v="Original"/>
    <n v="40150"/>
    <s v="firm-bid"/>
    <n v="33800"/>
    <m/>
    <m/>
    <m/>
    <m/>
    <n v="1"/>
    <m/>
    <m/>
    <m/>
    <m/>
    <m/>
    <m/>
    <m/>
    <s v=""/>
    <m/>
    <s v=""/>
    <s v=""/>
    <m/>
    <s v=""/>
    <s v=""/>
    <m/>
    <m/>
    <m/>
    <m/>
    <m/>
    <s v=""/>
    <m/>
    <n v="40150"/>
    <s v=""/>
    <s v=""/>
    <s v=""/>
    <m/>
    <s v=""/>
    <m/>
    <m/>
    <s v=""/>
    <s v=""/>
    <m/>
    <m/>
    <m/>
    <m/>
    <s v=""/>
    <m/>
    <m/>
    <s v=""/>
    <s v=""/>
    <m/>
    <s v=""/>
    <m/>
    <m/>
    <m/>
    <m/>
    <m/>
    <s v=""/>
    <s v=""/>
    <n v="0"/>
    <n v="0"/>
    <n v="33800"/>
  </r>
  <r>
    <n v="378"/>
    <d v="2023-07-21T21:29:00"/>
    <s v="Funeral"/>
    <s v="Snack Foods"/>
    <s v="APAC"/>
    <n v="0"/>
    <x v="8"/>
    <s v="Waffle Chips"/>
    <x v="2"/>
    <x v="11"/>
    <s v=""/>
    <s v="Editorial"/>
    <s v="Funeral"/>
    <s v="TotalCuts_Funeral_Edit"/>
    <s v="Original"/>
    <n v="119010.26669999999"/>
    <s v="firm-bid"/>
    <m/>
    <m/>
    <m/>
    <m/>
    <n v="1"/>
    <m/>
    <m/>
    <m/>
    <m/>
    <m/>
    <m/>
    <m/>
    <m/>
    <s v=""/>
    <m/>
    <s v=""/>
    <s v=""/>
    <m/>
    <s v=""/>
    <s v=""/>
    <m/>
    <m/>
    <m/>
    <m/>
    <m/>
    <s v=""/>
    <m/>
    <m/>
    <s v=""/>
    <s v=""/>
    <s v=""/>
    <m/>
    <s v=""/>
    <m/>
    <m/>
    <s v=""/>
    <s v=""/>
    <m/>
    <m/>
    <m/>
    <m/>
    <s v=""/>
    <m/>
    <m/>
    <s v=""/>
    <s v=""/>
    <m/>
    <s v=""/>
    <m/>
    <m/>
    <m/>
    <m/>
    <m/>
    <s v=""/>
    <s v=""/>
    <n v="0"/>
    <n v="0"/>
    <n v="112430.26669999999"/>
  </r>
  <r>
    <n v="378"/>
    <d v="2023-07-21T21:29:00"/>
    <s v="Funeral"/>
    <s v="Snack Foods"/>
    <s v="APAC"/>
    <n v="1"/>
    <x v="8"/>
    <s v="Waffle Chips"/>
    <x v="2"/>
    <x v="11"/>
    <s v="Myrtle Row Editorial"/>
    <s v="Editorial"/>
    <s v="Funeral"/>
    <s v="MyrtleRow_Funeral_Edit"/>
    <s v="Original"/>
    <n v="105850.26669999999"/>
    <s v="firm-bid"/>
    <n v="112430.26669999999"/>
    <m/>
    <m/>
    <m/>
    <m/>
    <m/>
    <n v="1"/>
    <m/>
    <m/>
    <m/>
    <m/>
    <m/>
    <m/>
    <s v=""/>
    <m/>
    <s v=""/>
    <s v=""/>
    <m/>
    <s v=""/>
    <s v=""/>
    <n v="29600"/>
    <n v="27700"/>
    <n v="13100"/>
    <n v="6816"/>
    <m/>
    <s v=""/>
    <m/>
    <m/>
    <s v=""/>
    <s v=""/>
    <s v=""/>
    <m/>
    <s v=""/>
    <m/>
    <m/>
    <s v=""/>
    <s v=""/>
    <m/>
    <m/>
    <m/>
    <m/>
    <s v=""/>
    <m/>
    <m/>
    <s v=""/>
    <s v=""/>
    <m/>
    <s v=""/>
    <m/>
    <m/>
    <m/>
    <m/>
    <m/>
    <s v=""/>
    <s v=""/>
    <n v="0"/>
    <n v="0"/>
    <n v="112430.26669999999"/>
  </r>
  <r>
    <n v="378"/>
    <d v="2023-07-21T21:29:00"/>
    <s v="Funeral"/>
    <s v="Snack Foods"/>
    <s v="APAC"/>
    <n v="0"/>
    <x v="8"/>
    <s v="Waffle Chips"/>
    <x v="2"/>
    <x v="11"/>
    <s v=""/>
    <s v="Green Production Costs"/>
    <s v="Funeral"/>
    <s v="Petulant_Funeral_Green"/>
    <s v="Original"/>
    <n v="13986"/>
    <s v="firm-bid"/>
    <m/>
    <m/>
    <m/>
    <m/>
    <m/>
    <m/>
    <m/>
    <m/>
    <m/>
    <m/>
    <m/>
    <m/>
    <m/>
    <s v=""/>
    <m/>
    <s v=""/>
    <s v=""/>
    <m/>
    <s v=""/>
    <s v=""/>
    <m/>
    <m/>
    <m/>
    <m/>
    <m/>
    <s v=""/>
    <m/>
    <m/>
    <s v=""/>
    <s v=""/>
    <s v=""/>
    <m/>
    <s v=""/>
    <m/>
    <m/>
    <s v=""/>
    <s v=""/>
    <m/>
    <m/>
    <m/>
    <m/>
    <s v=""/>
    <m/>
    <m/>
    <s v=""/>
    <s v=""/>
    <m/>
    <s v=""/>
    <m/>
    <m/>
    <m/>
    <m/>
    <m/>
    <s v=""/>
    <s v=""/>
    <n v="0"/>
    <n v="0"/>
    <n v="12233"/>
  </r>
  <r>
    <n v="378"/>
    <d v="2023-07-21T21:29:00"/>
    <s v="Funeral"/>
    <s v="Snack Foods"/>
    <s v="APAC"/>
    <n v="1"/>
    <x v="8"/>
    <s v="Waffle Chips"/>
    <x v="2"/>
    <x v="11"/>
    <s v="Test Flight Productions"/>
    <s v="Green Production Costs"/>
    <s v="Funeral"/>
    <s v="TestFlight_Funeral_Green"/>
    <s v="Original"/>
    <n v="11088"/>
    <s v="firm-bid"/>
    <n v="12233"/>
    <m/>
    <n v="1"/>
    <m/>
    <m/>
    <m/>
    <n v="1"/>
    <m/>
    <n v="0"/>
    <n v="0"/>
    <m/>
    <m/>
    <m/>
    <s v=""/>
    <m/>
    <s v=""/>
    <s v=""/>
    <n v="0"/>
    <s v=""/>
    <s v=""/>
    <n v="0"/>
    <m/>
    <n v="0"/>
    <m/>
    <n v="0"/>
    <s v=""/>
    <n v="0"/>
    <m/>
    <s v=""/>
    <s v=""/>
    <s v=""/>
    <n v="0"/>
    <s v=""/>
    <n v="8800"/>
    <m/>
    <s v=""/>
    <s v=""/>
    <n v="0"/>
    <n v="0"/>
    <m/>
    <m/>
    <s v=""/>
    <n v="0"/>
    <n v="0"/>
    <s v=""/>
    <s v=""/>
    <m/>
    <s v=""/>
    <m/>
    <m/>
    <n v="0"/>
    <n v="0"/>
    <n v="0"/>
    <s v=""/>
    <s v=""/>
    <n v="0"/>
    <n v="0"/>
    <n v="12233"/>
  </r>
  <r>
    <n v="378"/>
    <d v="2023-07-21T21:29:00"/>
    <s v="Funeral"/>
    <s v="Snack Foods"/>
    <s v="APAC"/>
    <n v="0"/>
    <x v="8"/>
    <s v="Waffle Chips"/>
    <x v="2"/>
    <x v="11"/>
    <s v=""/>
    <s v="Green Production Costs"/>
    <s v="Funeral"/>
    <s v="harmony_and_Light_Funeral_Green"/>
    <s v="Original"/>
    <n v="11625"/>
    <s v="firm-bid"/>
    <m/>
    <m/>
    <m/>
    <m/>
    <m/>
    <m/>
    <m/>
    <m/>
    <m/>
    <m/>
    <m/>
    <m/>
    <m/>
    <s v=""/>
    <m/>
    <s v=""/>
    <s v=""/>
    <m/>
    <s v=""/>
    <s v=""/>
    <m/>
    <m/>
    <m/>
    <m/>
    <m/>
    <s v=""/>
    <m/>
    <m/>
    <s v=""/>
    <s v=""/>
    <s v=""/>
    <m/>
    <s v=""/>
    <m/>
    <m/>
    <s v=""/>
    <s v=""/>
    <m/>
    <m/>
    <m/>
    <m/>
    <s v=""/>
    <m/>
    <m/>
    <s v=""/>
    <s v=""/>
    <m/>
    <s v=""/>
    <m/>
    <m/>
    <m/>
    <m/>
    <m/>
    <s v=""/>
    <s v=""/>
    <n v="0"/>
    <n v="0"/>
    <n v="12233"/>
  </r>
  <r>
    <n v="378"/>
    <d v="2023-07-21T21:29:00"/>
    <s v="Funeral"/>
    <s v="Snack Foods"/>
    <s v="APAC"/>
    <n v="0"/>
    <x v="8"/>
    <s v="Waffle Chips"/>
    <x v="2"/>
    <x v="11"/>
    <s v=""/>
    <s v="Sanitary Production Costs"/>
    <s v="Funeral"/>
    <s v="Petulant_Funeral_Covid"/>
    <s v="Original"/>
    <n v="7010.9750000000004"/>
    <s v="firm-bid"/>
    <m/>
    <m/>
    <m/>
    <m/>
    <m/>
    <m/>
    <m/>
    <m/>
    <m/>
    <m/>
    <m/>
    <m/>
    <m/>
    <s v=""/>
    <m/>
    <s v=""/>
    <s v=""/>
    <m/>
    <s v=""/>
    <s v=""/>
    <m/>
    <m/>
    <m/>
    <m/>
    <m/>
    <s v=""/>
    <m/>
    <m/>
    <s v=""/>
    <s v=""/>
    <s v=""/>
    <m/>
    <s v=""/>
    <m/>
    <m/>
    <s v=""/>
    <s v=""/>
    <m/>
    <m/>
    <m/>
    <m/>
    <s v=""/>
    <m/>
    <m/>
    <s v=""/>
    <s v=""/>
    <m/>
    <s v=""/>
    <m/>
    <m/>
    <m/>
    <m/>
    <m/>
    <s v=""/>
    <s v=""/>
    <n v="0"/>
    <n v="0"/>
    <n v="7084.498333333333"/>
  </r>
  <r>
    <n v="378"/>
    <d v="2023-07-21T21:29:00"/>
    <s v="Funeral"/>
    <s v="Snack Foods"/>
    <s v="APAC"/>
    <n v="1"/>
    <x v="8"/>
    <s v="Waffle Chips"/>
    <x v="2"/>
    <x v="11"/>
    <s v="Test Flight Productions"/>
    <s v="Sanitary Production Costs"/>
    <s v="Funeral"/>
    <s v="TestFlight_Funeral_Covid"/>
    <s v="Original"/>
    <n v="3552.7525000000001"/>
    <s v="firm-bid"/>
    <n v="7084.4983329999995"/>
    <m/>
    <n v="1"/>
    <m/>
    <m/>
    <m/>
    <n v="1"/>
    <m/>
    <m/>
    <m/>
    <m/>
    <m/>
    <m/>
    <s v=""/>
    <n v="500"/>
    <s v=""/>
    <s v=""/>
    <m/>
    <s v=""/>
    <s v=""/>
    <m/>
    <m/>
    <m/>
    <m/>
    <m/>
    <s v=""/>
    <m/>
    <m/>
    <s v=""/>
    <s v=""/>
    <s v=""/>
    <m/>
    <s v=""/>
    <m/>
    <m/>
    <s v=""/>
    <s v=""/>
    <m/>
    <m/>
    <n v="1755"/>
    <m/>
    <s v=""/>
    <m/>
    <m/>
    <s v=""/>
    <s v=""/>
    <m/>
    <s v=""/>
    <m/>
    <m/>
    <m/>
    <m/>
    <m/>
    <s v=""/>
    <s v=""/>
    <n v="0"/>
    <n v="0"/>
    <n v="7084.498333333333"/>
  </r>
  <r>
    <n v="378"/>
    <d v="2023-07-21T21:29:00"/>
    <s v="Funeral"/>
    <s v="Snack Foods"/>
    <s v="APAC"/>
    <n v="0"/>
    <x v="8"/>
    <s v="Waffle Chips"/>
    <x v="2"/>
    <x v="11"/>
    <s v=""/>
    <s v="Sanitary Production Costs"/>
    <s v="Funeral"/>
    <s v="harmony_and_Light_Funeral_Covid"/>
    <s v="Original"/>
    <n v="10689.7675"/>
    <s v="firm-bid"/>
    <m/>
    <m/>
    <m/>
    <m/>
    <m/>
    <m/>
    <m/>
    <m/>
    <m/>
    <m/>
    <m/>
    <m/>
    <m/>
    <s v=""/>
    <m/>
    <s v=""/>
    <s v=""/>
    <m/>
    <s v=""/>
    <s v=""/>
    <m/>
    <m/>
    <m/>
    <m/>
    <m/>
    <s v=""/>
    <m/>
    <m/>
    <s v=""/>
    <s v=""/>
    <s v=""/>
    <m/>
    <s v=""/>
    <m/>
    <m/>
    <s v=""/>
    <s v=""/>
    <m/>
    <m/>
    <m/>
    <m/>
    <s v=""/>
    <m/>
    <m/>
    <s v=""/>
    <s v=""/>
    <m/>
    <s v=""/>
    <m/>
    <m/>
    <m/>
    <m/>
    <m/>
    <s v=""/>
    <s v=""/>
    <n v="0"/>
    <n v="0"/>
    <n v="7084.498333333333"/>
  </r>
  <r>
    <n v="378"/>
    <d v="2023-07-21T21:29:00"/>
    <s v="Funeral"/>
    <s v="Snack Foods"/>
    <s v="APAC"/>
    <n v="0"/>
    <x v="8"/>
    <s v="Waffle Chips"/>
    <x v="2"/>
    <x v="11"/>
    <s v=""/>
    <s v="Film &amp; Video Production"/>
    <s v="Funeral"/>
    <s v="Petulant_Funeral_LiveAction"/>
    <s v="Original"/>
    <n v="609308.48"/>
    <s v="firm-bid"/>
    <m/>
    <m/>
    <m/>
    <m/>
    <m/>
    <m/>
    <m/>
    <m/>
    <m/>
    <m/>
    <m/>
    <m/>
    <m/>
    <s v=""/>
    <m/>
    <s v=""/>
    <s v=""/>
    <m/>
    <s v=""/>
    <s v=""/>
    <m/>
    <m/>
    <m/>
    <m/>
    <m/>
    <s v=""/>
    <m/>
    <m/>
    <s v=""/>
    <s v=""/>
    <s v=""/>
    <m/>
    <s v=""/>
    <m/>
    <m/>
    <s v=""/>
    <s v=""/>
    <m/>
    <m/>
    <m/>
    <m/>
    <s v=""/>
    <m/>
    <m/>
    <s v=""/>
    <s v=""/>
    <m/>
    <s v=""/>
    <m/>
    <m/>
    <m/>
    <m/>
    <m/>
    <s v=""/>
    <s v=""/>
    <n v="0"/>
    <n v="0"/>
    <n v="706071.20166666666"/>
  </r>
  <r>
    <n v="378"/>
    <d v="2023-07-21T21:29:00"/>
    <s v="Funeral"/>
    <s v="Snack Foods"/>
    <s v="APAC"/>
    <n v="1"/>
    <x v="8"/>
    <s v="Waffle Chips"/>
    <x v="2"/>
    <x v="11"/>
    <s v="Test Flight Productions"/>
    <s v="Film &amp; Video Production"/>
    <s v="Funeral"/>
    <s v="TestFlight_Funeral_LiveAction"/>
    <s v="Original"/>
    <n v="650063.18000000005"/>
    <s v="firm-bid"/>
    <n v="706071.20169999998"/>
    <m/>
    <n v="1"/>
    <m/>
    <m/>
    <m/>
    <n v="1"/>
    <m/>
    <n v="44330"/>
    <n v="80150"/>
    <m/>
    <m/>
    <m/>
    <s v=""/>
    <m/>
    <s v=""/>
    <s v=""/>
    <n v="50000"/>
    <s v=""/>
    <s v=""/>
    <n v="0"/>
    <m/>
    <n v="0"/>
    <m/>
    <n v="32150"/>
    <s v=""/>
    <n v="2800"/>
    <m/>
    <s v=""/>
    <s v=""/>
    <s v=""/>
    <n v="20917"/>
    <s v=""/>
    <n v="1500"/>
    <m/>
    <s v=""/>
    <s v=""/>
    <n v="12400"/>
    <n v="121621.5"/>
    <m/>
    <m/>
    <s v=""/>
    <n v="18400"/>
    <n v="116116"/>
    <s v=""/>
    <s v=""/>
    <m/>
    <s v=""/>
    <m/>
    <m/>
    <n v="23860"/>
    <n v="0"/>
    <n v="0"/>
    <s v=""/>
    <s v=""/>
    <n v="0"/>
    <n v="0"/>
    <n v="706071.20166666666"/>
  </r>
  <r>
    <n v="378"/>
    <d v="2023-07-21T21:29:00"/>
    <s v="Funeral"/>
    <s v="Snack Foods"/>
    <s v="APAC"/>
    <n v="0"/>
    <x v="8"/>
    <s v="Waffle Chips"/>
    <x v="2"/>
    <x v="11"/>
    <s v=""/>
    <s v="Film &amp; Video Production"/>
    <s v="Funeral"/>
    <s v="harmony_and_Light_Funeral_LiveAction"/>
    <s v="Original"/>
    <n v="858841.94499999995"/>
    <s v="firm-bid"/>
    <m/>
    <m/>
    <m/>
    <m/>
    <m/>
    <m/>
    <m/>
    <m/>
    <m/>
    <m/>
    <m/>
    <m/>
    <m/>
    <s v=""/>
    <m/>
    <s v=""/>
    <s v=""/>
    <m/>
    <s v=""/>
    <s v=""/>
    <m/>
    <m/>
    <m/>
    <m/>
    <m/>
    <s v=""/>
    <m/>
    <m/>
    <s v=""/>
    <s v=""/>
    <s v=""/>
    <m/>
    <s v=""/>
    <m/>
    <m/>
    <s v=""/>
    <s v=""/>
    <m/>
    <m/>
    <m/>
    <m/>
    <s v=""/>
    <m/>
    <m/>
    <s v=""/>
    <s v=""/>
    <m/>
    <s v=""/>
    <m/>
    <m/>
    <m/>
    <m/>
    <m/>
    <s v=""/>
    <s v=""/>
    <n v="0"/>
    <n v="0"/>
    <n v="706071.20166666666"/>
  </r>
  <r>
    <n v="381"/>
    <d v="2023-07-21T21:31:00"/>
    <s v="GOAL!"/>
    <s v="Snack Foods"/>
    <s v="North America"/>
    <n v="1"/>
    <x v="8"/>
    <s v="Dipping Dust"/>
    <x v="2"/>
    <x v="12"/>
    <s v="Audio Lab Technologies"/>
    <s v="Audio Post"/>
    <s v="Audio Labs &quot;GOAL!&quot;"/>
    <s v="Audio_105"/>
    <s v="Original"/>
    <n v="16840"/>
    <s v="firm-bid"/>
    <n v="39090"/>
    <m/>
    <n v="1"/>
    <n v="1"/>
    <n v="1"/>
    <m/>
    <n v="1"/>
    <m/>
    <m/>
    <m/>
    <n v="16840"/>
    <m/>
    <m/>
    <s v=""/>
    <m/>
    <s v=""/>
    <s v=""/>
    <m/>
    <s v=""/>
    <s v=""/>
    <m/>
    <m/>
    <m/>
    <m/>
    <m/>
    <s v=""/>
    <m/>
    <m/>
    <s v=""/>
    <s v=""/>
    <s v=""/>
    <m/>
    <s v=""/>
    <m/>
    <m/>
    <s v=""/>
    <s v=""/>
    <m/>
    <m/>
    <m/>
    <m/>
    <s v=""/>
    <m/>
    <m/>
    <s v=""/>
    <s v=""/>
    <m/>
    <s v=""/>
    <m/>
    <m/>
    <m/>
    <m/>
    <m/>
    <s v=""/>
    <s v=""/>
    <n v="0"/>
    <n v="0"/>
    <n v="39090"/>
  </r>
  <r>
    <n v="381"/>
    <d v="2023-07-21T21:31:00"/>
    <s v="GOAL!"/>
    <s v="Snack Foods"/>
    <s v="North America"/>
    <n v="0"/>
    <x v="8"/>
    <s v="Dipping Dust"/>
    <x v="2"/>
    <x v="12"/>
    <s v=""/>
    <s v="Audio Post"/>
    <s v="Love Language &quot;GOAL!&quot;"/>
    <s v="Love138"/>
    <s v="Original"/>
    <n v="61340"/>
    <s v="firm-bid"/>
    <m/>
    <n v="1"/>
    <m/>
    <m/>
    <n v="1"/>
    <m/>
    <m/>
    <m/>
    <m/>
    <m/>
    <m/>
    <m/>
    <m/>
    <s v=""/>
    <m/>
    <s v=""/>
    <s v=""/>
    <m/>
    <s v=""/>
    <s v=""/>
    <m/>
    <m/>
    <m/>
    <m/>
    <m/>
    <s v=""/>
    <m/>
    <m/>
    <s v=""/>
    <s v=""/>
    <s v=""/>
    <m/>
    <s v=""/>
    <m/>
    <m/>
    <s v=""/>
    <s v=""/>
    <m/>
    <m/>
    <m/>
    <m/>
    <s v=""/>
    <m/>
    <m/>
    <s v=""/>
    <s v=""/>
    <m/>
    <s v=""/>
    <m/>
    <m/>
    <m/>
    <m/>
    <m/>
    <s v=""/>
    <s v=""/>
    <n v="61340"/>
    <n v="0"/>
    <n v="39090"/>
  </r>
  <r>
    <n v="381"/>
    <d v="2023-07-21T21:31:00"/>
    <s v="GOAL!"/>
    <s v="Snack Foods"/>
    <s v="North America"/>
    <n v="0"/>
    <x v="8"/>
    <s v="Dipping Dust"/>
    <x v="2"/>
    <x v="12"/>
    <s v=""/>
    <s v="Film &amp; Video Production"/>
    <s v="GOAL!"/>
    <s v="OpenFrameworks_GOAL_LiveAction"/>
    <s v="Original"/>
    <n v="845325.12"/>
    <s v="firm-bid"/>
    <m/>
    <m/>
    <m/>
    <m/>
    <m/>
    <m/>
    <m/>
    <m/>
    <m/>
    <m/>
    <m/>
    <m/>
    <m/>
    <s v=""/>
    <m/>
    <s v=""/>
    <s v=""/>
    <m/>
    <s v=""/>
    <s v=""/>
    <m/>
    <m/>
    <m/>
    <m/>
    <m/>
    <s v=""/>
    <m/>
    <m/>
    <s v=""/>
    <s v=""/>
    <s v=""/>
    <m/>
    <s v=""/>
    <m/>
    <m/>
    <s v=""/>
    <s v=""/>
    <m/>
    <m/>
    <m/>
    <m/>
    <s v=""/>
    <m/>
    <m/>
    <s v=""/>
    <s v=""/>
    <m/>
    <s v=""/>
    <m/>
    <m/>
    <m/>
    <m/>
    <m/>
    <s v=""/>
    <s v=""/>
    <n v="0"/>
    <n v="0"/>
    <n v="887785.07706666668"/>
  </r>
  <r>
    <n v="381"/>
    <d v="2023-07-21T21:31:00"/>
    <s v="GOAL!"/>
    <s v="Snack Foods"/>
    <s v="North America"/>
    <n v="1"/>
    <x v="8"/>
    <s v="Dipping Dust"/>
    <x v="2"/>
    <x v="12"/>
    <s v="Petulant Pictures"/>
    <s v="Film &amp; Video Production"/>
    <s v="GOAL!"/>
    <s v="Petulant_GOAL_LiveAction"/>
    <s v="Original"/>
    <n v="924169.75"/>
    <s v="firm-bid"/>
    <n v="887785.07709999999"/>
    <m/>
    <m/>
    <m/>
    <m/>
    <m/>
    <m/>
    <m/>
    <n v="73359"/>
    <n v="65950"/>
    <m/>
    <m/>
    <m/>
    <s v=""/>
    <m/>
    <s v=""/>
    <s v=""/>
    <n v="170000"/>
    <s v=""/>
    <s v=""/>
    <n v="0"/>
    <m/>
    <n v="0"/>
    <m/>
    <n v="50800"/>
    <s v=""/>
    <n v="2000"/>
    <m/>
    <s v=""/>
    <s v=""/>
    <s v=""/>
    <n v="25686"/>
    <s v=""/>
    <n v="13600"/>
    <m/>
    <s v=""/>
    <s v=""/>
    <n v="24100"/>
    <n v="143500.5"/>
    <m/>
    <m/>
    <s v=""/>
    <n v="800"/>
    <n v="131860.29999999999"/>
    <s v=""/>
    <s v=""/>
    <m/>
    <s v=""/>
    <m/>
    <m/>
    <n v="37680"/>
    <n v="0"/>
    <n v="0"/>
    <s v=""/>
    <s v=""/>
    <n v="0"/>
    <n v="0"/>
    <n v="887785.07706666668"/>
  </r>
  <r>
    <n v="381"/>
    <d v="2023-07-21T21:31:00"/>
    <s v="GOAL!"/>
    <s v="Snack Foods"/>
    <s v="North America"/>
    <n v="0"/>
    <x v="8"/>
    <s v="Dipping Dust"/>
    <x v="2"/>
    <x v="12"/>
    <s v=""/>
    <s v="Film &amp; Video Production"/>
    <s v="GOAL!"/>
    <s v="Level12_GOAL_LiveAction"/>
    <s v="Original"/>
    <n v="893860.36120000004"/>
    <s v="firm-bid"/>
    <m/>
    <m/>
    <m/>
    <m/>
    <m/>
    <m/>
    <m/>
    <m/>
    <m/>
    <m/>
    <m/>
    <m/>
    <m/>
    <s v=""/>
    <m/>
    <s v=""/>
    <s v=""/>
    <m/>
    <s v=""/>
    <s v=""/>
    <m/>
    <m/>
    <m/>
    <m/>
    <m/>
    <s v=""/>
    <m/>
    <m/>
    <s v=""/>
    <s v=""/>
    <s v=""/>
    <m/>
    <s v=""/>
    <m/>
    <m/>
    <s v=""/>
    <s v=""/>
    <m/>
    <m/>
    <m/>
    <m/>
    <s v=""/>
    <m/>
    <m/>
    <s v=""/>
    <s v=""/>
    <m/>
    <s v=""/>
    <m/>
    <m/>
    <m/>
    <m/>
    <m/>
    <s v=""/>
    <s v=""/>
    <n v="0"/>
    <n v="0"/>
    <n v="887785.07706666668"/>
  </r>
  <r>
    <n v="381"/>
    <d v="2023-07-21T21:31:00"/>
    <s v="GOAL!"/>
    <s v="Snack Foods"/>
    <s v="North America"/>
    <n v="0"/>
    <x v="8"/>
    <s v="Dipping Dust"/>
    <x v="2"/>
    <x v="12"/>
    <s v=""/>
    <s v="Sanitary Production Costs"/>
    <s v="GOAL!"/>
    <s v="OpenFrameworks_GOAL_Covid"/>
    <s v="Original"/>
    <n v="1339.175"/>
    <s v="firm-bid"/>
    <m/>
    <m/>
    <m/>
    <m/>
    <m/>
    <m/>
    <m/>
    <m/>
    <m/>
    <m/>
    <m/>
    <m/>
    <m/>
    <s v=""/>
    <m/>
    <s v=""/>
    <s v=""/>
    <m/>
    <s v=""/>
    <s v=""/>
    <m/>
    <m/>
    <m/>
    <m/>
    <m/>
    <s v=""/>
    <m/>
    <m/>
    <s v=""/>
    <s v=""/>
    <s v=""/>
    <m/>
    <s v=""/>
    <m/>
    <m/>
    <s v=""/>
    <s v=""/>
    <m/>
    <m/>
    <m/>
    <m/>
    <s v=""/>
    <m/>
    <m/>
    <s v=""/>
    <s v=""/>
    <m/>
    <s v=""/>
    <m/>
    <m/>
    <m/>
    <m/>
    <m/>
    <s v=""/>
    <s v=""/>
    <n v="0"/>
    <n v="0"/>
    <n v="7530.8900000000012"/>
  </r>
  <r>
    <n v="381"/>
    <d v="2023-07-21T21:31:00"/>
    <s v="GOAL!"/>
    <s v="Snack Foods"/>
    <s v="North America"/>
    <n v="1"/>
    <x v="8"/>
    <s v="Dipping Dust"/>
    <x v="2"/>
    <x v="12"/>
    <s v="Petulant Pictures"/>
    <s v="Sanitary Production Costs"/>
    <s v="GOAL!"/>
    <s v="Petulant_GOAL_Covid"/>
    <s v="Original"/>
    <n v="9886.2625000000007"/>
    <s v="firm-bid"/>
    <n v="7530.89"/>
    <m/>
    <m/>
    <m/>
    <m/>
    <m/>
    <m/>
    <m/>
    <m/>
    <m/>
    <m/>
    <m/>
    <m/>
    <s v=""/>
    <n v="4400"/>
    <s v=""/>
    <s v=""/>
    <m/>
    <s v=""/>
    <s v=""/>
    <m/>
    <m/>
    <m/>
    <m/>
    <m/>
    <s v=""/>
    <m/>
    <m/>
    <s v=""/>
    <s v=""/>
    <s v=""/>
    <m/>
    <s v=""/>
    <m/>
    <m/>
    <s v=""/>
    <s v=""/>
    <m/>
    <m/>
    <n v="1875"/>
    <m/>
    <s v=""/>
    <m/>
    <m/>
    <s v=""/>
    <s v=""/>
    <m/>
    <s v=""/>
    <m/>
    <m/>
    <m/>
    <m/>
    <m/>
    <s v=""/>
    <s v=""/>
    <n v="0"/>
    <n v="0"/>
    <n v="7530.8900000000012"/>
  </r>
  <r>
    <n v="381"/>
    <d v="2023-07-21T21:31:00"/>
    <s v="GOAL!"/>
    <s v="Snack Foods"/>
    <s v="North America"/>
    <n v="0"/>
    <x v="8"/>
    <s v="Dipping Dust"/>
    <x v="2"/>
    <x v="12"/>
    <s v=""/>
    <s v="Sanitary Production Costs"/>
    <s v="GOAL!"/>
    <s v="Level12_GOAL_Covid"/>
    <s v="Original"/>
    <n v="11367.2325"/>
    <s v="firm-bid"/>
    <m/>
    <m/>
    <m/>
    <m/>
    <m/>
    <m/>
    <m/>
    <m/>
    <m/>
    <m/>
    <m/>
    <m/>
    <m/>
    <s v=""/>
    <m/>
    <s v=""/>
    <s v=""/>
    <m/>
    <s v=""/>
    <s v=""/>
    <m/>
    <m/>
    <m/>
    <m/>
    <m/>
    <s v=""/>
    <m/>
    <m/>
    <s v=""/>
    <s v=""/>
    <s v=""/>
    <m/>
    <s v=""/>
    <m/>
    <m/>
    <s v=""/>
    <s v=""/>
    <m/>
    <m/>
    <m/>
    <m/>
    <s v=""/>
    <m/>
    <m/>
    <s v=""/>
    <s v=""/>
    <m/>
    <s v=""/>
    <m/>
    <m/>
    <m/>
    <m/>
    <m/>
    <s v=""/>
    <s v=""/>
    <n v="0"/>
    <n v="0"/>
    <n v="7530.8900000000012"/>
  </r>
  <r>
    <n v="381"/>
    <d v="2023-07-21T21:31:00"/>
    <s v="GOAL!"/>
    <s v="Snack Foods"/>
    <s v="North America"/>
    <n v="0"/>
    <x v="8"/>
    <s v="Dipping Dust"/>
    <x v="2"/>
    <x v="12"/>
    <s v=""/>
    <s v="Green Production Costs"/>
    <s v="GOAL!"/>
    <s v="OpenFrameworks_GOAL_Green"/>
    <s v="Original"/>
    <n v="20736"/>
    <s v="firm-bid"/>
    <m/>
    <m/>
    <m/>
    <m/>
    <m/>
    <m/>
    <m/>
    <m/>
    <m/>
    <m/>
    <m/>
    <m/>
    <m/>
    <s v=""/>
    <m/>
    <s v=""/>
    <s v=""/>
    <m/>
    <s v=""/>
    <s v=""/>
    <m/>
    <m/>
    <m/>
    <m/>
    <m/>
    <s v=""/>
    <m/>
    <m/>
    <s v=""/>
    <s v=""/>
    <s v=""/>
    <m/>
    <s v=""/>
    <m/>
    <m/>
    <s v=""/>
    <s v=""/>
    <m/>
    <m/>
    <m/>
    <m/>
    <s v=""/>
    <m/>
    <m/>
    <s v=""/>
    <s v=""/>
    <m/>
    <s v=""/>
    <m/>
    <m/>
    <m/>
    <m/>
    <m/>
    <s v=""/>
    <s v=""/>
    <n v="0"/>
    <n v="0"/>
    <n v="12357"/>
  </r>
  <r>
    <n v="381"/>
    <d v="2023-07-21T21:31:00"/>
    <s v="GOAL!"/>
    <s v="Snack Foods"/>
    <s v="North America"/>
    <n v="1"/>
    <x v="8"/>
    <s v="Dipping Dust"/>
    <x v="2"/>
    <x v="12"/>
    <s v="Petulant Pictures"/>
    <s v="Green Production Costs"/>
    <s v="GOAL!"/>
    <s v="Petulant_GOAL_Green"/>
    <s v="Original"/>
    <n v="7434"/>
    <s v="firm-bid"/>
    <n v="12357"/>
    <m/>
    <m/>
    <m/>
    <m/>
    <m/>
    <m/>
    <m/>
    <n v="0"/>
    <n v="0"/>
    <m/>
    <m/>
    <m/>
    <s v=""/>
    <m/>
    <s v=""/>
    <s v=""/>
    <n v="0"/>
    <s v=""/>
    <s v=""/>
    <n v="0"/>
    <m/>
    <n v="0"/>
    <m/>
    <n v="0"/>
    <s v=""/>
    <n v="0"/>
    <m/>
    <s v=""/>
    <s v=""/>
    <s v=""/>
    <n v="0"/>
    <s v=""/>
    <n v="5900"/>
    <m/>
    <s v=""/>
    <s v=""/>
    <n v="0"/>
    <n v="0"/>
    <m/>
    <m/>
    <s v=""/>
    <n v="0"/>
    <n v="0"/>
    <s v=""/>
    <s v=""/>
    <m/>
    <s v=""/>
    <m/>
    <m/>
    <n v="0"/>
    <n v="0"/>
    <n v="0"/>
    <s v=""/>
    <s v=""/>
    <n v="0"/>
    <n v="0"/>
    <n v="12357"/>
  </r>
  <r>
    <n v="381"/>
    <d v="2023-07-21T21:31:00"/>
    <s v="GOAL!"/>
    <s v="Snack Foods"/>
    <s v="North America"/>
    <n v="0"/>
    <x v="8"/>
    <s v="Dipping Dust"/>
    <x v="2"/>
    <x v="12"/>
    <s v=""/>
    <s v="Green Production Costs"/>
    <s v="GOAL!"/>
    <s v="Level12_GOAL_Green"/>
    <s v="Original"/>
    <n v="8901"/>
    <s v="firm-bid"/>
    <m/>
    <m/>
    <m/>
    <m/>
    <m/>
    <m/>
    <m/>
    <m/>
    <m/>
    <m/>
    <m/>
    <m/>
    <m/>
    <s v=""/>
    <m/>
    <s v=""/>
    <s v=""/>
    <m/>
    <s v=""/>
    <s v=""/>
    <m/>
    <m/>
    <m/>
    <m/>
    <m/>
    <s v=""/>
    <m/>
    <m/>
    <s v=""/>
    <s v=""/>
    <s v=""/>
    <m/>
    <s v=""/>
    <m/>
    <m/>
    <s v=""/>
    <s v=""/>
    <m/>
    <m/>
    <m/>
    <m/>
    <s v=""/>
    <m/>
    <m/>
    <s v=""/>
    <s v=""/>
    <m/>
    <s v=""/>
    <m/>
    <m/>
    <m/>
    <m/>
    <m/>
    <s v=""/>
    <s v=""/>
    <n v="0"/>
    <n v="0"/>
    <n v="12357"/>
  </r>
  <r>
    <n v="381"/>
    <d v="2023-07-21T21:31:00"/>
    <s v="GOAL!"/>
    <s v="Snack Foods"/>
    <s v="North America"/>
    <n v="0"/>
    <x v="8"/>
    <s v="Dipping Dust"/>
    <x v="2"/>
    <x v="12"/>
    <s v=""/>
    <s v="Editorial"/>
    <s v="TBLLC - GOAL"/>
    <s v="TimeBomb_GOAL_Edit"/>
    <s v="Original"/>
    <n v="113916.25"/>
    <s v="firm-bid"/>
    <m/>
    <m/>
    <m/>
    <m/>
    <m/>
    <m/>
    <m/>
    <m/>
    <m/>
    <m/>
    <m/>
    <m/>
    <m/>
    <s v=""/>
    <m/>
    <s v=""/>
    <s v=""/>
    <m/>
    <s v=""/>
    <s v=""/>
    <m/>
    <m/>
    <m/>
    <m/>
    <m/>
    <s v=""/>
    <m/>
    <m/>
    <s v=""/>
    <s v=""/>
    <s v=""/>
    <m/>
    <s v=""/>
    <m/>
    <m/>
    <s v=""/>
    <s v=""/>
    <m/>
    <m/>
    <m/>
    <m/>
    <s v=""/>
    <m/>
    <m/>
    <s v=""/>
    <s v=""/>
    <m/>
    <s v=""/>
    <m/>
    <m/>
    <m/>
    <m/>
    <m/>
    <s v=""/>
    <s v=""/>
    <n v="0"/>
    <n v="0"/>
    <n v="114682.08887666666"/>
  </r>
  <r>
    <n v="381"/>
    <d v="2023-07-21T21:31:00"/>
    <s v="GOAL!"/>
    <s v="Snack Foods"/>
    <s v="North America"/>
    <n v="0"/>
    <x v="8"/>
    <s v="Dipping Dust"/>
    <x v="2"/>
    <x v="12"/>
    <s v=""/>
    <s v="Editorial"/>
    <s v="GOAL!"/>
    <s v="Armistace_GOAL_Edit"/>
    <s v="Original"/>
    <n v="42051.68333"/>
    <s v="firm-bid"/>
    <m/>
    <m/>
    <m/>
    <m/>
    <m/>
    <m/>
    <m/>
    <m/>
    <m/>
    <m/>
    <m/>
    <m/>
    <m/>
    <s v=""/>
    <m/>
    <s v=""/>
    <s v=""/>
    <m/>
    <s v=""/>
    <s v=""/>
    <m/>
    <m/>
    <m/>
    <m/>
    <m/>
    <s v=""/>
    <m/>
    <m/>
    <s v=""/>
    <s v=""/>
    <s v=""/>
    <m/>
    <s v=""/>
    <m/>
    <m/>
    <s v=""/>
    <s v=""/>
    <m/>
    <m/>
    <m/>
    <m/>
    <s v=""/>
    <m/>
    <m/>
    <s v=""/>
    <s v=""/>
    <m/>
    <s v=""/>
    <m/>
    <m/>
    <m/>
    <m/>
    <m/>
    <s v=""/>
    <s v=""/>
    <n v="0"/>
    <n v="0"/>
    <n v="114682.08887666666"/>
  </r>
  <r>
    <n v="381"/>
    <d v="2023-07-21T21:31:00"/>
    <s v="GOAL!"/>
    <s v="Snack Foods"/>
    <s v="North America"/>
    <n v="1"/>
    <x v="8"/>
    <s v="Dipping Dust"/>
    <x v="2"/>
    <x v="12"/>
    <s v="Toto"/>
    <s v="Editorial"/>
    <s v="GOAL!"/>
    <s v="ToTo_GOAL_Edit"/>
    <s v="Original"/>
    <n v="188078.3333"/>
    <s v="firm-bid"/>
    <n v="114682.0889"/>
    <m/>
    <m/>
    <m/>
    <n v="1"/>
    <m/>
    <m/>
    <m/>
    <m/>
    <m/>
    <m/>
    <m/>
    <m/>
    <s v=""/>
    <m/>
    <s v=""/>
    <s v=""/>
    <m/>
    <s v=""/>
    <s v=""/>
    <n v="35900"/>
    <n v="51850"/>
    <n v="31700"/>
    <n v="17750"/>
    <m/>
    <s v=""/>
    <m/>
    <m/>
    <s v=""/>
    <s v=""/>
    <s v=""/>
    <m/>
    <s v=""/>
    <m/>
    <m/>
    <s v=""/>
    <s v=""/>
    <m/>
    <m/>
    <m/>
    <m/>
    <s v=""/>
    <m/>
    <m/>
    <s v=""/>
    <s v=""/>
    <m/>
    <s v=""/>
    <m/>
    <m/>
    <m/>
    <m/>
    <m/>
    <s v=""/>
    <s v=""/>
    <n v="0"/>
    <n v="0"/>
    <n v="114682.08887666666"/>
  </r>
  <r>
    <n v="381"/>
    <d v="2023-07-21T21:31:00"/>
    <s v="GOAL!"/>
    <s v="Snack Foods"/>
    <s v="North America"/>
    <n v="0"/>
    <x v="8"/>
    <s v="Dipping Dust"/>
    <x v="2"/>
    <x v="12"/>
    <s v=""/>
    <s v="Finishing"/>
    <s v="Here &amp; Now for ‚ÄúGOAL!‚Äù"/>
    <s v="HereandNow_GOAL_Finishing"/>
    <s v="Original"/>
    <n v="50400"/>
    <s v="firm-bid"/>
    <m/>
    <m/>
    <m/>
    <m/>
    <m/>
    <m/>
    <m/>
    <m/>
    <m/>
    <m/>
    <m/>
    <m/>
    <m/>
    <s v=""/>
    <m/>
    <s v=""/>
    <s v=""/>
    <m/>
    <s v=""/>
    <s v=""/>
    <m/>
    <m/>
    <m/>
    <m/>
    <m/>
    <s v=""/>
    <m/>
    <m/>
    <s v=""/>
    <s v=""/>
    <s v=""/>
    <m/>
    <s v=""/>
    <m/>
    <m/>
    <s v=""/>
    <s v=""/>
    <m/>
    <m/>
    <m/>
    <m/>
    <s v=""/>
    <m/>
    <m/>
    <s v=""/>
    <s v=""/>
    <m/>
    <s v=""/>
    <m/>
    <m/>
    <m/>
    <m/>
    <m/>
    <s v=""/>
    <s v=""/>
    <n v="0"/>
    <n v="0"/>
    <n v="35100"/>
  </r>
  <r>
    <n v="381"/>
    <d v="2023-07-21T21:31:00"/>
    <s v="GOAL!"/>
    <s v="Snack Foods"/>
    <s v="North America"/>
    <n v="1"/>
    <x v="8"/>
    <s v="Dipping Dust"/>
    <x v="2"/>
    <x v="12"/>
    <s v="Persons of Interest"/>
    <s v="Finishing"/>
    <s v="‚ÄúGOAL!‚Äù - POI"/>
    <s v="PersonsofInterest_GOAL_Finishing"/>
    <s v="Original"/>
    <n v="19800"/>
    <s v="firm-bid"/>
    <n v="35100"/>
    <m/>
    <m/>
    <m/>
    <m/>
    <m/>
    <m/>
    <m/>
    <m/>
    <m/>
    <m/>
    <m/>
    <m/>
    <s v=""/>
    <m/>
    <s v=""/>
    <s v=""/>
    <m/>
    <s v=""/>
    <s v=""/>
    <m/>
    <m/>
    <m/>
    <m/>
    <m/>
    <s v=""/>
    <m/>
    <n v="19800"/>
    <s v=""/>
    <s v=""/>
    <s v=""/>
    <m/>
    <s v=""/>
    <m/>
    <m/>
    <s v=""/>
    <s v=""/>
    <m/>
    <m/>
    <m/>
    <m/>
    <s v=""/>
    <m/>
    <m/>
    <s v=""/>
    <s v=""/>
    <m/>
    <s v=""/>
    <m/>
    <m/>
    <m/>
    <m/>
    <m/>
    <s v=""/>
    <s v=""/>
    <n v="0"/>
    <n v="0"/>
    <n v="35100"/>
  </r>
  <r>
    <n v="383"/>
    <d v="2023-07-21T21:32:00"/>
    <s v="Alerts"/>
    <s v="Snack Foods"/>
    <s v="North America"/>
    <n v="1"/>
    <x v="8"/>
    <s v="ZingNuts"/>
    <x v="2"/>
    <x v="13"/>
    <s v="Sound Monster"/>
    <s v="Audio Post"/>
    <s v="Sound Monster&quot;Wedding&quot;"/>
    <s v="Sound Monster"/>
    <s v="Original"/>
    <n v="26860"/>
    <s v="firm-bid"/>
    <n v="29703.333330000001"/>
    <m/>
    <m/>
    <m/>
    <m/>
    <m/>
    <m/>
    <m/>
    <m/>
    <m/>
    <n v="26860"/>
    <m/>
    <m/>
    <s v=""/>
    <m/>
    <s v=""/>
    <s v=""/>
    <m/>
    <s v=""/>
    <s v=""/>
    <m/>
    <m/>
    <m/>
    <m/>
    <m/>
    <s v=""/>
    <m/>
    <m/>
    <s v=""/>
    <s v=""/>
    <s v=""/>
    <m/>
    <s v=""/>
    <m/>
    <m/>
    <s v=""/>
    <s v=""/>
    <m/>
    <m/>
    <m/>
    <m/>
    <s v=""/>
    <m/>
    <m/>
    <s v=""/>
    <s v=""/>
    <m/>
    <s v=""/>
    <m/>
    <m/>
    <m/>
    <m/>
    <m/>
    <s v=""/>
    <s v=""/>
    <n v="0"/>
    <n v="0"/>
    <n v="29703.333333333332"/>
  </r>
  <r>
    <n v="383"/>
    <d v="2023-07-21T21:32:00"/>
    <s v="Alerts"/>
    <s v="Snack Foods"/>
    <s v="North America"/>
    <n v="0"/>
    <x v="8"/>
    <s v="ZingNuts"/>
    <x v="2"/>
    <x v="13"/>
    <s v=""/>
    <s v="Audio Post"/>
    <s v="Earwax"/>
    <s v="Earwax"/>
    <s v="Original"/>
    <n v="35140"/>
    <s v="firm-bid"/>
    <m/>
    <m/>
    <m/>
    <m/>
    <m/>
    <m/>
    <m/>
    <m/>
    <m/>
    <m/>
    <m/>
    <m/>
    <m/>
    <s v=""/>
    <m/>
    <s v=""/>
    <s v=""/>
    <m/>
    <s v=""/>
    <s v=""/>
    <m/>
    <m/>
    <m/>
    <m/>
    <m/>
    <s v=""/>
    <m/>
    <m/>
    <s v=""/>
    <s v=""/>
    <s v=""/>
    <m/>
    <s v=""/>
    <m/>
    <m/>
    <s v=""/>
    <s v=""/>
    <m/>
    <m/>
    <m/>
    <m/>
    <s v=""/>
    <m/>
    <m/>
    <s v=""/>
    <s v=""/>
    <m/>
    <s v=""/>
    <m/>
    <m/>
    <m/>
    <m/>
    <m/>
    <s v=""/>
    <s v=""/>
    <n v="0"/>
    <n v="0"/>
    <n v="29703.333333333332"/>
  </r>
  <r>
    <n v="383"/>
    <d v="2023-07-21T21:32:00"/>
    <s v="Alerts"/>
    <s v="Snack Foods"/>
    <s v="North America"/>
    <n v="0"/>
    <x v="8"/>
    <s v="ZingNuts"/>
    <x v="2"/>
    <x v="13"/>
    <s v=""/>
    <s v="Audio Post"/>
    <s v="Special Oaks &quot;Alerts&quot;"/>
    <s v="Special Oaks"/>
    <s v="Original"/>
    <n v="27110"/>
    <s v="firm-bid"/>
    <m/>
    <m/>
    <m/>
    <m/>
    <m/>
    <n v="1"/>
    <n v="1"/>
    <m/>
    <m/>
    <m/>
    <m/>
    <m/>
    <m/>
    <s v=""/>
    <m/>
    <s v=""/>
    <s v=""/>
    <m/>
    <s v=""/>
    <s v=""/>
    <m/>
    <m/>
    <m/>
    <m/>
    <m/>
    <s v=""/>
    <m/>
    <m/>
    <s v=""/>
    <s v=""/>
    <s v=""/>
    <m/>
    <s v=""/>
    <m/>
    <m/>
    <s v=""/>
    <s v=""/>
    <m/>
    <m/>
    <m/>
    <m/>
    <s v=""/>
    <m/>
    <m/>
    <s v=""/>
    <s v=""/>
    <m/>
    <s v=""/>
    <m/>
    <m/>
    <m/>
    <m/>
    <m/>
    <s v=""/>
    <s v=""/>
    <n v="0"/>
    <n v="0"/>
    <n v="29703.333333333332"/>
  </r>
  <r>
    <n v="383"/>
    <d v="2023-07-21T21:32:00"/>
    <s v="Alerts"/>
    <s v="Snack Foods"/>
    <s v="North America"/>
    <n v="0"/>
    <x v="8"/>
    <s v="ZingNuts"/>
    <x v="2"/>
    <x v="13"/>
    <s v=""/>
    <s v="Film &amp; Video Production"/>
    <s v="Alerts"/>
    <s v="CHAW_Alerts_LiveAction"/>
    <s v="Original"/>
    <n v="747478.50249999994"/>
    <s v="firm-bid"/>
    <m/>
    <m/>
    <m/>
    <m/>
    <m/>
    <m/>
    <n v="1"/>
    <m/>
    <m/>
    <m/>
    <m/>
    <m/>
    <m/>
    <s v=""/>
    <m/>
    <s v=""/>
    <s v=""/>
    <m/>
    <s v=""/>
    <s v=""/>
    <m/>
    <m/>
    <m/>
    <m/>
    <m/>
    <s v=""/>
    <m/>
    <m/>
    <s v=""/>
    <s v=""/>
    <s v=""/>
    <m/>
    <s v=""/>
    <m/>
    <m/>
    <s v=""/>
    <s v=""/>
    <m/>
    <m/>
    <m/>
    <m/>
    <s v=""/>
    <m/>
    <m/>
    <s v=""/>
    <s v=""/>
    <m/>
    <s v=""/>
    <m/>
    <m/>
    <m/>
    <m/>
    <m/>
    <s v=""/>
    <s v=""/>
    <n v="0"/>
    <n v="0"/>
    <n v="874857.81183333334"/>
  </r>
  <r>
    <n v="383"/>
    <d v="2023-07-21T21:32:00"/>
    <s v="Alerts"/>
    <s v="Snack Foods"/>
    <s v="North America"/>
    <n v="1"/>
    <x v="8"/>
    <s v="ZingNuts"/>
    <x v="2"/>
    <x v="13"/>
    <s v="Harmony &amp; Light"/>
    <s v="Film &amp; Video Production"/>
    <s v="Alerts"/>
    <s v="harmony_and_Light_Alerts_LiveAction"/>
    <s v="Original"/>
    <n v="1004959.898"/>
    <s v="firm-bid"/>
    <n v="874857.81169999996"/>
    <m/>
    <m/>
    <m/>
    <m/>
    <m/>
    <m/>
    <m/>
    <n v="27599"/>
    <n v="47000"/>
    <m/>
    <m/>
    <m/>
    <s v=""/>
    <m/>
    <s v=""/>
    <s v=""/>
    <n v="215000"/>
    <s v=""/>
    <s v=""/>
    <n v="0"/>
    <m/>
    <n v="0"/>
    <m/>
    <n v="127050"/>
    <s v=""/>
    <n v="2500"/>
    <m/>
    <s v=""/>
    <s v=""/>
    <s v=""/>
    <n v="22008"/>
    <s v=""/>
    <n v="18000"/>
    <m/>
    <s v=""/>
    <s v=""/>
    <n v="30875"/>
    <n v="94523"/>
    <m/>
    <m/>
    <s v=""/>
    <n v="25000"/>
    <n v="147209.92000000001"/>
    <s v=""/>
    <s v=""/>
    <m/>
    <s v=""/>
    <m/>
    <m/>
    <n v="28360"/>
    <n v="0"/>
    <n v="0"/>
    <s v=""/>
    <s v=""/>
    <n v="0"/>
    <n v="0"/>
    <n v="874857.81183333334"/>
  </r>
  <r>
    <n v="383"/>
    <d v="2023-07-21T21:32:00"/>
    <s v="Alerts"/>
    <s v="Snack Foods"/>
    <s v="North America"/>
    <n v="0"/>
    <x v="8"/>
    <s v="ZingNuts"/>
    <x v="2"/>
    <x v="13"/>
    <s v=""/>
    <s v="Film &amp; Video Production"/>
    <s v="Alerts"/>
    <s v="Club101_Alerts_LiveAction"/>
    <s v="Original"/>
    <n v="872135.03500000003"/>
    <s v="firm-bid"/>
    <m/>
    <m/>
    <m/>
    <m/>
    <m/>
    <m/>
    <m/>
    <m/>
    <m/>
    <m/>
    <m/>
    <m/>
    <m/>
    <s v=""/>
    <m/>
    <s v=""/>
    <s v=""/>
    <m/>
    <s v=""/>
    <s v=""/>
    <m/>
    <m/>
    <m/>
    <m/>
    <m/>
    <s v=""/>
    <m/>
    <m/>
    <s v=""/>
    <s v=""/>
    <s v=""/>
    <m/>
    <s v=""/>
    <m/>
    <m/>
    <s v=""/>
    <s v=""/>
    <m/>
    <m/>
    <m/>
    <m/>
    <s v=""/>
    <m/>
    <m/>
    <s v=""/>
    <s v=""/>
    <m/>
    <s v=""/>
    <m/>
    <m/>
    <m/>
    <m/>
    <m/>
    <s v=""/>
    <s v=""/>
    <n v="0"/>
    <n v="0"/>
    <n v="874857.81183333334"/>
  </r>
  <r>
    <n v="383"/>
    <d v="2023-07-21T21:32:00"/>
    <s v="Alerts"/>
    <s v="Snack Foods"/>
    <s v="North America"/>
    <n v="0"/>
    <x v="8"/>
    <s v="ZingNuts"/>
    <x v="2"/>
    <x v="13"/>
    <s v=""/>
    <s v="Sanitary Production Costs"/>
    <s v="Alerts"/>
    <s v="CHAW_Alerts_Covid"/>
    <s v="Original"/>
    <n v="7089.75"/>
    <s v="firm-bid"/>
    <m/>
    <m/>
    <m/>
    <m/>
    <m/>
    <m/>
    <n v="1"/>
    <m/>
    <m/>
    <m/>
    <m/>
    <m/>
    <m/>
    <s v=""/>
    <m/>
    <s v=""/>
    <s v=""/>
    <m/>
    <s v=""/>
    <s v=""/>
    <m/>
    <m/>
    <m/>
    <m/>
    <m/>
    <s v=""/>
    <m/>
    <m/>
    <s v=""/>
    <s v=""/>
    <s v=""/>
    <m/>
    <s v=""/>
    <m/>
    <m/>
    <s v=""/>
    <s v=""/>
    <m/>
    <m/>
    <m/>
    <m/>
    <s v=""/>
    <m/>
    <m/>
    <s v=""/>
    <s v=""/>
    <m/>
    <s v=""/>
    <m/>
    <m/>
    <m/>
    <m/>
    <m/>
    <s v=""/>
    <s v=""/>
    <n v="0"/>
    <n v="0"/>
    <n v="9665.6924999999992"/>
  </r>
  <r>
    <n v="383"/>
    <d v="2023-07-21T21:32:00"/>
    <s v="Alerts"/>
    <s v="Snack Foods"/>
    <s v="North America"/>
    <n v="1"/>
    <x v="8"/>
    <s v="ZingNuts"/>
    <x v="2"/>
    <x v="13"/>
    <s v="Harmony &amp; Light"/>
    <s v="Sanitary Production Costs"/>
    <s v="Alerts"/>
    <s v="harmony_and_Light_Alerts_Covid"/>
    <s v="Original"/>
    <n v="11453.885"/>
    <s v="firm-bid"/>
    <n v="9665.6924999999992"/>
    <m/>
    <m/>
    <m/>
    <m/>
    <m/>
    <m/>
    <m/>
    <m/>
    <m/>
    <m/>
    <m/>
    <m/>
    <s v=""/>
    <n v="5050"/>
    <s v=""/>
    <s v=""/>
    <m/>
    <s v=""/>
    <s v=""/>
    <m/>
    <m/>
    <m/>
    <m/>
    <m/>
    <s v=""/>
    <m/>
    <m/>
    <s v=""/>
    <s v=""/>
    <s v=""/>
    <m/>
    <s v=""/>
    <m/>
    <m/>
    <s v=""/>
    <s v=""/>
    <m/>
    <m/>
    <n v="2220"/>
    <m/>
    <s v=""/>
    <m/>
    <m/>
    <s v=""/>
    <s v=""/>
    <m/>
    <s v=""/>
    <m/>
    <m/>
    <m/>
    <m/>
    <m/>
    <s v=""/>
    <s v=""/>
    <n v="0"/>
    <n v="0"/>
    <n v="9665.6924999999992"/>
  </r>
  <r>
    <n v="383"/>
    <d v="2023-07-21T21:32:00"/>
    <s v="Alerts"/>
    <s v="Snack Foods"/>
    <s v="North America"/>
    <n v="0"/>
    <x v="8"/>
    <s v="ZingNuts"/>
    <x v="2"/>
    <x v="13"/>
    <s v=""/>
    <s v="Sanitary Production Costs"/>
    <s v="Alerts"/>
    <s v="Club101_Alerts_Covid"/>
    <s v="Original"/>
    <n v="10453.442499999999"/>
    <s v="firm-bid"/>
    <m/>
    <m/>
    <m/>
    <m/>
    <m/>
    <m/>
    <m/>
    <m/>
    <m/>
    <m/>
    <m/>
    <m/>
    <m/>
    <s v=""/>
    <m/>
    <s v=""/>
    <s v=""/>
    <m/>
    <s v=""/>
    <s v=""/>
    <m/>
    <m/>
    <m/>
    <m/>
    <m/>
    <s v=""/>
    <m/>
    <m/>
    <s v=""/>
    <s v=""/>
    <s v=""/>
    <m/>
    <s v=""/>
    <m/>
    <m/>
    <s v=""/>
    <s v=""/>
    <m/>
    <m/>
    <m/>
    <m/>
    <s v=""/>
    <m/>
    <m/>
    <s v=""/>
    <s v=""/>
    <m/>
    <s v=""/>
    <m/>
    <m/>
    <m/>
    <m/>
    <m/>
    <s v=""/>
    <s v=""/>
    <n v="0"/>
    <n v="0"/>
    <n v="9665.6924999999992"/>
  </r>
  <r>
    <n v="383"/>
    <d v="2023-07-21T21:32:00"/>
    <s v="Alerts"/>
    <s v="Snack Foods"/>
    <s v="North America"/>
    <n v="0"/>
    <x v="8"/>
    <s v="ZingNuts"/>
    <x v="2"/>
    <x v="13"/>
    <s v=""/>
    <s v="Green Production Costs"/>
    <s v="Alerts"/>
    <s v="CHAW_Alerts_Green"/>
    <s v="Original"/>
    <n v="16256"/>
    <s v="firm-bid"/>
    <m/>
    <m/>
    <m/>
    <m/>
    <m/>
    <m/>
    <n v="1"/>
    <m/>
    <m/>
    <m/>
    <m/>
    <m/>
    <m/>
    <s v=""/>
    <m/>
    <s v=""/>
    <s v=""/>
    <m/>
    <s v=""/>
    <s v=""/>
    <m/>
    <m/>
    <m/>
    <m/>
    <m/>
    <s v=""/>
    <m/>
    <m/>
    <s v=""/>
    <s v=""/>
    <s v=""/>
    <m/>
    <s v=""/>
    <m/>
    <m/>
    <s v=""/>
    <s v=""/>
    <m/>
    <m/>
    <m/>
    <m/>
    <s v=""/>
    <m/>
    <m/>
    <s v=""/>
    <s v=""/>
    <m/>
    <s v=""/>
    <m/>
    <m/>
    <m/>
    <m/>
    <m/>
    <s v=""/>
    <s v=""/>
    <n v="0"/>
    <n v="0"/>
    <n v="13940.666666666666"/>
  </r>
  <r>
    <n v="383"/>
    <d v="2023-07-21T21:32:00"/>
    <s v="Alerts"/>
    <s v="Snack Foods"/>
    <s v="North America"/>
    <n v="1"/>
    <x v="8"/>
    <s v="ZingNuts"/>
    <x v="2"/>
    <x v="13"/>
    <s v="Harmony &amp; Light"/>
    <s v="Green Production Costs"/>
    <s v="Alerts"/>
    <s v="harmony_and_Light_Alerts_Green"/>
    <s v="Original"/>
    <n v="9828"/>
    <s v="firm-bid"/>
    <n v="13940.666670000001"/>
    <m/>
    <m/>
    <m/>
    <m/>
    <m/>
    <m/>
    <m/>
    <n v="0"/>
    <n v="0"/>
    <m/>
    <m/>
    <m/>
    <s v=""/>
    <m/>
    <s v=""/>
    <s v=""/>
    <n v="0"/>
    <s v=""/>
    <s v=""/>
    <n v="0"/>
    <m/>
    <n v="0"/>
    <m/>
    <n v="0"/>
    <s v=""/>
    <n v="0"/>
    <m/>
    <s v=""/>
    <s v=""/>
    <s v=""/>
    <n v="0"/>
    <s v=""/>
    <n v="7800"/>
    <m/>
    <s v=""/>
    <s v=""/>
    <n v="0"/>
    <n v="0"/>
    <m/>
    <m/>
    <s v=""/>
    <n v="0"/>
    <n v="0"/>
    <s v=""/>
    <s v=""/>
    <m/>
    <s v=""/>
    <m/>
    <m/>
    <n v="0"/>
    <n v="0"/>
    <n v="0"/>
    <s v=""/>
    <s v=""/>
    <n v="0"/>
    <n v="0"/>
    <n v="13940.666666666666"/>
  </r>
  <r>
    <n v="383"/>
    <d v="2023-07-21T21:32:00"/>
    <s v="Alerts"/>
    <s v="Snack Foods"/>
    <s v="North America"/>
    <n v="0"/>
    <x v="8"/>
    <s v="ZingNuts"/>
    <x v="2"/>
    <x v="13"/>
    <s v=""/>
    <s v="Green Production Costs"/>
    <s v="Alerts"/>
    <s v="Club101_Alerts_Green"/>
    <s v="Original"/>
    <n v="15738"/>
    <s v="firm-bid"/>
    <m/>
    <m/>
    <m/>
    <m/>
    <m/>
    <m/>
    <m/>
    <m/>
    <m/>
    <m/>
    <m/>
    <m/>
    <m/>
    <s v=""/>
    <m/>
    <s v=""/>
    <s v=""/>
    <m/>
    <s v=""/>
    <s v=""/>
    <m/>
    <m/>
    <m/>
    <m/>
    <m/>
    <s v=""/>
    <m/>
    <m/>
    <s v=""/>
    <s v=""/>
    <s v=""/>
    <m/>
    <s v=""/>
    <m/>
    <m/>
    <s v=""/>
    <s v=""/>
    <m/>
    <m/>
    <m/>
    <m/>
    <s v=""/>
    <m/>
    <m/>
    <s v=""/>
    <s v=""/>
    <m/>
    <s v=""/>
    <m/>
    <m/>
    <m/>
    <m/>
    <m/>
    <s v=""/>
    <s v=""/>
    <n v="0"/>
    <n v="0"/>
    <n v="13940.666666666666"/>
  </r>
  <r>
    <n v="383"/>
    <d v="2023-07-21T21:32:00"/>
    <s v="Alerts"/>
    <s v="Snack Foods"/>
    <s v="North America"/>
    <n v="1"/>
    <x v="8"/>
    <s v="ZingNuts"/>
    <x v="2"/>
    <x v="13"/>
    <s v="Armistice Edit"/>
    <s v="Editorial"/>
    <s v="Alerts"/>
    <s v="Armistace_Alerts_Edit"/>
    <s v="Original"/>
    <n v="126939.1667"/>
    <s v="firm-bid"/>
    <n v="115215.8"/>
    <m/>
    <m/>
    <m/>
    <m/>
    <m/>
    <m/>
    <m/>
    <m/>
    <m/>
    <m/>
    <m/>
    <m/>
    <s v=""/>
    <m/>
    <s v=""/>
    <s v=""/>
    <m/>
    <s v=""/>
    <s v=""/>
    <n v="22550"/>
    <n v="37400"/>
    <n v="24650"/>
    <n v="8000"/>
    <m/>
    <s v=""/>
    <m/>
    <m/>
    <s v=""/>
    <s v=""/>
    <s v=""/>
    <m/>
    <s v=""/>
    <m/>
    <m/>
    <s v=""/>
    <s v=""/>
    <m/>
    <m/>
    <m/>
    <m/>
    <s v=""/>
    <m/>
    <m/>
    <s v=""/>
    <s v=""/>
    <m/>
    <s v=""/>
    <m/>
    <m/>
    <m/>
    <m/>
    <m/>
    <s v=""/>
    <s v=""/>
    <n v="0"/>
    <n v="0"/>
    <n v="115215.80002333333"/>
  </r>
  <r>
    <n v="383"/>
    <d v="2023-07-21T21:32:00"/>
    <s v="Alerts"/>
    <s v="Snack Foods"/>
    <s v="North America"/>
    <n v="0"/>
    <x v="8"/>
    <s v="ZingNuts"/>
    <x v="2"/>
    <x v="13"/>
    <s v=""/>
    <s v="Editorial"/>
    <s v="Alerts"/>
    <s v="TotalCuts_Alerts_Edit"/>
    <s v="Original"/>
    <n v="98974.166670000006"/>
    <s v="firm-bid"/>
    <m/>
    <m/>
    <m/>
    <m/>
    <m/>
    <m/>
    <m/>
    <m/>
    <m/>
    <m/>
    <m/>
    <m/>
    <m/>
    <s v=""/>
    <m/>
    <s v=""/>
    <s v=""/>
    <m/>
    <s v=""/>
    <s v=""/>
    <m/>
    <m/>
    <m/>
    <m/>
    <m/>
    <s v=""/>
    <m/>
    <m/>
    <s v=""/>
    <s v=""/>
    <s v=""/>
    <m/>
    <s v=""/>
    <m/>
    <m/>
    <s v=""/>
    <s v=""/>
    <m/>
    <m/>
    <m/>
    <m/>
    <s v=""/>
    <m/>
    <m/>
    <s v=""/>
    <s v=""/>
    <m/>
    <s v=""/>
    <m/>
    <m/>
    <m/>
    <m/>
    <m/>
    <s v=""/>
    <s v=""/>
    <n v="0"/>
    <n v="0"/>
    <n v="115215.80002333333"/>
  </r>
  <r>
    <n v="383"/>
    <d v="2023-07-21T21:32:00"/>
    <s v="Alerts"/>
    <s v="Snack Foods"/>
    <s v="North America"/>
    <n v="0"/>
    <x v="8"/>
    <s v="ZingNuts"/>
    <x v="2"/>
    <x v="13"/>
    <s v=""/>
    <s v="Editorial"/>
    <s v="Alerts"/>
    <s v="MyrtleRow_Alerts_Edit"/>
    <s v="Original"/>
    <n v="119734.0667"/>
    <s v="firm-bid"/>
    <m/>
    <m/>
    <m/>
    <m/>
    <m/>
    <m/>
    <m/>
    <m/>
    <m/>
    <m/>
    <m/>
    <m/>
    <m/>
    <s v=""/>
    <m/>
    <s v=""/>
    <s v=""/>
    <m/>
    <s v=""/>
    <s v=""/>
    <m/>
    <m/>
    <m/>
    <m/>
    <m/>
    <s v=""/>
    <m/>
    <m/>
    <s v=""/>
    <s v=""/>
    <s v=""/>
    <m/>
    <s v=""/>
    <m/>
    <m/>
    <s v=""/>
    <s v=""/>
    <m/>
    <m/>
    <m/>
    <m/>
    <s v=""/>
    <m/>
    <m/>
    <s v=""/>
    <s v=""/>
    <m/>
    <s v=""/>
    <m/>
    <m/>
    <m/>
    <m/>
    <m/>
    <s v=""/>
    <s v=""/>
    <n v="0"/>
    <n v="0"/>
    <n v="115215.80002333333"/>
  </r>
  <r>
    <n v="383"/>
    <d v="2023-07-21T21:32:00"/>
    <s v="Alerts"/>
    <s v="Snack Foods"/>
    <s v="North America"/>
    <n v="1"/>
    <x v="8"/>
    <s v="ZingNuts"/>
    <x v="2"/>
    <x v="13"/>
    <s v="ColorMaven"/>
    <s v="Finishing"/>
    <s v="colorMaven &quot;Alerts&quot;"/>
    <s v="ColorMaven_Alerts_Finishing"/>
    <s v="Original"/>
    <n v="61200"/>
    <s v="firm-bid"/>
    <n v="55050"/>
    <m/>
    <m/>
    <m/>
    <m/>
    <n v="1"/>
    <m/>
    <m/>
    <m/>
    <m/>
    <m/>
    <m/>
    <m/>
    <s v=""/>
    <m/>
    <s v=""/>
    <s v=""/>
    <m/>
    <s v=""/>
    <s v=""/>
    <m/>
    <m/>
    <m/>
    <m/>
    <m/>
    <s v=""/>
    <m/>
    <n v="61200"/>
    <s v=""/>
    <s v=""/>
    <s v=""/>
    <m/>
    <s v=""/>
    <m/>
    <m/>
    <s v=""/>
    <s v=""/>
    <m/>
    <m/>
    <m/>
    <m/>
    <s v=""/>
    <m/>
    <m/>
    <s v=""/>
    <s v=""/>
    <m/>
    <s v=""/>
    <m/>
    <m/>
    <m/>
    <m/>
    <m/>
    <s v=""/>
    <s v=""/>
    <n v="0"/>
    <n v="0"/>
    <n v="55050"/>
  </r>
  <r>
    <n v="383"/>
    <d v="2023-07-21T21:32:00"/>
    <s v="Alerts"/>
    <s v="Snack Foods"/>
    <s v="North America"/>
    <n v="0"/>
    <x v="8"/>
    <s v="ZingNuts"/>
    <x v="2"/>
    <x v="13"/>
    <s v=""/>
    <s v="Finishing"/>
    <s v="&quot;Alerts&quot;"/>
    <s v="AndiamoImages_Alerts_Finishing"/>
    <s v="Original"/>
    <n v="48900"/>
    <s v="firm-bid"/>
    <m/>
    <m/>
    <m/>
    <m/>
    <m/>
    <n v="1"/>
    <m/>
    <m/>
    <m/>
    <m/>
    <m/>
    <m/>
    <m/>
    <s v=""/>
    <m/>
    <s v=""/>
    <s v=""/>
    <m/>
    <s v=""/>
    <s v=""/>
    <m/>
    <m/>
    <m/>
    <m/>
    <m/>
    <s v=""/>
    <m/>
    <m/>
    <s v=""/>
    <s v=""/>
    <s v=""/>
    <m/>
    <s v=""/>
    <m/>
    <m/>
    <s v=""/>
    <s v=""/>
    <m/>
    <m/>
    <m/>
    <m/>
    <s v=""/>
    <m/>
    <m/>
    <s v=""/>
    <s v=""/>
    <m/>
    <s v=""/>
    <m/>
    <m/>
    <m/>
    <m/>
    <m/>
    <s v=""/>
    <s v=""/>
    <n v="0"/>
    <n v="0"/>
    <n v="55050"/>
  </r>
  <r>
    <n v="383"/>
    <d v="2023-07-21T21:32:00"/>
    <s v="Alerts"/>
    <s v="Snack Foods"/>
    <s v="North America"/>
    <n v="0"/>
    <x v="8"/>
    <s v="ZingNuts"/>
    <x v="2"/>
    <x v="13"/>
    <s v=""/>
    <s v="Still Photography Production"/>
    <s v="Alerts"/>
    <s v="CHAW_Alerts_Stills"/>
    <s v="Original"/>
    <n v="105544.1578"/>
    <s v="firm-bid"/>
    <m/>
    <m/>
    <m/>
    <m/>
    <m/>
    <m/>
    <n v="1"/>
    <m/>
    <m/>
    <m/>
    <m/>
    <m/>
    <m/>
    <s v=""/>
    <m/>
    <s v=""/>
    <s v=""/>
    <m/>
    <s v=""/>
    <s v=""/>
    <m/>
    <m/>
    <m/>
    <m/>
    <m/>
    <s v=""/>
    <m/>
    <m/>
    <s v=""/>
    <s v=""/>
    <s v=""/>
    <m/>
    <s v=""/>
    <m/>
    <m/>
    <s v=""/>
    <s v=""/>
    <m/>
    <m/>
    <m/>
    <m/>
    <s v=""/>
    <m/>
    <m/>
    <s v=""/>
    <s v=""/>
    <m/>
    <s v=""/>
    <m/>
    <m/>
    <m/>
    <m/>
    <m/>
    <s v=""/>
    <s v=""/>
    <n v="0"/>
    <n v="0"/>
    <n v="128176.29536666667"/>
  </r>
  <r>
    <n v="383"/>
    <d v="2023-07-21T21:32:00"/>
    <s v="Alerts"/>
    <s v="Snack Foods"/>
    <s v="North America"/>
    <n v="1"/>
    <x v="8"/>
    <s v="ZingNuts"/>
    <x v="2"/>
    <x v="13"/>
    <s v="Kent Wilson Studio"/>
    <s v="Still Photography Production"/>
    <s v="Kent Wilson Studio Estimate for &quot;Alerts&quot; #2"/>
    <s v="KentWilsonStudio_Alerts_Stills"/>
    <s v="Original"/>
    <n v="133961.44750000001"/>
    <s v="firm-bid"/>
    <n v="128176.2954"/>
    <m/>
    <n v="1"/>
    <m/>
    <m/>
    <m/>
    <m/>
    <m/>
    <m/>
    <n v="0"/>
    <m/>
    <m/>
    <n v="7342"/>
    <s v=""/>
    <m/>
    <s v=""/>
    <s v=""/>
    <m/>
    <s v=""/>
    <s v=""/>
    <m/>
    <m/>
    <m/>
    <m/>
    <n v="10816"/>
    <s v=""/>
    <n v="3177"/>
    <m/>
    <s v=""/>
    <s v=""/>
    <s v=""/>
    <m/>
    <s v=""/>
    <n v="0"/>
    <m/>
    <s v=""/>
    <s v=""/>
    <n v="9154"/>
    <m/>
    <m/>
    <n v="19244"/>
    <s v=""/>
    <n v="0"/>
    <n v="33007"/>
    <s v=""/>
    <s v=""/>
    <n v="3530"/>
    <s v=""/>
    <m/>
    <n v="1261"/>
    <m/>
    <n v="1390"/>
    <n v="4604"/>
    <s v=""/>
    <s v=""/>
    <n v="0"/>
    <n v="0"/>
    <n v="128176.29536666667"/>
  </r>
  <r>
    <n v="383"/>
    <d v="2023-07-21T21:32:00"/>
    <s v="Alerts"/>
    <s v="Snack Foods"/>
    <s v="North America"/>
    <n v="0"/>
    <x v="8"/>
    <s v="ZingNuts"/>
    <x v="2"/>
    <x v="13"/>
    <s v=""/>
    <s v="Still Photography Production"/>
    <s v="&quot;Alerts&quot; Stills - Furrier¬†"/>
    <s v="Furrier_Alerts_Stills"/>
    <s v="Original"/>
    <n v="145023.28080000001"/>
    <s v="firm-bid"/>
    <m/>
    <n v="1"/>
    <m/>
    <m/>
    <m/>
    <m/>
    <m/>
    <m/>
    <m/>
    <m/>
    <m/>
    <m/>
    <m/>
    <s v=""/>
    <m/>
    <s v=""/>
    <s v=""/>
    <m/>
    <s v=""/>
    <s v=""/>
    <m/>
    <m/>
    <m/>
    <m/>
    <m/>
    <s v=""/>
    <m/>
    <m/>
    <s v=""/>
    <s v=""/>
    <s v=""/>
    <m/>
    <s v=""/>
    <m/>
    <m/>
    <s v=""/>
    <s v=""/>
    <m/>
    <m/>
    <m/>
    <m/>
    <s v=""/>
    <m/>
    <m/>
    <s v=""/>
    <s v=""/>
    <m/>
    <s v=""/>
    <m/>
    <m/>
    <m/>
    <m/>
    <m/>
    <s v=""/>
    <s v=""/>
    <n v="145023.28080000001"/>
    <n v="0"/>
    <n v="128176.29536666667"/>
  </r>
  <r>
    <n v="383"/>
    <d v="2023-07-21T21:32:00"/>
    <s v="Alerts"/>
    <s v="Snack Foods"/>
    <s v="North America"/>
    <n v="0"/>
    <x v="8"/>
    <s v="ZingNuts"/>
    <x v="2"/>
    <x v="13"/>
    <s v=""/>
    <s v="Photo Retouching &amp; Post"/>
    <s v="Alerts"/>
    <s v="CHAW_Alerts_Retouching"/>
    <s v="Original"/>
    <n v="23500"/>
    <s v="firm-bid"/>
    <m/>
    <m/>
    <m/>
    <m/>
    <m/>
    <m/>
    <n v="1"/>
    <m/>
    <m/>
    <m/>
    <m/>
    <m/>
    <m/>
    <s v=""/>
    <m/>
    <s v=""/>
    <s v=""/>
    <m/>
    <s v=""/>
    <s v=""/>
    <m/>
    <m/>
    <m/>
    <m/>
    <m/>
    <s v=""/>
    <m/>
    <m/>
    <s v=""/>
    <s v=""/>
    <s v=""/>
    <m/>
    <s v=""/>
    <m/>
    <m/>
    <s v=""/>
    <s v=""/>
    <m/>
    <m/>
    <m/>
    <m/>
    <s v=""/>
    <m/>
    <m/>
    <s v=""/>
    <s v=""/>
    <m/>
    <s v=""/>
    <m/>
    <m/>
    <m/>
    <m/>
    <m/>
    <s v=""/>
    <s v=""/>
    <n v="0"/>
    <n v="0"/>
    <n v="30533.333333333332"/>
  </r>
  <r>
    <n v="383"/>
    <d v="2023-07-21T21:32:00"/>
    <s v="Alerts"/>
    <s v="Snack Foods"/>
    <s v="North America"/>
    <n v="1"/>
    <x v="8"/>
    <s v="ZingNuts"/>
    <x v="2"/>
    <x v="13"/>
    <s v="Kent Wilson Studio"/>
    <s v="Photo Retouching &amp; Post"/>
    <s v="Kent Wilson Studio Estimate for &quot;Alerts&quot; #2"/>
    <s v="KentWilsonStudio_Alerts_Retouching"/>
    <s v="Original"/>
    <n v="36150"/>
    <s v="firm-bid"/>
    <n v="30533.333330000001"/>
    <m/>
    <n v="1"/>
    <m/>
    <m/>
    <m/>
    <m/>
    <m/>
    <m/>
    <m/>
    <m/>
    <m/>
    <m/>
    <s v=""/>
    <m/>
    <s v=""/>
    <s v=""/>
    <m/>
    <s v=""/>
    <s v=""/>
    <m/>
    <m/>
    <m/>
    <m/>
    <m/>
    <s v=""/>
    <m/>
    <m/>
    <s v=""/>
    <s v=""/>
    <s v=""/>
    <m/>
    <s v=""/>
    <m/>
    <m/>
    <s v=""/>
    <s v=""/>
    <m/>
    <m/>
    <m/>
    <m/>
    <s v=""/>
    <m/>
    <m/>
    <s v=""/>
    <s v=""/>
    <m/>
    <s v=""/>
    <n v="36150"/>
    <m/>
    <m/>
    <m/>
    <m/>
    <s v=""/>
    <s v=""/>
    <n v="0"/>
    <n v="0"/>
    <n v="30533.333333333332"/>
  </r>
  <r>
    <n v="383"/>
    <d v="2023-07-21T21:32:00"/>
    <s v="Alerts"/>
    <s v="Snack Foods"/>
    <s v="North America"/>
    <n v="0"/>
    <x v="8"/>
    <s v="ZingNuts"/>
    <x v="2"/>
    <x v="13"/>
    <s v=""/>
    <s v="Photo Retouching &amp; Post"/>
    <s v="&quot;Alerts&quot; Stills - Furrier¬†"/>
    <s v="Furrier_Alerts_Retouching"/>
    <s v="Original"/>
    <n v="31950"/>
    <s v="firm-bid"/>
    <m/>
    <n v="1"/>
    <m/>
    <m/>
    <m/>
    <m/>
    <m/>
    <m/>
    <m/>
    <m/>
    <m/>
    <m/>
    <m/>
    <s v=""/>
    <m/>
    <s v=""/>
    <s v=""/>
    <m/>
    <s v=""/>
    <s v=""/>
    <m/>
    <m/>
    <m/>
    <m/>
    <m/>
    <s v=""/>
    <m/>
    <m/>
    <s v=""/>
    <s v=""/>
    <s v=""/>
    <m/>
    <s v=""/>
    <m/>
    <m/>
    <s v=""/>
    <s v=""/>
    <m/>
    <m/>
    <m/>
    <m/>
    <s v=""/>
    <m/>
    <m/>
    <s v=""/>
    <s v=""/>
    <m/>
    <s v=""/>
    <m/>
    <m/>
    <m/>
    <m/>
    <m/>
    <s v=""/>
    <s v=""/>
    <n v="31950"/>
    <n v="0"/>
    <n v="30533.3333333333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n v="330"/>
    <x v="0"/>
    <n v="0"/>
    <x v="0"/>
    <s v=""/>
    <x v="0"/>
    <n v="50580"/>
    <m/>
    <m/>
    <m/>
    <m/>
    <m/>
    <m/>
    <m/>
    <s v="0"/>
    <s v="0"/>
    <n v="36220"/>
    <m/>
    <m/>
    <m/>
    <m/>
  </r>
  <r>
    <n v="330"/>
    <x v="0"/>
    <n v="0"/>
    <x v="0"/>
    <s v=""/>
    <x v="1"/>
    <n v="21700"/>
    <m/>
    <m/>
    <m/>
    <m/>
    <m/>
    <n v="1"/>
    <m/>
    <s v="0"/>
    <s v="0"/>
    <n v="25166.666666666668"/>
    <m/>
    <m/>
    <m/>
    <m/>
  </r>
  <r>
    <n v="330"/>
    <x v="0"/>
    <n v="0"/>
    <x v="0"/>
    <s v=""/>
    <x v="1"/>
    <n v="35450"/>
    <m/>
    <m/>
    <m/>
    <m/>
    <m/>
    <m/>
    <m/>
    <s v="0"/>
    <s v="0"/>
    <n v="25166.666666666668"/>
    <m/>
    <m/>
    <m/>
    <m/>
  </r>
  <r>
    <n v="330"/>
    <x v="0"/>
    <n v="0"/>
    <x v="0"/>
    <s v=""/>
    <x v="2"/>
    <n v="151338.10579999999"/>
    <m/>
    <m/>
    <m/>
    <m/>
    <m/>
    <n v="1"/>
    <m/>
    <s v="0"/>
    <s v="0"/>
    <n v="149975.39453333334"/>
    <m/>
    <m/>
    <m/>
    <m/>
  </r>
  <r>
    <n v="330"/>
    <x v="0"/>
    <n v="0"/>
    <x v="0"/>
    <s v=""/>
    <x v="2"/>
    <n v="152418.70199999999"/>
    <m/>
    <m/>
    <m/>
    <m/>
    <m/>
    <m/>
    <m/>
    <s v="0"/>
    <s v="0"/>
    <n v="149975.39453333334"/>
    <m/>
    <m/>
    <m/>
    <m/>
  </r>
  <r>
    <n v="330"/>
    <x v="0"/>
    <n v="0"/>
    <x v="0"/>
    <s v=""/>
    <x v="3"/>
    <n v="836827.74"/>
    <m/>
    <m/>
    <n v="1"/>
    <m/>
    <m/>
    <m/>
    <n v="1"/>
    <s v="0"/>
    <s v="0"/>
    <n v="689735.13113333331"/>
    <m/>
    <m/>
    <m/>
    <m/>
  </r>
  <r>
    <n v="330"/>
    <x v="0"/>
    <n v="0"/>
    <x v="0"/>
    <s v=""/>
    <x v="4"/>
    <n v="5136.13"/>
    <m/>
    <m/>
    <n v="1"/>
    <m/>
    <m/>
    <m/>
    <n v="1"/>
    <s v="0"/>
    <s v="0"/>
    <n v="5600.9025000000001"/>
    <m/>
    <m/>
    <m/>
    <m/>
  </r>
  <r>
    <n v="330"/>
    <x v="0"/>
    <n v="0"/>
    <x v="0"/>
    <s v=""/>
    <x v="5"/>
    <n v="7182"/>
    <m/>
    <m/>
    <n v="1"/>
    <m/>
    <m/>
    <m/>
    <n v="1"/>
    <s v="0"/>
    <s v="0"/>
    <n v="5023.3333333333339"/>
    <m/>
    <m/>
    <m/>
    <m/>
  </r>
  <r>
    <n v="330"/>
    <x v="0"/>
    <n v="0"/>
    <x v="0"/>
    <s v=""/>
    <x v="6"/>
    <n v="123512.0833"/>
    <m/>
    <m/>
    <m/>
    <m/>
    <m/>
    <m/>
    <m/>
    <s v="0"/>
    <s v="0"/>
    <n v="123349.4111"/>
    <m/>
    <m/>
    <m/>
    <m/>
  </r>
  <r>
    <n v="330"/>
    <x v="0"/>
    <n v="0"/>
    <x v="0"/>
    <s v=""/>
    <x v="6"/>
    <n v="122612.8167"/>
    <m/>
    <m/>
    <m/>
    <m/>
    <m/>
    <m/>
    <m/>
    <s v="0"/>
    <s v="0"/>
    <n v="123349.4111"/>
    <m/>
    <m/>
    <m/>
    <m/>
  </r>
  <r>
    <n v="330"/>
    <x v="0"/>
    <n v="0"/>
    <x v="0"/>
    <s v=""/>
    <x v="7"/>
    <n v="53600"/>
    <m/>
    <m/>
    <m/>
    <m/>
    <m/>
    <m/>
    <m/>
    <s v="0"/>
    <s v="0"/>
    <n v="38500"/>
    <m/>
    <m/>
    <m/>
    <m/>
  </r>
  <r>
    <n v="330"/>
    <x v="0"/>
    <n v="0"/>
    <x v="0"/>
    <s v=""/>
    <x v="7"/>
    <n v="20600"/>
    <m/>
    <m/>
    <m/>
    <m/>
    <m/>
    <m/>
    <m/>
    <s v="0"/>
    <s v="0"/>
    <n v="38500"/>
    <m/>
    <m/>
    <m/>
    <m/>
  </r>
  <r>
    <n v="332"/>
    <x v="1"/>
    <n v="0"/>
    <x v="0"/>
    <s v=""/>
    <x v="0"/>
    <n v="21500"/>
    <m/>
    <m/>
    <m/>
    <m/>
    <m/>
    <m/>
    <m/>
    <s v="0"/>
    <s v="0"/>
    <n v="31766.666666666664"/>
    <m/>
    <m/>
    <m/>
    <m/>
  </r>
  <r>
    <n v="332"/>
    <x v="1"/>
    <n v="0"/>
    <x v="0"/>
    <s v=""/>
    <x v="3"/>
    <n v="804309.03"/>
    <m/>
    <m/>
    <m/>
    <m/>
    <m/>
    <n v="1"/>
    <m/>
    <s v="0"/>
    <s v="0"/>
    <n v="827429.73420000006"/>
    <m/>
    <m/>
    <m/>
    <m/>
  </r>
  <r>
    <n v="332"/>
    <x v="1"/>
    <n v="0"/>
    <x v="0"/>
    <s v=""/>
    <x v="4"/>
    <n v="11871.3925"/>
    <m/>
    <m/>
    <m/>
    <m/>
    <m/>
    <n v="1"/>
    <m/>
    <s v="0"/>
    <s v="0"/>
    <n v="7782.9699999999993"/>
    <m/>
    <m/>
    <m/>
    <m/>
  </r>
  <r>
    <n v="332"/>
    <x v="1"/>
    <n v="0"/>
    <x v="0"/>
    <s v=""/>
    <x v="5"/>
    <n v="6750"/>
    <m/>
    <m/>
    <m/>
    <m/>
    <m/>
    <n v="1"/>
    <m/>
    <s v="0"/>
    <s v="0"/>
    <n v="11750"/>
    <m/>
    <m/>
    <m/>
    <m/>
  </r>
  <r>
    <n v="332"/>
    <x v="1"/>
    <n v="0"/>
    <x v="0"/>
    <s v=""/>
    <x v="6"/>
    <n v="94579.274999999994"/>
    <m/>
    <m/>
    <m/>
    <m/>
    <m/>
    <n v="1"/>
    <n v="1"/>
    <s v="0"/>
    <s v="0"/>
    <n v="114895.93886666666"/>
    <m/>
    <m/>
    <m/>
    <m/>
  </r>
  <r>
    <n v="332"/>
    <x v="1"/>
    <n v="0"/>
    <x v="0"/>
    <s v=""/>
    <x v="7"/>
    <n v="29850"/>
    <m/>
    <m/>
    <m/>
    <m/>
    <m/>
    <m/>
    <m/>
    <s v="0"/>
    <s v="0"/>
    <n v="36283.333333333336"/>
    <m/>
    <m/>
    <m/>
    <m/>
  </r>
  <r>
    <n v="332"/>
    <x v="1"/>
    <n v="0"/>
    <x v="0"/>
    <s v=""/>
    <x v="7"/>
    <n v="16900"/>
    <m/>
    <m/>
    <m/>
    <m/>
    <m/>
    <m/>
    <m/>
    <s v="0"/>
    <s v="0"/>
    <n v="36283.333333333336"/>
    <m/>
    <m/>
    <m/>
    <m/>
  </r>
  <r>
    <n v="332"/>
    <x v="1"/>
    <n v="0"/>
    <x v="0"/>
    <s v=""/>
    <x v="2"/>
    <n v="192655.61499999999"/>
    <m/>
    <m/>
    <m/>
    <m/>
    <m/>
    <n v="1"/>
    <m/>
    <s v="0"/>
    <s v="0"/>
    <n v="158633.04393333333"/>
    <m/>
    <m/>
    <m/>
    <m/>
  </r>
  <r>
    <n v="332"/>
    <x v="1"/>
    <n v="0"/>
    <x v="0"/>
    <s v=""/>
    <x v="2"/>
    <n v="143694.28479999999"/>
    <m/>
    <m/>
    <n v="1"/>
    <m/>
    <m/>
    <m/>
    <m/>
    <s v="0"/>
    <s v="0"/>
    <n v="158633.04393333333"/>
    <m/>
    <m/>
    <m/>
    <m/>
  </r>
  <r>
    <n v="332"/>
    <x v="1"/>
    <n v="0"/>
    <x v="0"/>
    <s v=""/>
    <x v="1"/>
    <n v="38300"/>
    <m/>
    <m/>
    <m/>
    <m/>
    <m/>
    <n v="1"/>
    <m/>
    <s v="0"/>
    <s v="0"/>
    <n v="29616.666666666664"/>
    <m/>
    <m/>
    <m/>
    <m/>
  </r>
  <r>
    <n v="332"/>
    <x v="1"/>
    <n v="0"/>
    <x v="0"/>
    <s v=""/>
    <x v="1"/>
    <n v="27550"/>
    <m/>
    <m/>
    <n v="1"/>
    <m/>
    <m/>
    <m/>
    <m/>
    <s v="0"/>
    <s v="0"/>
    <n v="29616.666666666664"/>
    <m/>
    <m/>
    <m/>
    <m/>
  </r>
  <r>
    <n v="332"/>
    <x v="1"/>
    <n v="0"/>
    <x v="0"/>
    <s v=""/>
    <x v="8"/>
    <n v="17251.724999999999"/>
    <m/>
    <m/>
    <m/>
    <m/>
    <m/>
    <n v="1"/>
    <m/>
    <s v="0"/>
    <s v="0"/>
    <n v="18144.508333333331"/>
    <m/>
    <m/>
    <m/>
    <m/>
  </r>
  <r>
    <n v="334"/>
    <x v="2"/>
    <n v="0"/>
    <x v="0"/>
    <s v=""/>
    <x v="9"/>
    <n v="52050"/>
    <m/>
    <m/>
    <m/>
    <m/>
    <m/>
    <m/>
    <n v="1"/>
    <s v="0"/>
    <s v="0"/>
    <n v="45025"/>
    <m/>
    <m/>
    <m/>
    <m/>
  </r>
  <r>
    <n v="334"/>
    <x v="2"/>
    <n v="0"/>
    <x v="0"/>
    <s v=""/>
    <x v="8"/>
    <n v="19693.75"/>
    <m/>
    <m/>
    <m/>
    <m/>
    <m/>
    <m/>
    <n v="1"/>
    <s v="0"/>
    <s v="0"/>
    <n v="15807.516666666666"/>
    <m/>
    <m/>
    <m/>
    <m/>
  </r>
  <r>
    <n v="334"/>
    <x v="2"/>
    <n v="0"/>
    <x v="0"/>
    <s v=""/>
    <x v="8"/>
    <n v="14573.375"/>
    <m/>
    <m/>
    <m/>
    <m/>
    <m/>
    <m/>
    <m/>
    <s v="0"/>
    <s v="0"/>
    <n v="15807.516666666666"/>
    <m/>
    <m/>
    <m/>
    <m/>
  </r>
  <r>
    <n v="336"/>
    <x v="3"/>
    <n v="0"/>
    <x v="0"/>
    <s v=""/>
    <x v="0"/>
    <n v="68240"/>
    <m/>
    <m/>
    <m/>
    <m/>
    <m/>
    <m/>
    <m/>
    <s v="0"/>
    <s v="0"/>
    <n v="42320"/>
    <m/>
    <m/>
    <m/>
    <m/>
  </r>
  <r>
    <n v="336"/>
    <x v="3"/>
    <n v="0"/>
    <x v="0"/>
    <s v=""/>
    <x v="0"/>
    <n v="30200"/>
    <m/>
    <m/>
    <m/>
    <m/>
    <m/>
    <m/>
    <m/>
    <s v="0"/>
    <s v="0"/>
    <n v="42320"/>
    <m/>
    <m/>
    <m/>
    <m/>
  </r>
  <r>
    <n v="336"/>
    <x v="3"/>
    <n v="0"/>
    <x v="0"/>
    <s v=""/>
    <x v="3"/>
    <n v="828919.11840000004"/>
    <m/>
    <m/>
    <m/>
    <m/>
    <m/>
    <m/>
    <m/>
    <s v="0"/>
    <s v="0"/>
    <n v="786422.47120000003"/>
    <m/>
    <m/>
    <m/>
    <m/>
  </r>
  <r>
    <n v="336"/>
    <x v="3"/>
    <n v="0"/>
    <x v="0"/>
    <s v=""/>
    <x v="4"/>
    <n v="12273.145"/>
    <m/>
    <m/>
    <m/>
    <m/>
    <m/>
    <m/>
    <m/>
    <s v="0"/>
    <s v="0"/>
    <n v="8015.3562500000007"/>
    <m/>
    <m/>
    <m/>
    <m/>
  </r>
  <r>
    <n v="336"/>
    <x v="3"/>
    <n v="0"/>
    <x v="0"/>
    <s v=""/>
    <x v="5"/>
    <n v="17766"/>
    <m/>
    <m/>
    <m/>
    <m/>
    <m/>
    <m/>
    <m/>
    <s v="0"/>
    <s v="0"/>
    <n v="15561"/>
    <m/>
    <m/>
    <m/>
    <m/>
  </r>
  <r>
    <n v="336"/>
    <x v="3"/>
    <n v="0"/>
    <x v="0"/>
    <s v=""/>
    <x v="6"/>
    <n v="111646.15"/>
    <m/>
    <m/>
    <m/>
    <m/>
    <m/>
    <m/>
    <m/>
    <s v="0"/>
    <s v="0"/>
    <n v="131253.17914999998"/>
    <m/>
    <m/>
    <m/>
    <m/>
  </r>
  <r>
    <n v="338"/>
    <x v="4"/>
    <n v="0"/>
    <x v="0"/>
    <s v=""/>
    <x v="0"/>
    <n v="31420"/>
    <m/>
    <m/>
    <m/>
    <m/>
    <m/>
    <m/>
    <m/>
    <s v="0"/>
    <s v="0"/>
    <n v="26493.333333333332"/>
    <m/>
    <m/>
    <m/>
    <m/>
  </r>
  <r>
    <n v="338"/>
    <x v="4"/>
    <n v="0"/>
    <x v="0"/>
    <s v=""/>
    <x v="9"/>
    <n v="41950"/>
    <m/>
    <m/>
    <m/>
    <m/>
    <m/>
    <m/>
    <m/>
    <s v="0"/>
    <s v="0"/>
    <n v="33925"/>
    <m/>
    <m/>
    <m/>
    <m/>
  </r>
  <r>
    <n v="338"/>
    <x v="4"/>
    <n v="0"/>
    <x v="0"/>
    <s v=""/>
    <x v="2"/>
    <n v="175300.40669999999"/>
    <m/>
    <m/>
    <m/>
    <m/>
    <m/>
    <m/>
    <m/>
    <s v="0"/>
    <s v="0"/>
    <n v="169276.77456666666"/>
    <m/>
    <m/>
    <m/>
    <m/>
  </r>
  <r>
    <n v="338"/>
    <x v="4"/>
    <n v="0"/>
    <x v="0"/>
    <s v=""/>
    <x v="2"/>
    <n v="147033.4357"/>
    <m/>
    <m/>
    <m/>
    <m/>
    <m/>
    <m/>
    <m/>
    <s v="0"/>
    <s v="0"/>
    <n v="169276.77456666666"/>
    <m/>
    <m/>
    <m/>
    <m/>
  </r>
  <r>
    <n v="338"/>
    <x v="4"/>
    <n v="0"/>
    <x v="0"/>
    <s v=""/>
    <x v="10"/>
    <n v="131202.5"/>
    <m/>
    <m/>
    <m/>
    <m/>
    <m/>
    <m/>
    <m/>
    <s v="0"/>
    <s v="0"/>
    <n v="116983.75"/>
    <m/>
    <m/>
    <m/>
    <m/>
  </r>
  <r>
    <n v="338"/>
    <x v="4"/>
    <n v="0"/>
    <x v="0"/>
    <s v=""/>
    <x v="3"/>
    <n v="651508.09499999997"/>
    <m/>
    <m/>
    <n v="1"/>
    <m/>
    <m/>
    <m/>
    <n v="1"/>
    <s v="0"/>
    <s v="0"/>
    <n v="758314.41500000004"/>
    <m/>
    <m/>
    <m/>
    <m/>
  </r>
  <r>
    <n v="338"/>
    <x v="4"/>
    <n v="0"/>
    <x v="0"/>
    <s v=""/>
    <x v="3"/>
    <n v="876794.625"/>
    <m/>
    <m/>
    <n v="1"/>
    <m/>
    <m/>
    <m/>
    <n v="1"/>
    <s v="0"/>
    <s v="0"/>
    <n v="758314.41500000004"/>
    <m/>
    <m/>
    <m/>
    <m/>
  </r>
  <r>
    <n v="338"/>
    <x v="4"/>
    <n v="0"/>
    <x v="0"/>
    <s v=""/>
    <x v="4"/>
    <n v="6207.47"/>
    <m/>
    <m/>
    <n v="1"/>
    <m/>
    <m/>
    <m/>
    <n v="1"/>
    <s v="0"/>
    <s v="0"/>
    <n v="4912.9341666666669"/>
    <m/>
    <m/>
    <m/>
    <m/>
  </r>
  <r>
    <n v="338"/>
    <x v="4"/>
    <n v="0"/>
    <x v="0"/>
    <s v=""/>
    <x v="4"/>
    <n v="3174.6325000000002"/>
    <m/>
    <m/>
    <n v="1"/>
    <m/>
    <m/>
    <m/>
    <n v="1"/>
    <s v="0"/>
    <s v="0"/>
    <n v="4912.9341666666669"/>
    <m/>
    <m/>
    <m/>
    <m/>
  </r>
  <r>
    <n v="338"/>
    <x v="4"/>
    <n v="0"/>
    <x v="0"/>
    <s v=""/>
    <x v="5"/>
    <n v="19592"/>
    <m/>
    <m/>
    <n v="1"/>
    <m/>
    <m/>
    <m/>
    <n v="1"/>
    <s v="0"/>
    <s v="0"/>
    <n v="14893"/>
    <m/>
    <m/>
    <m/>
    <m/>
  </r>
  <r>
    <n v="338"/>
    <x v="4"/>
    <n v="0"/>
    <x v="0"/>
    <s v=""/>
    <x v="5"/>
    <n v="16383"/>
    <m/>
    <m/>
    <n v="1"/>
    <m/>
    <m/>
    <m/>
    <n v="1"/>
    <s v="0"/>
    <s v="0"/>
    <n v="14893"/>
    <m/>
    <m/>
    <m/>
    <m/>
  </r>
  <r>
    <n v="338"/>
    <x v="4"/>
    <n v="0"/>
    <x v="0"/>
    <s v=""/>
    <x v="1"/>
    <n v="38700"/>
    <m/>
    <m/>
    <m/>
    <m/>
    <m/>
    <m/>
    <m/>
    <s v="0"/>
    <s v="0"/>
    <n v="47966.666666666664"/>
    <m/>
    <m/>
    <m/>
    <m/>
  </r>
  <r>
    <n v="338"/>
    <x v="4"/>
    <n v="0"/>
    <x v="0"/>
    <s v=""/>
    <x v="1"/>
    <n v="50000"/>
    <m/>
    <m/>
    <m/>
    <m/>
    <m/>
    <m/>
    <m/>
    <s v="0"/>
    <s v="0"/>
    <n v="47966.666666666664"/>
    <m/>
    <m/>
    <m/>
    <m/>
  </r>
  <r>
    <n v="340"/>
    <x v="5"/>
    <n v="0"/>
    <x v="0"/>
    <s v=""/>
    <x v="0"/>
    <n v="32110"/>
    <m/>
    <m/>
    <m/>
    <m/>
    <m/>
    <m/>
    <m/>
    <s v="0"/>
    <s v="0"/>
    <n v="25766.666666666668"/>
    <m/>
    <m/>
    <m/>
    <m/>
  </r>
  <r>
    <n v="340"/>
    <x v="5"/>
    <n v="0"/>
    <x v="0"/>
    <s v=""/>
    <x v="3"/>
    <n v="783241.875"/>
    <m/>
    <m/>
    <n v="1"/>
    <m/>
    <m/>
    <m/>
    <n v="1"/>
    <s v="0"/>
    <s v="0"/>
    <n v="711043.51246666664"/>
    <m/>
    <m/>
    <m/>
    <m/>
  </r>
  <r>
    <n v="340"/>
    <x v="5"/>
    <n v="0"/>
    <x v="0"/>
    <s v=""/>
    <x v="3"/>
    <n v="736037.19"/>
    <m/>
    <m/>
    <m/>
    <m/>
    <m/>
    <n v="1"/>
    <m/>
    <s v="0"/>
    <s v="0"/>
    <n v="711043.51246666664"/>
    <m/>
    <m/>
    <m/>
    <m/>
  </r>
  <r>
    <n v="340"/>
    <x v="5"/>
    <n v="0"/>
    <x v="0"/>
    <s v=""/>
    <x v="4"/>
    <n v="3883.6075000000001"/>
    <m/>
    <m/>
    <n v="1"/>
    <m/>
    <m/>
    <m/>
    <n v="1"/>
    <s v="0"/>
    <s v="0"/>
    <n v="5621.9091666666673"/>
    <m/>
    <m/>
    <m/>
    <m/>
  </r>
  <r>
    <n v="340"/>
    <x v="5"/>
    <n v="0"/>
    <x v="0"/>
    <s v=""/>
    <x v="4"/>
    <n v="5774.2075000000004"/>
    <m/>
    <m/>
    <m/>
    <m/>
    <m/>
    <n v="1"/>
    <m/>
    <s v="0"/>
    <s v="0"/>
    <n v="5621.9091666666673"/>
    <m/>
    <m/>
    <m/>
    <m/>
  </r>
  <r>
    <n v="340"/>
    <x v="5"/>
    <n v="0"/>
    <x v="0"/>
    <s v=""/>
    <x v="5"/>
    <n v="9271"/>
    <m/>
    <m/>
    <n v="1"/>
    <m/>
    <m/>
    <m/>
    <n v="1"/>
    <s v="0"/>
    <s v="0"/>
    <n v="16903.666666666668"/>
    <m/>
    <m/>
    <m/>
    <m/>
  </r>
  <r>
    <n v="340"/>
    <x v="5"/>
    <n v="0"/>
    <x v="0"/>
    <s v=""/>
    <x v="5"/>
    <n v="21120"/>
    <m/>
    <m/>
    <m/>
    <m/>
    <m/>
    <n v="1"/>
    <m/>
    <s v="0"/>
    <s v="0"/>
    <n v="16903.666666666668"/>
    <m/>
    <m/>
    <m/>
    <m/>
  </r>
  <r>
    <n v="340"/>
    <x v="5"/>
    <n v="0"/>
    <x v="0"/>
    <s v=""/>
    <x v="6"/>
    <n v="115561.25"/>
    <m/>
    <m/>
    <m/>
    <m/>
    <m/>
    <m/>
    <n v="1"/>
    <s v="0"/>
    <s v="0"/>
    <n v="147026.44443333332"/>
    <m/>
    <m/>
    <m/>
    <m/>
  </r>
  <r>
    <n v="373"/>
    <x v="6"/>
    <n v="0"/>
    <x v="0"/>
    <s v=""/>
    <x v="0"/>
    <n v="27510"/>
    <m/>
    <m/>
    <m/>
    <m/>
    <m/>
    <m/>
    <m/>
    <s v="0"/>
    <s v="0"/>
    <n v="28400"/>
    <m/>
    <m/>
    <m/>
    <m/>
  </r>
  <r>
    <n v="373"/>
    <x v="6"/>
    <n v="0"/>
    <x v="0"/>
    <s v=""/>
    <x v="10"/>
    <n v="118137.5"/>
    <m/>
    <m/>
    <m/>
    <m/>
    <m/>
    <n v="1"/>
    <m/>
    <s v="0"/>
    <s v="0"/>
    <n v="98628.833333333328"/>
    <m/>
    <m/>
    <m/>
    <m/>
  </r>
  <r>
    <n v="373"/>
    <x v="6"/>
    <n v="0"/>
    <x v="0"/>
    <s v=""/>
    <x v="10"/>
    <n v="75952.5"/>
    <m/>
    <m/>
    <m/>
    <m/>
    <m/>
    <m/>
    <m/>
    <s v="0"/>
    <s v="0"/>
    <n v="98628.833333333328"/>
    <m/>
    <m/>
    <m/>
    <m/>
  </r>
  <r>
    <n v="373"/>
    <x v="6"/>
    <n v="0"/>
    <x v="0"/>
    <s v=""/>
    <x v="7"/>
    <n v="31800"/>
    <m/>
    <m/>
    <m/>
    <m/>
    <m/>
    <m/>
    <m/>
    <s v="0"/>
    <s v="0"/>
    <n v="38150"/>
    <m/>
    <m/>
    <m/>
    <m/>
  </r>
  <r>
    <n v="373"/>
    <x v="6"/>
    <n v="0"/>
    <x v="0"/>
    <s v=""/>
    <x v="7"/>
    <n v="17250"/>
    <m/>
    <m/>
    <m/>
    <m/>
    <m/>
    <n v="1"/>
    <m/>
    <s v="0"/>
    <s v="0"/>
    <n v="38150"/>
    <m/>
    <m/>
    <m/>
    <m/>
  </r>
  <r>
    <n v="373"/>
    <x v="6"/>
    <n v="0"/>
    <x v="0"/>
    <s v=""/>
    <x v="6"/>
    <n v="124164.6"/>
    <m/>
    <m/>
    <m/>
    <m/>
    <m/>
    <m/>
    <n v="1"/>
    <s v="0"/>
    <s v="0"/>
    <n v="127133.82501"/>
    <m/>
    <m/>
    <m/>
    <m/>
  </r>
  <r>
    <n v="373"/>
    <x v="6"/>
    <n v="0"/>
    <x v="0"/>
    <s v=""/>
    <x v="5"/>
    <n v="16380"/>
    <m/>
    <m/>
    <n v="1"/>
    <m/>
    <m/>
    <m/>
    <m/>
    <s v="0"/>
    <s v="0"/>
    <n v="12223"/>
    <m/>
    <m/>
    <m/>
    <m/>
  </r>
  <r>
    <n v="373"/>
    <x v="6"/>
    <n v="0"/>
    <x v="0"/>
    <s v=""/>
    <x v="5"/>
    <n v="10664"/>
    <m/>
    <m/>
    <m/>
    <m/>
    <m/>
    <m/>
    <m/>
    <s v="0"/>
    <s v="0"/>
    <n v="12223"/>
    <m/>
    <m/>
    <m/>
    <m/>
  </r>
  <r>
    <n v="373"/>
    <x v="6"/>
    <n v="0"/>
    <x v="0"/>
    <s v=""/>
    <x v="4"/>
    <n v="12036.82"/>
    <m/>
    <m/>
    <n v="1"/>
    <m/>
    <m/>
    <m/>
    <m/>
    <s v="0"/>
    <s v="0"/>
    <n v="11025.874166666666"/>
    <m/>
    <m/>
    <m/>
    <m/>
  </r>
  <r>
    <n v="373"/>
    <x v="6"/>
    <n v="0"/>
    <x v="0"/>
    <s v=""/>
    <x v="4"/>
    <n v="9216.6749999999993"/>
    <m/>
    <m/>
    <m/>
    <m/>
    <m/>
    <m/>
    <m/>
    <s v="0"/>
    <s v="0"/>
    <n v="11025.874166666666"/>
    <m/>
    <m/>
    <m/>
    <m/>
  </r>
  <r>
    <n v="373"/>
    <x v="6"/>
    <n v="0"/>
    <x v="0"/>
    <s v=""/>
    <x v="3"/>
    <n v="727670.19180000003"/>
    <m/>
    <m/>
    <n v="1"/>
    <m/>
    <m/>
    <m/>
    <m/>
    <s v="0"/>
    <s v="0"/>
    <n v="723920.4031"/>
    <m/>
    <m/>
    <m/>
    <m/>
  </r>
  <r>
    <n v="373"/>
    <x v="6"/>
    <n v="0"/>
    <x v="0"/>
    <s v=""/>
    <x v="3"/>
    <n v="645713.4375"/>
    <m/>
    <m/>
    <m/>
    <m/>
    <m/>
    <m/>
    <m/>
    <s v="0"/>
    <s v="0"/>
    <n v="723920.4031"/>
    <m/>
    <m/>
    <m/>
    <m/>
  </r>
  <r>
    <n v="375"/>
    <x v="7"/>
    <n v="0"/>
    <x v="0"/>
    <s v=""/>
    <x v="3"/>
    <n v="923882.24"/>
    <m/>
    <m/>
    <n v="1"/>
    <m/>
    <m/>
    <m/>
    <n v="1"/>
    <s v="0"/>
    <s v="0"/>
    <n v="884250.9711666666"/>
    <m/>
    <m/>
    <m/>
    <m/>
  </r>
  <r>
    <n v="375"/>
    <x v="7"/>
    <n v="0"/>
    <x v="0"/>
    <s v=""/>
    <x v="3"/>
    <n v="773050.33349999995"/>
    <m/>
    <m/>
    <m/>
    <m/>
    <m/>
    <m/>
    <m/>
    <s v="0"/>
    <s v="0"/>
    <n v="884250.9711666666"/>
    <m/>
    <m/>
    <m/>
    <m/>
  </r>
  <r>
    <n v="375"/>
    <x v="7"/>
    <n v="0"/>
    <x v="0"/>
    <s v=""/>
    <x v="4"/>
    <n v="8578.5974999999999"/>
    <m/>
    <m/>
    <n v="1"/>
    <m/>
    <m/>
    <m/>
    <n v="1"/>
    <s v="0"/>
    <s v="0"/>
    <n v="6467.4274999999998"/>
    <m/>
    <m/>
    <m/>
    <m/>
  </r>
  <r>
    <n v="375"/>
    <x v="7"/>
    <n v="0"/>
    <x v="0"/>
    <s v=""/>
    <x v="4"/>
    <n v="2568.0650000000001"/>
    <m/>
    <m/>
    <m/>
    <m/>
    <m/>
    <m/>
    <m/>
    <s v="0"/>
    <s v="0"/>
    <n v="6467.4274999999998"/>
    <m/>
    <m/>
    <m/>
    <m/>
  </r>
  <r>
    <n v="375"/>
    <x v="7"/>
    <n v="0"/>
    <x v="0"/>
    <s v=""/>
    <x v="5"/>
    <n v="9198"/>
    <m/>
    <m/>
    <n v="1"/>
    <m/>
    <m/>
    <m/>
    <n v="1"/>
    <s v="0"/>
    <s v="0"/>
    <n v="9930"/>
    <m/>
    <m/>
    <m/>
    <m/>
  </r>
  <r>
    <n v="375"/>
    <x v="7"/>
    <n v="0"/>
    <x v="0"/>
    <s v=""/>
    <x v="5"/>
    <n v="9000"/>
    <m/>
    <m/>
    <m/>
    <m/>
    <m/>
    <m/>
    <m/>
    <s v="0"/>
    <s v="0"/>
    <n v="9930"/>
    <m/>
    <m/>
    <m/>
    <m/>
  </r>
  <r>
    <n v="375"/>
    <x v="7"/>
    <n v="0"/>
    <x v="0"/>
    <s v=""/>
    <x v="6"/>
    <n v="124425.0583"/>
    <m/>
    <m/>
    <m/>
    <m/>
    <m/>
    <n v="1"/>
    <n v="1"/>
    <s v="0"/>
    <s v="0"/>
    <n v="135828.56390000001"/>
    <m/>
    <m/>
    <m/>
    <m/>
  </r>
  <r>
    <n v="375"/>
    <x v="7"/>
    <n v="0"/>
    <x v="0"/>
    <s v=""/>
    <x v="6"/>
    <n v="162512.2917"/>
    <m/>
    <m/>
    <m/>
    <m/>
    <m/>
    <m/>
    <n v="1"/>
    <s v="0"/>
    <s v="0"/>
    <n v="135828.56390000001"/>
    <m/>
    <m/>
    <m/>
    <m/>
  </r>
  <r>
    <n v="375"/>
    <x v="7"/>
    <n v="0"/>
    <x v="0"/>
    <s v=""/>
    <x v="7"/>
    <n v="20650"/>
    <m/>
    <m/>
    <m/>
    <m/>
    <m/>
    <m/>
    <m/>
    <s v="0"/>
    <s v="0"/>
    <n v="21600"/>
    <m/>
    <m/>
    <m/>
    <m/>
  </r>
  <r>
    <n v="375"/>
    <x v="7"/>
    <n v="0"/>
    <x v="0"/>
    <s v=""/>
    <x v="2"/>
    <n v="115654.9077"/>
    <m/>
    <m/>
    <m/>
    <m/>
    <m/>
    <n v="1"/>
    <m/>
    <s v="0"/>
    <s v="0"/>
    <n v="151739.2697"/>
    <m/>
    <m/>
    <m/>
    <m/>
  </r>
  <r>
    <n v="375"/>
    <x v="7"/>
    <n v="0"/>
    <x v="0"/>
    <s v=""/>
    <x v="1"/>
    <n v="40000"/>
    <m/>
    <m/>
    <m/>
    <m/>
    <m/>
    <n v="1"/>
    <m/>
    <s v="0"/>
    <s v="0"/>
    <n v="26250"/>
    <m/>
    <m/>
    <m/>
    <m/>
  </r>
  <r>
    <n v="324"/>
    <x v="8"/>
    <n v="0"/>
    <x v="1"/>
    <s v=""/>
    <x v="8"/>
    <n v="14021.95"/>
    <m/>
    <m/>
    <n v="1"/>
    <m/>
    <m/>
    <m/>
    <n v="1"/>
    <s v="0"/>
    <s v="0"/>
    <n v="18774.708333333332"/>
    <m/>
    <m/>
    <m/>
    <m/>
  </r>
  <r>
    <n v="324"/>
    <x v="8"/>
    <n v="0"/>
    <x v="1"/>
    <s v=""/>
    <x v="5"/>
    <n v="8960"/>
    <m/>
    <m/>
    <n v="1"/>
    <m/>
    <m/>
    <m/>
    <n v="1"/>
    <s v="0"/>
    <s v="0"/>
    <n v="11703.333333333334"/>
    <m/>
    <m/>
    <m/>
    <m/>
  </r>
  <r>
    <n v="324"/>
    <x v="8"/>
    <n v="0"/>
    <x v="1"/>
    <s v=""/>
    <x v="4"/>
    <n v="8846.4325000000008"/>
    <m/>
    <m/>
    <n v="1"/>
    <m/>
    <m/>
    <m/>
    <n v="1"/>
    <s v="0"/>
    <s v="0"/>
    <n v="7058.2400000000007"/>
    <m/>
    <m/>
    <m/>
    <m/>
  </r>
  <r>
    <n v="324"/>
    <x v="8"/>
    <n v="0"/>
    <x v="1"/>
    <s v=""/>
    <x v="3"/>
    <n v="902114.97250000003"/>
    <m/>
    <m/>
    <n v="1"/>
    <m/>
    <m/>
    <m/>
    <n v="1"/>
    <s v="0"/>
    <s v="0"/>
    <n v="835635.3772333333"/>
    <m/>
    <m/>
    <m/>
    <m/>
  </r>
  <r>
    <n v="367"/>
    <x v="9"/>
    <n v="0"/>
    <x v="1"/>
    <s v=""/>
    <x v="1"/>
    <n v="27900"/>
    <m/>
    <m/>
    <n v="1"/>
    <m/>
    <m/>
    <m/>
    <n v="1"/>
    <s v="0"/>
    <s v="0"/>
    <n v="31316.666666666664"/>
    <m/>
    <m/>
    <m/>
    <m/>
  </r>
  <r>
    <n v="367"/>
    <x v="9"/>
    <n v="0"/>
    <x v="1"/>
    <s v=""/>
    <x v="2"/>
    <n v="184239.31520000001"/>
    <m/>
    <m/>
    <n v="1"/>
    <m/>
    <m/>
    <m/>
    <n v="1"/>
    <s v="0"/>
    <s v="0"/>
    <n v="182920.4215"/>
    <m/>
    <m/>
    <m/>
    <m/>
  </r>
  <r>
    <n v="367"/>
    <x v="9"/>
    <n v="0"/>
    <x v="1"/>
    <s v=""/>
    <x v="5"/>
    <n v="11532"/>
    <m/>
    <m/>
    <n v="1"/>
    <m/>
    <m/>
    <m/>
    <n v="1"/>
    <s v="0"/>
    <s v="0"/>
    <n v="10374.666666666666"/>
    <m/>
    <m/>
    <m/>
    <m/>
  </r>
  <r>
    <n v="367"/>
    <x v="9"/>
    <n v="0"/>
    <x v="1"/>
    <s v=""/>
    <x v="4"/>
    <n v="5340.9449999999997"/>
    <m/>
    <m/>
    <n v="1"/>
    <m/>
    <m/>
    <m/>
    <n v="1"/>
    <s v="0"/>
    <s v="0"/>
    <n v="7102.8791666666666"/>
    <m/>
    <m/>
    <m/>
    <m/>
  </r>
  <r>
    <n v="367"/>
    <x v="9"/>
    <n v="0"/>
    <x v="1"/>
    <s v=""/>
    <x v="3"/>
    <n v="804761.98400000005"/>
    <m/>
    <m/>
    <n v="1"/>
    <m/>
    <m/>
    <m/>
    <n v="1"/>
    <s v="0"/>
    <s v="0"/>
    <n v="823789.01633333333"/>
    <m/>
    <m/>
    <m/>
    <m/>
  </r>
  <r>
    <n v="324"/>
    <x v="8"/>
    <n v="0"/>
    <x v="1"/>
    <s v=""/>
    <x v="0"/>
    <n v="29320"/>
    <m/>
    <m/>
    <m/>
    <m/>
    <m/>
    <m/>
    <m/>
    <s v="0"/>
    <s v="0"/>
    <n v="48990"/>
    <m/>
    <m/>
    <m/>
    <m/>
  </r>
  <r>
    <n v="324"/>
    <x v="8"/>
    <n v="0"/>
    <x v="1"/>
    <s v=""/>
    <x v="8"/>
    <n v="22844.75"/>
    <m/>
    <m/>
    <m/>
    <m/>
    <m/>
    <m/>
    <m/>
    <s v="0"/>
    <s v="0"/>
    <n v="18774.708333333332"/>
    <m/>
    <m/>
    <m/>
    <m/>
  </r>
  <r>
    <n v="324"/>
    <x v="8"/>
    <n v="0"/>
    <x v="1"/>
    <s v=""/>
    <x v="9"/>
    <n v="34650"/>
    <m/>
    <m/>
    <m/>
    <m/>
    <m/>
    <m/>
    <m/>
    <s v="0"/>
    <s v="0"/>
    <n v="30350"/>
    <m/>
    <m/>
    <m/>
    <m/>
  </r>
  <r>
    <n v="324"/>
    <x v="8"/>
    <n v="0"/>
    <x v="1"/>
    <s v=""/>
    <x v="9"/>
    <n v="40450"/>
    <m/>
    <m/>
    <m/>
    <m/>
    <m/>
    <m/>
    <m/>
    <s v="0"/>
    <s v="0"/>
    <n v="30350"/>
    <m/>
    <m/>
    <m/>
    <m/>
  </r>
  <r>
    <n v="324"/>
    <x v="8"/>
    <n v="0"/>
    <x v="1"/>
    <s v=""/>
    <x v="6"/>
    <n v="122415.4167"/>
    <m/>
    <m/>
    <m/>
    <m/>
    <m/>
    <m/>
    <n v="1"/>
    <s v="0"/>
    <s v="0"/>
    <n v="93441.483333333337"/>
    <m/>
    <m/>
    <m/>
    <m/>
  </r>
  <r>
    <n v="324"/>
    <x v="8"/>
    <n v="0"/>
    <x v="1"/>
    <s v=""/>
    <x v="5"/>
    <n v="12400"/>
    <m/>
    <m/>
    <m/>
    <m/>
    <m/>
    <m/>
    <m/>
    <s v="0"/>
    <s v="0"/>
    <n v="11703.333333333334"/>
    <m/>
    <m/>
    <m/>
    <m/>
  </r>
  <r>
    <n v="324"/>
    <x v="8"/>
    <n v="0"/>
    <x v="1"/>
    <s v=""/>
    <x v="4"/>
    <n v="7010.9750000000004"/>
    <m/>
    <m/>
    <m/>
    <m/>
    <m/>
    <m/>
    <m/>
    <s v="0"/>
    <s v="0"/>
    <n v="7058.2400000000007"/>
    <m/>
    <m/>
    <m/>
    <m/>
  </r>
  <r>
    <n v="324"/>
    <x v="8"/>
    <n v="0"/>
    <x v="1"/>
    <s v=""/>
    <x v="3"/>
    <n v="748472.65919999999"/>
    <m/>
    <m/>
    <m/>
    <m/>
    <m/>
    <m/>
    <m/>
    <s v="0"/>
    <s v="0"/>
    <n v="835635.3772333333"/>
    <m/>
    <m/>
    <m/>
    <m/>
  </r>
  <r>
    <n v="326"/>
    <x v="10"/>
    <n v="0"/>
    <x v="1"/>
    <s v=""/>
    <x v="0"/>
    <n v="35540"/>
    <m/>
    <m/>
    <m/>
    <m/>
    <m/>
    <m/>
    <m/>
    <s v="0"/>
    <s v="0"/>
    <n v="52025"/>
    <m/>
    <m/>
    <m/>
    <m/>
  </r>
  <r>
    <n v="326"/>
    <x v="10"/>
    <n v="0"/>
    <x v="1"/>
    <s v=""/>
    <x v="9"/>
    <n v="59750"/>
    <m/>
    <m/>
    <m/>
    <m/>
    <m/>
    <m/>
    <n v="1"/>
    <s v="0"/>
    <s v="0"/>
    <n v="40166.666666666672"/>
    <m/>
    <m/>
    <m/>
    <m/>
  </r>
  <r>
    <n v="326"/>
    <x v="10"/>
    <n v="0"/>
    <x v="1"/>
    <s v=""/>
    <x v="10"/>
    <n v="92170"/>
    <m/>
    <m/>
    <m/>
    <m/>
    <m/>
    <m/>
    <m/>
    <s v="0"/>
    <s v="0"/>
    <n v="79204.666666666672"/>
    <m/>
    <m/>
    <m/>
    <m/>
  </r>
  <r>
    <n v="326"/>
    <x v="10"/>
    <n v="0"/>
    <x v="1"/>
    <s v=""/>
    <x v="10"/>
    <n v="64902.5"/>
    <m/>
    <m/>
    <m/>
    <m/>
    <m/>
    <n v="1"/>
    <m/>
    <s v="0"/>
    <s v="0"/>
    <n v="79204.666666666672"/>
    <m/>
    <m/>
    <m/>
    <m/>
  </r>
  <r>
    <n v="326"/>
    <x v="10"/>
    <n v="0"/>
    <x v="1"/>
    <s v=""/>
    <x v="7"/>
    <n v="8850"/>
    <m/>
    <m/>
    <m/>
    <m/>
    <m/>
    <n v="1"/>
    <m/>
    <s v="0"/>
    <s v="0"/>
    <n v="18050"/>
    <m/>
    <m/>
    <m/>
    <m/>
  </r>
  <r>
    <n v="326"/>
    <x v="10"/>
    <n v="0"/>
    <x v="1"/>
    <s v=""/>
    <x v="7"/>
    <n v="16700"/>
    <m/>
    <m/>
    <m/>
    <m/>
    <m/>
    <n v="1"/>
    <m/>
    <s v="0"/>
    <s v="0"/>
    <n v="18050"/>
    <m/>
    <m/>
    <m/>
    <m/>
  </r>
  <r>
    <n v="326"/>
    <x v="10"/>
    <n v="0"/>
    <x v="1"/>
    <s v=""/>
    <x v="6"/>
    <n v="112476.875"/>
    <m/>
    <m/>
    <m/>
    <m/>
    <m/>
    <m/>
    <m/>
    <s v="0"/>
    <s v="0"/>
    <n v="100943.59723333333"/>
    <m/>
    <m/>
    <m/>
    <m/>
  </r>
  <r>
    <n v="326"/>
    <x v="10"/>
    <n v="0"/>
    <x v="1"/>
    <s v=""/>
    <x v="6"/>
    <n v="78737.925000000003"/>
    <m/>
    <m/>
    <m/>
    <m/>
    <m/>
    <m/>
    <n v="1"/>
    <s v="0"/>
    <s v="0"/>
    <n v="100943.59723333333"/>
    <m/>
    <m/>
    <m/>
    <m/>
  </r>
  <r>
    <n v="326"/>
    <x v="10"/>
    <n v="0"/>
    <x v="1"/>
    <s v=""/>
    <x v="5"/>
    <n v="6875"/>
    <m/>
    <m/>
    <m/>
    <m/>
    <m/>
    <n v="1"/>
    <m/>
    <s v="0"/>
    <s v="0"/>
    <n v="8766.3333333333339"/>
    <m/>
    <m/>
    <m/>
    <m/>
  </r>
  <r>
    <n v="326"/>
    <x v="10"/>
    <n v="0"/>
    <x v="1"/>
    <s v=""/>
    <x v="4"/>
    <n v="10484.952499999999"/>
    <m/>
    <m/>
    <m/>
    <m/>
    <m/>
    <n v="1"/>
    <m/>
    <s v="0"/>
    <s v="0"/>
    <n v="7291.939166666667"/>
    <m/>
    <m/>
    <m/>
    <m/>
  </r>
  <r>
    <n v="326"/>
    <x v="10"/>
    <n v="0"/>
    <x v="1"/>
    <s v=""/>
    <x v="3"/>
    <n v="702418.88"/>
    <m/>
    <m/>
    <m/>
    <m/>
    <m/>
    <n v="1"/>
    <m/>
    <s v="0"/>
    <s v="0"/>
    <n v="656708.28960000002"/>
    <m/>
    <m/>
    <m/>
    <m/>
  </r>
  <r>
    <n v="367"/>
    <x v="9"/>
    <n v="0"/>
    <x v="1"/>
    <s v=""/>
    <x v="0"/>
    <n v="26570"/>
    <m/>
    <m/>
    <m/>
    <m/>
    <m/>
    <m/>
    <m/>
    <s v="0"/>
    <s v="0"/>
    <n v="46565"/>
    <m/>
    <m/>
    <m/>
    <m/>
  </r>
  <r>
    <n v="367"/>
    <x v="9"/>
    <n v="0"/>
    <x v="1"/>
    <s v=""/>
    <x v="10"/>
    <n v="108745"/>
    <m/>
    <m/>
    <m/>
    <m/>
    <m/>
    <m/>
    <m/>
    <s v="0"/>
    <s v="0"/>
    <n v="98085"/>
    <m/>
    <m/>
    <m/>
    <m/>
  </r>
  <r>
    <n v="367"/>
    <x v="9"/>
    <n v="0"/>
    <x v="1"/>
    <s v=""/>
    <x v="7"/>
    <n v="36350"/>
    <m/>
    <m/>
    <m/>
    <m/>
    <m/>
    <m/>
    <m/>
    <s v="0"/>
    <s v="0"/>
    <n v="44125"/>
    <m/>
    <m/>
    <m/>
    <m/>
  </r>
  <r>
    <n v="367"/>
    <x v="9"/>
    <n v="0"/>
    <x v="1"/>
    <s v=""/>
    <x v="6"/>
    <n v="125431.25"/>
    <m/>
    <m/>
    <m/>
    <m/>
    <m/>
    <m/>
    <m/>
    <s v="0"/>
    <s v="0"/>
    <n v="97059.569433333338"/>
    <m/>
    <m/>
    <m/>
    <m/>
  </r>
  <r>
    <n v="367"/>
    <x v="9"/>
    <n v="0"/>
    <x v="1"/>
    <s v=""/>
    <x v="6"/>
    <n v="65076.2"/>
    <m/>
    <m/>
    <m/>
    <m/>
    <m/>
    <m/>
    <m/>
    <s v="0"/>
    <s v="0"/>
    <n v="97059.569433333338"/>
    <m/>
    <m/>
    <m/>
    <m/>
  </r>
  <r>
    <n v="367"/>
    <x v="9"/>
    <n v="0"/>
    <x v="1"/>
    <s v=""/>
    <x v="5"/>
    <n v="7560"/>
    <m/>
    <m/>
    <m/>
    <m/>
    <m/>
    <m/>
    <m/>
    <s v="0"/>
    <s v="0"/>
    <n v="10374.666666666666"/>
    <m/>
    <m/>
    <m/>
    <m/>
  </r>
  <r>
    <n v="367"/>
    <x v="9"/>
    <n v="0"/>
    <x v="1"/>
    <s v=""/>
    <x v="4"/>
    <n v="4970.7025000000003"/>
    <m/>
    <m/>
    <m/>
    <m/>
    <m/>
    <m/>
    <m/>
    <s v="0"/>
    <s v="0"/>
    <n v="7102.8791666666666"/>
    <m/>
    <m/>
    <m/>
    <m/>
  </r>
  <r>
    <n v="367"/>
    <x v="9"/>
    <n v="0"/>
    <x v="1"/>
    <s v=""/>
    <x v="3"/>
    <n v="785580.42500000005"/>
    <m/>
    <m/>
    <m/>
    <m/>
    <m/>
    <m/>
    <m/>
    <s v="0"/>
    <s v="0"/>
    <n v="823789.01633333333"/>
    <m/>
    <m/>
    <m/>
    <m/>
  </r>
  <r>
    <n v="369"/>
    <x v="11"/>
    <n v="0"/>
    <x v="1"/>
    <s v=""/>
    <x v="8"/>
    <n v="17960.7"/>
    <m/>
    <m/>
    <m/>
    <m/>
    <m/>
    <m/>
    <m/>
    <s v="0"/>
    <s v="0"/>
    <n v="19142.325000000001"/>
    <m/>
    <m/>
    <m/>
    <m/>
  </r>
  <r>
    <n v="369"/>
    <x v="11"/>
    <n v="0"/>
    <x v="1"/>
    <s v=""/>
    <x v="10"/>
    <n v="168766"/>
    <m/>
    <m/>
    <m/>
    <m/>
    <m/>
    <m/>
    <m/>
    <s v="0"/>
    <s v="0"/>
    <n v="127887.5"/>
    <m/>
    <m/>
    <m/>
    <m/>
  </r>
  <r>
    <n v="369"/>
    <x v="11"/>
    <n v="0"/>
    <x v="1"/>
    <s v=""/>
    <x v="7"/>
    <n v="43550"/>
    <m/>
    <m/>
    <m/>
    <m/>
    <m/>
    <m/>
    <m/>
    <s v="0"/>
    <s v="0"/>
    <n v="39187.5"/>
    <m/>
    <m/>
    <m/>
    <m/>
  </r>
  <r>
    <n v="369"/>
    <x v="11"/>
    <n v="0"/>
    <x v="1"/>
    <s v=""/>
    <x v="7"/>
    <n v="43550"/>
    <m/>
    <m/>
    <m/>
    <m/>
    <m/>
    <m/>
    <m/>
    <s v="0"/>
    <s v="0"/>
    <n v="39187.5"/>
    <m/>
    <m/>
    <m/>
    <m/>
  </r>
  <r>
    <n v="369"/>
    <x v="11"/>
    <n v="0"/>
    <x v="1"/>
    <s v=""/>
    <x v="6"/>
    <n v="52058.766669999997"/>
    <m/>
    <m/>
    <m/>
    <m/>
    <m/>
    <n v="1"/>
    <n v="1"/>
    <s v="0"/>
    <s v="0"/>
    <n v="92026.783334999986"/>
    <m/>
    <m/>
    <m/>
    <m/>
  </r>
  <r>
    <n v="369"/>
    <x v="11"/>
    <n v="0"/>
    <x v="1"/>
    <s v=""/>
    <x v="3"/>
    <n v="814542.45"/>
    <m/>
    <m/>
    <m/>
    <m/>
    <m/>
    <m/>
    <m/>
    <s v="0"/>
    <s v="0"/>
    <n v="865895.91999999993"/>
    <m/>
    <m/>
    <m/>
    <m/>
  </r>
  <r>
    <n v="369"/>
    <x v="11"/>
    <n v="0"/>
    <x v="1"/>
    <s v=""/>
    <x v="4"/>
    <n v="9334.8374999999996"/>
    <m/>
    <m/>
    <m/>
    <m/>
    <m/>
    <m/>
    <m/>
    <s v="0"/>
    <s v="0"/>
    <n v="8224.11"/>
    <m/>
    <m/>
    <m/>
    <m/>
  </r>
  <r>
    <n v="369"/>
    <x v="11"/>
    <n v="0"/>
    <x v="1"/>
    <s v=""/>
    <x v="5"/>
    <n v="13335"/>
    <m/>
    <m/>
    <m/>
    <m/>
    <m/>
    <m/>
    <m/>
    <s v="0"/>
    <s v="0"/>
    <n v="17917.5"/>
    <m/>
    <m/>
    <m/>
    <m/>
  </r>
  <r>
    <n v="378"/>
    <x v="12"/>
    <n v="0"/>
    <x v="1"/>
    <s v=""/>
    <x v="1"/>
    <n v="38350"/>
    <m/>
    <m/>
    <m/>
    <m/>
    <m/>
    <n v="1"/>
    <m/>
    <s v="0"/>
    <s v="0"/>
    <n v="39225"/>
    <m/>
    <m/>
    <m/>
    <m/>
  </r>
  <r>
    <n v="378"/>
    <x v="12"/>
    <n v="0"/>
    <x v="1"/>
    <s v=""/>
    <x v="2"/>
    <n v="133003.1678"/>
    <m/>
    <m/>
    <m/>
    <m/>
    <m/>
    <n v="1"/>
    <m/>
    <s v="0"/>
    <s v="0"/>
    <n v="142410.3443"/>
    <m/>
    <m/>
    <m/>
    <m/>
  </r>
  <r>
    <n v="378"/>
    <x v="12"/>
    <n v="0"/>
    <x v="1"/>
    <s v=""/>
    <x v="9"/>
    <n v="22400"/>
    <m/>
    <m/>
    <m/>
    <m/>
    <m/>
    <m/>
    <m/>
    <s v="0"/>
    <s v="0"/>
    <n v="30116.666666666664"/>
    <m/>
    <m/>
    <m/>
    <m/>
  </r>
  <r>
    <n v="378"/>
    <x v="12"/>
    <n v="0"/>
    <x v="1"/>
    <s v=""/>
    <x v="9"/>
    <n v="27150"/>
    <m/>
    <m/>
    <m/>
    <m/>
    <m/>
    <m/>
    <m/>
    <s v="0"/>
    <s v="0"/>
    <n v="30116.666666666664"/>
    <m/>
    <m/>
    <m/>
    <m/>
  </r>
  <r>
    <n v="378"/>
    <x v="12"/>
    <n v="0"/>
    <x v="1"/>
    <s v=""/>
    <x v="7"/>
    <n v="27450"/>
    <m/>
    <m/>
    <m/>
    <m/>
    <m/>
    <m/>
    <m/>
    <s v="0"/>
    <s v="0"/>
    <n v="33800"/>
    <m/>
    <m/>
    <m/>
    <m/>
  </r>
  <r>
    <n v="378"/>
    <x v="12"/>
    <n v="0"/>
    <x v="1"/>
    <s v=""/>
    <x v="5"/>
    <n v="13986"/>
    <m/>
    <m/>
    <m/>
    <m/>
    <m/>
    <m/>
    <m/>
    <s v="0"/>
    <s v="0"/>
    <n v="12233"/>
    <m/>
    <m/>
    <m/>
    <m/>
  </r>
  <r>
    <n v="378"/>
    <x v="12"/>
    <n v="0"/>
    <x v="1"/>
    <s v=""/>
    <x v="5"/>
    <n v="11625"/>
    <m/>
    <m/>
    <m/>
    <m/>
    <m/>
    <m/>
    <m/>
    <s v="0"/>
    <s v="0"/>
    <n v="12233"/>
    <m/>
    <m/>
    <m/>
    <m/>
  </r>
  <r>
    <n v="378"/>
    <x v="12"/>
    <n v="0"/>
    <x v="1"/>
    <s v=""/>
    <x v="4"/>
    <n v="7010.9750000000004"/>
    <m/>
    <m/>
    <m/>
    <m/>
    <m/>
    <m/>
    <m/>
    <s v="0"/>
    <s v="0"/>
    <n v="7084.498333333333"/>
    <m/>
    <m/>
    <m/>
    <m/>
  </r>
  <r>
    <n v="378"/>
    <x v="12"/>
    <n v="0"/>
    <x v="1"/>
    <s v=""/>
    <x v="4"/>
    <n v="10689.7675"/>
    <m/>
    <m/>
    <m/>
    <m/>
    <m/>
    <m/>
    <m/>
    <s v="0"/>
    <s v="0"/>
    <n v="7084.498333333333"/>
    <m/>
    <m/>
    <m/>
    <m/>
  </r>
  <r>
    <n v="378"/>
    <x v="12"/>
    <n v="0"/>
    <x v="1"/>
    <s v=""/>
    <x v="3"/>
    <n v="609308.48"/>
    <m/>
    <m/>
    <m/>
    <m/>
    <m/>
    <m/>
    <m/>
    <s v="0"/>
    <s v="0"/>
    <n v="706071.20166666666"/>
    <m/>
    <m/>
    <m/>
    <m/>
  </r>
  <r>
    <n v="378"/>
    <x v="12"/>
    <n v="0"/>
    <x v="1"/>
    <s v=""/>
    <x v="3"/>
    <n v="858841.94499999995"/>
    <m/>
    <m/>
    <m/>
    <m/>
    <m/>
    <m/>
    <m/>
    <s v="0"/>
    <s v="0"/>
    <n v="706071.20166666666"/>
    <m/>
    <m/>
    <m/>
    <m/>
  </r>
  <r>
    <n v="381"/>
    <x v="13"/>
    <n v="0"/>
    <x v="1"/>
    <s v=""/>
    <x v="3"/>
    <n v="845325.12"/>
    <m/>
    <m/>
    <m/>
    <m/>
    <m/>
    <m/>
    <m/>
    <s v="0"/>
    <s v="0"/>
    <n v="887785.07706666668"/>
    <m/>
    <m/>
    <m/>
    <m/>
  </r>
  <r>
    <n v="381"/>
    <x v="13"/>
    <n v="0"/>
    <x v="1"/>
    <s v=""/>
    <x v="3"/>
    <n v="893860.36120000004"/>
    <m/>
    <m/>
    <m/>
    <m/>
    <m/>
    <m/>
    <m/>
    <s v="0"/>
    <s v="0"/>
    <n v="887785.07706666668"/>
    <m/>
    <m/>
    <m/>
    <m/>
  </r>
  <r>
    <n v="381"/>
    <x v="13"/>
    <n v="0"/>
    <x v="1"/>
    <s v=""/>
    <x v="4"/>
    <n v="1339.175"/>
    <m/>
    <m/>
    <m/>
    <m/>
    <m/>
    <m/>
    <m/>
    <s v="0"/>
    <s v="0"/>
    <n v="7530.8900000000012"/>
    <m/>
    <m/>
    <m/>
    <m/>
  </r>
  <r>
    <n v="381"/>
    <x v="13"/>
    <n v="0"/>
    <x v="1"/>
    <s v=""/>
    <x v="4"/>
    <n v="11367.2325"/>
    <m/>
    <m/>
    <m/>
    <m/>
    <m/>
    <m/>
    <m/>
    <s v="0"/>
    <s v="0"/>
    <n v="7530.8900000000012"/>
    <m/>
    <m/>
    <m/>
    <m/>
  </r>
  <r>
    <n v="381"/>
    <x v="13"/>
    <n v="0"/>
    <x v="1"/>
    <s v=""/>
    <x v="5"/>
    <n v="20736"/>
    <m/>
    <m/>
    <m/>
    <m/>
    <m/>
    <m/>
    <m/>
    <s v="0"/>
    <s v="0"/>
    <n v="12357"/>
    <m/>
    <m/>
    <m/>
    <m/>
  </r>
  <r>
    <n v="381"/>
    <x v="13"/>
    <n v="0"/>
    <x v="1"/>
    <s v=""/>
    <x v="5"/>
    <n v="8901"/>
    <m/>
    <m/>
    <m/>
    <m/>
    <m/>
    <m/>
    <m/>
    <s v="0"/>
    <s v="0"/>
    <n v="12357"/>
    <m/>
    <m/>
    <m/>
    <m/>
  </r>
  <r>
    <n v="381"/>
    <x v="13"/>
    <n v="0"/>
    <x v="1"/>
    <s v=""/>
    <x v="6"/>
    <n v="113916.25"/>
    <m/>
    <m/>
    <m/>
    <m/>
    <m/>
    <m/>
    <m/>
    <s v="0"/>
    <s v="0"/>
    <n v="114682.08887666666"/>
    <m/>
    <m/>
    <m/>
    <m/>
  </r>
  <r>
    <n v="381"/>
    <x v="13"/>
    <n v="0"/>
    <x v="1"/>
    <s v=""/>
    <x v="6"/>
    <n v="42051.68333"/>
    <m/>
    <m/>
    <m/>
    <m/>
    <m/>
    <m/>
    <m/>
    <s v="0"/>
    <s v="0"/>
    <n v="114682.08887666666"/>
    <m/>
    <m/>
    <m/>
    <m/>
  </r>
  <r>
    <n v="381"/>
    <x v="13"/>
    <n v="0"/>
    <x v="1"/>
    <s v=""/>
    <x v="7"/>
    <n v="50400"/>
    <m/>
    <m/>
    <m/>
    <m/>
    <m/>
    <m/>
    <m/>
    <s v="0"/>
    <s v="0"/>
    <n v="35100"/>
    <m/>
    <m/>
    <m/>
    <m/>
  </r>
  <r>
    <n v="383"/>
    <x v="14"/>
    <n v="0"/>
    <x v="1"/>
    <s v=""/>
    <x v="0"/>
    <n v="35140"/>
    <m/>
    <m/>
    <m/>
    <m/>
    <m/>
    <m/>
    <m/>
    <s v="0"/>
    <s v="0"/>
    <n v="29703.333333333332"/>
    <m/>
    <m/>
    <m/>
    <m/>
  </r>
  <r>
    <n v="383"/>
    <x v="14"/>
    <n v="0"/>
    <x v="1"/>
    <s v=""/>
    <x v="0"/>
    <n v="27110"/>
    <m/>
    <m/>
    <m/>
    <m/>
    <m/>
    <n v="1"/>
    <n v="1"/>
    <s v="0"/>
    <s v="0"/>
    <n v="29703.333333333332"/>
    <m/>
    <m/>
    <m/>
    <m/>
  </r>
  <r>
    <n v="383"/>
    <x v="14"/>
    <n v="0"/>
    <x v="1"/>
    <s v=""/>
    <x v="3"/>
    <n v="747478.50249999994"/>
    <m/>
    <m/>
    <m/>
    <m/>
    <m/>
    <m/>
    <n v="1"/>
    <s v="0"/>
    <s v="0"/>
    <n v="874857.81183333334"/>
    <m/>
    <m/>
    <m/>
    <m/>
  </r>
  <r>
    <n v="383"/>
    <x v="14"/>
    <n v="0"/>
    <x v="1"/>
    <s v=""/>
    <x v="3"/>
    <n v="872135.03500000003"/>
    <m/>
    <m/>
    <m/>
    <m/>
    <m/>
    <m/>
    <m/>
    <s v="0"/>
    <s v="0"/>
    <n v="874857.81183333334"/>
    <m/>
    <m/>
    <m/>
    <m/>
  </r>
  <r>
    <n v="383"/>
    <x v="14"/>
    <n v="0"/>
    <x v="1"/>
    <s v=""/>
    <x v="4"/>
    <n v="7089.75"/>
    <m/>
    <m/>
    <m/>
    <m/>
    <m/>
    <m/>
    <n v="1"/>
    <s v="0"/>
    <s v="0"/>
    <n v="9665.6924999999992"/>
    <m/>
    <m/>
    <m/>
    <m/>
  </r>
  <r>
    <n v="383"/>
    <x v="14"/>
    <n v="0"/>
    <x v="1"/>
    <s v=""/>
    <x v="4"/>
    <n v="10453.442499999999"/>
    <m/>
    <m/>
    <m/>
    <m/>
    <m/>
    <m/>
    <m/>
    <s v="0"/>
    <s v="0"/>
    <n v="9665.6924999999992"/>
    <m/>
    <m/>
    <m/>
    <m/>
  </r>
  <r>
    <n v="383"/>
    <x v="14"/>
    <n v="0"/>
    <x v="1"/>
    <s v=""/>
    <x v="5"/>
    <n v="16256"/>
    <m/>
    <m/>
    <m/>
    <m/>
    <m/>
    <m/>
    <n v="1"/>
    <s v="0"/>
    <s v="0"/>
    <n v="13940.666666666666"/>
    <m/>
    <m/>
    <m/>
    <m/>
  </r>
  <r>
    <n v="383"/>
    <x v="14"/>
    <n v="0"/>
    <x v="1"/>
    <s v=""/>
    <x v="5"/>
    <n v="15738"/>
    <m/>
    <m/>
    <m/>
    <m/>
    <m/>
    <m/>
    <m/>
    <s v="0"/>
    <s v="0"/>
    <n v="13940.666666666666"/>
    <m/>
    <m/>
    <m/>
    <m/>
  </r>
  <r>
    <n v="383"/>
    <x v="14"/>
    <n v="0"/>
    <x v="1"/>
    <s v=""/>
    <x v="6"/>
    <n v="98974.166670000006"/>
    <m/>
    <m/>
    <m/>
    <m/>
    <m/>
    <m/>
    <m/>
    <s v="0"/>
    <s v="0"/>
    <n v="115215.80002333333"/>
    <m/>
    <m/>
    <m/>
    <m/>
  </r>
  <r>
    <n v="383"/>
    <x v="14"/>
    <n v="0"/>
    <x v="1"/>
    <s v=""/>
    <x v="6"/>
    <n v="119734.0667"/>
    <m/>
    <m/>
    <m/>
    <m/>
    <m/>
    <m/>
    <m/>
    <s v="0"/>
    <s v="0"/>
    <n v="115215.80002333333"/>
    <m/>
    <m/>
    <m/>
    <m/>
  </r>
  <r>
    <n v="383"/>
    <x v="14"/>
    <n v="0"/>
    <x v="1"/>
    <s v=""/>
    <x v="7"/>
    <n v="48900"/>
    <m/>
    <m/>
    <m/>
    <m/>
    <m/>
    <n v="1"/>
    <m/>
    <s v="0"/>
    <s v="0"/>
    <n v="55050"/>
    <m/>
    <m/>
    <m/>
    <m/>
  </r>
  <r>
    <n v="383"/>
    <x v="14"/>
    <n v="0"/>
    <x v="1"/>
    <s v=""/>
    <x v="2"/>
    <n v="105544.1578"/>
    <m/>
    <m/>
    <m/>
    <m/>
    <m/>
    <m/>
    <n v="1"/>
    <s v="0"/>
    <s v="0"/>
    <n v="128176.29536666667"/>
    <m/>
    <m/>
    <m/>
    <m/>
  </r>
  <r>
    <n v="383"/>
    <x v="14"/>
    <n v="0"/>
    <x v="1"/>
    <s v=""/>
    <x v="1"/>
    <n v="23500"/>
    <m/>
    <m/>
    <m/>
    <m/>
    <m/>
    <m/>
    <n v="1"/>
    <s v="0"/>
    <s v="0"/>
    <n v="30533.333333333332"/>
    <m/>
    <m/>
    <m/>
    <m/>
  </r>
  <r>
    <n v="318"/>
    <x v="15"/>
    <n v="0"/>
    <x v="2"/>
    <s v=""/>
    <x v="3"/>
    <n v="614935.16839999997"/>
    <m/>
    <m/>
    <m/>
    <m/>
    <m/>
    <m/>
    <m/>
    <s v="0"/>
    <s v="0"/>
    <n v="745866.46846666664"/>
    <m/>
    <m/>
    <m/>
    <m/>
  </r>
  <r>
    <n v="318"/>
    <x v="15"/>
    <n v="0"/>
    <x v="2"/>
    <s v=""/>
    <x v="6"/>
    <n v="107610.4167"/>
    <m/>
    <m/>
    <m/>
    <m/>
    <m/>
    <m/>
    <m/>
    <s v="0"/>
    <s v="0"/>
    <n v="109194.18611"/>
    <m/>
    <m/>
    <m/>
    <m/>
  </r>
  <r>
    <n v="318"/>
    <x v="15"/>
    <n v="0"/>
    <x v="2"/>
    <s v=""/>
    <x v="0"/>
    <n v="14510"/>
    <m/>
    <m/>
    <m/>
    <m/>
    <m/>
    <m/>
    <m/>
    <s v="0"/>
    <s v="0"/>
    <n v="21656.666666666668"/>
    <m/>
    <m/>
    <m/>
    <m/>
  </r>
  <r>
    <n v="318"/>
    <x v="15"/>
    <n v="0"/>
    <x v="2"/>
    <s v=""/>
    <x v="0"/>
    <n v="29420"/>
    <m/>
    <m/>
    <m/>
    <m/>
    <m/>
    <m/>
    <m/>
    <s v="0"/>
    <s v="0"/>
    <n v="21656.666666666668"/>
    <m/>
    <m/>
    <m/>
    <m/>
  </r>
  <r>
    <n v="318"/>
    <x v="15"/>
    <n v="0"/>
    <x v="2"/>
    <s v=""/>
    <x v="7"/>
    <n v="52850"/>
    <m/>
    <m/>
    <m/>
    <m/>
    <m/>
    <n v="1"/>
    <m/>
    <s v="0"/>
    <s v="0"/>
    <n v="37833.333333333336"/>
    <m/>
    <m/>
    <m/>
    <m/>
  </r>
  <r>
    <n v="318"/>
    <x v="15"/>
    <n v="0"/>
    <x v="2"/>
    <s v=""/>
    <x v="4"/>
    <n v="6302"/>
    <m/>
    <m/>
    <m/>
    <m/>
    <m/>
    <m/>
    <m/>
    <s v="0"/>
    <s v="0"/>
    <n v="7050.3624999999993"/>
    <m/>
    <m/>
    <m/>
    <m/>
  </r>
  <r>
    <n v="318"/>
    <x v="15"/>
    <n v="0"/>
    <x v="2"/>
    <s v=""/>
    <x v="5"/>
    <n v="12400"/>
    <m/>
    <m/>
    <m/>
    <m/>
    <m/>
    <m/>
    <m/>
    <s v="0"/>
    <s v="0"/>
    <n v="14980"/>
    <m/>
    <m/>
    <m/>
    <m/>
  </r>
  <r>
    <n v="318"/>
    <x v="15"/>
    <n v="0"/>
    <x v="2"/>
    <s v=""/>
    <x v="1"/>
    <n v="39250"/>
    <m/>
    <m/>
    <n v="1"/>
    <m/>
    <m/>
    <m/>
    <m/>
    <s v="0"/>
    <s v="0"/>
    <n v="37483.333333333336"/>
    <m/>
    <m/>
    <m/>
    <m/>
  </r>
  <r>
    <n v="318"/>
    <x v="15"/>
    <n v="0"/>
    <x v="2"/>
    <s v=""/>
    <x v="1"/>
    <n v="36200"/>
    <m/>
    <m/>
    <m/>
    <m/>
    <m/>
    <n v="1"/>
    <m/>
    <s v="0"/>
    <s v="0"/>
    <n v="37483.333333333336"/>
    <m/>
    <m/>
    <m/>
    <m/>
  </r>
  <r>
    <n v="318"/>
    <x v="15"/>
    <n v="0"/>
    <x v="2"/>
    <s v=""/>
    <x v="2"/>
    <n v="161541.30129999999"/>
    <m/>
    <m/>
    <n v="1"/>
    <m/>
    <m/>
    <m/>
    <m/>
    <s v="0"/>
    <s v="0"/>
    <n v="145472.97853333334"/>
    <m/>
    <m/>
    <m/>
    <m/>
  </r>
  <r>
    <n v="318"/>
    <x v="15"/>
    <n v="0"/>
    <x v="2"/>
    <s v=""/>
    <x v="2"/>
    <n v="138331.54800000001"/>
    <m/>
    <m/>
    <m/>
    <m/>
    <m/>
    <n v="1"/>
    <m/>
    <s v="0"/>
    <s v="0"/>
    <n v="145472.97853333334"/>
    <m/>
    <m/>
    <m/>
    <m/>
  </r>
  <r>
    <n v="318"/>
    <x v="15"/>
    <n v="0"/>
    <x v="2"/>
    <s v=""/>
    <x v="9"/>
    <n v="8700"/>
    <m/>
    <m/>
    <m/>
    <m/>
    <m/>
    <m/>
    <m/>
    <s v="0"/>
    <s v="0"/>
    <n v="38916.666666666672"/>
    <m/>
    <m/>
    <m/>
    <m/>
  </r>
  <r>
    <n v="318"/>
    <x v="15"/>
    <n v="0"/>
    <x v="2"/>
    <s v=""/>
    <x v="9"/>
    <n v="69900"/>
    <m/>
    <m/>
    <m/>
    <m/>
    <m/>
    <m/>
    <m/>
    <s v="0"/>
    <s v="0"/>
    <n v="38916.666666666672"/>
    <m/>
    <m/>
    <m/>
    <m/>
  </r>
  <r>
    <n v="323"/>
    <x v="16"/>
    <n v="0"/>
    <x v="3"/>
    <s v=""/>
    <x v="9"/>
    <n v="49050"/>
    <m/>
    <m/>
    <m/>
    <m/>
    <m/>
    <m/>
    <m/>
    <s v="0"/>
    <s v="0"/>
    <n v="40150"/>
    <m/>
    <m/>
    <m/>
    <m/>
  </r>
  <r>
    <n v="323"/>
    <x v="16"/>
    <n v="0"/>
    <x v="3"/>
    <s v=""/>
    <x v="9"/>
    <n v="50600"/>
    <m/>
    <m/>
    <m/>
    <m/>
    <m/>
    <m/>
    <m/>
    <s v="0"/>
    <s v="0"/>
    <n v="40150"/>
    <m/>
    <m/>
    <m/>
    <m/>
  </r>
  <r>
    <n v="323"/>
    <x v="16"/>
    <n v="0"/>
    <x v="3"/>
    <s v=""/>
    <x v="10"/>
    <n v="93203.5"/>
    <m/>
    <m/>
    <m/>
    <m/>
    <m/>
    <m/>
    <m/>
    <s v="0"/>
    <s v="0"/>
    <n v="104828.75"/>
    <m/>
    <m/>
    <m/>
    <m/>
  </r>
  <r>
    <n v="323"/>
    <x v="16"/>
    <n v="0"/>
    <x v="3"/>
    <s v=""/>
    <x v="7"/>
    <n v="17500"/>
    <m/>
    <m/>
    <m/>
    <m/>
    <m/>
    <n v="1"/>
    <m/>
    <s v="0"/>
    <s v="0"/>
    <n v="32250"/>
    <m/>
    <m/>
    <m/>
    <m/>
  </r>
  <r>
    <n v="323"/>
    <x v="16"/>
    <n v="0"/>
    <x v="3"/>
    <s v=""/>
    <x v="6"/>
    <n v="116315.2083"/>
    <m/>
    <m/>
    <m/>
    <m/>
    <m/>
    <m/>
    <m/>
    <s v="0"/>
    <s v="0"/>
    <n v="93203.872213333336"/>
    <m/>
    <m/>
    <m/>
    <m/>
  </r>
  <r>
    <n v="333"/>
    <x v="17"/>
    <n v="0"/>
    <x v="4"/>
    <s v=""/>
    <x v="3"/>
    <n v="861318.65"/>
    <m/>
    <m/>
    <n v="1"/>
    <m/>
    <m/>
    <m/>
    <m/>
    <s v="0"/>
    <s v="0"/>
    <n v="837017.14029999997"/>
    <m/>
    <m/>
    <m/>
    <m/>
  </r>
  <r>
    <n v="333"/>
    <x v="17"/>
    <n v="0"/>
    <x v="4"/>
    <s v=""/>
    <x v="4"/>
    <n v="9846.875"/>
    <m/>
    <m/>
    <n v="1"/>
    <m/>
    <m/>
    <m/>
    <m/>
    <s v="0"/>
    <s v="0"/>
    <n v="7549.2708333333339"/>
    <m/>
    <m/>
    <m/>
    <m/>
  </r>
  <r>
    <n v="333"/>
    <x v="17"/>
    <n v="0"/>
    <x v="4"/>
    <s v=""/>
    <x v="5"/>
    <n v="11008"/>
    <m/>
    <m/>
    <n v="1"/>
    <m/>
    <m/>
    <m/>
    <m/>
    <s v="0"/>
    <s v="0"/>
    <n v="12020"/>
    <m/>
    <m/>
    <m/>
    <m/>
  </r>
  <r>
    <n v="333"/>
    <x v="17"/>
    <n v="0"/>
    <x v="4"/>
    <s v=""/>
    <x v="6"/>
    <n v="93795.158330000006"/>
    <m/>
    <m/>
    <m/>
    <m/>
    <m/>
    <m/>
    <m/>
    <s v="0"/>
    <s v="0"/>
    <n v="108474.041665"/>
    <m/>
    <m/>
    <m/>
    <m/>
  </r>
  <r>
    <n v="333"/>
    <x v="17"/>
    <n v="0"/>
    <x v="4"/>
    <s v=""/>
    <x v="7"/>
    <n v="19250"/>
    <m/>
    <m/>
    <m/>
    <m/>
    <m/>
    <m/>
    <m/>
    <s v="0"/>
    <s v="0"/>
    <n v="31766.666666666664"/>
    <m/>
    <m/>
    <m/>
    <m/>
  </r>
  <r>
    <n v="333"/>
    <x v="17"/>
    <n v="0"/>
    <x v="4"/>
    <s v=""/>
    <x v="8"/>
    <n v="12604"/>
    <m/>
    <m/>
    <n v="1"/>
    <m/>
    <m/>
    <m/>
    <m/>
    <s v="0"/>
    <s v="0"/>
    <n v="16726.558333333334"/>
    <m/>
    <m/>
    <m/>
    <m/>
  </r>
  <r>
    <n v="334"/>
    <x v="2"/>
    <n v="0"/>
    <x v="4"/>
    <s v=""/>
    <x v="0"/>
    <n v="23450"/>
    <m/>
    <m/>
    <n v="1"/>
    <m/>
    <m/>
    <n v="1"/>
    <m/>
    <s v="0"/>
    <s v="0"/>
    <n v="27166.666666666668"/>
    <m/>
    <m/>
    <m/>
    <m/>
  </r>
  <r>
    <n v="334"/>
    <x v="2"/>
    <n v="0"/>
    <x v="4"/>
    <s v=""/>
    <x v="0"/>
    <n v="30040"/>
    <m/>
    <m/>
    <m/>
    <m/>
    <m/>
    <m/>
    <m/>
    <s v="0"/>
    <s v="0"/>
    <n v="27166.666666666668"/>
    <m/>
    <m/>
    <m/>
    <m/>
  </r>
  <r>
    <n v="334"/>
    <x v="2"/>
    <n v="0"/>
    <x v="4"/>
    <s v=""/>
    <x v="3"/>
    <n v="724100.86499999999"/>
    <m/>
    <m/>
    <m/>
    <m/>
    <m/>
    <m/>
    <n v="1"/>
    <s v="0"/>
    <s v="0"/>
    <n v="836563.7093333333"/>
    <m/>
    <m/>
    <m/>
    <m/>
  </r>
  <r>
    <n v="334"/>
    <x v="2"/>
    <n v="0"/>
    <x v="4"/>
    <s v=""/>
    <x v="3"/>
    <n v="906544.9"/>
    <m/>
    <m/>
    <m/>
    <m/>
    <m/>
    <m/>
    <m/>
    <s v="0"/>
    <s v="0"/>
    <n v="836563.7093333333"/>
    <m/>
    <m/>
    <m/>
    <m/>
  </r>
  <r>
    <n v="334"/>
    <x v="2"/>
    <n v="0"/>
    <x v="4"/>
    <s v=""/>
    <x v="4"/>
    <n v="11382.987499999999"/>
    <m/>
    <m/>
    <m/>
    <m/>
    <m/>
    <m/>
    <n v="1"/>
    <s v="0"/>
    <s v="0"/>
    <n v="10274.885833333334"/>
    <m/>
    <m/>
    <m/>
    <m/>
  </r>
  <r>
    <n v="334"/>
    <x v="2"/>
    <n v="0"/>
    <x v="4"/>
    <s v=""/>
    <x v="4"/>
    <n v="9137.9"/>
    <m/>
    <m/>
    <m/>
    <m/>
    <m/>
    <m/>
    <m/>
    <s v="0"/>
    <s v="0"/>
    <n v="10274.885833333334"/>
    <m/>
    <m/>
    <m/>
    <m/>
  </r>
  <r>
    <n v="334"/>
    <x v="2"/>
    <n v="0"/>
    <x v="4"/>
    <s v=""/>
    <x v="5"/>
    <n v="13696"/>
    <m/>
    <m/>
    <m/>
    <m/>
    <m/>
    <m/>
    <n v="1"/>
    <s v="0"/>
    <s v="0"/>
    <n v="8960"/>
    <m/>
    <m/>
    <m/>
    <m/>
  </r>
  <r>
    <n v="334"/>
    <x v="2"/>
    <n v="0"/>
    <x v="4"/>
    <s v=""/>
    <x v="5"/>
    <n v="6528"/>
    <m/>
    <m/>
    <m/>
    <m/>
    <m/>
    <m/>
    <m/>
    <s v="0"/>
    <s v="0"/>
    <n v="8960"/>
    <m/>
    <m/>
    <m/>
    <m/>
  </r>
  <r>
    <n v="334"/>
    <x v="2"/>
    <n v="0"/>
    <x v="4"/>
    <s v=""/>
    <x v="6"/>
    <n v="131904.32500000001"/>
    <m/>
    <m/>
    <m/>
    <m/>
    <m/>
    <n v="1"/>
    <n v="1"/>
    <s v="0"/>
    <s v="0"/>
    <n v="108672.35555666668"/>
    <m/>
    <m/>
    <m/>
    <m/>
  </r>
  <r>
    <n v="334"/>
    <x v="2"/>
    <n v="0"/>
    <x v="4"/>
    <s v=""/>
    <x v="6"/>
    <n v="85172.616670000003"/>
    <m/>
    <m/>
    <m/>
    <m/>
    <m/>
    <m/>
    <m/>
    <s v="0"/>
    <s v="0"/>
    <n v="108672.35555666668"/>
    <m/>
    <m/>
    <m/>
    <m/>
  </r>
  <r>
    <n v="334"/>
    <x v="2"/>
    <n v="0"/>
    <x v="4"/>
    <s v=""/>
    <x v="7"/>
    <n v="19100"/>
    <m/>
    <m/>
    <m/>
    <m/>
    <m/>
    <m/>
    <m/>
    <s v="0"/>
    <s v="0"/>
    <n v="24616.666666666668"/>
    <m/>
    <m/>
    <m/>
    <m/>
  </r>
  <r>
    <n v="340"/>
    <x v="5"/>
    <n v="0"/>
    <x v="5"/>
    <s v=""/>
    <x v="6"/>
    <n v="151871.88329999999"/>
    <m/>
    <m/>
    <m/>
    <m/>
    <m/>
    <m/>
    <m/>
    <s v="0"/>
    <s v="0"/>
    <n v="147026.44443333332"/>
    <m/>
    <m/>
    <m/>
    <m/>
  </r>
  <r>
    <n v="340"/>
    <x v="5"/>
    <n v="0"/>
    <x v="5"/>
    <s v=""/>
    <x v="7"/>
    <n v="21950"/>
    <m/>
    <m/>
    <m/>
    <m/>
    <m/>
    <m/>
    <m/>
    <s v="0"/>
    <s v="0"/>
    <n v="36483.333333333328"/>
    <m/>
    <m/>
    <m/>
    <m/>
  </r>
  <r>
    <n v="340"/>
    <x v="5"/>
    <n v="0"/>
    <x v="5"/>
    <s v=""/>
    <x v="7"/>
    <n v="30850"/>
    <m/>
    <m/>
    <m/>
    <m/>
    <m/>
    <n v="1"/>
    <m/>
    <s v="0"/>
    <s v="0"/>
    <n v="36483.333333333328"/>
    <m/>
    <m/>
    <m/>
    <m/>
  </r>
  <r>
    <n v="341"/>
    <x v="18"/>
    <n v="0"/>
    <x v="5"/>
    <s v=""/>
    <x v="3"/>
    <n v="726861.22089999996"/>
    <m/>
    <m/>
    <m/>
    <m/>
    <m/>
    <m/>
    <m/>
    <s v="0"/>
    <s v="0"/>
    <n v="791032.91916666669"/>
    <m/>
    <m/>
    <m/>
    <m/>
  </r>
  <r>
    <n v="341"/>
    <x v="18"/>
    <n v="0"/>
    <x v="5"/>
    <s v=""/>
    <x v="3"/>
    <n v="621145.79859999998"/>
    <m/>
    <m/>
    <m/>
    <m/>
    <m/>
    <m/>
    <m/>
    <s v="0"/>
    <s v="0"/>
    <n v="791032.91916666669"/>
    <m/>
    <m/>
    <m/>
    <m/>
  </r>
  <r>
    <n v="341"/>
    <x v="18"/>
    <n v="0"/>
    <x v="5"/>
    <s v=""/>
    <x v="4"/>
    <n v="6168.0825000000004"/>
    <m/>
    <m/>
    <m/>
    <m/>
    <m/>
    <m/>
    <m/>
    <s v="0"/>
    <s v="0"/>
    <n v="10028.057500000001"/>
    <m/>
    <m/>
    <m/>
    <m/>
  </r>
  <r>
    <n v="341"/>
    <x v="18"/>
    <n v="0"/>
    <x v="4"/>
    <s v=""/>
    <x v="4"/>
    <n v="13588.6875"/>
    <m/>
    <m/>
    <m/>
    <m/>
    <m/>
    <m/>
    <m/>
    <s v="0"/>
    <s v="0"/>
    <n v="10028.057500000001"/>
    <m/>
    <m/>
    <m/>
    <m/>
  </r>
  <r>
    <n v="341"/>
    <x v="18"/>
    <n v="0"/>
    <x v="4"/>
    <s v=""/>
    <x v="5"/>
    <n v="12474"/>
    <m/>
    <m/>
    <m/>
    <m/>
    <m/>
    <m/>
    <m/>
    <s v="0"/>
    <s v="0"/>
    <n v="16579.333333333332"/>
    <m/>
    <m/>
    <m/>
    <m/>
  </r>
  <r>
    <n v="341"/>
    <x v="18"/>
    <n v="0"/>
    <x v="4"/>
    <s v=""/>
    <x v="5"/>
    <n v="18688"/>
    <m/>
    <m/>
    <m/>
    <m/>
    <m/>
    <m/>
    <m/>
    <s v="0"/>
    <s v="0"/>
    <n v="16579.333333333332"/>
    <m/>
    <m/>
    <m/>
    <m/>
  </r>
  <r>
    <n v="341"/>
    <x v="18"/>
    <n v="0"/>
    <x v="4"/>
    <s v=""/>
    <x v="6"/>
    <n v="95881.56667"/>
    <m/>
    <m/>
    <m/>
    <m/>
    <m/>
    <m/>
    <m/>
    <s v="0"/>
    <s v="0"/>
    <n v="91396.2"/>
    <m/>
    <m/>
    <m/>
    <m/>
  </r>
  <r>
    <n v="341"/>
    <x v="18"/>
    <n v="0"/>
    <x v="4"/>
    <s v=""/>
    <x v="7"/>
    <n v="36850"/>
    <m/>
    <m/>
    <m/>
    <m/>
    <m/>
    <m/>
    <m/>
    <s v="0"/>
    <s v="0"/>
    <n v="28966.666666666668"/>
    <m/>
    <m/>
    <m/>
    <m/>
  </r>
  <r>
    <n v="342"/>
    <x v="19"/>
    <n v="0"/>
    <x v="4"/>
    <s v=""/>
    <x v="6"/>
    <n v="153774.6"/>
    <m/>
    <m/>
    <m/>
    <m/>
    <m/>
    <m/>
    <m/>
    <s v="0"/>
    <s v="0"/>
    <n v="143791.27776666667"/>
    <m/>
    <m/>
    <m/>
    <m/>
  </r>
  <r>
    <n v="342"/>
    <x v="19"/>
    <n v="0"/>
    <x v="4"/>
    <s v=""/>
    <x v="6"/>
    <n v="145154.79999999999"/>
    <m/>
    <m/>
    <m/>
    <m/>
    <m/>
    <m/>
    <m/>
    <s v="0"/>
    <s v="0"/>
    <n v="143791.27776666667"/>
    <m/>
    <m/>
    <m/>
    <m/>
  </r>
  <r>
    <n v="343"/>
    <x v="20"/>
    <n v="0"/>
    <x v="4"/>
    <s v=""/>
    <x v="0"/>
    <n v="50780"/>
    <m/>
    <m/>
    <m/>
    <m/>
    <m/>
    <m/>
    <m/>
    <s v="0"/>
    <s v="0"/>
    <n v="52585"/>
    <m/>
    <m/>
    <m/>
    <m/>
  </r>
  <r>
    <n v="343"/>
    <x v="20"/>
    <n v="0"/>
    <x v="4"/>
    <s v=""/>
    <x v="3"/>
    <n v="766626.6825"/>
    <m/>
    <m/>
    <n v="1"/>
    <m/>
    <m/>
    <m/>
    <n v="1"/>
    <s v="0"/>
    <s v="0"/>
    <n v="825872.91529999999"/>
    <m/>
    <m/>
    <m/>
    <m/>
  </r>
  <r>
    <n v="343"/>
    <x v="20"/>
    <n v="0"/>
    <x v="4"/>
    <s v=""/>
    <x v="3"/>
    <n v="942912.96"/>
    <m/>
    <m/>
    <m/>
    <m/>
    <m/>
    <m/>
    <m/>
    <s v="0"/>
    <s v="0"/>
    <n v="825872.91529999999"/>
    <m/>
    <m/>
    <m/>
    <m/>
  </r>
  <r>
    <n v="343"/>
    <x v="20"/>
    <n v="0"/>
    <x v="4"/>
    <s v=""/>
    <x v="4"/>
    <n v="11107.275"/>
    <m/>
    <m/>
    <n v="1"/>
    <m/>
    <m/>
    <m/>
    <n v="1"/>
    <s v="0"/>
    <s v="0"/>
    <n v="7738.3308333333334"/>
    <m/>
    <m/>
    <m/>
    <m/>
  </r>
  <r>
    <n v="343"/>
    <x v="20"/>
    <n v="0"/>
    <x v="4"/>
    <s v=""/>
    <x v="4"/>
    <n v="4852.54"/>
    <m/>
    <m/>
    <m/>
    <m/>
    <m/>
    <m/>
    <m/>
    <s v="0"/>
    <s v="0"/>
    <n v="7738.3308333333334"/>
    <m/>
    <m/>
    <m/>
    <m/>
  </r>
  <r>
    <n v="343"/>
    <x v="20"/>
    <n v="0"/>
    <x v="4"/>
    <s v=""/>
    <x v="6"/>
    <n v="181764.27499999999"/>
    <m/>
    <m/>
    <m/>
    <m/>
    <m/>
    <m/>
    <m/>
    <s v="0"/>
    <s v="0"/>
    <n v="133351.01110999999"/>
    <m/>
    <m/>
    <m/>
    <m/>
  </r>
  <r>
    <n v="344"/>
    <x v="21"/>
    <n v="0"/>
    <x v="4"/>
    <s v=""/>
    <x v="6"/>
    <n v="144247.3083"/>
    <m/>
    <m/>
    <m/>
    <m/>
    <m/>
    <m/>
    <m/>
    <s v="0"/>
    <s v="0"/>
    <n v="138920.25"/>
    <m/>
    <m/>
    <m/>
    <m/>
  </r>
  <r>
    <n v="344"/>
    <x v="21"/>
    <n v="0"/>
    <x v="4"/>
    <s v=""/>
    <x v="6"/>
    <n v="110892.1917"/>
    <m/>
    <m/>
    <m/>
    <m/>
    <m/>
    <m/>
    <m/>
    <s v="0"/>
    <s v="0"/>
    <n v="138920.25"/>
    <m/>
    <m/>
    <m/>
    <m/>
  </r>
  <r>
    <n v="345"/>
    <x v="22"/>
    <n v="0"/>
    <x v="4"/>
    <s v=""/>
    <x v="0"/>
    <n v="13050"/>
    <m/>
    <m/>
    <m/>
    <m/>
    <m/>
    <m/>
    <m/>
    <s v="0"/>
    <s v="0"/>
    <n v="28613.333333333336"/>
    <m/>
    <m/>
    <m/>
    <m/>
  </r>
  <r>
    <n v="345"/>
    <x v="22"/>
    <n v="0"/>
    <x v="4"/>
    <s v=""/>
    <x v="0"/>
    <n v="45550"/>
    <m/>
    <m/>
    <m/>
    <m/>
    <m/>
    <n v="1"/>
    <m/>
    <s v="0"/>
    <s v="0"/>
    <n v="28613.333333333336"/>
    <m/>
    <m/>
    <m/>
    <m/>
  </r>
  <r>
    <n v="345"/>
    <x v="22"/>
    <n v="0"/>
    <x v="4"/>
    <s v=""/>
    <x v="7"/>
    <n v="33450"/>
    <m/>
    <m/>
    <m/>
    <m/>
    <m/>
    <m/>
    <m/>
    <s v="0"/>
    <s v="0"/>
    <n v="23825"/>
    <m/>
    <m/>
    <m/>
    <m/>
  </r>
  <r>
    <n v="345"/>
    <x v="22"/>
    <n v="0"/>
    <x v="4"/>
    <s v=""/>
    <x v="6"/>
    <n v="108523.39169999999"/>
    <m/>
    <m/>
    <m/>
    <m/>
    <m/>
    <m/>
    <n v="1"/>
    <s v="0"/>
    <s v="0"/>
    <n v="127258.57084999999"/>
    <m/>
    <m/>
    <m/>
    <m/>
  </r>
  <r>
    <n v="345"/>
    <x v="22"/>
    <n v="0"/>
    <x v="6"/>
    <s v=""/>
    <x v="4"/>
    <n v="6845.5474999999997"/>
    <m/>
    <m/>
    <m/>
    <m/>
    <m/>
    <n v="1"/>
    <m/>
    <s v="0"/>
    <s v="0"/>
    <n v="8098.07"/>
    <m/>
    <m/>
    <m/>
    <m/>
  </r>
  <r>
    <n v="345"/>
    <x v="22"/>
    <n v="0"/>
    <x v="6"/>
    <s v=""/>
    <x v="3"/>
    <n v="654254.38"/>
    <m/>
    <m/>
    <m/>
    <m/>
    <m/>
    <n v="1"/>
    <m/>
    <s v="0"/>
    <s v="0"/>
    <n v="775087.81499999994"/>
    <m/>
    <m/>
    <m/>
    <m/>
  </r>
  <r>
    <n v="347"/>
    <x v="23"/>
    <n v="0"/>
    <x v="6"/>
    <s v=""/>
    <x v="8"/>
    <n v="15439.9"/>
    <m/>
    <m/>
    <m/>
    <m/>
    <m/>
    <m/>
    <m/>
    <s v="0"/>
    <s v="0"/>
    <n v="16175.133333333333"/>
    <m/>
    <m/>
    <m/>
    <m/>
  </r>
  <r>
    <n v="347"/>
    <x v="23"/>
    <n v="0"/>
    <x v="6"/>
    <s v=""/>
    <x v="8"/>
    <n v="19536.2"/>
    <m/>
    <m/>
    <m/>
    <m/>
    <m/>
    <m/>
    <m/>
    <s v="0"/>
    <s v="0"/>
    <n v="16175.133333333333"/>
    <m/>
    <m/>
    <m/>
    <m/>
  </r>
  <r>
    <n v="347"/>
    <x v="23"/>
    <n v="0"/>
    <x v="6"/>
    <s v=""/>
    <x v="7"/>
    <n v="23350"/>
    <m/>
    <m/>
    <m/>
    <m/>
    <m/>
    <n v="1"/>
    <m/>
    <s v="0"/>
    <s v="0"/>
    <n v="30133.333333333332"/>
    <m/>
    <m/>
    <m/>
    <m/>
  </r>
  <r>
    <n v="347"/>
    <x v="23"/>
    <n v="0"/>
    <x v="6"/>
    <s v=""/>
    <x v="6"/>
    <n v="99179.791670000006"/>
    <m/>
    <m/>
    <m/>
    <m/>
    <m/>
    <m/>
    <m/>
    <s v="0"/>
    <s v="0"/>
    <n v="87986.9375"/>
    <m/>
    <m/>
    <m/>
    <m/>
  </r>
  <r>
    <n v="347"/>
    <x v="23"/>
    <n v="0"/>
    <x v="6"/>
    <s v=""/>
    <x v="5"/>
    <n v="12065"/>
    <m/>
    <m/>
    <m/>
    <m/>
    <m/>
    <m/>
    <m/>
    <s v="0"/>
    <s v="0"/>
    <n v="14816.666666666666"/>
    <m/>
    <m/>
    <m/>
    <m/>
  </r>
  <r>
    <n v="347"/>
    <x v="23"/>
    <n v="0"/>
    <x v="6"/>
    <s v=""/>
    <x v="5"/>
    <n v="14097"/>
    <m/>
    <m/>
    <m/>
    <m/>
    <m/>
    <m/>
    <m/>
    <s v="0"/>
    <s v="0"/>
    <n v="14816.666666666666"/>
    <m/>
    <m/>
    <m/>
    <m/>
  </r>
  <r>
    <n v="347"/>
    <x v="23"/>
    <n v="0"/>
    <x v="6"/>
    <s v=""/>
    <x v="4"/>
    <n v="10083.200000000001"/>
    <m/>
    <m/>
    <m/>
    <m/>
    <m/>
    <m/>
    <m/>
    <s v="0"/>
    <s v="0"/>
    <n v="7780.3441666666668"/>
    <m/>
    <m/>
    <m/>
    <m/>
  </r>
  <r>
    <n v="347"/>
    <x v="23"/>
    <n v="0"/>
    <x v="6"/>
    <s v=""/>
    <x v="4"/>
    <n v="4521.6850000000004"/>
    <m/>
    <m/>
    <m/>
    <m/>
    <m/>
    <m/>
    <m/>
    <s v="0"/>
    <s v="0"/>
    <n v="7780.3441666666668"/>
    <m/>
    <m/>
    <m/>
    <m/>
  </r>
  <r>
    <n v="347"/>
    <x v="23"/>
    <n v="0"/>
    <x v="6"/>
    <s v=""/>
    <x v="3"/>
    <n v="891654.0625"/>
    <m/>
    <m/>
    <m/>
    <m/>
    <m/>
    <m/>
    <m/>
    <s v="0"/>
    <s v="0"/>
    <n v="834064.01939999999"/>
    <m/>
    <m/>
    <m/>
    <m/>
  </r>
  <r>
    <n v="347"/>
    <x v="23"/>
    <n v="0"/>
    <x v="6"/>
    <s v=""/>
    <x v="3"/>
    <n v="804946.53319999995"/>
    <m/>
    <m/>
    <m/>
    <m/>
    <m/>
    <m/>
    <m/>
    <s v="0"/>
    <s v="0"/>
    <n v="834064.01939999999"/>
    <m/>
    <m/>
    <m/>
    <m/>
  </r>
  <r>
    <n v="350"/>
    <x v="24"/>
    <n v="0"/>
    <x v="6"/>
    <s v=""/>
    <x v="0"/>
    <n v="46800"/>
    <m/>
    <m/>
    <m/>
    <m/>
    <m/>
    <m/>
    <m/>
    <s v="0"/>
    <s v="0"/>
    <n v="38485"/>
    <m/>
    <m/>
    <m/>
    <m/>
  </r>
  <r>
    <n v="350"/>
    <x v="24"/>
    <n v="0"/>
    <x v="6"/>
    <s v=""/>
    <x v="3"/>
    <n v="767907.3125"/>
    <m/>
    <m/>
    <n v="1"/>
    <m/>
    <m/>
    <m/>
    <m/>
    <s v="0"/>
    <s v="0"/>
    <n v="831311.73625000007"/>
    <m/>
    <m/>
    <m/>
    <m/>
  </r>
  <r>
    <n v="350"/>
    <x v="24"/>
    <n v="0"/>
    <x v="6"/>
    <s v=""/>
    <x v="7"/>
    <n v="22000"/>
    <m/>
    <m/>
    <m/>
    <m/>
    <m/>
    <n v="1"/>
    <m/>
    <s v="0"/>
    <s v="0"/>
    <n v="23066.666666666668"/>
    <m/>
    <m/>
    <m/>
    <m/>
  </r>
  <r>
    <n v="350"/>
    <x v="24"/>
    <n v="0"/>
    <x v="6"/>
    <s v=""/>
    <x v="4"/>
    <n v="13147.547500000001"/>
    <m/>
    <m/>
    <n v="1"/>
    <m/>
    <m/>
    <m/>
    <m/>
    <s v="0"/>
    <s v="0"/>
    <n v="9449.0612500000007"/>
    <m/>
    <m/>
    <m/>
    <m/>
  </r>
  <r>
    <n v="350"/>
    <x v="24"/>
    <n v="0"/>
    <x v="6"/>
    <s v=""/>
    <x v="5"/>
    <n v="7680"/>
    <m/>
    <m/>
    <n v="1"/>
    <m/>
    <m/>
    <m/>
    <m/>
    <s v="0"/>
    <s v="0"/>
    <n v="13794"/>
    <m/>
    <m/>
    <m/>
    <m/>
  </r>
  <r>
    <n v="350"/>
    <x v="24"/>
    <n v="0"/>
    <x v="6"/>
    <s v=""/>
    <x v="8"/>
    <n v="19299.875"/>
    <m/>
    <m/>
    <n v="1"/>
    <m/>
    <m/>
    <m/>
    <m/>
    <s v="0"/>
    <s v="0"/>
    <n v="20323.95"/>
    <m/>
    <m/>
    <m/>
    <m/>
  </r>
  <r>
    <n v="356"/>
    <x v="25"/>
    <n v="0"/>
    <x v="6"/>
    <s v=""/>
    <x v="7"/>
    <n v="29750"/>
    <m/>
    <m/>
    <m/>
    <m/>
    <m/>
    <m/>
    <m/>
    <s v="0"/>
    <s v="0"/>
    <n v="36666.666666666664"/>
    <m/>
    <m/>
    <m/>
    <m/>
  </r>
  <r>
    <n v="356"/>
    <x v="25"/>
    <n v="0"/>
    <x v="6"/>
    <s v=""/>
    <x v="7"/>
    <n v="16600"/>
    <m/>
    <m/>
    <m/>
    <m/>
    <m/>
    <n v="1"/>
    <m/>
    <s v="0"/>
    <s v="0"/>
    <n v="36666.666666666664"/>
    <m/>
    <m/>
    <m/>
    <m/>
  </r>
  <r>
    <n v="356"/>
    <x v="25"/>
    <n v="0"/>
    <x v="6"/>
    <s v=""/>
    <x v="6"/>
    <n v="110045.01669999999"/>
    <m/>
    <m/>
    <m/>
    <m/>
    <m/>
    <m/>
    <m/>
    <s v="0"/>
    <s v="0"/>
    <n v="116541.85279999999"/>
    <m/>
    <m/>
    <m/>
    <m/>
  </r>
  <r>
    <n v="356"/>
    <x v="25"/>
    <n v="0"/>
    <x v="6"/>
    <s v=""/>
    <x v="3"/>
    <n v="761723.66339999996"/>
    <m/>
    <m/>
    <m/>
    <m/>
    <m/>
    <m/>
    <m/>
    <s v="0"/>
    <s v="0"/>
    <n v="729332.05169999995"/>
    <m/>
    <m/>
    <m/>
    <m/>
  </r>
  <r>
    <n v="358"/>
    <x v="26"/>
    <n v="0"/>
    <x v="6"/>
    <s v=""/>
    <x v="0"/>
    <n v="27090"/>
    <m/>
    <m/>
    <m/>
    <m/>
    <m/>
    <m/>
    <m/>
    <s v="0"/>
    <s v="0"/>
    <n v="29100"/>
    <m/>
    <m/>
    <m/>
    <m/>
  </r>
  <r>
    <n v="358"/>
    <x v="26"/>
    <n v="0"/>
    <x v="6"/>
    <s v=""/>
    <x v="7"/>
    <n v="34400"/>
    <m/>
    <m/>
    <m/>
    <m/>
    <m/>
    <n v="1"/>
    <m/>
    <s v="0"/>
    <s v="0"/>
    <n v="30216.666666666668"/>
    <m/>
    <m/>
    <m/>
    <m/>
  </r>
  <r>
    <n v="358"/>
    <x v="26"/>
    <n v="0"/>
    <x v="6"/>
    <s v=""/>
    <x v="7"/>
    <n v="21250"/>
    <m/>
    <m/>
    <m/>
    <m/>
    <m/>
    <m/>
    <m/>
    <s v="0"/>
    <s v="0"/>
    <n v="30216.666666666668"/>
    <m/>
    <m/>
    <m/>
    <m/>
  </r>
  <r>
    <n v="358"/>
    <x v="26"/>
    <n v="0"/>
    <x v="6"/>
    <s v=""/>
    <x v="6"/>
    <n v="101570.52499999999"/>
    <m/>
    <m/>
    <m/>
    <m/>
    <m/>
    <n v="1"/>
    <n v="1"/>
    <s v="0"/>
    <s v="0"/>
    <n v="109087.2611"/>
    <m/>
    <m/>
    <m/>
    <m/>
  </r>
  <r>
    <n v="358"/>
    <x v="26"/>
    <n v="0"/>
    <x v="6"/>
    <s v=""/>
    <x v="6"/>
    <n v="115698.3333"/>
    <m/>
    <m/>
    <m/>
    <m/>
    <m/>
    <m/>
    <n v="1"/>
    <s v="0"/>
    <s v="0"/>
    <n v="109087.2611"/>
    <m/>
    <m/>
    <m/>
    <m/>
  </r>
  <r>
    <n v="358"/>
    <x v="26"/>
    <n v="0"/>
    <x v="6"/>
    <s v=""/>
    <x v="3"/>
    <n v="797565.82929999998"/>
    <m/>
    <m/>
    <m/>
    <m/>
    <m/>
    <m/>
    <m/>
    <s v="0"/>
    <s v="0"/>
    <n v="801505.2209666667"/>
    <m/>
    <m/>
    <m/>
    <m/>
  </r>
  <r>
    <n v="358"/>
    <x v="26"/>
    <n v="0"/>
    <x v="6"/>
    <s v=""/>
    <x v="3"/>
    <n v="808227.59360000002"/>
    <m/>
    <m/>
    <m/>
    <m/>
    <m/>
    <m/>
    <m/>
    <s v="0"/>
    <s v="0"/>
    <n v="801505.2209666667"/>
    <m/>
    <m/>
    <m/>
    <m/>
  </r>
  <r>
    <n v="361"/>
    <x v="27"/>
    <n v="0"/>
    <x v="6"/>
    <s v=""/>
    <x v="0"/>
    <n v="38480"/>
    <m/>
    <m/>
    <n v="1"/>
    <m/>
    <m/>
    <m/>
    <m/>
    <s v="0"/>
    <s v="0"/>
    <n v="48485"/>
    <m/>
    <m/>
    <m/>
    <m/>
  </r>
  <r>
    <n v="361"/>
    <x v="27"/>
    <n v="0"/>
    <x v="6"/>
    <s v=""/>
    <x v="7"/>
    <n v="22650"/>
    <m/>
    <m/>
    <m/>
    <m/>
    <m/>
    <n v="1"/>
    <m/>
    <s v="0"/>
    <s v="0"/>
    <n v="29333.333333333332"/>
    <m/>
    <m/>
    <m/>
    <m/>
  </r>
  <r>
    <n v="361"/>
    <x v="27"/>
    <n v="0"/>
    <x v="6"/>
    <s v=""/>
    <x v="6"/>
    <n v="127967.2917"/>
    <m/>
    <m/>
    <m/>
    <m/>
    <m/>
    <m/>
    <m/>
    <s v="0"/>
    <s v="0"/>
    <n v="128325.07920000001"/>
    <m/>
    <m/>
    <m/>
    <m/>
  </r>
  <r>
    <n v="361"/>
    <x v="27"/>
    <n v="0"/>
    <x v="6"/>
    <s v=""/>
    <x v="3"/>
    <n v="921879.46180000005"/>
    <m/>
    <m/>
    <m/>
    <m/>
    <m/>
    <m/>
    <m/>
    <s v="0"/>
    <s v="0"/>
    <n v="752620.27560000005"/>
    <m/>
    <m/>
    <m/>
    <m/>
  </r>
  <r>
    <n v="361"/>
    <x v="27"/>
    <n v="0"/>
    <x v="6"/>
    <s v=""/>
    <x v="3"/>
    <n v="664739.125"/>
    <m/>
    <m/>
    <m/>
    <m/>
    <m/>
    <n v="1"/>
    <m/>
    <s v="0"/>
    <s v="0"/>
    <n v="752620.27560000005"/>
    <m/>
    <m/>
    <m/>
    <m/>
  </r>
  <r>
    <n v="362"/>
    <x v="28"/>
    <n v="0"/>
    <x v="6"/>
    <s v=""/>
    <x v="7"/>
    <n v="32950"/>
    <m/>
    <m/>
    <m/>
    <m/>
    <m/>
    <m/>
    <m/>
    <s v="0"/>
    <s v="0"/>
    <n v="27483.333333333332"/>
    <m/>
    <m/>
    <m/>
    <m/>
  </r>
  <r>
    <n v="362"/>
    <x v="28"/>
    <n v="0"/>
    <x v="6"/>
    <s v=""/>
    <x v="3"/>
    <n v="718279.31240000005"/>
    <m/>
    <m/>
    <m/>
    <m/>
    <m/>
    <m/>
    <m/>
    <s v="0"/>
    <s v="0"/>
    <n v="815339.00746666675"/>
    <m/>
    <m/>
    <m/>
    <m/>
  </r>
  <r>
    <n v="362"/>
    <x v="28"/>
    <n v="0"/>
    <x v="6"/>
    <s v=""/>
    <x v="3"/>
    <n v="939807.3"/>
    <m/>
    <m/>
    <m/>
    <m/>
    <m/>
    <m/>
    <m/>
    <s v="0"/>
    <s v="0"/>
    <n v="815339.00746666675"/>
    <m/>
    <m/>
    <m/>
    <m/>
  </r>
  <r>
    <n v="363"/>
    <x v="29"/>
    <n v="0"/>
    <x v="6"/>
    <s v=""/>
    <x v="0"/>
    <n v="37810"/>
    <m/>
    <m/>
    <m/>
    <m/>
    <m/>
    <m/>
    <m/>
    <s v="0"/>
    <s v="0"/>
    <n v="39333.333333333336"/>
    <m/>
    <m/>
    <m/>
    <m/>
  </r>
  <r>
    <n v="363"/>
    <x v="29"/>
    <n v="0"/>
    <x v="6"/>
    <s v=""/>
    <x v="7"/>
    <n v="21400"/>
    <m/>
    <m/>
    <m/>
    <m/>
    <m/>
    <n v="1"/>
    <m/>
    <s v="0"/>
    <s v="0"/>
    <n v="34116.666666666664"/>
    <m/>
    <m/>
    <m/>
    <m/>
  </r>
  <r>
    <n v="363"/>
    <x v="29"/>
    <n v="0"/>
    <x v="6"/>
    <s v=""/>
    <x v="6"/>
    <n v="114637.3083"/>
    <m/>
    <m/>
    <m/>
    <m/>
    <m/>
    <m/>
    <m/>
    <s v="0"/>
    <s v="0"/>
    <n v="100280.11387666667"/>
    <m/>
    <m/>
    <m/>
    <m/>
  </r>
  <r>
    <n v="363"/>
    <x v="29"/>
    <n v="0"/>
    <x v="6"/>
    <s v=""/>
    <x v="6"/>
    <n v="101759.7"/>
    <m/>
    <m/>
    <m/>
    <m/>
    <m/>
    <m/>
    <m/>
    <s v="0"/>
    <s v="0"/>
    <n v="100280.11387666667"/>
    <m/>
    <m/>
    <m/>
    <m/>
  </r>
  <r>
    <n v="363"/>
    <x v="29"/>
    <n v="0"/>
    <x v="6"/>
    <s v=""/>
    <x v="3"/>
    <n v="873108.54399999999"/>
    <m/>
    <m/>
    <n v="1"/>
    <m/>
    <m/>
    <m/>
    <m/>
    <s v="0"/>
    <s v="0"/>
    <n v="747040.61526666663"/>
    <m/>
    <m/>
    <m/>
    <m/>
  </r>
  <r>
    <n v="363"/>
    <x v="29"/>
    <n v="0"/>
    <x v="6"/>
    <s v=""/>
    <x v="4"/>
    <n v="9098.5125000000007"/>
    <m/>
    <m/>
    <n v="1"/>
    <m/>
    <m/>
    <m/>
    <m/>
    <s v="0"/>
    <s v="0"/>
    <n v="10621.495833333334"/>
    <m/>
    <m/>
    <m/>
    <m/>
  </r>
  <r>
    <n v="363"/>
    <x v="29"/>
    <n v="0"/>
    <x v="6"/>
    <s v=""/>
    <x v="5"/>
    <n v="9250"/>
    <m/>
    <m/>
    <n v="1"/>
    <m/>
    <m/>
    <m/>
    <m/>
    <s v="0"/>
    <s v="0"/>
    <n v="11143.333333333334"/>
    <m/>
    <m/>
    <m/>
    <m/>
  </r>
  <r>
    <n v="364"/>
    <x v="30"/>
    <n v="0"/>
    <x v="6"/>
    <s v=""/>
    <x v="0"/>
    <n v="41680"/>
    <m/>
    <m/>
    <m/>
    <m/>
    <m/>
    <m/>
    <m/>
    <s v="0"/>
    <s v="0"/>
    <n v="37863.333333333336"/>
    <m/>
    <m/>
    <m/>
    <m/>
  </r>
  <r>
    <n v="364"/>
    <x v="30"/>
    <n v="0"/>
    <x v="6"/>
    <s v=""/>
    <x v="7"/>
    <n v="26750"/>
    <m/>
    <m/>
    <m/>
    <m/>
    <m/>
    <n v="1"/>
    <m/>
    <s v="0"/>
    <s v="0"/>
    <n v="31400"/>
    <m/>
    <m/>
    <m/>
    <m/>
  </r>
  <r>
    <n v="364"/>
    <x v="30"/>
    <n v="0"/>
    <x v="6"/>
    <s v=""/>
    <x v="6"/>
    <n v="172571.46669999999"/>
    <m/>
    <m/>
    <m/>
    <m/>
    <m/>
    <n v="1"/>
    <n v="1"/>
    <s v="0"/>
    <s v="0"/>
    <n v="154258.96113333333"/>
    <m/>
    <m/>
    <m/>
    <m/>
  </r>
  <r>
    <n v="364"/>
    <x v="30"/>
    <n v="0"/>
    <x v="6"/>
    <s v=""/>
    <x v="5"/>
    <n v="12750"/>
    <m/>
    <m/>
    <n v="1"/>
    <m/>
    <m/>
    <m/>
    <n v="1"/>
    <s v="0"/>
    <s v="0"/>
    <n v="15299.666666666666"/>
    <m/>
    <m/>
    <m/>
    <m/>
  </r>
  <r>
    <n v="364"/>
    <x v="30"/>
    <n v="0"/>
    <x v="6"/>
    <s v=""/>
    <x v="5"/>
    <n v="18774"/>
    <m/>
    <m/>
    <m/>
    <m/>
    <m/>
    <n v="1"/>
    <m/>
    <s v="0"/>
    <s v="0"/>
    <n v="15299.666666666666"/>
    <m/>
    <m/>
    <m/>
    <m/>
  </r>
  <r>
    <n v="364"/>
    <x v="30"/>
    <n v="0"/>
    <x v="6"/>
    <s v=""/>
    <x v="4"/>
    <n v="10839.44"/>
    <m/>
    <m/>
    <n v="1"/>
    <m/>
    <m/>
    <m/>
    <n v="1"/>
    <s v="0"/>
    <s v="0"/>
    <n v="10064.819166666666"/>
    <m/>
    <m/>
    <m/>
    <m/>
  </r>
  <r>
    <n v="364"/>
    <x v="30"/>
    <n v="0"/>
    <x v="6"/>
    <s v=""/>
    <x v="4"/>
    <n v="8428.9249999999993"/>
    <m/>
    <m/>
    <m/>
    <m/>
    <m/>
    <n v="1"/>
    <m/>
    <s v="0"/>
    <s v="0"/>
    <n v="10064.819166666666"/>
    <m/>
    <m/>
    <m/>
    <m/>
  </r>
  <r>
    <n v="364"/>
    <x v="30"/>
    <n v="0"/>
    <x v="6"/>
    <s v=""/>
    <x v="3"/>
    <n v="654508.57499999995"/>
    <m/>
    <m/>
    <n v="1"/>
    <m/>
    <m/>
    <m/>
    <n v="1"/>
    <s v="0"/>
    <s v="0"/>
    <n v="706387.15280000004"/>
    <m/>
    <m/>
    <m/>
    <m/>
  </r>
  <r>
    <n v="364"/>
    <x v="30"/>
    <n v="0"/>
    <x v="6"/>
    <s v=""/>
    <x v="3"/>
    <n v="632653.89"/>
    <m/>
    <m/>
    <m/>
    <m/>
    <m/>
    <n v="1"/>
    <m/>
    <s v="0"/>
    <s v="0"/>
    <n v="706387.15280000004"/>
    <m/>
    <m/>
    <m/>
    <m/>
  </r>
  <r>
    <n v="318"/>
    <x v="15"/>
    <n v="0"/>
    <x v="2"/>
    <s v=""/>
    <x v="6"/>
    <n v="133998.9583"/>
    <m/>
    <m/>
    <m/>
    <n v="1"/>
    <m/>
    <m/>
    <n v="1"/>
    <s v="0"/>
    <s v="0"/>
    <n v="109194.18611"/>
    <m/>
    <m/>
    <m/>
    <m/>
  </r>
  <r>
    <n v="318"/>
    <x v="15"/>
    <n v="0"/>
    <x v="2"/>
    <s v=""/>
    <x v="7"/>
    <n v="20700"/>
    <m/>
    <m/>
    <m/>
    <n v="1"/>
    <m/>
    <n v="1"/>
    <m/>
    <s v="0"/>
    <s v="0"/>
    <n v="37833.333333333336"/>
    <m/>
    <m/>
    <m/>
    <m/>
  </r>
  <r>
    <n v="323"/>
    <x v="16"/>
    <n v="0"/>
    <x v="3"/>
    <s v=""/>
    <x v="6"/>
    <n v="67406.616670000003"/>
    <m/>
    <m/>
    <m/>
    <n v="1"/>
    <m/>
    <m/>
    <m/>
    <s v="0"/>
    <s v="0"/>
    <n v="93203.872213333336"/>
    <m/>
    <m/>
    <m/>
    <m/>
  </r>
  <r>
    <n v="324"/>
    <x v="8"/>
    <n v="0"/>
    <x v="1"/>
    <s v=""/>
    <x v="6"/>
    <n v="56933.45"/>
    <m/>
    <m/>
    <m/>
    <n v="1"/>
    <m/>
    <m/>
    <m/>
    <s v="0"/>
    <s v="0"/>
    <n v="93441.483333333337"/>
    <m/>
    <m/>
    <m/>
    <m/>
  </r>
  <r>
    <n v="333"/>
    <x v="17"/>
    <n v="0"/>
    <x v="4"/>
    <s v=""/>
    <x v="0"/>
    <n v="24280"/>
    <m/>
    <m/>
    <n v="1"/>
    <n v="1"/>
    <m/>
    <m/>
    <m/>
    <s v="0"/>
    <s v="0"/>
    <n v="31286.666666666668"/>
    <m/>
    <m/>
    <m/>
    <m/>
  </r>
  <r>
    <n v="336"/>
    <x v="3"/>
    <n v="0"/>
    <x v="0"/>
    <s v=""/>
    <x v="7"/>
    <n v="25350"/>
    <m/>
    <m/>
    <m/>
    <n v="1"/>
    <m/>
    <n v="1"/>
    <m/>
    <s v="0"/>
    <s v="0"/>
    <n v="36783.333333333336"/>
    <m/>
    <m/>
    <m/>
    <m/>
  </r>
  <r>
    <n v="338"/>
    <x v="4"/>
    <n v="0"/>
    <x v="0"/>
    <s v=""/>
    <x v="0"/>
    <n v="25640"/>
    <m/>
    <m/>
    <n v="1"/>
    <n v="1"/>
    <m/>
    <m/>
    <n v="1"/>
    <s v="0"/>
    <s v="0"/>
    <n v="26493.333333333332"/>
    <m/>
    <m/>
    <m/>
    <m/>
  </r>
  <r>
    <n v="347"/>
    <x v="23"/>
    <n v="0"/>
    <x v="6"/>
    <s v=""/>
    <x v="0"/>
    <n v="34420"/>
    <m/>
    <m/>
    <m/>
    <n v="1"/>
    <m/>
    <m/>
    <m/>
    <s v="0"/>
    <s v="0"/>
    <n v="32550"/>
    <m/>
    <m/>
    <m/>
    <m/>
  </r>
  <r>
    <n v="347"/>
    <x v="23"/>
    <n v="0"/>
    <x v="6"/>
    <s v=""/>
    <x v="7"/>
    <n v="32650"/>
    <m/>
    <m/>
    <m/>
    <n v="1"/>
    <m/>
    <n v="1"/>
    <m/>
    <s v="0"/>
    <s v="0"/>
    <n v="30133.333333333332"/>
    <m/>
    <m/>
    <m/>
    <m/>
  </r>
  <r>
    <n v="350"/>
    <x v="24"/>
    <n v="0"/>
    <x v="6"/>
    <s v=""/>
    <x v="6"/>
    <n v="103909.1667"/>
    <m/>
    <m/>
    <m/>
    <n v="1"/>
    <m/>
    <m/>
    <m/>
    <s v="0"/>
    <s v="0"/>
    <n v="122096.46946666666"/>
    <m/>
    <m/>
    <m/>
    <m/>
  </r>
  <r>
    <n v="350"/>
    <x v="24"/>
    <n v="0"/>
    <x v="6"/>
    <s v=""/>
    <x v="7"/>
    <n v="16750"/>
    <m/>
    <m/>
    <m/>
    <n v="1"/>
    <m/>
    <m/>
    <m/>
    <s v="0"/>
    <s v="0"/>
    <n v="23066.666666666668"/>
    <m/>
    <m/>
    <m/>
    <m/>
  </r>
  <r>
    <n v="356"/>
    <x v="25"/>
    <n v="0"/>
    <x v="6"/>
    <s v=""/>
    <x v="0"/>
    <n v="77780"/>
    <m/>
    <m/>
    <m/>
    <n v="1"/>
    <m/>
    <m/>
    <n v="1"/>
    <s v="0"/>
    <s v="0"/>
    <n v="65180"/>
    <m/>
    <m/>
    <m/>
    <m/>
  </r>
  <r>
    <n v="362"/>
    <x v="28"/>
    <n v="0"/>
    <x v="6"/>
    <s v=""/>
    <x v="6"/>
    <n v="96361.358330000003"/>
    <m/>
    <m/>
    <m/>
    <n v="1"/>
    <m/>
    <m/>
    <m/>
    <s v="0"/>
    <s v="0"/>
    <n v="112854.31111"/>
    <m/>
    <m/>
    <m/>
    <m/>
  </r>
  <r>
    <n v="362"/>
    <x v="28"/>
    <n v="0"/>
    <x v="6"/>
    <s v=""/>
    <x v="6"/>
    <n v="169632.4"/>
    <m/>
    <m/>
    <m/>
    <n v="1"/>
    <m/>
    <m/>
    <m/>
    <s v="0"/>
    <s v="0"/>
    <n v="112854.31111"/>
    <m/>
    <m/>
    <m/>
    <m/>
  </r>
  <r>
    <n v="364"/>
    <x v="30"/>
    <n v="0"/>
    <x v="6"/>
    <s v=""/>
    <x v="0"/>
    <n v="43020"/>
    <m/>
    <m/>
    <m/>
    <n v="1"/>
    <m/>
    <m/>
    <m/>
    <s v="0"/>
    <s v="0"/>
    <n v="37863.333333333336"/>
    <m/>
    <m/>
    <m/>
    <m/>
  </r>
  <r>
    <n v="364"/>
    <x v="30"/>
    <n v="0"/>
    <x v="6"/>
    <s v=""/>
    <x v="6"/>
    <n v="154630"/>
    <m/>
    <m/>
    <m/>
    <n v="1"/>
    <m/>
    <m/>
    <n v="1"/>
    <s v="0"/>
    <s v="0"/>
    <n v="154258.96113333333"/>
    <m/>
    <m/>
    <m/>
    <m/>
  </r>
  <r>
    <n v="369"/>
    <x v="11"/>
    <n v="0"/>
    <x v="1"/>
    <s v=""/>
    <x v="0"/>
    <n v="32510"/>
    <m/>
    <m/>
    <m/>
    <n v="1"/>
    <m/>
    <n v="1"/>
    <m/>
    <s v="0"/>
    <s v="0"/>
    <n v="26410"/>
    <m/>
    <m/>
    <m/>
    <m/>
  </r>
  <r>
    <n v="378"/>
    <x v="12"/>
    <n v="0"/>
    <x v="1"/>
    <s v=""/>
    <x v="0"/>
    <n v="21840"/>
    <m/>
    <m/>
    <m/>
    <n v="1"/>
    <m/>
    <m/>
    <m/>
    <s v="0"/>
    <s v="0"/>
    <n v="37666.666666666664"/>
    <m/>
    <m/>
    <m/>
    <m/>
  </r>
  <r>
    <n v="378"/>
    <x v="12"/>
    <n v="0"/>
    <x v="1"/>
    <s v=""/>
    <x v="0"/>
    <n v="23630"/>
    <m/>
    <m/>
    <m/>
    <n v="1"/>
    <m/>
    <n v="1"/>
    <n v="1"/>
    <s v="0"/>
    <s v="0"/>
    <n v="37666.666666666664"/>
    <m/>
    <m/>
    <m/>
    <m/>
  </r>
  <r>
    <n v="323"/>
    <x v="16"/>
    <n v="0"/>
    <x v="3"/>
    <s v=""/>
    <x v="7"/>
    <n v="30000"/>
    <m/>
    <m/>
    <m/>
    <m/>
    <n v="1"/>
    <m/>
    <m/>
    <s v="0"/>
    <s v="0"/>
    <n v="32250"/>
    <m/>
    <m/>
    <m/>
    <m/>
  </r>
  <r>
    <n v="324"/>
    <x v="8"/>
    <n v="0"/>
    <x v="1"/>
    <s v=""/>
    <x v="7"/>
    <n v="14900"/>
    <m/>
    <m/>
    <m/>
    <m/>
    <n v="1"/>
    <m/>
    <m/>
    <s v="0"/>
    <s v="0"/>
    <n v="27083.333333333336"/>
    <m/>
    <m/>
    <m/>
    <m/>
  </r>
  <r>
    <n v="324"/>
    <x v="8"/>
    <n v="0"/>
    <x v="1"/>
    <s v=""/>
    <x v="7"/>
    <n v="47450"/>
    <m/>
    <m/>
    <m/>
    <m/>
    <n v="1"/>
    <m/>
    <n v="1"/>
    <s v="0"/>
    <s v="0"/>
    <n v="27083.333333333336"/>
    <m/>
    <m/>
    <m/>
    <m/>
  </r>
  <r>
    <n v="332"/>
    <x v="1"/>
    <n v="0"/>
    <x v="0"/>
    <s v=""/>
    <x v="0"/>
    <n v="33400"/>
    <m/>
    <m/>
    <m/>
    <n v="1"/>
    <n v="1"/>
    <m/>
    <m/>
    <s v="0"/>
    <s v="0"/>
    <n v="31766.666666666664"/>
    <m/>
    <m/>
    <m/>
    <m/>
  </r>
  <r>
    <n v="332"/>
    <x v="1"/>
    <n v="0"/>
    <x v="0"/>
    <s v=""/>
    <x v="6"/>
    <n v="119193.9583"/>
    <m/>
    <m/>
    <m/>
    <m/>
    <n v="1"/>
    <m/>
    <m/>
    <s v="0"/>
    <s v="0"/>
    <n v="114895.93886666666"/>
    <m/>
    <m/>
    <m/>
    <m/>
  </r>
  <r>
    <n v="333"/>
    <x v="17"/>
    <n v="0"/>
    <x v="4"/>
    <s v=""/>
    <x v="7"/>
    <n v="40900"/>
    <m/>
    <m/>
    <m/>
    <m/>
    <n v="1"/>
    <m/>
    <m/>
    <s v="0"/>
    <s v="0"/>
    <n v="31766.666666666664"/>
    <m/>
    <m/>
    <m/>
    <m/>
  </r>
  <r>
    <n v="334"/>
    <x v="2"/>
    <n v="0"/>
    <x v="4"/>
    <s v=""/>
    <x v="7"/>
    <n v="24250"/>
    <m/>
    <m/>
    <m/>
    <m/>
    <n v="1"/>
    <m/>
    <n v="1"/>
    <s v="0"/>
    <s v="0"/>
    <n v="24616.666666666668"/>
    <m/>
    <m/>
    <m/>
    <m/>
  </r>
  <r>
    <n v="336"/>
    <x v="3"/>
    <n v="0"/>
    <x v="0"/>
    <s v=""/>
    <x v="7"/>
    <n v="37350"/>
    <m/>
    <m/>
    <m/>
    <m/>
    <n v="1"/>
    <m/>
    <m/>
    <s v="0"/>
    <s v="0"/>
    <n v="36783.333333333336"/>
    <m/>
    <m/>
    <m/>
    <m/>
  </r>
  <r>
    <n v="341"/>
    <x v="18"/>
    <n v="0"/>
    <x v="5"/>
    <s v=""/>
    <x v="0"/>
    <n v="49710"/>
    <m/>
    <m/>
    <m/>
    <n v="1"/>
    <n v="1"/>
    <m/>
    <m/>
    <s v="0"/>
    <s v="0"/>
    <n v="38780"/>
    <m/>
    <m/>
    <m/>
    <m/>
  </r>
  <r>
    <n v="341"/>
    <x v="18"/>
    <n v="0"/>
    <x v="4"/>
    <s v=""/>
    <x v="7"/>
    <n v="20500"/>
    <m/>
    <m/>
    <m/>
    <m/>
    <n v="1"/>
    <m/>
    <n v="1"/>
    <s v="0"/>
    <s v="0"/>
    <n v="28966.666666666668"/>
    <m/>
    <m/>
    <m/>
    <m/>
  </r>
  <r>
    <n v="343"/>
    <x v="20"/>
    <n v="0"/>
    <x v="4"/>
    <s v=""/>
    <x v="6"/>
    <n v="122741.675"/>
    <m/>
    <m/>
    <m/>
    <m/>
    <n v="1"/>
    <m/>
    <n v="1"/>
    <s v="0"/>
    <s v="0"/>
    <n v="133351.01110999999"/>
    <m/>
    <m/>
    <m/>
    <m/>
  </r>
  <r>
    <n v="343"/>
    <x v="20"/>
    <n v="0"/>
    <x v="4"/>
    <s v=""/>
    <x v="7"/>
    <n v="28350"/>
    <m/>
    <m/>
    <m/>
    <m/>
    <n v="1"/>
    <m/>
    <n v="1"/>
    <s v="0"/>
    <s v="0"/>
    <n v="30325"/>
    <m/>
    <m/>
    <m/>
    <m/>
  </r>
  <r>
    <n v="347"/>
    <x v="23"/>
    <n v="0"/>
    <x v="6"/>
    <s v=""/>
    <x v="0"/>
    <n v="34780"/>
    <m/>
    <m/>
    <n v="1"/>
    <m/>
    <n v="1"/>
    <m/>
    <m/>
    <s v="0"/>
    <s v="0"/>
    <n v="32550"/>
    <m/>
    <m/>
    <m/>
    <m/>
  </r>
  <r>
    <n v="350"/>
    <x v="24"/>
    <n v="0"/>
    <x v="6"/>
    <s v=""/>
    <x v="6"/>
    <n v="153355.125"/>
    <m/>
    <m/>
    <m/>
    <m/>
    <n v="1"/>
    <m/>
    <n v="1"/>
    <s v="0"/>
    <s v="0"/>
    <n v="122096.46946666666"/>
    <m/>
    <m/>
    <m/>
    <m/>
  </r>
  <r>
    <n v="356"/>
    <x v="25"/>
    <n v="0"/>
    <x v="6"/>
    <s v=""/>
    <x v="6"/>
    <n v="127309.2917"/>
    <m/>
    <m/>
    <m/>
    <n v="1"/>
    <n v="1"/>
    <m/>
    <m/>
    <s v="0"/>
    <s v="0"/>
    <n v="116541.85279999999"/>
    <m/>
    <m/>
    <m/>
    <m/>
  </r>
  <r>
    <n v="361"/>
    <x v="27"/>
    <n v="0"/>
    <x v="6"/>
    <s v=""/>
    <x v="7"/>
    <n v="18250"/>
    <m/>
    <m/>
    <m/>
    <m/>
    <n v="1"/>
    <m/>
    <m/>
    <s v="0"/>
    <s v="0"/>
    <n v="29333.333333333332"/>
    <m/>
    <m/>
    <m/>
    <m/>
  </r>
  <r>
    <n v="362"/>
    <x v="28"/>
    <n v="0"/>
    <x v="6"/>
    <s v=""/>
    <x v="0"/>
    <n v="38410"/>
    <m/>
    <m/>
    <m/>
    <m/>
    <n v="1"/>
    <n v="1"/>
    <m/>
    <s v="0"/>
    <s v="0"/>
    <n v="40866.666666666664"/>
    <m/>
    <m/>
    <m/>
    <m/>
  </r>
  <r>
    <n v="362"/>
    <x v="28"/>
    <n v="0"/>
    <x v="6"/>
    <s v=""/>
    <x v="0"/>
    <n v="28570"/>
    <m/>
    <m/>
    <n v="1"/>
    <m/>
    <n v="1"/>
    <m/>
    <n v="1"/>
    <s v="0"/>
    <s v="0"/>
    <n v="40866.666666666664"/>
    <m/>
    <m/>
    <m/>
    <m/>
  </r>
  <r>
    <n v="362"/>
    <x v="28"/>
    <n v="0"/>
    <x v="6"/>
    <s v=""/>
    <x v="7"/>
    <n v="20550"/>
    <m/>
    <m/>
    <m/>
    <m/>
    <n v="1"/>
    <m/>
    <n v="1"/>
    <s v="0"/>
    <s v="0"/>
    <n v="27483.333333333332"/>
    <m/>
    <m/>
    <m/>
    <m/>
  </r>
  <r>
    <n v="363"/>
    <x v="29"/>
    <n v="0"/>
    <x v="6"/>
    <s v=""/>
    <x v="7"/>
    <n v="30950"/>
    <m/>
    <m/>
    <m/>
    <n v="1"/>
    <n v="1"/>
    <m/>
    <m/>
    <s v="0"/>
    <s v="0"/>
    <n v="34116.666666666664"/>
    <m/>
    <m/>
    <m/>
    <m/>
  </r>
  <r>
    <n v="369"/>
    <x v="11"/>
    <n v="0"/>
    <x v="1"/>
    <s v=""/>
    <x v="7"/>
    <n v="34500"/>
    <m/>
    <m/>
    <m/>
    <n v="1"/>
    <n v="1"/>
    <m/>
    <m/>
    <s v="0"/>
    <s v="0"/>
    <n v="39187.5"/>
    <m/>
    <m/>
    <m/>
    <m/>
  </r>
  <r>
    <n v="373"/>
    <x v="6"/>
    <n v="0"/>
    <x v="0"/>
    <s v=""/>
    <x v="6"/>
    <n v="160661.6667"/>
    <m/>
    <m/>
    <m/>
    <m/>
    <n v="1"/>
    <m/>
    <m/>
    <s v="0"/>
    <s v="0"/>
    <n v="127133.82501"/>
    <m/>
    <m/>
    <m/>
    <m/>
  </r>
  <r>
    <n v="375"/>
    <x v="7"/>
    <n v="0"/>
    <x v="0"/>
    <s v=""/>
    <x v="0"/>
    <n v="44140"/>
    <m/>
    <m/>
    <n v="1"/>
    <n v="1"/>
    <n v="1"/>
    <n v="1"/>
    <m/>
    <s v="0"/>
    <s v="0"/>
    <n v="33080"/>
    <m/>
    <m/>
    <m/>
    <m/>
  </r>
  <r>
    <n v="378"/>
    <x v="12"/>
    <n v="0"/>
    <x v="1"/>
    <s v=""/>
    <x v="6"/>
    <n v="119010.26669999999"/>
    <m/>
    <m/>
    <m/>
    <m/>
    <n v="1"/>
    <m/>
    <m/>
    <s v="0"/>
    <s v="0"/>
    <n v="112430.26669999999"/>
    <m/>
    <m/>
    <m/>
    <m/>
  </r>
  <r>
    <n v="324"/>
    <x v="8"/>
    <n v="1"/>
    <x v="1"/>
    <s v="Audio Lab Technologies"/>
    <x v="0"/>
    <n v="68660"/>
    <n v="48990"/>
    <m/>
    <m/>
    <n v="1"/>
    <m/>
    <n v="1"/>
    <m/>
    <s v="0"/>
    <s v="0"/>
    <n v="48990"/>
    <n v="48990"/>
    <n v="68660"/>
    <n v="19670"/>
    <n v="0.401510512349459"/>
  </r>
  <r>
    <n v="326"/>
    <x v="10"/>
    <n v="1"/>
    <x v="1"/>
    <s v="Witness"/>
    <x v="7"/>
    <n v="28600"/>
    <n v="18050"/>
    <m/>
    <m/>
    <n v="1"/>
    <n v="1"/>
    <m/>
    <m/>
    <s v="0"/>
    <s v="0"/>
    <n v="18050"/>
    <n v="18050"/>
    <n v="28600"/>
    <n v="10550"/>
    <n v="0.58448753462603897"/>
  </r>
  <r>
    <n v="332"/>
    <x v="1"/>
    <n v="1"/>
    <x v="0"/>
    <s v="Toto"/>
    <x v="6"/>
    <n v="130914.5833"/>
    <n v="114895.93889999999"/>
    <m/>
    <m/>
    <n v="1"/>
    <m/>
    <m/>
    <m/>
    <s v="0"/>
    <s v="0"/>
    <n v="114895.93886666666"/>
    <n v="114895.93886666666"/>
    <n v="130914.5833"/>
    <n v="16018.644433333335"/>
    <n v="0.13941871741805001"/>
  </r>
  <r>
    <n v="332"/>
    <x v="1"/>
    <n v="1"/>
    <x v="0"/>
    <s v="Andiamo Images"/>
    <x v="7"/>
    <n v="62100"/>
    <n v="36283.333330000001"/>
    <m/>
    <m/>
    <n v="1"/>
    <m/>
    <n v="1"/>
    <m/>
    <s v="0"/>
    <s v="0"/>
    <n v="36283.333333333336"/>
    <n v="36283.333333333336"/>
    <n v="62100"/>
    <n v="25816.666666666664"/>
    <n v="0.71152962792834196"/>
  </r>
  <r>
    <n v="333"/>
    <x v="17"/>
    <n v="1"/>
    <x v="4"/>
    <s v="Special Oaks"/>
    <x v="0"/>
    <n v="48690"/>
    <n v="31286.666669999999"/>
    <m/>
    <m/>
    <n v="1"/>
    <m/>
    <n v="1"/>
    <m/>
    <s v="0"/>
    <s v="0"/>
    <n v="31286.666666666668"/>
    <n v="31286.666666666668"/>
    <n v="48690"/>
    <n v="17403.333333333332"/>
    <n v="0.55625399531216702"/>
  </r>
  <r>
    <n v="336"/>
    <x v="3"/>
    <n v="1"/>
    <x v="0"/>
    <s v="Witness"/>
    <x v="7"/>
    <n v="47650"/>
    <n v="36783.333330000001"/>
    <m/>
    <m/>
    <n v="1"/>
    <n v="1"/>
    <m/>
    <m/>
    <s v="0"/>
    <s v="0"/>
    <n v="36783.333333333336"/>
    <n v="36783.333333333336"/>
    <n v="47650"/>
    <n v="10866.666666666664"/>
    <n v="0.29542365201631199"/>
  </r>
  <r>
    <n v="340"/>
    <x v="5"/>
    <n v="1"/>
    <x v="0"/>
    <s v="Toto"/>
    <x v="6"/>
    <n v="173646.2"/>
    <n v="147026.44440000001"/>
    <m/>
    <m/>
    <n v="1"/>
    <m/>
    <m/>
    <m/>
    <s v="0"/>
    <s v="0"/>
    <n v="147026.44443333332"/>
    <n v="147026.44443333332"/>
    <n v="173646.2"/>
    <n v="26619.755566666689"/>
    <n v="0.18105420197886199"/>
  </r>
  <r>
    <n v="341"/>
    <x v="18"/>
    <n v="1"/>
    <x v="4"/>
    <s v="Andiamo Images"/>
    <x v="7"/>
    <n v="29550"/>
    <n v="28966.666669999999"/>
    <m/>
    <m/>
    <n v="1"/>
    <m/>
    <n v="1"/>
    <m/>
    <s v="0"/>
    <s v="0"/>
    <n v="28966.666666666668"/>
    <n v="28966.666666666668"/>
    <n v="29550"/>
    <n v="583.33333333333212"/>
    <n v="2.01380897583429E-2"/>
  </r>
  <r>
    <n v="343"/>
    <x v="20"/>
    <n v="1"/>
    <x v="4"/>
    <s v="Rackspace Digital"/>
    <x v="7"/>
    <n v="32300"/>
    <n v="30325"/>
    <m/>
    <m/>
    <n v="1"/>
    <m/>
    <m/>
    <m/>
    <s v="0"/>
    <s v="0"/>
    <n v="30325"/>
    <n v="30325"/>
    <n v="32300"/>
    <n v="1975"/>
    <n v="6.5127782357790598E-2"/>
  </r>
  <r>
    <n v="345"/>
    <x v="22"/>
    <n v="1"/>
    <x v="4"/>
    <s v="Here &amp; Now"/>
    <x v="7"/>
    <n v="14200"/>
    <n v="23825"/>
    <m/>
    <m/>
    <n v="1"/>
    <n v="1"/>
    <m/>
    <m/>
    <s v="0"/>
    <s v="0"/>
    <n v="23825"/>
    <n v="23825"/>
    <n v="14200"/>
    <n v="-9625"/>
    <n v="-0.40398740818467999"/>
  </r>
  <r>
    <n v="345"/>
    <x v="22"/>
    <n v="1"/>
    <x v="4"/>
    <s v="Fight Club"/>
    <x v="6"/>
    <n v="145993.75"/>
    <n v="127258.5708"/>
    <m/>
    <m/>
    <n v="1"/>
    <m/>
    <m/>
    <m/>
    <s v="0"/>
    <s v="0"/>
    <n v="127258.57084999999"/>
    <n v="127258.57084999999"/>
    <n v="145993.75"/>
    <n v="18735.179150000011"/>
    <n v="0.147221354324992"/>
  </r>
  <r>
    <n v="367"/>
    <x v="9"/>
    <n v="1"/>
    <x v="1"/>
    <s v="The Dub House"/>
    <x v="7"/>
    <n v="51900"/>
    <n v="44125"/>
    <m/>
    <m/>
    <n v="1"/>
    <m/>
    <m/>
    <m/>
    <s v="0"/>
    <s v="0"/>
    <n v="44125"/>
    <n v="44125"/>
    <n v="51900"/>
    <n v="7775"/>
    <n v="0.17620396600566601"/>
  </r>
  <r>
    <n v="369"/>
    <x v="11"/>
    <n v="1"/>
    <x v="1"/>
    <s v="Love Language"/>
    <x v="0"/>
    <n v="20310"/>
    <n v="26410"/>
    <m/>
    <m/>
    <n v="1"/>
    <m/>
    <m/>
    <n v="1"/>
    <s v="0"/>
    <s v="0"/>
    <n v="26410"/>
    <n v="26410"/>
    <n v="20310"/>
    <n v="-6100"/>
    <n v="-0.230973116243847"/>
  </r>
  <r>
    <n v="369"/>
    <x v="11"/>
    <n v="1"/>
    <x v="1"/>
    <s v="Andiamo Images"/>
    <x v="7"/>
    <n v="35150"/>
    <n v="39187.5"/>
    <m/>
    <m/>
    <n v="1"/>
    <m/>
    <n v="1"/>
    <m/>
    <s v="0"/>
    <s v="0"/>
    <n v="39187.5"/>
    <n v="39187.5"/>
    <n v="35150"/>
    <n v="-4037.5"/>
    <n v="-0.103030303030303"/>
  </r>
  <r>
    <n v="381"/>
    <x v="13"/>
    <n v="1"/>
    <x v="1"/>
    <s v="Audio Lab Technologies"/>
    <x v="0"/>
    <n v="16840"/>
    <n v="39090"/>
    <m/>
    <n v="1"/>
    <n v="1"/>
    <n v="1"/>
    <m/>
    <n v="1"/>
    <s v="0"/>
    <s v="0"/>
    <n v="39090"/>
    <n v="39090"/>
    <n v="16840"/>
    <n v="-22250"/>
    <n v="-0.56919928370427197"/>
  </r>
  <r>
    <n v="318"/>
    <x v="15"/>
    <n v="1"/>
    <x v="2"/>
    <s v="Evan Bander LLC"/>
    <x v="7"/>
    <n v="39950"/>
    <n v="37833.333330000001"/>
    <m/>
    <m/>
    <m/>
    <n v="1"/>
    <m/>
    <n v="1"/>
    <s v="0"/>
    <s v="0"/>
    <n v="37833.333333333336"/>
    <n v="37833.333333333336"/>
    <n v="39950"/>
    <n v="2116.6666666666642"/>
    <n v="5.59471365638766E-2"/>
  </r>
  <r>
    <n v="326"/>
    <x v="10"/>
    <n v="1"/>
    <x v="1"/>
    <s v="Sound Monster"/>
    <x v="0"/>
    <n v="68510"/>
    <n v="52025"/>
    <m/>
    <m/>
    <m/>
    <n v="1"/>
    <m/>
    <m/>
    <s v="0"/>
    <s v="0"/>
    <n v="52025"/>
    <n v="52025"/>
    <n v="68510"/>
    <n v="16485"/>
    <n v="0.31686689091782799"/>
  </r>
  <r>
    <n v="333"/>
    <x v="17"/>
    <n v="1"/>
    <x v="4"/>
    <s v="Evan Bander LLC"/>
    <x v="7"/>
    <n v="35150"/>
    <n v="31766.666669999999"/>
    <m/>
    <m/>
    <m/>
    <n v="1"/>
    <m/>
    <n v="1"/>
    <s v="0"/>
    <s v="0"/>
    <n v="31766.666666666664"/>
    <n v="31766.666666666664"/>
    <n v="35150"/>
    <n v="3383.3333333333358"/>
    <n v="0.106505771248688"/>
  </r>
  <r>
    <n v="334"/>
    <x v="2"/>
    <n v="1"/>
    <x v="0"/>
    <s v="The Dub House"/>
    <x v="7"/>
    <n v="30500"/>
    <n v="24616.666669999999"/>
    <m/>
    <m/>
    <m/>
    <n v="1"/>
    <m/>
    <m/>
    <s v="0"/>
    <s v="0"/>
    <n v="24616.666666666668"/>
    <n v="24616.666666666668"/>
    <n v="30500"/>
    <n v="5883.3333333333321"/>
    <n v="0.238997968855789"/>
  </r>
  <r>
    <n v="341"/>
    <x v="18"/>
    <n v="1"/>
    <x v="5"/>
    <s v="Audio Lab Technologies"/>
    <x v="0"/>
    <n v="27850"/>
    <n v="38780"/>
    <m/>
    <m/>
    <m/>
    <n v="1"/>
    <m/>
    <n v="1"/>
    <s v="0"/>
    <s v="0"/>
    <n v="38780"/>
    <n v="38780"/>
    <n v="27850"/>
    <n v="-10930"/>
    <n v="-0.28184631253223302"/>
  </r>
  <r>
    <n v="347"/>
    <x v="23"/>
    <n v="1"/>
    <x v="6"/>
    <s v="Total Cuts Post"/>
    <x v="6"/>
    <n v="76794.083329999994"/>
    <n v="87986.9375"/>
    <m/>
    <m/>
    <m/>
    <n v="1"/>
    <m/>
    <m/>
    <s v="0"/>
    <s v="0"/>
    <n v="87986.9375"/>
    <n v="87986.9375"/>
    <n v="76794.083329999994"/>
    <n v="-11192.854170000006"/>
    <n v="-0.12721040745394699"/>
  </r>
  <r>
    <n v="356"/>
    <x v="25"/>
    <n v="1"/>
    <x v="6"/>
    <s v="Evan Bander LLC"/>
    <x v="7"/>
    <n v="63650"/>
    <n v="36666.666669999999"/>
    <m/>
    <m/>
    <m/>
    <n v="1"/>
    <m/>
    <n v="1"/>
    <s v="0"/>
    <s v="0"/>
    <n v="36666.666666666664"/>
    <n v="36666.666666666664"/>
    <n v="63650"/>
    <n v="26983.333333333336"/>
    <n v="0.73590909090909096"/>
  </r>
  <r>
    <n v="364"/>
    <x v="30"/>
    <n v="1"/>
    <x v="6"/>
    <s v="Special Oaks"/>
    <x v="0"/>
    <n v="28890"/>
    <n v="37863.333330000001"/>
    <m/>
    <m/>
    <m/>
    <n v="1"/>
    <m/>
    <m/>
    <s v="0"/>
    <s v="0"/>
    <n v="37863.333333333336"/>
    <n v="37863.333333333336"/>
    <n v="28890"/>
    <n v="-8973.3333333333358"/>
    <n v="-0.236992693018752"/>
  </r>
  <r>
    <n v="373"/>
    <x v="6"/>
    <n v="1"/>
    <x v="0"/>
    <s v="Evan Bander LLC"/>
    <x v="7"/>
    <n v="65400"/>
    <n v="38150"/>
    <m/>
    <m/>
    <m/>
    <n v="1"/>
    <m/>
    <n v="1"/>
    <s v="0"/>
    <s v="0"/>
    <n v="38150"/>
    <n v="38150"/>
    <n v="65400"/>
    <n v="27250"/>
    <n v="0.71428571428571397"/>
  </r>
  <r>
    <n v="375"/>
    <x v="7"/>
    <n v="1"/>
    <x v="0"/>
    <s v="Toto"/>
    <x v="6"/>
    <n v="120548.3417"/>
    <n v="135828.56390000001"/>
    <m/>
    <m/>
    <m/>
    <n v="1"/>
    <m/>
    <m/>
    <s v="0"/>
    <s v="0"/>
    <n v="135828.56390000001"/>
    <n v="135828.56390000001"/>
    <n v="120548.3417"/>
    <n v="-15280.222200000004"/>
    <n v="-0.112496383391417"/>
  </r>
  <r>
    <n v="381"/>
    <x v="13"/>
    <n v="1"/>
    <x v="1"/>
    <s v="Toto"/>
    <x v="6"/>
    <n v="188078.3333"/>
    <n v="114682.0889"/>
    <m/>
    <m/>
    <m/>
    <n v="1"/>
    <m/>
    <m/>
    <s v="0"/>
    <s v="0"/>
    <n v="114682.08887666666"/>
    <n v="114682.08887666666"/>
    <n v="188078.3333"/>
    <n v="73396.244423333337"/>
    <n v="0.63999744983949802"/>
  </r>
  <r>
    <n v="324"/>
    <x v="8"/>
    <n v="1"/>
    <x v="1"/>
    <s v="The Closet"/>
    <x v="6"/>
    <n v="100975.5833"/>
    <n v="93441.483330000003"/>
    <m/>
    <m/>
    <m/>
    <m/>
    <n v="1"/>
    <n v="1"/>
    <s v="0"/>
    <s v="0"/>
    <n v="93441.483333333337"/>
    <n v="93441.483333333337"/>
    <n v="100975.5833"/>
    <n v="7534.0999666666612"/>
    <n v="8.0629070707175093E-2"/>
  </r>
  <r>
    <n v="330"/>
    <x v="0"/>
    <n v="1"/>
    <x v="0"/>
    <s v="The Closet"/>
    <x v="6"/>
    <n v="123923.3333"/>
    <n v="123349.4111"/>
    <m/>
    <m/>
    <m/>
    <m/>
    <n v="1"/>
    <n v="1"/>
    <s v="0"/>
    <s v="0"/>
    <n v="123349.4111"/>
    <n v="123349.4111"/>
    <n v="123923.3333"/>
    <n v="573.92220000000088"/>
    <n v="4.6528167008006204E-3"/>
  </r>
  <r>
    <n v="343"/>
    <x v="20"/>
    <n v="1"/>
    <x v="4"/>
    <s v="The Closet"/>
    <x v="6"/>
    <n v="95547.083329999994"/>
    <n v="133351.0111"/>
    <m/>
    <m/>
    <m/>
    <m/>
    <n v="1"/>
    <n v="1"/>
    <s v="0"/>
    <s v="0"/>
    <n v="133351.01110999999"/>
    <n v="133351.01110999999"/>
    <n v="95547.083329999994"/>
    <n v="-37803.927779999998"/>
    <n v="-0.28349187205499199"/>
  </r>
  <r>
    <n v="347"/>
    <x v="23"/>
    <n v="1"/>
    <x v="6"/>
    <s v="Arsonist Post"/>
    <x v="0"/>
    <n v="28450"/>
    <n v="32550"/>
    <m/>
    <m/>
    <m/>
    <m/>
    <n v="1"/>
    <m/>
    <s v="0"/>
    <s v="0"/>
    <n v="32550"/>
    <n v="32550"/>
    <n v="28450"/>
    <n v="-4100"/>
    <n v="-0.12596006144393199"/>
  </r>
  <r>
    <n v="363"/>
    <x v="29"/>
    <n v="1"/>
    <x v="6"/>
    <s v="ColorMaven"/>
    <x v="7"/>
    <n v="50000"/>
    <n v="34116.666669999999"/>
    <m/>
    <m/>
    <m/>
    <m/>
    <n v="1"/>
    <m/>
    <s v="0"/>
    <s v="0"/>
    <n v="34116.666666666664"/>
    <n v="34116.666666666664"/>
    <n v="50000"/>
    <n v="15883.333333333336"/>
    <n v="0.46555935515388402"/>
  </r>
  <r>
    <n v="363"/>
    <x v="29"/>
    <n v="1"/>
    <x v="6"/>
    <s v="Interstate"/>
    <x v="3"/>
    <n v="695741.97759999998"/>
    <n v="747040.61529999995"/>
    <m/>
    <m/>
    <m/>
    <m/>
    <n v="1"/>
    <m/>
    <s v="0"/>
    <s v="0"/>
    <n v="747040.61526666663"/>
    <n v="747040.61526666663"/>
    <n v="695741.97759999998"/>
    <n v="-51298.637666666647"/>
    <n v="-6.8669141433969905E-2"/>
  </r>
  <r>
    <n v="363"/>
    <x v="29"/>
    <n v="1"/>
    <x v="6"/>
    <s v="Interstate"/>
    <x v="4"/>
    <n v="13817.135"/>
    <n v="10621.49583"/>
    <m/>
    <m/>
    <m/>
    <m/>
    <n v="1"/>
    <m/>
    <s v="0"/>
    <s v="0"/>
    <n v="10621.495833333334"/>
    <n v="10621.495833333334"/>
    <n v="13817.135"/>
    <n v="3195.6391666666659"/>
    <n v="0.30086526576019801"/>
  </r>
  <r>
    <n v="363"/>
    <x v="29"/>
    <n v="1"/>
    <x v="6"/>
    <s v="Interstate"/>
    <x v="5"/>
    <n v="9300"/>
    <n v="11143.333329999999"/>
    <m/>
    <m/>
    <m/>
    <m/>
    <n v="1"/>
    <m/>
    <s v="0"/>
    <s v="0"/>
    <n v="11143.333333333334"/>
    <n v="11143.333333333334"/>
    <n v="9300"/>
    <n v="-1843.3333333333339"/>
    <n v="-0.165420281184565"/>
  </r>
  <r>
    <n v="367"/>
    <x v="9"/>
    <n v="1"/>
    <x v="1"/>
    <s v="Interstate"/>
    <x v="1"/>
    <n v="42850"/>
    <n v="31316.666669999999"/>
    <m/>
    <m/>
    <m/>
    <m/>
    <n v="1"/>
    <m/>
    <s v="0"/>
    <s v="0"/>
    <n v="31316.666666666664"/>
    <n v="31316.666666666664"/>
    <n v="42850"/>
    <n v="11533.333333333336"/>
    <n v="0.36828100053219798"/>
  </r>
  <r>
    <n v="367"/>
    <x v="9"/>
    <n v="1"/>
    <x v="1"/>
    <s v="Interstate"/>
    <x v="2"/>
    <n v="193795.97099999999"/>
    <n v="182920.4215"/>
    <m/>
    <m/>
    <m/>
    <m/>
    <n v="1"/>
    <m/>
    <s v="0"/>
    <s v="0"/>
    <n v="182920.4215"/>
    <n v="182920.4215"/>
    <n v="193795.97099999999"/>
    <n v="10875.549499999994"/>
    <n v="5.9455086593488901E-2"/>
  </r>
  <r>
    <n v="369"/>
    <x v="11"/>
    <n v="1"/>
    <x v="1"/>
    <s v="Interstate"/>
    <x v="2"/>
    <n v="145024.3322"/>
    <n v="151042.9981"/>
    <m/>
    <m/>
    <m/>
    <m/>
    <n v="1"/>
    <m/>
    <s v="0"/>
    <s v="0"/>
    <n v="151042.9981"/>
    <n v="151042.9981"/>
    <n v="145024.3322"/>
    <n v="-6018.6658999999927"/>
    <n v="-3.9847367807246903E-2"/>
  </r>
  <r>
    <n v="369"/>
    <x v="11"/>
    <n v="1"/>
    <x v="1"/>
    <s v="Interstate"/>
    <x v="1"/>
    <n v="46350"/>
    <n v="46475"/>
    <m/>
    <m/>
    <m/>
    <m/>
    <n v="1"/>
    <m/>
    <s v="0"/>
    <s v="0"/>
    <n v="46475"/>
    <n v="46475"/>
    <n v="46350"/>
    <n v="-125"/>
    <n v="-2.68961807423346E-3"/>
  </r>
  <r>
    <n v="375"/>
    <x v="7"/>
    <n v="1"/>
    <x v="0"/>
    <s v="Andiamo Images"/>
    <x v="7"/>
    <n v="22550"/>
    <n v="21600"/>
    <m/>
    <m/>
    <m/>
    <m/>
    <n v="1"/>
    <m/>
    <s v="0"/>
    <s v="0"/>
    <n v="21600"/>
    <n v="21600"/>
    <n v="22550"/>
    <n v="950"/>
    <n v="4.3981481481481503E-2"/>
  </r>
  <r>
    <n v="378"/>
    <x v="12"/>
    <n v="1"/>
    <x v="1"/>
    <s v="ColorMaven"/>
    <x v="7"/>
    <n v="40150"/>
    <n v="33800"/>
    <m/>
    <m/>
    <m/>
    <m/>
    <n v="1"/>
    <m/>
    <s v="0"/>
    <s v="0"/>
    <n v="33800"/>
    <n v="33800"/>
    <n v="40150"/>
    <n v="6350"/>
    <n v="0.18786982248520701"/>
  </r>
  <r>
    <n v="383"/>
    <x v="14"/>
    <n v="1"/>
    <x v="1"/>
    <s v="ColorMaven"/>
    <x v="7"/>
    <n v="61200"/>
    <n v="55050"/>
    <m/>
    <m/>
    <m/>
    <m/>
    <n v="1"/>
    <m/>
    <s v="0"/>
    <s v="0"/>
    <n v="55050"/>
    <n v="55050"/>
    <n v="61200"/>
    <n v="6150"/>
    <n v="0.11171662125340601"/>
  </r>
  <r>
    <n v="332"/>
    <x v="1"/>
    <n v="1"/>
    <x v="0"/>
    <s v="CHAW Creative"/>
    <x v="2"/>
    <n v="139549.23199999999"/>
    <n v="158633.04389999999"/>
    <m/>
    <n v="1"/>
    <m/>
    <m/>
    <m/>
    <n v="1"/>
    <s v="0"/>
    <s v="0"/>
    <n v="158633.04393333333"/>
    <n v="158633.04393333333"/>
    <n v="139549.23199999999"/>
    <n v="-19083.811933333345"/>
    <n v="-0.120301618503604"/>
  </r>
  <r>
    <n v="332"/>
    <x v="1"/>
    <n v="1"/>
    <x v="0"/>
    <s v="CHAW Creative"/>
    <x v="1"/>
    <n v="23000"/>
    <n v="29616.666669999999"/>
    <m/>
    <n v="1"/>
    <m/>
    <m/>
    <m/>
    <n v="1"/>
    <s v="0"/>
    <s v="0"/>
    <n v="29616.666666666664"/>
    <n v="29616.666666666664"/>
    <n v="23000"/>
    <n v="-6616.6666666666642"/>
    <n v="-0.22341024198086701"/>
  </r>
  <r>
    <n v="334"/>
    <x v="2"/>
    <n v="1"/>
    <x v="4"/>
    <s v="Test Flight Productions"/>
    <x v="3"/>
    <n v="879045.36300000001"/>
    <n v="836563.70929999999"/>
    <m/>
    <n v="1"/>
    <m/>
    <m/>
    <m/>
    <n v="1"/>
    <s v="0"/>
    <s v="0"/>
    <n v="836563.7093333333"/>
    <n v="836563.7093333333"/>
    <n v="879045.36300000001"/>
    <n v="42481.653666666709"/>
    <n v="5.0781133812893703E-2"/>
  </r>
  <r>
    <n v="334"/>
    <x v="2"/>
    <n v="1"/>
    <x v="4"/>
    <s v="Test Flight Productions"/>
    <x v="4"/>
    <n v="10303.77"/>
    <n v="10274.885829999999"/>
    <m/>
    <n v="1"/>
    <m/>
    <m/>
    <m/>
    <n v="1"/>
    <s v="0"/>
    <s v="0"/>
    <n v="10274.885833333334"/>
    <n v="10274.885833333334"/>
    <n v="10303.77"/>
    <n v="28.884166666666715"/>
    <n v="2.8111423460260702E-3"/>
  </r>
  <r>
    <n v="334"/>
    <x v="2"/>
    <n v="1"/>
    <x v="4"/>
    <s v="Test Flight Productions"/>
    <x v="5"/>
    <n v="6656"/>
    <n v="8960"/>
    <m/>
    <n v="1"/>
    <m/>
    <m/>
    <m/>
    <n v="1"/>
    <s v="0"/>
    <s v="0"/>
    <n v="8960"/>
    <n v="8960"/>
    <n v="6656"/>
    <n v="-2304"/>
    <n v="-0.25714285714285701"/>
  </r>
  <r>
    <n v="334"/>
    <x v="2"/>
    <n v="1"/>
    <x v="0"/>
    <s v="Test Flight Productions"/>
    <x v="8"/>
    <n v="13155.424999999999"/>
    <n v="15807.516670000001"/>
    <m/>
    <n v="1"/>
    <m/>
    <m/>
    <m/>
    <n v="1"/>
    <s v="0"/>
    <s v="0"/>
    <n v="15807.516666666666"/>
    <n v="15807.516666666666"/>
    <n v="13155.424999999999"/>
    <n v="-2652.0916666666672"/>
    <n v="-0.167774086378738"/>
  </r>
  <r>
    <n v="338"/>
    <x v="4"/>
    <n v="1"/>
    <x v="0"/>
    <s v="Kent Wilson Studio"/>
    <x v="2"/>
    <n v="185496.48130000001"/>
    <n v="169276.7746"/>
    <m/>
    <n v="1"/>
    <m/>
    <m/>
    <m/>
    <m/>
    <s v="0"/>
    <s v="0"/>
    <n v="169276.77456666666"/>
    <n v="169276.77456666666"/>
    <n v="185496.48130000001"/>
    <n v="16219.706733333354"/>
    <n v="9.5817673599076697E-2"/>
  </r>
  <r>
    <n v="338"/>
    <x v="4"/>
    <n v="1"/>
    <x v="0"/>
    <s v="Kent Wilson Studio"/>
    <x v="1"/>
    <n v="55200"/>
    <n v="47966.666669999999"/>
    <m/>
    <n v="1"/>
    <m/>
    <m/>
    <m/>
    <m/>
    <s v="0"/>
    <s v="0"/>
    <n v="47966.666666666664"/>
    <n v="47966.666666666664"/>
    <n v="55200"/>
    <n v="7233.3333333333358"/>
    <n v="0.150799166087561"/>
  </r>
  <r>
    <n v="343"/>
    <x v="20"/>
    <n v="1"/>
    <x v="4"/>
    <s v="CHAW Creative"/>
    <x v="3"/>
    <n v="768079.10340000002"/>
    <n v="825872.91529999999"/>
    <m/>
    <n v="1"/>
    <m/>
    <m/>
    <m/>
    <n v="1"/>
    <s v="0"/>
    <s v="0"/>
    <n v="825872.91529999999"/>
    <n v="825872.91529999999"/>
    <n v="768079.10340000002"/>
    <n v="-57793.811899999972"/>
    <n v="-6.9979061946844806E-2"/>
  </r>
  <r>
    <n v="343"/>
    <x v="20"/>
    <n v="1"/>
    <x v="4"/>
    <s v="CHAW Creative"/>
    <x v="4"/>
    <n v="7255.1774999999998"/>
    <n v="7738.330833"/>
    <m/>
    <n v="1"/>
    <m/>
    <m/>
    <m/>
    <n v="1"/>
    <s v="0"/>
    <s v="0"/>
    <n v="7738.3308333333334"/>
    <n v="7738.3308333333334"/>
    <n v="7255.1774999999998"/>
    <n v="-483.15333333333365"/>
    <n v="-6.2436375975568399E-2"/>
  </r>
  <r>
    <n v="361"/>
    <x v="27"/>
    <n v="1"/>
    <x v="6"/>
    <s v="CHAW Creative"/>
    <x v="3"/>
    <n v="671242.23999999999"/>
    <n v="752620.27560000005"/>
    <m/>
    <n v="1"/>
    <m/>
    <m/>
    <m/>
    <n v="1"/>
    <s v="0"/>
    <s v="0"/>
    <n v="752620.27560000005"/>
    <n v="752620.27560000005"/>
    <n v="671242.23999999999"/>
    <n v="-81378.035600000061"/>
    <n v="-0.108126286572766"/>
  </r>
  <r>
    <n v="362"/>
    <x v="28"/>
    <n v="1"/>
    <x v="6"/>
    <s v="Level 12 Shooters Inc"/>
    <x v="3"/>
    <n v="787930.41"/>
    <n v="815339.00749999995"/>
    <m/>
    <n v="1"/>
    <m/>
    <m/>
    <m/>
    <m/>
    <s v="0"/>
    <s v="0"/>
    <n v="815339.00746666675"/>
    <n v="815339.00746666675"/>
    <n v="787930.41"/>
    <n v="-27408.597466666717"/>
    <n v="-3.3616197944248701E-2"/>
  </r>
  <r>
    <n v="364"/>
    <x v="30"/>
    <n v="1"/>
    <x v="6"/>
    <s v="Test Flight Productions"/>
    <x v="5"/>
    <n v="14375"/>
    <n v="15299.666670000001"/>
    <m/>
    <n v="1"/>
    <m/>
    <m/>
    <m/>
    <n v="1"/>
    <s v="0"/>
    <s v="0"/>
    <n v="15299.666666666666"/>
    <n v="15299.666666666666"/>
    <n v="14375"/>
    <n v="-924.66666666666606"/>
    <n v="-6.04370465587485E-2"/>
  </r>
  <r>
    <n v="364"/>
    <x v="30"/>
    <n v="1"/>
    <x v="6"/>
    <s v="Test Flight Productions"/>
    <x v="4"/>
    <n v="10926.092500000001"/>
    <n v="10064.819170000001"/>
    <m/>
    <n v="1"/>
    <m/>
    <m/>
    <m/>
    <n v="1"/>
    <s v="0"/>
    <s v="0"/>
    <n v="10064.819166666666"/>
    <n v="10064.819166666666"/>
    <n v="10926.092500000001"/>
    <n v="861.27333333333445"/>
    <n v="8.5572658492042902E-2"/>
  </r>
  <r>
    <n v="364"/>
    <x v="30"/>
    <n v="1"/>
    <x v="6"/>
    <s v="Test Flight Productions"/>
    <x v="3"/>
    <n v="831998.99340000004"/>
    <n v="706387.15280000004"/>
    <m/>
    <n v="1"/>
    <m/>
    <m/>
    <m/>
    <n v="1"/>
    <s v="0"/>
    <s v="0"/>
    <n v="706387.15280000004"/>
    <n v="706387.15280000004"/>
    <n v="831998.99340000004"/>
    <n v="125611.8406"/>
    <n v="0.177822940440091"/>
  </r>
  <r>
    <n v="367"/>
    <x v="9"/>
    <n v="1"/>
    <x v="1"/>
    <s v="Petulant Pictures"/>
    <x v="5"/>
    <n v="12032"/>
    <n v="10374.666670000001"/>
    <m/>
    <n v="1"/>
    <m/>
    <m/>
    <m/>
    <m/>
    <s v="0"/>
    <s v="0"/>
    <n v="10374.666666666666"/>
    <n v="10374.666666666666"/>
    <n v="12032"/>
    <n v="1657.3333333333339"/>
    <n v="0.15974810435676701"/>
  </r>
  <r>
    <n v="367"/>
    <x v="9"/>
    <n v="1"/>
    <x v="1"/>
    <s v="Petulant Pictures"/>
    <x v="4"/>
    <n v="10996.99"/>
    <n v="7102.8791670000001"/>
    <m/>
    <n v="1"/>
    <m/>
    <m/>
    <m/>
    <m/>
    <s v="0"/>
    <s v="0"/>
    <n v="7102.8791666666666"/>
    <n v="7102.8791666666666"/>
    <n v="10996.99"/>
    <n v="3894.1108333333332"/>
    <n v="0.54824399260628498"/>
  </r>
  <r>
    <n v="367"/>
    <x v="9"/>
    <n v="1"/>
    <x v="1"/>
    <s v="Petulant Pictures"/>
    <x v="3"/>
    <n v="881024.64"/>
    <n v="823789.01630000002"/>
    <m/>
    <n v="1"/>
    <m/>
    <m/>
    <m/>
    <m/>
    <s v="0"/>
    <s v="0"/>
    <n v="823789.01633333333"/>
    <n v="823789.01633333333"/>
    <n v="881024.64"/>
    <n v="57235.623666666681"/>
    <n v="6.9478498173502198E-2"/>
  </r>
  <r>
    <n v="369"/>
    <x v="11"/>
    <n v="1"/>
    <x v="1"/>
    <s v="Petulant Pictures"/>
    <x v="8"/>
    <n v="20323.95"/>
    <n v="19142.325000000001"/>
    <m/>
    <n v="1"/>
    <m/>
    <m/>
    <m/>
    <m/>
    <s v="0"/>
    <s v="0"/>
    <n v="19142.325000000001"/>
    <n v="19142.325000000001"/>
    <n v="20323.95"/>
    <n v="1181.625"/>
    <n v="6.1728395061728399E-2"/>
  </r>
  <r>
    <n v="369"/>
    <x v="11"/>
    <n v="1"/>
    <x v="1"/>
    <s v="Petulant Pictures"/>
    <x v="3"/>
    <n v="917249.39"/>
    <n v="865895.92"/>
    <m/>
    <n v="1"/>
    <m/>
    <m/>
    <m/>
    <m/>
    <s v="0"/>
    <s v="0"/>
    <n v="865895.91999999993"/>
    <n v="865895.91999999993"/>
    <n v="917249.39"/>
    <n v="51353.470000000088"/>
    <n v="5.9306746704615602E-2"/>
  </r>
  <r>
    <n v="369"/>
    <x v="11"/>
    <n v="1"/>
    <x v="1"/>
    <s v="Petulant Pictures"/>
    <x v="4"/>
    <n v="7113.3824999999997"/>
    <n v="8224.11"/>
    <m/>
    <n v="1"/>
    <m/>
    <m/>
    <m/>
    <m/>
    <s v="0"/>
    <s v="0"/>
    <n v="8224.11"/>
    <n v="8224.11"/>
    <n v="7113.3824999999997"/>
    <n v="-1110.7275000000009"/>
    <n v="-0.13505747126436801"/>
  </r>
  <r>
    <n v="369"/>
    <x v="11"/>
    <n v="1"/>
    <x v="1"/>
    <s v="Petulant Pictures"/>
    <x v="5"/>
    <n v="22500"/>
    <n v="17917.5"/>
    <m/>
    <n v="1"/>
    <m/>
    <m/>
    <m/>
    <m/>
    <s v="0"/>
    <s v="0"/>
    <n v="17917.5"/>
    <n v="17917.5"/>
    <n v="22500"/>
    <n v="4582.5"/>
    <n v="0.25575554625366298"/>
  </r>
  <r>
    <n v="378"/>
    <x v="12"/>
    <n v="1"/>
    <x v="1"/>
    <s v="Test Flight Productions"/>
    <x v="5"/>
    <n v="11088"/>
    <n v="12233"/>
    <m/>
    <n v="1"/>
    <m/>
    <m/>
    <m/>
    <n v="1"/>
    <s v="0"/>
    <s v="0"/>
    <n v="12233"/>
    <n v="12233"/>
    <n v="11088"/>
    <n v="-1145"/>
    <n v="-9.3599280634349705E-2"/>
  </r>
  <r>
    <n v="378"/>
    <x v="12"/>
    <n v="1"/>
    <x v="1"/>
    <s v="Test Flight Productions"/>
    <x v="4"/>
    <n v="3552.7525000000001"/>
    <n v="7084.4983329999995"/>
    <m/>
    <n v="1"/>
    <m/>
    <m/>
    <m/>
    <n v="1"/>
    <s v="0"/>
    <s v="0"/>
    <n v="7084.498333333333"/>
    <n v="7084.498333333333"/>
    <n v="3552.7525000000001"/>
    <n v="-3531.7458333333329"/>
    <n v="-0.498517420311342"/>
  </r>
  <r>
    <n v="378"/>
    <x v="12"/>
    <n v="1"/>
    <x v="1"/>
    <s v="Test Flight Productions"/>
    <x v="3"/>
    <n v="650063.18000000005"/>
    <n v="706071.20169999998"/>
    <m/>
    <n v="1"/>
    <m/>
    <m/>
    <m/>
    <n v="1"/>
    <s v="0"/>
    <s v="0"/>
    <n v="706071.20166666666"/>
    <n v="706071.20166666666"/>
    <n v="650063.18000000005"/>
    <n v="-56008.021666666609"/>
    <n v="-7.9323475500007401E-2"/>
  </r>
  <r>
    <n v="383"/>
    <x v="14"/>
    <n v="1"/>
    <x v="1"/>
    <s v="Kent Wilson Studio"/>
    <x v="2"/>
    <n v="133961.44750000001"/>
    <n v="128176.2954"/>
    <m/>
    <n v="1"/>
    <m/>
    <m/>
    <m/>
    <m/>
    <s v="0"/>
    <s v="0"/>
    <n v="128176.29536666667"/>
    <n v="128176.29536666667"/>
    <n v="133961.44750000001"/>
    <n v="5785.1521333333367"/>
    <n v="4.5134337178212899E-2"/>
  </r>
  <r>
    <n v="383"/>
    <x v="14"/>
    <n v="1"/>
    <x v="1"/>
    <s v="Kent Wilson Studio"/>
    <x v="1"/>
    <n v="36150"/>
    <n v="30533.333330000001"/>
    <m/>
    <n v="1"/>
    <m/>
    <m/>
    <m/>
    <m/>
    <s v="0"/>
    <s v="0"/>
    <n v="30533.333333333332"/>
    <n v="30533.333333333332"/>
    <n v="36150"/>
    <n v="5616.6666666666679"/>
    <n v="0.18395196506550199"/>
  </r>
  <r>
    <n v="318"/>
    <x v="15"/>
    <n v="1"/>
    <x v="2"/>
    <s v="Saks Street Edit"/>
    <x v="6"/>
    <n v="85973.18333"/>
    <n v="109194.18610000001"/>
    <m/>
    <m/>
    <m/>
    <m/>
    <m/>
    <n v="1"/>
    <s v="0"/>
    <s v="0"/>
    <n v="109194.18611"/>
    <n v="109194.18611"/>
    <n v="85973.18333"/>
    <n v="-23221.002779999995"/>
    <n v="-0.212657867668958"/>
  </r>
  <r>
    <n v="318"/>
    <x v="15"/>
    <n v="1"/>
    <x v="2"/>
    <s v="Tone &amp; Logic"/>
    <x v="9"/>
    <n v="38150"/>
    <n v="38916.666669999999"/>
    <m/>
    <m/>
    <m/>
    <m/>
    <m/>
    <n v="1"/>
    <s v="0"/>
    <s v="0"/>
    <n v="38916.666666666672"/>
    <n v="38916.666666666672"/>
    <n v="38150"/>
    <n v="-766.66666666667152"/>
    <n v="-1.9700214132762399E-2"/>
  </r>
  <r>
    <n v="323"/>
    <x v="16"/>
    <n v="1"/>
    <x v="3"/>
    <s v="Myrtle Row Editorial"/>
    <x v="6"/>
    <n v="95889.791670000006"/>
    <n v="93203.872220000005"/>
    <m/>
    <m/>
    <m/>
    <m/>
    <m/>
    <n v="1"/>
    <s v="0"/>
    <s v="0"/>
    <n v="93203.872213333336"/>
    <n v="93203.872213333336"/>
    <n v="95889.791670000006"/>
    <n v="2685.9194566666702"/>
    <n v="2.8817680992039699E-2"/>
  </r>
  <r>
    <n v="324"/>
    <x v="8"/>
    <n v="1"/>
    <x v="1"/>
    <s v="Test Flight Productions"/>
    <x v="8"/>
    <n v="19457.424999999999"/>
    <n v="18774.708330000001"/>
    <m/>
    <m/>
    <m/>
    <m/>
    <m/>
    <n v="1"/>
    <s v="0"/>
    <s v="0"/>
    <n v="18774.708333333332"/>
    <n v="18774.708333333332"/>
    <n v="19457.424999999999"/>
    <n v="682.71666666666715"/>
    <n v="3.6363636363636397E-2"/>
  </r>
  <r>
    <n v="324"/>
    <x v="8"/>
    <n v="1"/>
    <x v="1"/>
    <s v="Tone &amp; Logic"/>
    <x v="9"/>
    <n v="15950"/>
    <n v="30350"/>
    <m/>
    <m/>
    <m/>
    <m/>
    <m/>
    <n v="1"/>
    <s v="0"/>
    <s v="0"/>
    <n v="30350"/>
    <n v="30350"/>
    <n v="15950"/>
    <n v="-14400"/>
    <n v="-0.47446457990115298"/>
  </r>
  <r>
    <n v="324"/>
    <x v="8"/>
    <n v="1"/>
    <x v="1"/>
    <s v="Test Flight Productions"/>
    <x v="5"/>
    <n v="13750"/>
    <n v="11703.333329999999"/>
    <m/>
    <m/>
    <m/>
    <m/>
    <m/>
    <n v="1"/>
    <s v="0"/>
    <s v="0"/>
    <n v="11703.333333333334"/>
    <n v="11703.333333333334"/>
    <n v="13750"/>
    <n v="2046.6666666666661"/>
    <n v="0.17487895186556501"/>
  </r>
  <r>
    <n v="324"/>
    <x v="8"/>
    <n v="1"/>
    <x v="1"/>
    <s v="Test Flight Productions"/>
    <x v="4"/>
    <n v="5317.3125"/>
    <n v="7058.24"/>
    <m/>
    <m/>
    <m/>
    <m/>
    <m/>
    <n v="1"/>
    <s v="0"/>
    <s v="0"/>
    <n v="7058.2400000000007"/>
    <n v="7058.2400000000007"/>
    <n v="5317.3125"/>
    <n v="-1740.9275000000007"/>
    <n v="-0.246651785714286"/>
  </r>
  <r>
    <n v="324"/>
    <x v="8"/>
    <n v="1"/>
    <x v="1"/>
    <s v="Test Flight Productions"/>
    <x v="3"/>
    <n v="856318.5"/>
    <n v="835635.37719999999"/>
    <m/>
    <m/>
    <m/>
    <m/>
    <m/>
    <n v="1"/>
    <s v="0"/>
    <s v="0"/>
    <n v="835635.3772333333"/>
    <n v="835635.3772333333"/>
    <n v="856318.5"/>
    <n v="20683.122766666696"/>
    <n v="2.4751372823809199E-2"/>
  </r>
  <r>
    <n v="336"/>
    <x v="3"/>
    <n v="1"/>
    <x v="0"/>
    <s v="CHAW Creative"/>
    <x v="3"/>
    <n v="743925.82400000002"/>
    <n v="786422.47120000003"/>
    <m/>
    <m/>
    <m/>
    <m/>
    <m/>
    <n v="1"/>
    <s v="0"/>
    <s v="0"/>
    <n v="786422.47120000003"/>
    <n v="786422.47120000003"/>
    <n v="743925.82400000002"/>
    <n v="-42496.647200000007"/>
    <n v="-5.4037936041113503E-2"/>
  </r>
  <r>
    <n v="336"/>
    <x v="3"/>
    <n v="1"/>
    <x v="0"/>
    <s v="CHAW Creative"/>
    <x v="4"/>
    <n v="3757.5675000000001"/>
    <n v="8015.3562499999998"/>
    <m/>
    <m/>
    <m/>
    <m/>
    <m/>
    <n v="1"/>
    <s v="0"/>
    <s v="0"/>
    <n v="8015.3562500000007"/>
    <n v="8015.3562500000007"/>
    <n v="3757.5675000000001"/>
    <n v="-4257.7887500000006"/>
    <n v="-0.53120393120393095"/>
  </r>
  <r>
    <n v="336"/>
    <x v="3"/>
    <n v="1"/>
    <x v="0"/>
    <s v="CHAW Creative"/>
    <x v="5"/>
    <n v="13356"/>
    <n v="15561"/>
    <m/>
    <m/>
    <m/>
    <m/>
    <m/>
    <n v="1"/>
    <s v="0"/>
    <s v="0"/>
    <n v="15561"/>
    <n v="15561"/>
    <n v="13356"/>
    <n v="-2205"/>
    <n v="-0.14170040485829999"/>
  </r>
  <r>
    <n v="338"/>
    <x v="4"/>
    <n v="1"/>
    <x v="0"/>
    <s v="Special Oaks"/>
    <x v="9"/>
    <n v="25900"/>
    <n v="33925"/>
    <m/>
    <m/>
    <m/>
    <m/>
    <m/>
    <n v="1"/>
    <s v="0"/>
    <s v="0"/>
    <n v="33925"/>
    <n v="33925"/>
    <n v="25900"/>
    <n v="-8025"/>
    <n v="-0.236551215917465"/>
  </r>
  <r>
    <n v="362"/>
    <x v="28"/>
    <n v="1"/>
    <x v="6"/>
    <s v="Myrtle Row Editorial"/>
    <x v="6"/>
    <n v="72569.175000000003"/>
    <n v="112854.31110000001"/>
    <m/>
    <m/>
    <m/>
    <m/>
    <m/>
    <n v="1"/>
    <s v="0"/>
    <s v="0"/>
    <n v="112854.31111"/>
    <n v="112854.31111"/>
    <n v="72569.175000000003"/>
    <n v="-40285.136109999992"/>
    <n v="-0.356965859024506"/>
  </r>
  <r>
    <n v="369"/>
    <x v="11"/>
    <n v="1"/>
    <x v="1"/>
    <s v="Myrtle Row Editorial"/>
    <x v="6"/>
    <n v="131994.79999999999"/>
    <n v="92026.783330000006"/>
    <m/>
    <m/>
    <m/>
    <m/>
    <m/>
    <n v="1"/>
    <s v="0"/>
    <s v="0"/>
    <n v="92026.783334999986"/>
    <n v="92026.783334999986"/>
    <n v="131994.79999999999"/>
    <n v="39968.016665000003"/>
    <n v="0.43430852645915802"/>
  </r>
  <r>
    <n v="378"/>
    <x v="12"/>
    <n v="1"/>
    <x v="1"/>
    <s v="CHAW Creative"/>
    <x v="1"/>
    <n v="40100"/>
    <n v="39225"/>
    <m/>
    <m/>
    <m/>
    <m/>
    <m/>
    <n v="1"/>
    <s v="0"/>
    <s v="0"/>
    <n v="39225"/>
    <n v="39225"/>
    <n v="40100"/>
    <n v="875"/>
    <n v="2.2307202039515601E-2"/>
  </r>
  <r>
    <n v="378"/>
    <x v="12"/>
    <n v="1"/>
    <x v="1"/>
    <s v="CHAW Creative"/>
    <x v="2"/>
    <n v="151817.5208"/>
    <n v="142410.3443"/>
    <m/>
    <m/>
    <m/>
    <m/>
    <m/>
    <n v="1"/>
    <s v="0"/>
    <s v="0"/>
    <n v="142410.3443"/>
    <n v="142410.3443"/>
    <n v="151817.5208"/>
    <n v="9407.1765000000014"/>
    <n v="6.6056834187430594E-2"/>
  </r>
  <r>
    <n v="378"/>
    <x v="12"/>
    <n v="1"/>
    <x v="1"/>
    <s v="Tone &amp; Logic"/>
    <x v="9"/>
    <n v="40800"/>
    <n v="30116.666669999999"/>
    <m/>
    <m/>
    <m/>
    <m/>
    <m/>
    <n v="1"/>
    <s v="0"/>
    <s v="0"/>
    <n v="30116.666666666664"/>
    <n v="30116.666666666664"/>
    <n v="40800"/>
    <n v="10683.333333333336"/>
    <n v="0.35473159933591603"/>
  </r>
  <r>
    <n v="378"/>
    <x v="12"/>
    <n v="1"/>
    <x v="1"/>
    <s v="Myrtle Row Editorial"/>
    <x v="6"/>
    <n v="105850.26669999999"/>
    <n v="112430.26669999999"/>
    <m/>
    <m/>
    <m/>
    <m/>
    <m/>
    <n v="1"/>
    <s v="0"/>
    <s v="0"/>
    <n v="112430.26669999999"/>
    <n v="112430.26669999999"/>
    <n v="105850.26669999999"/>
    <n v="-6580"/>
    <n v="-5.8525165803951597E-2"/>
  </r>
  <r>
    <n v="318"/>
    <x v="15"/>
    <n v="1"/>
    <x v="2"/>
    <s v="Buck &amp; Archie"/>
    <x v="1"/>
    <n v="37000"/>
    <n v="37483.333330000001"/>
    <m/>
    <m/>
    <m/>
    <m/>
    <m/>
    <m/>
    <s v="0"/>
    <s v="0"/>
    <n v="37483.333333333336"/>
    <n v="37483.333333333336"/>
    <n v="37000"/>
    <n v="-483.33333333333576"/>
    <n v="-1.2894619831036101E-2"/>
  </r>
  <r>
    <n v="318"/>
    <x v="15"/>
    <n v="1"/>
    <x v="2"/>
    <s v="Buck &amp; Archie"/>
    <x v="2"/>
    <n v="136546.0863"/>
    <n v="145472.9786"/>
    <m/>
    <m/>
    <m/>
    <m/>
    <m/>
    <m/>
    <s v="0"/>
    <s v="0"/>
    <n v="145472.97853333334"/>
    <n v="145472.97853333334"/>
    <n v="136546.0863"/>
    <n v="-8926.8922333333467"/>
    <n v="-6.1364607525980198E-2"/>
  </r>
  <r>
    <n v="323"/>
    <x v="16"/>
    <n v="1"/>
    <x v="3"/>
    <s v="Love Language"/>
    <x v="0"/>
    <n v="43070"/>
    <n v="33935"/>
    <m/>
    <m/>
    <m/>
    <m/>
    <m/>
    <m/>
    <s v="0"/>
    <s v="0"/>
    <n v="33935"/>
    <n v="33935"/>
    <n v="43070"/>
    <n v="9135"/>
    <n v="0.269191100633564"/>
  </r>
  <r>
    <n v="323"/>
    <x v="16"/>
    <n v="1"/>
    <x v="3"/>
    <s v="Love Language"/>
    <x v="9"/>
    <n v="20800"/>
    <n v="40150"/>
    <m/>
    <m/>
    <m/>
    <m/>
    <m/>
    <m/>
    <s v="0"/>
    <s v="0"/>
    <n v="40150"/>
    <n v="40150"/>
    <n v="20800"/>
    <n v="-19350"/>
    <n v="-0.48194271481942702"/>
  </r>
  <r>
    <n v="323"/>
    <x v="16"/>
    <n v="1"/>
    <x v="3"/>
    <s v="EFX VFX"/>
    <x v="10"/>
    <n v="116454"/>
    <n v="104828.75"/>
    <m/>
    <m/>
    <m/>
    <m/>
    <m/>
    <m/>
    <s v="0"/>
    <s v="0"/>
    <n v="104828.75"/>
    <n v="104828.75"/>
    <n v="116454"/>
    <n v="11625.25"/>
    <n v="0.11089753526585"/>
  </r>
  <r>
    <n v="323"/>
    <x v="16"/>
    <n v="1"/>
    <x v="3"/>
    <s v="Harmony &amp; Light"/>
    <x v="5"/>
    <n v="10250"/>
    <n v="9606"/>
    <m/>
    <m/>
    <m/>
    <m/>
    <m/>
    <m/>
    <s v="0"/>
    <s v="0"/>
    <n v="9606"/>
    <n v="9606"/>
    <n v="10250"/>
    <n v="644"/>
    <n v="6.7041432438059601E-2"/>
  </r>
  <r>
    <n v="323"/>
    <x v="16"/>
    <n v="1"/>
    <x v="3"/>
    <s v="Harmony &amp; Light"/>
    <x v="4"/>
    <n v="7200.0349999999999"/>
    <n v="9810.1133329999993"/>
    <m/>
    <m/>
    <m/>
    <m/>
    <m/>
    <m/>
    <s v="0"/>
    <s v="0"/>
    <n v="9810.1133333333328"/>
    <n v="9810.1133333333328"/>
    <n v="7200.0349999999999"/>
    <n v="-2610.0783333333329"/>
    <n v="-0.26605995717344799"/>
  </r>
  <r>
    <n v="323"/>
    <x v="16"/>
    <n v="1"/>
    <x v="3"/>
    <s v="Harmony &amp; Light"/>
    <x v="3"/>
    <n v="685626.90079999994"/>
    <n v="649602.47699999996"/>
    <m/>
    <m/>
    <m/>
    <m/>
    <m/>
    <m/>
    <s v="0"/>
    <s v="0"/>
    <n v="649602.47703333327"/>
    <n v="649602.47703333327"/>
    <n v="685626.90079999994"/>
    <n v="36024.423766666674"/>
    <n v="5.5456105911397498E-2"/>
  </r>
  <r>
    <n v="324"/>
    <x v="8"/>
    <n v="1"/>
    <x v="1"/>
    <s v="The Dub House"/>
    <x v="7"/>
    <n v="18900"/>
    <n v="27083.333330000001"/>
    <m/>
    <m/>
    <m/>
    <m/>
    <m/>
    <m/>
    <s v="0"/>
    <s v="0"/>
    <n v="27083.333333333336"/>
    <n v="27083.333333333336"/>
    <n v="18900"/>
    <n v="-8183.3333333333358"/>
    <n v="-0.302153846153846"/>
  </r>
  <r>
    <n v="326"/>
    <x v="10"/>
    <n v="1"/>
    <x v="1"/>
    <s v="Love Language"/>
    <x v="9"/>
    <n v="52150"/>
    <n v="40166.666669999999"/>
    <m/>
    <m/>
    <m/>
    <m/>
    <m/>
    <m/>
    <s v="0"/>
    <s v="0"/>
    <n v="40166.666666666672"/>
    <n v="40166.666666666672"/>
    <n v="52150"/>
    <n v="11983.333333333328"/>
    <n v="0.29834024896265499"/>
  </r>
  <r>
    <n v="326"/>
    <x v="10"/>
    <n v="1"/>
    <x v="1"/>
    <s v="Sorcery"/>
    <x v="10"/>
    <n v="80541.5"/>
    <n v="79204.666670000006"/>
    <m/>
    <m/>
    <m/>
    <m/>
    <m/>
    <m/>
    <s v="0"/>
    <s v="0"/>
    <n v="79204.666666666672"/>
    <n v="79204.666666666672"/>
    <n v="80541.5"/>
    <n v="1336.8333333333285"/>
    <n v="1.6878214246635201E-2"/>
  </r>
  <r>
    <n v="326"/>
    <x v="10"/>
    <n v="1"/>
    <x v="1"/>
    <s v="Armistice Edit"/>
    <x v="6"/>
    <n v="111615.9917"/>
    <n v="100943.5972"/>
    <m/>
    <m/>
    <m/>
    <m/>
    <m/>
    <m/>
    <s v="0"/>
    <s v="0"/>
    <n v="100943.59723333333"/>
    <n v="100943.59723333333"/>
    <n v="111615.9917"/>
    <n v="10672.394466666665"/>
    <n v="0.105726314091989"/>
  </r>
  <r>
    <n v="330"/>
    <x v="0"/>
    <n v="1"/>
    <x v="0"/>
    <s v="Earwax"/>
    <x v="0"/>
    <n v="39670"/>
    <n v="36220"/>
    <m/>
    <m/>
    <m/>
    <m/>
    <m/>
    <m/>
    <s v="0"/>
    <s v="0"/>
    <n v="36220"/>
    <n v="36220"/>
    <n v="39670"/>
    <n v="3450"/>
    <n v="9.5251242407509706E-2"/>
  </r>
  <r>
    <n v="330"/>
    <x v="0"/>
    <n v="1"/>
    <x v="0"/>
    <s v="Furrier"/>
    <x v="1"/>
    <n v="18350"/>
    <n v="25166.666669999999"/>
    <m/>
    <m/>
    <m/>
    <m/>
    <m/>
    <m/>
    <s v="0"/>
    <s v="0"/>
    <n v="25166.666666666668"/>
    <n v="25166.666666666668"/>
    <n v="18350"/>
    <n v="-6816.6666666666679"/>
    <n v="-0.27086092715231802"/>
  </r>
  <r>
    <n v="330"/>
    <x v="0"/>
    <n v="1"/>
    <x v="0"/>
    <s v="Furrier"/>
    <x v="2"/>
    <n v="146169.37580000001"/>
    <n v="149975.3946"/>
    <m/>
    <m/>
    <m/>
    <m/>
    <m/>
    <m/>
    <s v="0"/>
    <s v="0"/>
    <n v="149975.39453333334"/>
    <n v="149975.39453333334"/>
    <n v="146169.37580000001"/>
    <n v="-3806.0187333333306"/>
    <n v="-2.53776210769521E-2"/>
  </r>
  <r>
    <n v="330"/>
    <x v="0"/>
    <n v="1"/>
    <x v="0"/>
    <s v="Club 101"/>
    <x v="3"/>
    <n v="557667.92339999997"/>
    <n v="689735.1311"/>
    <m/>
    <m/>
    <m/>
    <m/>
    <m/>
    <m/>
    <s v="0"/>
    <s v="0"/>
    <n v="689735.13113333331"/>
    <n v="689735.13113333331"/>
    <n v="557667.92339999997"/>
    <n v="-132067.20773333334"/>
    <n v="-0.19147525154522399"/>
  </r>
  <r>
    <n v="330"/>
    <x v="0"/>
    <n v="1"/>
    <x v="0"/>
    <s v="Club 101"/>
    <x v="4"/>
    <n v="2638.9625000000001"/>
    <n v="5600.9025000000001"/>
    <m/>
    <m/>
    <m/>
    <m/>
    <m/>
    <m/>
    <s v="0"/>
    <s v="0"/>
    <n v="5600.9025000000001"/>
    <n v="5600.9025000000001"/>
    <n v="2638.9625000000001"/>
    <n v="-2961.94"/>
    <n v="-0.52883263009845305"/>
  </r>
  <r>
    <n v="330"/>
    <x v="0"/>
    <n v="1"/>
    <x v="0"/>
    <s v="Club 101"/>
    <x v="5"/>
    <n v="6400"/>
    <n v="5023.3333329999996"/>
    <m/>
    <m/>
    <m/>
    <m/>
    <m/>
    <m/>
    <s v="0"/>
    <s v="0"/>
    <n v="5023.3333333333339"/>
    <n v="5023.3333333333339"/>
    <n v="6400"/>
    <n v="1376.6666666666661"/>
    <n v="0.27405441274054398"/>
  </r>
  <r>
    <n v="330"/>
    <x v="0"/>
    <n v="1"/>
    <x v="0"/>
    <s v="Here &amp; Now"/>
    <x v="7"/>
    <n v="41300"/>
    <n v="38500"/>
    <m/>
    <m/>
    <m/>
    <m/>
    <m/>
    <m/>
    <s v="0"/>
    <s v="0"/>
    <n v="38500"/>
    <n v="38500"/>
    <n v="41300"/>
    <n v="2800"/>
    <n v="7.2727272727272696E-2"/>
  </r>
  <r>
    <n v="332"/>
    <x v="1"/>
    <n v="1"/>
    <x v="0"/>
    <s v="Arsonist Post"/>
    <x v="0"/>
    <n v="40400"/>
    <n v="31766.666669999999"/>
    <m/>
    <m/>
    <m/>
    <m/>
    <m/>
    <m/>
    <s v="0"/>
    <s v="0"/>
    <n v="31766.666666666664"/>
    <n v="31766.666666666664"/>
    <n v="40400"/>
    <n v="8633.3333333333358"/>
    <n v="0.27177334732423902"/>
  </r>
  <r>
    <n v="333"/>
    <x v="17"/>
    <n v="1"/>
    <x v="4"/>
    <s v="Armistice Edit"/>
    <x v="6"/>
    <n v="123152.925"/>
    <n v="108474.0417"/>
    <m/>
    <m/>
    <m/>
    <m/>
    <m/>
    <m/>
    <s v="0"/>
    <s v="0"/>
    <n v="108474.041665"/>
    <n v="108474.041665"/>
    <n v="123152.925"/>
    <n v="14678.883335000006"/>
    <n v="0.135321622663722"/>
  </r>
  <r>
    <n v="334"/>
    <x v="2"/>
    <n v="1"/>
    <x v="4"/>
    <s v="My Audio Fantasy"/>
    <x v="0"/>
    <n v="28010"/>
    <n v="27166.666669999999"/>
    <m/>
    <m/>
    <m/>
    <m/>
    <m/>
    <m/>
    <s v="0"/>
    <s v="0"/>
    <n v="27166.666666666668"/>
    <n v="27166.666666666668"/>
    <n v="28010"/>
    <n v="843.33333333333212"/>
    <n v="3.1042944785276E-2"/>
  </r>
  <r>
    <n v="334"/>
    <x v="2"/>
    <n v="1"/>
    <x v="4"/>
    <s v="Total Cuts Post"/>
    <x v="6"/>
    <n v="108940.125"/>
    <n v="108672.3556"/>
    <m/>
    <m/>
    <m/>
    <m/>
    <m/>
    <m/>
    <s v="0"/>
    <s v="0"/>
    <n v="108672.35555666668"/>
    <n v="108672.35555666668"/>
    <n v="108940.125"/>
    <n v="267.76944333332358"/>
    <n v="2.4640069865210202E-3"/>
  </r>
  <r>
    <n v="334"/>
    <x v="2"/>
    <n v="1"/>
    <x v="0"/>
    <s v="Arnold Esther Music"/>
    <x v="9"/>
    <n v="38000"/>
    <n v="45025"/>
    <m/>
    <m/>
    <m/>
    <m/>
    <m/>
    <m/>
    <s v="0"/>
    <s v="0"/>
    <n v="45025"/>
    <n v="45025"/>
    <n v="38000"/>
    <n v="-7025"/>
    <n v="-0.15602443087173801"/>
  </r>
  <r>
    <n v="336"/>
    <x v="3"/>
    <n v="1"/>
    <x v="0"/>
    <s v="My Audio Fantasy"/>
    <x v="0"/>
    <n v="28520"/>
    <n v="42320"/>
    <m/>
    <m/>
    <m/>
    <m/>
    <m/>
    <m/>
    <s v="0"/>
    <s v="0"/>
    <n v="42320"/>
    <n v="42320"/>
    <n v="28520"/>
    <n v="-13800"/>
    <n v="-0.32608695652173902"/>
  </r>
  <r>
    <n v="336"/>
    <x v="3"/>
    <n v="1"/>
    <x v="0"/>
    <s v="Time Bomb LLC"/>
    <x v="6"/>
    <n v="150860.2083"/>
    <n v="131253.17920000001"/>
    <m/>
    <m/>
    <m/>
    <m/>
    <m/>
    <m/>
    <s v="0"/>
    <s v="0"/>
    <n v="131253.17914999998"/>
    <n v="131253.17914999998"/>
    <n v="150860.2083"/>
    <n v="19607.029150000017"/>
    <n v="0.149383270386103"/>
  </r>
  <r>
    <n v="338"/>
    <x v="4"/>
    <n v="1"/>
    <x v="0"/>
    <s v="My Audio Fantasy"/>
    <x v="0"/>
    <n v="22420"/>
    <n v="26493.333330000001"/>
    <m/>
    <m/>
    <m/>
    <m/>
    <m/>
    <m/>
    <s v="0"/>
    <s v="0"/>
    <n v="26493.333333333332"/>
    <n v="26493.333333333332"/>
    <n v="22420"/>
    <n v="-4073.3333333333321"/>
    <n v="-0.153749370910921"/>
  </r>
  <r>
    <n v="338"/>
    <x v="4"/>
    <n v="1"/>
    <x v="0"/>
    <s v="The Alliance"/>
    <x v="10"/>
    <n v="102765"/>
    <n v="116983.75"/>
    <m/>
    <m/>
    <m/>
    <m/>
    <m/>
    <m/>
    <s v="0"/>
    <s v="0"/>
    <n v="116983.75"/>
    <n v="116983.75"/>
    <n v="102765"/>
    <n v="-14218.75"/>
    <n v="-0.121544658980414"/>
  </r>
  <r>
    <n v="338"/>
    <x v="4"/>
    <n v="1"/>
    <x v="0"/>
    <s v="Open Frameworks Image Creation"/>
    <x v="3"/>
    <n v="746640.52500000002"/>
    <n v="758314.41500000004"/>
    <m/>
    <m/>
    <m/>
    <m/>
    <m/>
    <m/>
    <s v="0"/>
    <s v="0"/>
    <n v="758314.41500000004"/>
    <n v="758314.41500000004"/>
    <n v="746640.52500000002"/>
    <n v="-11673.890000000014"/>
    <n v="-1.5394524710439599E-2"/>
  </r>
  <r>
    <n v="338"/>
    <x v="4"/>
    <n v="1"/>
    <x v="0"/>
    <s v="Open Frameworks Image Creation"/>
    <x v="4"/>
    <n v="5356.7"/>
    <n v="4912.9341670000003"/>
    <m/>
    <m/>
    <m/>
    <m/>
    <m/>
    <m/>
    <s v="0"/>
    <s v="0"/>
    <n v="4912.9341666666669"/>
    <n v="4912.9341666666669"/>
    <n v="5356.7"/>
    <n v="443.76583333333292"/>
    <n v="9.0326028861571303E-2"/>
  </r>
  <r>
    <n v="338"/>
    <x v="4"/>
    <n v="1"/>
    <x v="0"/>
    <s v="Open Frameworks Image Creation"/>
    <x v="5"/>
    <n v="8704"/>
    <n v="14893"/>
    <m/>
    <m/>
    <m/>
    <m/>
    <m/>
    <m/>
    <s v="0"/>
    <s v="0"/>
    <n v="14893"/>
    <n v="14893"/>
    <n v="8704"/>
    <n v="-6189"/>
    <n v="-0.41556435909487699"/>
  </r>
  <r>
    <n v="340"/>
    <x v="5"/>
    <n v="1"/>
    <x v="0"/>
    <s v="Harmony &amp; Light"/>
    <x v="3"/>
    <n v="613851.47239999997"/>
    <n v="711043.51249999995"/>
    <m/>
    <m/>
    <m/>
    <m/>
    <m/>
    <m/>
    <s v="0"/>
    <s v="0"/>
    <n v="711043.51246666664"/>
    <n v="711043.51246666664"/>
    <n v="613851.47239999997"/>
    <n v="-97192.040066666668"/>
    <n v="-0.13668930010977801"/>
  </r>
  <r>
    <n v="340"/>
    <x v="5"/>
    <n v="1"/>
    <x v="0"/>
    <s v="Harmony &amp; Light"/>
    <x v="4"/>
    <n v="7207.9125000000004"/>
    <n v="5621.9091669999998"/>
    <m/>
    <m/>
    <m/>
    <m/>
    <m/>
    <m/>
    <s v="0"/>
    <s v="0"/>
    <n v="5621.9091666666673"/>
    <n v="5621.9091666666673"/>
    <n v="7207.9125000000004"/>
    <n v="1586.0033333333331"/>
    <n v="0.28211116300793998"/>
  </r>
  <r>
    <n v="340"/>
    <x v="5"/>
    <n v="1"/>
    <x v="0"/>
    <s v="Harmony &amp; Light"/>
    <x v="5"/>
    <n v="20320"/>
    <n v="16903.666669999999"/>
    <m/>
    <m/>
    <m/>
    <m/>
    <m/>
    <m/>
    <s v="0"/>
    <s v="0"/>
    <n v="16903.666666666668"/>
    <n v="16903.666666666668"/>
    <n v="20320"/>
    <n v="3416.3333333333321"/>
    <n v="0.202106051941393"/>
  </r>
  <r>
    <n v="340"/>
    <x v="5"/>
    <n v="1"/>
    <x v="5"/>
    <s v="Here &amp; Now"/>
    <x v="7"/>
    <n v="56650"/>
    <n v="36483.333330000001"/>
    <m/>
    <m/>
    <m/>
    <m/>
    <m/>
    <m/>
    <s v="0"/>
    <s v="0"/>
    <n v="36483.333333333328"/>
    <n v="36483.333333333328"/>
    <n v="56650"/>
    <n v="20166.666666666672"/>
    <n v="0.552763819095478"/>
  </r>
  <r>
    <n v="341"/>
    <x v="18"/>
    <n v="1"/>
    <x v="5"/>
    <s v="Open Frameworks Image Creation"/>
    <x v="3"/>
    <n v="1025091.738"/>
    <n v="791032.91899999999"/>
    <m/>
    <m/>
    <m/>
    <m/>
    <m/>
    <m/>
    <s v="0"/>
    <s v="0"/>
    <n v="791032.91916666669"/>
    <n v="791032.91916666669"/>
    <n v="1025091.738"/>
    <n v="234058.81883333332"/>
    <n v="0.29589011172873603"/>
  </r>
  <r>
    <n v="341"/>
    <x v="18"/>
    <n v="1"/>
    <x v="5"/>
    <s v="Open Frameworks Image Creation"/>
    <x v="4"/>
    <n v="10327.4025"/>
    <n v="10028.057500000001"/>
    <m/>
    <m/>
    <m/>
    <m/>
    <m/>
    <m/>
    <s v="0"/>
    <s v="0"/>
    <n v="10028.057500000001"/>
    <n v="10028.057500000001"/>
    <n v="10327.4025"/>
    <n v="299.34499999999935"/>
    <n v="2.9850746268656601E-2"/>
  </r>
  <r>
    <n v="341"/>
    <x v="18"/>
    <n v="1"/>
    <x v="4"/>
    <s v="Open Frameworks Image Creation"/>
    <x v="5"/>
    <n v="18576"/>
    <n v="16579.333330000001"/>
    <m/>
    <m/>
    <m/>
    <m/>
    <m/>
    <m/>
    <s v="0"/>
    <s v="0"/>
    <n v="16579.333333333332"/>
    <n v="16579.333333333332"/>
    <n v="18576"/>
    <n v="1996.6666666666679"/>
    <n v="0.12043105874783901"/>
  </r>
  <r>
    <n v="341"/>
    <x v="18"/>
    <n v="1"/>
    <x v="4"/>
    <s v="Fight Club"/>
    <x v="6"/>
    <n v="86910.833329999994"/>
    <n v="91396.2"/>
    <m/>
    <m/>
    <m/>
    <m/>
    <m/>
    <m/>
    <s v="0"/>
    <s v="0"/>
    <n v="91396.2"/>
    <n v="91396.2"/>
    <n v="86910.833329999994"/>
    <n v="-4485.3666700000031"/>
    <n v="-4.9076073950558199E-2"/>
  </r>
  <r>
    <n v="342"/>
    <x v="19"/>
    <n v="1"/>
    <x v="4"/>
    <s v="Margin Five"/>
    <x v="6"/>
    <n v="132444.4333"/>
    <n v="143791.27780000001"/>
    <m/>
    <m/>
    <m/>
    <m/>
    <m/>
    <m/>
    <s v="0"/>
    <s v="0"/>
    <n v="143791.27776666667"/>
    <n v="143791.27776666667"/>
    <n v="132444.4333"/>
    <n v="-11346.844466666662"/>
    <n v="-7.8911910672909105E-2"/>
  </r>
  <r>
    <n v="343"/>
    <x v="20"/>
    <n v="1"/>
    <x v="4"/>
    <s v="Love Language"/>
    <x v="0"/>
    <n v="54390"/>
    <n v="52585"/>
    <m/>
    <m/>
    <m/>
    <m/>
    <m/>
    <m/>
    <s v="0"/>
    <s v="0"/>
    <n v="52585"/>
    <n v="52585"/>
    <n v="54390"/>
    <n v="1805"/>
    <n v="3.4325377959494197E-2"/>
  </r>
  <r>
    <n v="344"/>
    <x v="21"/>
    <n v="1"/>
    <x v="4"/>
    <s v="Time Bomb LLC"/>
    <x v="6"/>
    <n v="161621.25"/>
    <n v="138920.25"/>
    <m/>
    <m/>
    <m/>
    <m/>
    <m/>
    <m/>
    <s v="0"/>
    <s v="0"/>
    <n v="138920.25"/>
    <n v="138920.25"/>
    <n v="161621.25"/>
    <n v="22701"/>
    <n v="0.163410301953819"/>
  </r>
  <r>
    <n v="345"/>
    <x v="22"/>
    <n v="1"/>
    <x v="4"/>
    <s v="Funny Rabbit"/>
    <x v="0"/>
    <n v="27240"/>
    <n v="28613.333330000001"/>
    <m/>
    <m/>
    <m/>
    <m/>
    <m/>
    <m/>
    <s v="0"/>
    <s v="0"/>
    <n v="28613.333333333336"/>
    <n v="28613.333333333336"/>
    <n v="27240"/>
    <n v="-1373.3333333333358"/>
    <n v="-4.7996272134203197E-2"/>
  </r>
  <r>
    <n v="345"/>
    <x v="22"/>
    <n v="1"/>
    <x v="4"/>
    <s v="Petulant Pictures"/>
    <x v="4"/>
    <n v="9350.5925000000007"/>
    <n v="8098.07"/>
    <m/>
    <m/>
    <m/>
    <m/>
    <m/>
    <m/>
    <s v="0"/>
    <s v="0"/>
    <n v="8098.07"/>
    <n v="8098.07"/>
    <n v="9350.5925000000007"/>
    <n v="1252.5225000000009"/>
    <n v="0.154669260700389"/>
  </r>
  <r>
    <n v="345"/>
    <x v="22"/>
    <n v="1"/>
    <x v="6"/>
    <s v="Petulant Pictures"/>
    <x v="3"/>
    <n v="895921.25"/>
    <n v="775087.81499999994"/>
    <m/>
    <m/>
    <m/>
    <m/>
    <m/>
    <m/>
    <s v="0"/>
    <s v="0"/>
    <n v="775087.81499999994"/>
    <n v="775087.81499999994"/>
    <n v="895921.25"/>
    <n v="120833.43500000006"/>
    <n v="0.15589644510151399"/>
  </r>
  <r>
    <n v="347"/>
    <x v="23"/>
    <n v="1"/>
    <x v="6"/>
    <s v="Petulant Pictures"/>
    <x v="8"/>
    <n v="13549.3"/>
    <n v="16175.133330000001"/>
    <m/>
    <m/>
    <m/>
    <m/>
    <m/>
    <m/>
    <s v="0"/>
    <s v="0"/>
    <n v="16175.133333333333"/>
    <n v="16175.133333333333"/>
    <n v="13549.3"/>
    <n v="-2625.8333333333339"/>
    <n v="-0.162337662337662"/>
  </r>
  <r>
    <n v="347"/>
    <x v="23"/>
    <n v="1"/>
    <x v="6"/>
    <s v="The Dub House"/>
    <x v="7"/>
    <n v="34400"/>
    <n v="30133.333330000001"/>
    <m/>
    <m/>
    <m/>
    <m/>
    <m/>
    <m/>
    <s v="0"/>
    <s v="0"/>
    <n v="30133.333333333332"/>
    <n v="30133.333333333332"/>
    <n v="34400"/>
    <n v="4266.6666666666679"/>
    <n v="0.14159292035398199"/>
  </r>
  <r>
    <n v="347"/>
    <x v="23"/>
    <n v="1"/>
    <x v="6"/>
    <s v="Petulant Pictures"/>
    <x v="5"/>
    <n v="18288"/>
    <n v="14816.666670000001"/>
    <m/>
    <m/>
    <m/>
    <m/>
    <m/>
    <m/>
    <s v="0"/>
    <s v="0"/>
    <n v="14816.666666666666"/>
    <n v="14816.666666666666"/>
    <n v="18288"/>
    <n v="3471.3333333333339"/>
    <n v="0.23428571428571399"/>
  </r>
  <r>
    <n v="347"/>
    <x v="23"/>
    <n v="1"/>
    <x v="6"/>
    <s v="Petulant Pictures"/>
    <x v="4"/>
    <n v="8736.1474999999991"/>
    <n v="7780.3441670000002"/>
    <m/>
    <m/>
    <m/>
    <m/>
    <m/>
    <m/>
    <s v="0"/>
    <s v="0"/>
    <n v="7780.3441666666668"/>
    <n v="7780.3441666666668"/>
    <n v="8736.1474999999991"/>
    <n v="955.80333333333238"/>
    <n v="0.122848464394195"/>
  </r>
  <r>
    <n v="347"/>
    <x v="23"/>
    <n v="1"/>
    <x v="6"/>
    <s v="Petulant Pictures"/>
    <x v="3"/>
    <n v="805591.46250000002"/>
    <n v="834064.01939999999"/>
    <m/>
    <m/>
    <m/>
    <m/>
    <m/>
    <m/>
    <s v="0"/>
    <s v="0"/>
    <n v="834064.01939999999"/>
    <n v="834064.01939999999"/>
    <n v="805591.46250000002"/>
    <n v="-28472.556899999967"/>
    <n v="-3.4137136044403701E-2"/>
  </r>
  <r>
    <n v="350"/>
    <x v="24"/>
    <n v="1"/>
    <x v="6"/>
    <s v="Open Frameworks Image Creation"/>
    <x v="3"/>
    <n v="894716.16"/>
    <n v="831311.73629999999"/>
    <m/>
    <m/>
    <m/>
    <m/>
    <m/>
    <m/>
    <s v="0"/>
    <s v="0"/>
    <n v="831311.73625000007"/>
    <n v="831311.73625000007"/>
    <n v="894716.16"/>
    <n v="63404.423749999958"/>
    <n v="7.6270333961618003E-2"/>
  </r>
  <r>
    <n v="350"/>
    <x v="24"/>
    <n v="1"/>
    <x v="6"/>
    <s v="Fight Club"/>
    <x v="6"/>
    <n v="109025.1167"/>
    <n v="122096.4694"/>
    <m/>
    <m/>
    <m/>
    <m/>
    <m/>
    <m/>
    <s v="0"/>
    <s v="0"/>
    <n v="122096.46946666666"/>
    <n v="122096.46946666666"/>
    <n v="109025.1167"/>
    <n v="-13071.352766666663"/>
    <n v="-0.10705758179383899"/>
  </r>
  <r>
    <n v="350"/>
    <x v="24"/>
    <n v="1"/>
    <x v="6"/>
    <s v="Rackspace Digital"/>
    <x v="7"/>
    <n v="30450"/>
    <n v="23066.666669999999"/>
    <m/>
    <m/>
    <m/>
    <m/>
    <m/>
    <m/>
    <s v="0"/>
    <s v="0"/>
    <n v="23066.666666666668"/>
    <n v="23066.666666666668"/>
    <n v="30450"/>
    <n v="7383.3333333333321"/>
    <n v="0.32008670520231203"/>
  </r>
  <r>
    <n v="350"/>
    <x v="24"/>
    <n v="1"/>
    <x v="6"/>
    <s v="Open Frameworks Image Creation"/>
    <x v="4"/>
    <n v="5750.5749999999998"/>
    <n v="9449.0612500000007"/>
    <m/>
    <m/>
    <m/>
    <m/>
    <m/>
    <m/>
    <s v="0"/>
    <s v="0"/>
    <n v="9449.0612500000007"/>
    <n v="9449.0612500000007"/>
    <n v="5750.5749999999998"/>
    <n v="-3698.4862500000008"/>
    <n v="-0.39141308878699499"/>
  </r>
  <r>
    <n v="350"/>
    <x v="24"/>
    <n v="1"/>
    <x v="6"/>
    <s v="Open Frameworks Image Creation"/>
    <x v="5"/>
    <n v="19908"/>
    <n v="13794"/>
    <m/>
    <m/>
    <m/>
    <m/>
    <m/>
    <m/>
    <s v="0"/>
    <s v="0"/>
    <n v="13794"/>
    <n v="13794"/>
    <n v="19908"/>
    <n v="6114"/>
    <n v="0.44323618964767297"/>
  </r>
  <r>
    <n v="350"/>
    <x v="24"/>
    <n v="1"/>
    <x v="6"/>
    <s v="Open Frameworks Image Creation"/>
    <x v="8"/>
    <n v="21348.025000000001"/>
    <n v="20323.95"/>
    <m/>
    <m/>
    <m/>
    <m/>
    <m/>
    <m/>
    <s v="0"/>
    <s v="0"/>
    <n v="20323.95"/>
    <n v="20323.95"/>
    <n v="21348.025000000001"/>
    <n v="1024.0750000000007"/>
    <n v="5.0387596899224799E-2"/>
  </r>
  <r>
    <n v="356"/>
    <x v="25"/>
    <n v="1"/>
    <x v="6"/>
    <s v="Sound Monster"/>
    <x v="0"/>
    <n v="52580"/>
    <n v="65180"/>
    <m/>
    <m/>
    <m/>
    <m/>
    <m/>
    <m/>
    <s v="0"/>
    <s v="0"/>
    <n v="65180"/>
    <n v="65180"/>
    <n v="52580"/>
    <n v="-12600"/>
    <n v="-0.19331083154341799"/>
  </r>
  <r>
    <n v="356"/>
    <x v="25"/>
    <n v="1"/>
    <x v="6"/>
    <s v="Time Bomb LLC"/>
    <x v="6"/>
    <n v="112271.25"/>
    <n v="116541.85279999999"/>
    <m/>
    <m/>
    <m/>
    <m/>
    <m/>
    <m/>
    <s v="0"/>
    <s v="0"/>
    <n v="116541.85279999999"/>
    <n v="116541.85279999999"/>
    <n v="112271.25"/>
    <n v="-4270.6027999999933"/>
    <n v="-3.66443702189021E-2"/>
  </r>
  <r>
    <n v="356"/>
    <x v="25"/>
    <n v="1"/>
    <x v="6"/>
    <s v="Mighty Industry"/>
    <x v="3"/>
    <n v="696940.44"/>
    <n v="729332.05169999995"/>
    <m/>
    <m/>
    <m/>
    <m/>
    <m/>
    <m/>
    <s v="0"/>
    <s v="0"/>
    <n v="729332.05169999995"/>
    <n v="729332.05169999995"/>
    <n v="696940.44"/>
    <n v="-32391.611700000009"/>
    <n v="-4.4412708346628103E-2"/>
  </r>
  <r>
    <n v="358"/>
    <x v="26"/>
    <n v="1"/>
    <x v="6"/>
    <s v="Earwax"/>
    <x v="0"/>
    <n v="31110"/>
    <n v="29100"/>
    <m/>
    <m/>
    <m/>
    <m/>
    <m/>
    <m/>
    <s v="0"/>
    <s v="0"/>
    <n v="29100"/>
    <n v="29100"/>
    <n v="31110"/>
    <n v="2010"/>
    <n v="6.9072164948453599E-2"/>
  </r>
  <r>
    <n v="358"/>
    <x v="26"/>
    <n v="1"/>
    <x v="6"/>
    <s v="Here &amp; Now"/>
    <x v="7"/>
    <n v="35000"/>
    <n v="30216.666669999999"/>
    <m/>
    <m/>
    <m/>
    <m/>
    <m/>
    <m/>
    <s v="0"/>
    <s v="0"/>
    <n v="30216.666666666668"/>
    <n v="30216.666666666668"/>
    <n v="35000"/>
    <n v="4783.3333333333321"/>
    <n v="0.15830115830115801"/>
  </r>
  <r>
    <n v="358"/>
    <x v="26"/>
    <n v="1"/>
    <x v="6"/>
    <s v="Fight Club"/>
    <x v="6"/>
    <n v="109992.925"/>
    <n v="109087.2611"/>
    <m/>
    <m/>
    <m/>
    <m/>
    <m/>
    <m/>
    <s v="0"/>
    <s v="0"/>
    <n v="109087.2611"/>
    <n v="109087.2611"/>
    <n v="109992.925"/>
    <n v="905.66389999999956"/>
    <n v="8.3021967080993998E-3"/>
  </r>
  <r>
    <n v="358"/>
    <x v="26"/>
    <n v="1"/>
    <x v="6"/>
    <s v="Harmony &amp; Light"/>
    <x v="3"/>
    <n v="798722.24"/>
    <n v="801505.22100000002"/>
    <m/>
    <m/>
    <m/>
    <m/>
    <m/>
    <m/>
    <s v="0"/>
    <s v="0"/>
    <n v="801505.2209666667"/>
    <n v="801505.2209666667"/>
    <n v="798722.24"/>
    <n v="-2782.9809666667134"/>
    <n v="-3.4721931858538099E-3"/>
  </r>
  <r>
    <n v="361"/>
    <x v="27"/>
    <n v="1"/>
    <x v="6"/>
    <s v="Witness"/>
    <x v="7"/>
    <n v="47100"/>
    <n v="29333.333330000001"/>
    <m/>
    <m/>
    <m/>
    <m/>
    <m/>
    <m/>
    <s v="0"/>
    <s v="0"/>
    <n v="29333.333333333332"/>
    <n v="29333.333333333332"/>
    <n v="47100"/>
    <n v="17766.666666666668"/>
    <n v="0.60568181818181799"/>
  </r>
  <r>
    <n v="361"/>
    <x v="27"/>
    <n v="1"/>
    <x v="6"/>
    <s v="Time Bomb LLC"/>
    <x v="6"/>
    <n v="128682.8667"/>
    <n v="128325.07919999999"/>
    <m/>
    <m/>
    <m/>
    <m/>
    <m/>
    <m/>
    <s v="0"/>
    <s v="0"/>
    <n v="128325.07920000001"/>
    <n v="128325.07920000001"/>
    <n v="128682.8667"/>
    <n v="357.78749999999127"/>
    <n v="2.7881338724316299E-3"/>
  </r>
  <r>
    <n v="362"/>
    <x v="28"/>
    <n v="1"/>
    <x v="6"/>
    <s v="Here &amp; Now"/>
    <x v="7"/>
    <n v="28950"/>
    <n v="27483.333330000001"/>
    <m/>
    <m/>
    <m/>
    <m/>
    <m/>
    <m/>
    <s v="0"/>
    <s v="0"/>
    <n v="27483.333333333332"/>
    <n v="27483.333333333332"/>
    <n v="28950"/>
    <n v="1466.6666666666679"/>
    <n v="5.3365676167374199E-2"/>
  </r>
  <r>
    <n v="363"/>
    <x v="29"/>
    <n v="1"/>
    <x v="6"/>
    <s v="Toto"/>
    <x v="6"/>
    <n v="84443.333329999994"/>
    <n v="100280.1139"/>
    <m/>
    <m/>
    <m/>
    <m/>
    <m/>
    <m/>
    <s v="0"/>
    <s v="0"/>
    <n v="100280.11387666667"/>
    <n v="100280.11387666667"/>
    <n v="84443.333329999994"/>
    <n v="-15836.780546666676"/>
    <n v="-0.15792543441009799"/>
  </r>
  <r>
    <n v="364"/>
    <x v="30"/>
    <n v="1"/>
    <x v="6"/>
    <s v="Witness"/>
    <x v="7"/>
    <n v="36050"/>
    <n v="31400"/>
    <m/>
    <m/>
    <m/>
    <m/>
    <m/>
    <m/>
    <s v="0"/>
    <s v="0"/>
    <n v="31400"/>
    <n v="31400"/>
    <n v="36050"/>
    <n v="4650"/>
    <n v="0.14808917197452201"/>
  </r>
  <r>
    <n v="364"/>
    <x v="30"/>
    <n v="1"/>
    <x v="6"/>
    <s v="Time Bomb LLC"/>
    <x v="6"/>
    <n v="135575.4167"/>
    <n v="154258.96109999999"/>
    <m/>
    <m/>
    <m/>
    <m/>
    <m/>
    <m/>
    <s v="0"/>
    <s v="0"/>
    <n v="154258.96113333333"/>
    <n v="154258.96113333333"/>
    <n v="135575.4167"/>
    <n v="-18683.544433333329"/>
    <n v="-0.121118049130282"/>
  </r>
  <r>
    <n v="367"/>
    <x v="9"/>
    <n v="1"/>
    <x v="1"/>
    <s v="Sound Monster"/>
    <x v="0"/>
    <n v="66560"/>
    <n v="46565"/>
    <m/>
    <m/>
    <m/>
    <m/>
    <m/>
    <m/>
    <s v="0"/>
    <s v="0"/>
    <n v="46565"/>
    <n v="46565"/>
    <n v="66560"/>
    <n v="19995"/>
    <n v="0.42939976377107297"/>
  </r>
  <r>
    <n v="367"/>
    <x v="9"/>
    <n v="1"/>
    <x v="1"/>
    <s v="Sorcery"/>
    <x v="10"/>
    <n v="87425"/>
    <n v="98085"/>
    <m/>
    <m/>
    <m/>
    <m/>
    <m/>
    <m/>
    <s v="0"/>
    <s v="0"/>
    <n v="98085"/>
    <n v="98085"/>
    <n v="87425"/>
    <n v="-10660"/>
    <n v="-0.10868124585818401"/>
  </r>
  <r>
    <n v="367"/>
    <x v="9"/>
    <n v="1"/>
    <x v="1"/>
    <s v="Time Bomb LLC"/>
    <x v="6"/>
    <n v="100671.2583"/>
    <n v="97059.569440000007"/>
    <m/>
    <m/>
    <m/>
    <m/>
    <m/>
    <m/>
    <s v="0"/>
    <s v="0"/>
    <n v="97059.569433333338"/>
    <n v="97059.569433333338"/>
    <n v="100671.2583"/>
    <n v="3611.6888666666637"/>
    <n v="3.7211053868803697E-2"/>
  </r>
  <r>
    <n v="369"/>
    <x v="11"/>
    <n v="1"/>
    <x v="1"/>
    <s v="The Alliance"/>
    <x v="10"/>
    <n v="87009"/>
    <n v="127887.5"/>
    <m/>
    <m/>
    <m/>
    <m/>
    <m/>
    <m/>
    <s v="0"/>
    <s v="0"/>
    <n v="127887.5"/>
    <n v="127887.5"/>
    <n v="87009"/>
    <n v="-40878.5"/>
    <n v="-0.31964421855146102"/>
  </r>
  <r>
    <n v="373"/>
    <x v="6"/>
    <n v="1"/>
    <x v="0"/>
    <s v="Earwax"/>
    <x v="0"/>
    <n v="29290"/>
    <n v="28400"/>
    <m/>
    <m/>
    <m/>
    <m/>
    <m/>
    <m/>
    <s v="0"/>
    <s v="0"/>
    <n v="28400"/>
    <n v="28400"/>
    <n v="29290"/>
    <n v="890"/>
    <n v="3.1338028169014098E-2"/>
  </r>
  <r>
    <n v="373"/>
    <x v="6"/>
    <n v="1"/>
    <x v="0"/>
    <s v="Edith Mayer Co"/>
    <x v="10"/>
    <n v="101796.5"/>
    <n v="98628.833329999994"/>
    <m/>
    <m/>
    <m/>
    <m/>
    <m/>
    <m/>
    <s v="0"/>
    <s v="0"/>
    <n v="98628.833333333328"/>
    <n v="98628.833333333328"/>
    <n v="101796.5"/>
    <n v="3167.6666666666715"/>
    <n v="3.2117044880384901E-2"/>
  </r>
  <r>
    <n v="373"/>
    <x v="6"/>
    <n v="1"/>
    <x v="0"/>
    <s v="Toto"/>
    <x v="6"/>
    <n v="96575.208329999994"/>
    <n v="127133.825"/>
    <m/>
    <m/>
    <m/>
    <m/>
    <m/>
    <m/>
    <s v="0"/>
    <s v="0"/>
    <n v="127133.82501"/>
    <n v="127133.82501"/>
    <n v="96575.208329999994"/>
    <n v="-30558.616680000006"/>
    <n v="-0.24036574591849499"/>
  </r>
  <r>
    <n v="373"/>
    <x v="6"/>
    <n v="1"/>
    <x v="0"/>
    <s v="Level 12 Shooters Inc"/>
    <x v="5"/>
    <n v="9625"/>
    <n v="12223"/>
    <m/>
    <m/>
    <m/>
    <m/>
    <m/>
    <m/>
    <s v="0"/>
    <s v="0"/>
    <n v="12223"/>
    <n v="12223"/>
    <n v="9625"/>
    <n v="-2598"/>
    <n v="-0.21255011044751701"/>
  </r>
  <r>
    <n v="373"/>
    <x v="6"/>
    <n v="1"/>
    <x v="0"/>
    <s v="Level 12 Shooters Inc"/>
    <x v="4"/>
    <n v="11824.127500000001"/>
    <n v="11025.874169999999"/>
    <m/>
    <m/>
    <m/>
    <m/>
    <m/>
    <m/>
    <s v="0"/>
    <s v="0"/>
    <n v="11025.874166666666"/>
    <n v="11025.874166666666"/>
    <n v="11824.127500000001"/>
    <n v="798.25333333333401"/>
    <n v="7.2398190045248903E-2"/>
  </r>
  <r>
    <n v="373"/>
    <x v="6"/>
    <n v="1"/>
    <x v="0"/>
    <s v="Level 12 Shooters Inc"/>
    <x v="3"/>
    <n v="798377.58"/>
    <n v="723920.4031"/>
    <m/>
    <m/>
    <m/>
    <m/>
    <m/>
    <m/>
    <s v="0"/>
    <s v="0"/>
    <n v="723920.4031"/>
    <n v="723920.4031"/>
    <n v="798377.58"/>
    <n v="74457.176899999962"/>
    <n v="0.102852712233495"/>
  </r>
  <r>
    <n v="375"/>
    <x v="7"/>
    <n v="1"/>
    <x v="0"/>
    <s v="Arsonist Post"/>
    <x v="0"/>
    <n v="36360"/>
    <n v="33080"/>
    <m/>
    <m/>
    <m/>
    <m/>
    <m/>
    <m/>
    <s v="0"/>
    <s v="0"/>
    <n v="33080"/>
    <n v="33080"/>
    <n v="36360"/>
    <n v="3280"/>
    <n v="9.9153567110036298E-2"/>
  </r>
  <r>
    <n v="375"/>
    <x v="7"/>
    <n v="1"/>
    <x v="0"/>
    <s v="Level 12 Shooters Inc"/>
    <x v="3"/>
    <n v="955820.34"/>
    <n v="884250.97120000003"/>
    <m/>
    <m/>
    <m/>
    <m/>
    <m/>
    <m/>
    <s v="0"/>
    <s v="0"/>
    <n v="884250.9711666666"/>
    <n v="884250.9711666666"/>
    <n v="955820.34"/>
    <n v="71569.36883333337"/>
    <n v="8.0937845891088905E-2"/>
  </r>
  <r>
    <n v="375"/>
    <x v="7"/>
    <n v="1"/>
    <x v="0"/>
    <s v="Level 12 Shooters Inc"/>
    <x v="4"/>
    <n v="8255.6200000000008"/>
    <n v="6467.4274999999998"/>
    <m/>
    <m/>
    <m/>
    <m/>
    <m/>
    <m/>
    <s v="0"/>
    <s v="0"/>
    <n v="6467.4274999999998"/>
    <n v="6467.4274999999998"/>
    <n v="8255.6200000000008"/>
    <n v="1788.192500000001"/>
    <n v="0.27649208282582199"/>
  </r>
  <r>
    <n v="375"/>
    <x v="7"/>
    <n v="1"/>
    <x v="0"/>
    <s v="Level 12 Shooters Inc"/>
    <x v="5"/>
    <n v="11592"/>
    <n v="9930"/>
    <m/>
    <m/>
    <m/>
    <m/>
    <m/>
    <m/>
    <s v="0"/>
    <s v="0"/>
    <n v="9930"/>
    <n v="9930"/>
    <n v="11592"/>
    <n v="1662"/>
    <n v="0.16737160120845901"/>
  </r>
  <r>
    <n v="378"/>
    <x v="12"/>
    <n v="1"/>
    <x v="1"/>
    <s v="Earwax"/>
    <x v="0"/>
    <n v="67530"/>
    <n v="37666.666669999999"/>
    <m/>
    <m/>
    <m/>
    <m/>
    <m/>
    <m/>
    <s v="0"/>
    <s v="0"/>
    <n v="37666.666666666664"/>
    <n v="37666.666666666664"/>
    <n v="67530"/>
    <n v="29863.333333333336"/>
    <n v="0.79283185840708004"/>
  </r>
  <r>
    <n v="381"/>
    <x v="13"/>
    <n v="1"/>
    <x v="1"/>
    <s v="Petulant Pictures"/>
    <x v="3"/>
    <n v="924169.75"/>
    <n v="887785.07709999999"/>
    <m/>
    <m/>
    <m/>
    <m/>
    <m/>
    <m/>
    <s v="0"/>
    <s v="0"/>
    <n v="887785.07706666668"/>
    <n v="887785.07706666668"/>
    <n v="924169.75"/>
    <n v="36384.672933333321"/>
    <n v="4.0983650067144703E-2"/>
  </r>
  <r>
    <n v="381"/>
    <x v="13"/>
    <n v="1"/>
    <x v="1"/>
    <s v="Petulant Pictures"/>
    <x v="4"/>
    <n v="9886.2625000000007"/>
    <n v="7530.89"/>
    <m/>
    <m/>
    <m/>
    <m/>
    <m/>
    <m/>
    <s v="0"/>
    <s v="0"/>
    <n v="7530.8900000000012"/>
    <n v="7530.8900000000012"/>
    <n v="9886.2625000000007"/>
    <n v="2355.3724999999995"/>
    <n v="0.31276150627615001"/>
  </r>
  <r>
    <n v="381"/>
    <x v="13"/>
    <n v="1"/>
    <x v="1"/>
    <s v="Petulant Pictures"/>
    <x v="5"/>
    <n v="7434"/>
    <n v="12357"/>
    <m/>
    <m/>
    <m/>
    <m/>
    <m/>
    <m/>
    <s v="0"/>
    <s v="0"/>
    <n v="12357"/>
    <n v="12357"/>
    <n v="7434"/>
    <n v="-4923"/>
    <n v="-0.39839766933721799"/>
  </r>
  <r>
    <n v="381"/>
    <x v="13"/>
    <n v="1"/>
    <x v="1"/>
    <s v="Persons of Interest"/>
    <x v="7"/>
    <n v="19800"/>
    <n v="35100"/>
    <m/>
    <m/>
    <m/>
    <m/>
    <m/>
    <m/>
    <s v="0"/>
    <s v="0"/>
    <n v="35100"/>
    <n v="35100"/>
    <n v="19800"/>
    <n v="-15300"/>
    <n v="-0.43589743589743601"/>
  </r>
  <r>
    <n v="383"/>
    <x v="14"/>
    <n v="1"/>
    <x v="1"/>
    <s v="Sound Monster"/>
    <x v="0"/>
    <n v="26860"/>
    <n v="29703.333330000001"/>
    <m/>
    <m/>
    <m/>
    <m/>
    <m/>
    <m/>
    <s v="0"/>
    <s v="0"/>
    <n v="29703.333333333332"/>
    <n v="29703.333333333332"/>
    <n v="26860"/>
    <n v="-2843.3333333333321"/>
    <n v="-9.57243855908428E-2"/>
  </r>
  <r>
    <n v="383"/>
    <x v="14"/>
    <n v="1"/>
    <x v="1"/>
    <s v="Harmony &amp; Light"/>
    <x v="3"/>
    <n v="1004959.898"/>
    <n v="874857.81169999996"/>
    <m/>
    <m/>
    <m/>
    <m/>
    <m/>
    <m/>
    <s v="0"/>
    <s v="0"/>
    <n v="874857.81183333334"/>
    <n v="874857.81183333334"/>
    <n v="1004959.898"/>
    <n v="130102.0861666667"/>
    <n v="0.148712264332449"/>
  </r>
  <r>
    <n v="383"/>
    <x v="14"/>
    <n v="1"/>
    <x v="1"/>
    <s v="Harmony &amp; Light"/>
    <x v="4"/>
    <n v="11453.885"/>
    <n v="9665.6924999999992"/>
    <m/>
    <m/>
    <m/>
    <m/>
    <m/>
    <m/>
    <s v="0"/>
    <s v="0"/>
    <n v="9665.6924999999992"/>
    <n v="9665.6924999999992"/>
    <n v="11453.885"/>
    <n v="1788.192500000001"/>
    <n v="0.18500407497962501"/>
  </r>
  <r>
    <n v="383"/>
    <x v="14"/>
    <n v="1"/>
    <x v="1"/>
    <s v="Harmony &amp; Light"/>
    <x v="5"/>
    <n v="9828"/>
    <n v="13940.666670000001"/>
    <m/>
    <m/>
    <m/>
    <m/>
    <m/>
    <m/>
    <s v="0"/>
    <s v="0"/>
    <n v="13940.666666666666"/>
    <n v="13940.666666666666"/>
    <n v="9828"/>
    <n v="-4112.6666666666661"/>
    <n v="-0.29501219453875999"/>
  </r>
  <r>
    <n v="383"/>
    <x v="14"/>
    <n v="1"/>
    <x v="1"/>
    <s v="Armistice Edit"/>
    <x v="6"/>
    <n v="126939.1667"/>
    <n v="115215.8"/>
    <m/>
    <m/>
    <m/>
    <m/>
    <m/>
    <m/>
    <s v="0"/>
    <s v="0"/>
    <n v="115215.80002333333"/>
    <n v="115215.80002333333"/>
    <n v="126939.1667"/>
    <n v="11723.366676666672"/>
    <n v="0.101751380229903"/>
  </r>
  <r>
    <n v="318"/>
    <x v="15"/>
    <n v="1"/>
    <x v="2"/>
    <s v="Petulant Pictures"/>
    <x v="3"/>
    <n v="960207.05279999995"/>
    <n v="745866.46849999996"/>
    <n v="1"/>
    <m/>
    <m/>
    <m/>
    <m/>
    <m/>
    <s v="960207.0528"/>
    <s v="960207.0528"/>
    <n v="745866.46846666664"/>
    <n v="745866.46846666664"/>
    <n v="960207.05279999995"/>
    <n v="214340.5843333333"/>
    <n v="0.28737125664593699"/>
  </r>
  <r>
    <n v="318"/>
    <x v="15"/>
    <n v="0"/>
    <x v="2"/>
    <s v=""/>
    <x v="3"/>
    <n v="662457.18420000002"/>
    <m/>
    <n v="1"/>
    <n v="1"/>
    <m/>
    <m/>
    <m/>
    <m/>
    <s v="662457.1842"/>
    <s v="0"/>
    <n v="745866.46846666664"/>
    <m/>
    <m/>
    <m/>
    <m/>
  </r>
  <r>
    <n v="318"/>
    <x v="15"/>
    <n v="1"/>
    <x v="2"/>
    <s v="My Audio Fantasy"/>
    <x v="0"/>
    <n v="21040"/>
    <n v="21656.666669999999"/>
    <n v="1"/>
    <m/>
    <m/>
    <n v="1"/>
    <m/>
    <m/>
    <s v="21040"/>
    <s v="21040"/>
    <n v="21656.666666666668"/>
    <n v="21656.666666666668"/>
    <n v="21040"/>
    <n v="-616.66666666666788"/>
    <n v="-2.84746806218255E-2"/>
  </r>
  <r>
    <n v="318"/>
    <x v="15"/>
    <n v="1"/>
    <x v="2"/>
    <s v="Petulant Pictures"/>
    <x v="4"/>
    <n v="4805.2749999999996"/>
    <n v="7050.3625000000002"/>
    <n v="1"/>
    <m/>
    <m/>
    <m/>
    <m/>
    <m/>
    <s v="4805.275"/>
    <s v="4805.275"/>
    <n v="7050.3624999999993"/>
    <n v="7050.3624999999993"/>
    <n v="4805.2749999999996"/>
    <n v="-2245.0874999999996"/>
    <n v="-0.31843575418994402"/>
  </r>
  <r>
    <n v="318"/>
    <x v="15"/>
    <n v="0"/>
    <x v="2"/>
    <s v=""/>
    <x v="4"/>
    <n v="10043.8125"/>
    <m/>
    <n v="1"/>
    <n v="1"/>
    <m/>
    <m/>
    <m/>
    <m/>
    <s v="10043.8125"/>
    <s v="0"/>
    <n v="7050.3624999999993"/>
    <m/>
    <m/>
    <m/>
    <m/>
  </r>
  <r>
    <n v="318"/>
    <x v="15"/>
    <n v="1"/>
    <x v="2"/>
    <s v="Petulant Pictures"/>
    <x v="5"/>
    <n v="18176"/>
    <n v="14980"/>
    <n v="1"/>
    <m/>
    <m/>
    <m/>
    <m/>
    <m/>
    <s v="18176"/>
    <s v="18176"/>
    <n v="14980"/>
    <n v="14980"/>
    <n v="18176"/>
    <n v="3196"/>
    <n v="0.21335113484646201"/>
  </r>
  <r>
    <n v="318"/>
    <x v="15"/>
    <n v="0"/>
    <x v="2"/>
    <s v=""/>
    <x v="5"/>
    <n v="14364"/>
    <m/>
    <n v="1"/>
    <n v="1"/>
    <m/>
    <m/>
    <m/>
    <m/>
    <s v="14364"/>
    <s v="0"/>
    <n v="14980"/>
    <m/>
    <m/>
    <m/>
    <m/>
  </r>
  <r>
    <n v="323"/>
    <x v="16"/>
    <n v="0"/>
    <x v="3"/>
    <s v=""/>
    <x v="0"/>
    <n v="24800"/>
    <m/>
    <n v="1"/>
    <m/>
    <m/>
    <m/>
    <m/>
    <n v="1"/>
    <s v="24800"/>
    <s v="0"/>
    <n v="33935"/>
    <m/>
    <m/>
    <m/>
    <m/>
  </r>
  <r>
    <n v="323"/>
    <x v="16"/>
    <n v="1"/>
    <x v="3"/>
    <s v="Andiamo Images"/>
    <x v="7"/>
    <n v="49250"/>
    <n v="32250"/>
    <n v="1"/>
    <m/>
    <m/>
    <m/>
    <n v="1"/>
    <m/>
    <s v="49250"/>
    <s v="49250"/>
    <n v="32250"/>
    <n v="32250"/>
    <n v="49250"/>
    <n v="17000"/>
    <n v="0.52713178294573604"/>
  </r>
  <r>
    <n v="323"/>
    <x v="16"/>
    <n v="0"/>
    <x v="3"/>
    <s v=""/>
    <x v="5"/>
    <n v="8568"/>
    <m/>
    <n v="1"/>
    <m/>
    <m/>
    <m/>
    <m/>
    <m/>
    <s v="8568"/>
    <s v="0"/>
    <n v="9606"/>
    <m/>
    <m/>
    <m/>
    <m/>
  </r>
  <r>
    <n v="323"/>
    <x v="16"/>
    <n v="0"/>
    <x v="3"/>
    <s v=""/>
    <x v="5"/>
    <n v="10000"/>
    <m/>
    <n v="1"/>
    <n v="1"/>
    <m/>
    <m/>
    <m/>
    <m/>
    <s v="10000"/>
    <s v="0"/>
    <n v="9606"/>
    <m/>
    <m/>
    <m/>
    <m/>
  </r>
  <r>
    <n v="323"/>
    <x v="16"/>
    <n v="0"/>
    <x v="3"/>
    <s v=""/>
    <x v="4"/>
    <n v="12958.487499999999"/>
    <m/>
    <n v="1"/>
    <m/>
    <m/>
    <m/>
    <m/>
    <m/>
    <s v="12958.4875"/>
    <s v="0"/>
    <n v="9810.1133333333328"/>
    <m/>
    <m/>
    <m/>
    <m/>
  </r>
  <r>
    <n v="323"/>
    <x v="16"/>
    <n v="0"/>
    <x v="3"/>
    <s v=""/>
    <x v="4"/>
    <n v="9271.8174999999992"/>
    <m/>
    <n v="1"/>
    <n v="1"/>
    <m/>
    <m/>
    <m/>
    <m/>
    <s v="9271.8175"/>
    <s v="0"/>
    <n v="9810.1133333333328"/>
    <m/>
    <m/>
    <m/>
    <m/>
  </r>
  <r>
    <n v="323"/>
    <x v="16"/>
    <n v="0"/>
    <x v="3"/>
    <s v=""/>
    <x v="3"/>
    <n v="673878.4375"/>
    <m/>
    <n v="1"/>
    <m/>
    <m/>
    <m/>
    <m/>
    <m/>
    <s v="673878.4375"/>
    <s v="0"/>
    <n v="649602.47703333327"/>
    <m/>
    <m/>
    <m/>
    <m/>
  </r>
  <r>
    <n v="323"/>
    <x v="16"/>
    <n v="0"/>
    <x v="3"/>
    <s v=""/>
    <x v="3"/>
    <n v="589302.09279999998"/>
    <m/>
    <n v="1"/>
    <n v="1"/>
    <m/>
    <m/>
    <m/>
    <m/>
    <s v="589302.0928"/>
    <s v="0"/>
    <n v="649602.47703333327"/>
    <m/>
    <m/>
    <m/>
    <m/>
  </r>
  <r>
    <n v="326"/>
    <x v="10"/>
    <n v="0"/>
    <x v="1"/>
    <s v=""/>
    <x v="9"/>
    <n v="8600"/>
    <m/>
    <n v="1"/>
    <m/>
    <m/>
    <m/>
    <n v="1"/>
    <m/>
    <s v="8600"/>
    <s v="0"/>
    <n v="40166.666666666672"/>
    <m/>
    <m/>
    <m/>
    <m/>
  </r>
  <r>
    <n v="326"/>
    <x v="10"/>
    <n v="1"/>
    <x v="1"/>
    <s v="Open Frameworks Image Creation"/>
    <x v="5"/>
    <n v="8928"/>
    <n v="8766.3333330000005"/>
    <n v="1"/>
    <n v="1"/>
    <m/>
    <m/>
    <m/>
    <m/>
    <s v="8928"/>
    <s v="8928"/>
    <n v="8766.3333333333339"/>
    <n v="8766.3333333333339"/>
    <n v="8928"/>
    <n v="161.66666666666606"/>
    <n v="1.84417658466101E-2"/>
  </r>
  <r>
    <n v="326"/>
    <x v="10"/>
    <n v="0"/>
    <x v="1"/>
    <s v=""/>
    <x v="5"/>
    <n v="10496"/>
    <m/>
    <n v="1"/>
    <m/>
    <m/>
    <m/>
    <m/>
    <m/>
    <s v="10496"/>
    <s v="0"/>
    <n v="8766.3333333333339"/>
    <m/>
    <m/>
    <m/>
    <m/>
  </r>
  <r>
    <n v="326"/>
    <x v="10"/>
    <n v="1"/>
    <x v="1"/>
    <s v="Open Frameworks Image Creation"/>
    <x v="4"/>
    <n v="6664.3649999999998"/>
    <n v="7291.9391670000005"/>
    <n v="1"/>
    <n v="1"/>
    <m/>
    <m/>
    <m/>
    <m/>
    <s v="6664.365"/>
    <s v="6664.365"/>
    <n v="7291.939166666667"/>
    <n v="7291.939166666667"/>
    <n v="6664.3649999999998"/>
    <n v="-627.57416666666722"/>
    <n v="-8.6064097947425394E-2"/>
  </r>
  <r>
    <n v="326"/>
    <x v="10"/>
    <n v="0"/>
    <x v="1"/>
    <s v=""/>
    <x v="4"/>
    <n v="4726.5"/>
    <m/>
    <n v="1"/>
    <m/>
    <m/>
    <m/>
    <m/>
    <m/>
    <s v="4726.5"/>
    <s v="0"/>
    <n v="7291.939166666667"/>
    <m/>
    <m/>
    <m/>
    <m/>
  </r>
  <r>
    <n v="326"/>
    <x v="10"/>
    <n v="1"/>
    <x v="1"/>
    <s v="Open Frameworks Image Creation"/>
    <x v="3"/>
    <n v="621332.42879999999"/>
    <n v="656708.28960000002"/>
    <n v="1"/>
    <n v="1"/>
    <m/>
    <m/>
    <m/>
    <m/>
    <s v="621332.4288"/>
    <s v="621332.4288"/>
    <n v="656708.28960000002"/>
    <n v="656708.28960000002"/>
    <n v="621332.42879999999"/>
    <n v="-35375.860800000024"/>
    <n v="-5.3868454777002098E-2"/>
  </r>
  <r>
    <n v="326"/>
    <x v="10"/>
    <n v="0"/>
    <x v="1"/>
    <s v=""/>
    <x v="3"/>
    <n v="646373.56000000006"/>
    <m/>
    <n v="1"/>
    <m/>
    <m/>
    <m/>
    <m/>
    <m/>
    <s v="646373.56"/>
    <s v="0"/>
    <n v="656708.28960000002"/>
    <m/>
    <m/>
    <m/>
    <m/>
  </r>
  <r>
    <n v="330"/>
    <x v="0"/>
    <n v="0"/>
    <x v="0"/>
    <s v=""/>
    <x v="0"/>
    <n v="18410"/>
    <m/>
    <n v="1"/>
    <n v="1"/>
    <m/>
    <n v="1"/>
    <n v="1"/>
    <m/>
    <s v="18410"/>
    <s v="0"/>
    <n v="36220"/>
    <m/>
    <m/>
    <m/>
    <m/>
  </r>
  <r>
    <n v="330"/>
    <x v="0"/>
    <n v="0"/>
    <x v="0"/>
    <s v=""/>
    <x v="3"/>
    <n v="674709.73"/>
    <m/>
    <n v="1"/>
    <m/>
    <m/>
    <m/>
    <m/>
    <m/>
    <s v="674709.73"/>
    <s v="0"/>
    <n v="689735.13113333331"/>
    <m/>
    <m/>
    <m/>
    <m/>
  </r>
  <r>
    <n v="330"/>
    <x v="0"/>
    <n v="0"/>
    <x v="0"/>
    <s v=""/>
    <x v="4"/>
    <n v="9027.6149999999998"/>
    <m/>
    <n v="1"/>
    <m/>
    <m/>
    <m/>
    <m/>
    <m/>
    <s v="9027.615"/>
    <s v="0"/>
    <n v="5600.9025000000001"/>
    <m/>
    <m/>
    <m/>
    <m/>
  </r>
  <r>
    <n v="330"/>
    <x v="0"/>
    <n v="0"/>
    <x v="0"/>
    <s v=""/>
    <x v="5"/>
    <n v="1488"/>
    <m/>
    <n v="1"/>
    <m/>
    <m/>
    <m/>
    <m/>
    <m/>
    <s v="1488"/>
    <s v="0"/>
    <n v="5023.3333333333339"/>
    <m/>
    <m/>
    <m/>
    <m/>
  </r>
  <r>
    <n v="332"/>
    <x v="1"/>
    <n v="1"/>
    <x v="0"/>
    <s v="Petulant Pictures"/>
    <x v="3"/>
    <n v="746158.29760000005"/>
    <n v="827429.73419999995"/>
    <n v="1"/>
    <m/>
    <m/>
    <m/>
    <m/>
    <m/>
    <s v="746158.2976"/>
    <s v="746158.2976"/>
    <n v="827429.73420000006"/>
    <n v="827429.73420000006"/>
    <n v="746158.29760000005"/>
    <n v="-81271.436600000015"/>
    <n v="-9.8221556756813003E-2"/>
  </r>
  <r>
    <n v="332"/>
    <x v="1"/>
    <n v="0"/>
    <x v="0"/>
    <s v=""/>
    <x v="3"/>
    <n v="931821.875"/>
    <m/>
    <n v="1"/>
    <n v="1"/>
    <m/>
    <m/>
    <m/>
    <m/>
    <s v="931821.875"/>
    <s v="0"/>
    <n v="827429.73420000006"/>
    <m/>
    <m/>
    <m/>
    <m/>
  </r>
  <r>
    <n v="332"/>
    <x v="1"/>
    <n v="1"/>
    <x v="0"/>
    <s v="Petulant Pictures"/>
    <x v="4"/>
    <n v="5537.8824999999997"/>
    <n v="7782.97"/>
    <n v="1"/>
    <m/>
    <m/>
    <m/>
    <m/>
    <m/>
    <s v="5537.8825"/>
    <s v="5537.8825"/>
    <n v="7782.9699999999993"/>
    <n v="7782.9699999999993"/>
    <n v="5537.8824999999997"/>
    <n v="-2245.0874999999996"/>
    <n v="-0.28846153846153799"/>
  </r>
  <r>
    <n v="332"/>
    <x v="1"/>
    <n v="0"/>
    <x v="0"/>
    <s v=""/>
    <x v="4"/>
    <n v="5939.6350000000002"/>
    <m/>
    <n v="1"/>
    <n v="1"/>
    <m/>
    <m/>
    <m/>
    <m/>
    <s v="5939.635"/>
    <s v="0"/>
    <n v="7782.9699999999993"/>
    <m/>
    <m/>
    <m/>
    <m/>
  </r>
  <r>
    <n v="332"/>
    <x v="1"/>
    <n v="1"/>
    <x v="0"/>
    <s v="Petulant Pictures"/>
    <x v="5"/>
    <n v="11214"/>
    <n v="11750"/>
    <n v="1"/>
    <m/>
    <m/>
    <m/>
    <m/>
    <m/>
    <s v="11214"/>
    <s v="11214"/>
    <n v="11750"/>
    <n v="11750"/>
    <n v="11214"/>
    <n v="-536"/>
    <n v="-4.5617021276595802E-2"/>
  </r>
  <r>
    <n v="332"/>
    <x v="1"/>
    <n v="0"/>
    <x v="0"/>
    <s v=""/>
    <x v="5"/>
    <n v="17286"/>
    <m/>
    <n v="1"/>
    <n v="1"/>
    <m/>
    <m/>
    <m/>
    <m/>
    <s v="17286"/>
    <s v="0"/>
    <n v="11750"/>
    <m/>
    <m/>
    <m/>
    <m/>
  </r>
  <r>
    <n v="332"/>
    <x v="1"/>
    <n v="1"/>
    <x v="0"/>
    <s v="Petulant Pictures"/>
    <x v="8"/>
    <n v="18827.224999999999"/>
    <n v="18144.508330000001"/>
    <n v="1"/>
    <m/>
    <m/>
    <m/>
    <m/>
    <m/>
    <s v="18827.225"/>
    <s v="18827.225"/>
    <n v="18144.508333333331"/>
    <n v="18144.508333333331"/>
    <n v="18827.224999999999"/>
    <n v="682.71666666666715"/>
    <n v="3.7626628075253299E-2"/>
  </r>
  <r>
    <n v="332"/>
    <x v="1"/>
    <n v="0"/>
    <x v="0"/>
    <s v=""/>
    <x v="8"/>
    <n v="18354.575000000001"/>
    <m/>
    <n v="1"/>
    <n v="1"/>
    <m/>
    <m/>
    <m/>
    <m/>
    <s v="18354.575"/>
    <s v="0"/>
    <n v="18144.508333333331"/>
    <m/>
    <m/>
    <m/>
    <m/>
  </r>
  <r>
    <n v="333"/>
    <x v="17"/>
    <n v="0"/>
    <x v="4"/>
    <s v=""/>
    <x v="0"/>
    <n v="20890"/>
    <m/>
    <n v="1"/>
    <m/>
    <m/>
    <m/>
    <m/>
    <n v="1"/>
    <s v="20890"/>
    <s v="0"/>
    <n v="31286.666666666668"/>
    <m/>
    <m/>
    <m/>
    <m/>
  </r>
  <r>
    <n v="333"/>
    <x v="17"/>
    <n v="0"/>
    <x v="4"/>
    <s v=""/>
    <x v="3"/>
    <n v="850434.76089999999"/>
    <m/>
    <n v="1"/>
    <m/>
    <m/>
    <m/>
    <m/>
    <m/>
    <s v="850434.7609"/>
    <s v="0"/>
    <n v="837017.14029999997"/>
    <m/>
    <m/>
    <m/>
    <m/>
  </r>
  <r>
    <n v="333"/>
    <x v="17"/>
    <n v="1"/>
    <x v="4"/>
    <s v="Open Frameworks Image Creation"/>
    <x v="3"/>
    <n v="799298.01"/>
    <n v="837017.14029999997"/>
    <n v="1"/>
    <n v="1"/>
    <m/>
    <m/>
    <m/>
    <m/>
    <s v="799298.01"/>
    <s v="799298.01"/>
    <n v="837017.14029999997"/>
    <n v="837017.14029999997"/>
    <n v="799298.01"/>
    <n v="-37719.130299999961"/>
    <n v="-4.5063748977088897E-2"/>
  </r>
  <r>
    <n v="333"/>
    <x v="17"/>
    <n v="0"/>
    <x v="4"/>
    <s v=""/>
    <x v="4"/>
    <n v="8783.4125000000004"/>
    <m/>
    <n v="1"/>
    <m/>
    <m/>
    <m/>
    <m/>
    <m/>
    <s v="8783.4125"/>
    <s v="0"/>
    <n v="7549.2708333333339"/>
    <m/>
    <m/>
    <m/>
    <m/>
  </r>
  <r>
    <n v="333"/>
    <x v="17"/>
    <n v="1"/>
    <x v="4"/>
    <s v="Open Frameworks Image Creation"/>
    <x v="4"/>
    <n v="4017.5250000000001"/>
    <n v="7549.2708329999996"/>
    <n v="1"/>
    <n v="1"/>
    <m/>
    <m/>
    <m/>
    <m/>
    <s v="4017.525"/>
    <s v="4017.525"/>
    <n v="7549.2708333333339"/>
    <n v="7549.2708333333339"/>
    <n v="4017.5250000000001"/>
    <n v="-3531.7458333333338"/>
    <n v="-0.467826086956522"/>
  </r>
  <r>
    <n v="333"/>
    <x v="17"/>
    <n v="0"/>
    <x v="4"/>
    <s v=""/>
    <x v="5"/>
    <n v="11844"/>
    <m/>
    <n v="1"/>
    <m/>
    <m/>
    <m/>
    <m/>
    <m/>
    <s v="11844"/>
    <s v="0"/>
    <n v="12020"/>
    <m/>
    <m/>
    <m/>
    <m/>
  </r>
  <r>
    <n v="333"/>
    <x v="17"/>
    <n v="1"/>
    <x v="4"/>
    <s v="Open Frameworks Image Creation"/>
    <x v="5"/>
    <n v="13208"/>
    <n v="12020"/>
    <n v="1"/>
    <n v="1"/>
    <m/>
    <m/>
    <m/>
    <m/>
    <s v="13208"/>
    <s v="13208"/>
    <n v="12020"/>
    <n v="12020"/>
    <n v="13208"/>
    <n v="1188"/>
    <n v="9.8835274542429297E-2"/>
  </r>
  <r>
    <n v="333"/>
    <x v="17"/>
    <n v="0"/>
    <x v="4"/>
    <s v=""/>
    <x v="8"/>
    <n v="20166.400000000001"/>
    <m/>
    <n v="1"/>
    <m/>
    <m/>
    <m/>
    <m/>
    <m/>
    <s v="20166.4"/>
    <s v="0"/>
    <n v="16726.558333333334"/>
    <m/>
    <m/>
    <m/>
    <m/>
  </r>
  <r>
    <n v="333"/>
    <x v="17"/>
    <n v="1"/>
    <x v="4"/>
    <s v="Open Frameworks Image Creation"/>
    <x v="8"/>
    <n v="17409.275000000001"/>
    <n v="16726.55833"/>
    <n v="1"/>
    <n v="1"/>
    <m/>
    <m/>
    <m/>
    <m/>
    <s v="17409.275"/>
    <s v="17409.275"/>
    <n v="16726.558333333334"/>
    <n v="16726.558333333334"/>
    <n v="17409.275000000001"/>
    <n v="682.71666666666715"/>
    <n v="4.0816326530612297E-2"/>
  </r>
  <r>
    <n v="340"/>
    <x v="5"/>
    <n v="0"/>
    <x v="0"/>
    <s v=""/>
    <x v="0"/>
    <n v="24500"/>
    <m/>
    <n v="1"/>
    <n v="1"/>
    <n v="1"/>
    <m/>
    <m/>
    <n v="1"/>
    <s v="24500"/>
    <s v="0"/>
    <n v="25766.666666666668"/>
    <m/>
    <m/>
    <m/>
    <m/>
  </r>
  <r>
    <n v="340"/>
    <x v="5"/>
    <n v="1"/>
    <x v="0"/>
    <s v="Earwax"/>
    <x v="0"/>
    <n v="20690"/>
    <n v="25766.666669999999"/>
    <n v="1"/>
    <m/>
    <m/>
    <m/>
    <n v="1"/>
    <n v="1"/>
    <s v="20690"/>
    <s v="20690"/>
    <n v="25766.666666666668"/>
    <n v="25766.666666666668"/>
    <n v="20690"/>
    <n v="-5076.6666666666679"/>
    <n v="-0.19702457956015501"/>
  </r>
  <r>
    <n v="350"/>
    <x v="24"/>
    <n v="1"/>
    <x v="6"/>
    <s v="Love Language"/>
    <x v="0"/>
    <n v="30170"/>
    <n v="38485"/>
    <n v="1"/>
    <m/>
    <m/>
    <m/>
    <m/>
    <m/>
    <s v="30170"/>
    <s v="30170"/>
    <n v="38485"/>
    <n v="38485"/>
    <n v="30170"/>
    <n v="-8315"/>
    <n v="-0.216058204495258"/>
  </r>
  <r>
    <n v="361"/>
    <x v="27"/>
    <n v="1"/>
    <x v="6"/>
    <s v="Arsonist Post"/>
    <x v="0"/>
    <n v="58490"/>
    <n v="48485"/>
    <n v="1"/>
    <m/>
    <m/>
    <n v="1"/>
    <n v="1"/>
    <m/>
    <s v="58490"/>
    <s v="58490"/>
    <n v="48485"/>
    <n v="48485"/>
    <n v="58490"/>
    <n v="10005"/>
    <n v="0.20635248014849999"/>
  </r>
  <r>
    <n v="362"/>
    <x v="28"/>
    <n v="1"/>
    <x v="6"/>
    <s v="Sound Monster"/>
    <x v="0"/>
    <n v="55620"/>
    <n v="40866.666669999999"/>
    <n v="1"/>
    <m/>
    <m/>
    <n v="1"/>
    <m/>
    <m/>
    <s v="55620"/>
    <s v="55620"/>
    <n v="40866.666666666664"/>
    <n v="40866.666666666664"/>
    <n v="55620"/>
    <n v="14753.333333333336"/>
    <n v="0.36101141924959201"/>
  </r>
  <r>
    <n v="363"/>
    <x v="29"/>
    <n v="1"/>
    <x v="6"/>
    <s v="Special Oaks"/>
    <x v="0"/>
    <n v="39180"/>
    <n v="39333.333330000001"/>
    <n v="1"/>
    <m/>
    <m/>
    <m/>
    <m/>
    <m/>
    <s v="39180"/>
    <s v="39180"/>
    <n v="39333.333333333336"/>
    <n v="39333.333333333336"/>
    <n v="39180"/>
    <n v="-153.33333333333576"/>
    <n v="-3.8983050847458201E-3"/>
  </r>
  <r>
    <n v="363"/>
    <x v="29"/>
    <n v="0"/>
    <x v="6"/>
    <s v=""/>
    <x v="0"/>
    <n v="41010"/>
    <m/>
    <n v="1"/>
    <n v="1"/>
    <n v="1"/>
    <n v="1"/>
    <n v="1"/>
    <n v="1"/>
    <s v="41010"/>
    <s v="0"/>
    <n v="39333.333333333336"/>
    <m/>
    <m/>
    <m/>
    <m/>
  </r>
  <r>
    <n v="363"/>
    <x v="29"/>
    <n v="0"/>
    <x v="6"/>
    <s v=""/>
    <x v="3"/>
    <n v="672271.32420000003"/>
    <m/>
    <n v="1"/>
    <m/>
    <m/>
    <m/>
    <m/>
    <m/>
    <s v="672271.3242"/>
    <s v="0"/>
    <n v="747040.61526666663"/>
    <m/>
    <m/>
    <m/>
    <m/>
  </r>
  <r>
    <n v="363"/>
    <x v="29"/>
    <n v="0"/>
    <x v="6"/>
    <s v=""/>
    <x v="4"/>
    <n v="8948.84"/>
    <m/>
    <n v="1"/>
    <m/>
    <m/>
    <m/>
    <m/>
    <m/>
    <s v="8948.84"/>
    <s v="0"/>
    <n v="10621.495833333334"/>
    <m/>
    <m/>
    <m/>
    <m/>
  </r>
  <r>
    <n v="363"/>
    <x v="29"/>
    <n v="0"/>
    <x v="6"/>
    <s v=""/>
    <x v="5"/>
    <n v="14880"/>
    <m/>
    <n v="1"/>
    <m/>
    <m/>
    <m/>
    <m/>
    <m/>
    <s v="14880"/>
    <s v="0"/>
    <n v="11143.333333333334"/>
    <m/>
    <m/>
    <m/>
    <m/>
  </r>
  <r>
    <n v="367"/>
    <x v="9"/>
    <n v="0"/>
    <x v="1"/>
    <s v=""/>
    <x v="1"/>
    <n v="23200"/>
    <m/>
    <n v="1"/>
    <m/>
    <m/>
    <m/>
    <m/>
    <m/>
    <s v="23200"/>
    <s v="0"/>
    <n v="31316.666666666664"/>
    <m/>
    <m/>
    <m/>
    <m/>
  </r>
  <r>
    <n v="367"/>
    <x v="9"/>
    <n v="0"/>
    <x v="1"/>
    <s v=""/>
    <x v="2"/>
    <n v="170725.97829999999"/>
    <m/>
    <n v="1"/>
    <m/>
    <m/>
    <m/>
    <m/>
    <m/>
    <s v="170725.9783"/>
    <s v="0"/>
    <n v="182920.4215"/>
    <m/>
    <m/>
    <m/>
    <m/>
  </r>
  <r>
    <n v="369"/>
    <x v="11"/>
    <n v="0"/>
    <x v="1"/>
    <s v=""/>
    <x v="2"/>
    <n v="157061.66399999999"/>
    <m/>
    <n v="1"/>
    <m/>
    <m/>
    <m/>
    <m/>
    <m/>
    <s v="157061.664"/>
    <s v="0"/>
    <n v="151042.9981"/>
    <m/>
    <m/>
    <m/>
    <m/>
  </r>
  <r>
    <n v="369"/>
    <x v="11"/>
    <n v="0"/>
    <x v="1"/>
    <s v=""/>
    <x v="1"/>
    <n v="46600"/>
    <m/>
    <n v="1"/>
    <m/>
    <m/>
    <m/>
    <m/>
    <m/>
    <s v="46600"/>
    <s v="0"/>
    <n v="46475"/>
    <m/>
    <m/>
    <m/>
    <m/>
  </r>
  <r>
    <n v="375"/>
    <x v="7"/>
    <n v="0"/>
    <x v="0"/>
    <s v=""/>
    <x v="0"/>
    <n v="18740"/>
    <m/>
    <n v="1"/>
    <n v="1"/>
    <m/>
    <n v="1"/>
    <m/>
    <m/>
    <s v="18740"/>
    <s v="0"/>
    <n v="33080"/>
    <m/>
    <m/>
    <m/>
    <m/>
  </r>
  <r>
    <n v="375"/>
    <x v="7"/>
    <n v="1"/>
    <x v="0"/>
    <s v="Furrier"/>
    <x v="2"/>
    <n v="187823.6317"/>
    <n v="151739.2697"/>
    <n v="1"/>
    <m/>
    <m/>
    <m/>
    <m/>
    <m/>
    <s v="187823.6317"/>
    <s v="187823.6317"/>
    <n v="151739.2697"/>
    <n v="151739.2697"/>
    <n v="187823.6317"/>
    <n v="36084.361999999994"/>
    <n v="0.23780503274690501"/>
  </r>
  <r>
    <n v="375"/>
    <x v="7"/>
    <n v="1"/>
    <x v="0"/>
    <s v="Furrier"/>
    <x v="1"/>
    <n v="12500"/>
    <n v="26250"/>
    <n v="1"/>
    <m/>
    <m/>
    <m/>
    <m/>
    <m/>
    <s v="12500"/>
    <s v="12500"/>
    <n v="26250"/>
    <n v="26250"/>
    <n v="12500"/>
    <n v="-13750"/>
    <n v="-0.52380952380952395"/>
  </r>
  <r>
    <n v="381"/>
    <x v="13"/>
    <n v="0"/>
    <x v="1"/>
    <s v=""/>
    <x v="0"/>
    <n v="61340"/>
    <m/>
    <n v="1"/>
    <m/>
    <m/>
    <n v="1"/>
    <m/>
    <m/>
    <s v="61340"/>
    <s v="0"/>
    <n v="39090"/>
    <m/>
    <m/>
    <m/>
    <m/>
  </r>
  <r>
    <n v="383"/>
    <x v="14"/>
    <n v="0"/>
    <x v="1"/>
    <s v=""/>
    <x v="2"/>
    <n v="145023.28080000001"/>
    <m/>
    <n v="1"/>
    <m/>
    <m/>
    <m/>
    <m/>
    <m/>
    <s v="145023.2808"/>
    <s v="0"/>
    <n v="128176.29536666667"/>
    <m/>
    <m/>
    <m/>
    <m/>
  </r>
  <r>
    <n v="383"/>
    <x v="14"/>
    <n v="0"/>
    <x v="1"/>
    <s v=""/>
    <x v="1"/>
    <n v="31950"/>
    <m/>
    <n v="1"/>
    <m/>
    <m/>
    <m/>
    <m/>
    <m/>
    <s v="31950"/>
    <s v="0"/>
    <n v="30533.33333333333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4CBEB-7459-4F6C-8766-D2E168A6ED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9" firstHeaderRow="0" firstDataRow="1" firstDataCol="1"/>
  <pivotFields count="25">
    <pivotField showAll="0"/>
    <pivotField showAll="0"/>
    <pivotField showAll="0"/>
    <pivotField showAll="0"/>
    <pivotField axis="axisRow" showAll="0">
      <items count="8">
        <item x="3"/>
        <item x="4"/>
        <item x="6"/>
        <item x="5"/>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5">
        <item x="2"/>
        <item x="26"/>
        <item x="39"/>
        <item x="20"/>
        <item x="4"/>
        <item x="29"/>
        <item x="30"/>
        <item x="19"/>
        <item x="10"/>
        <item x="16"/>
        <item x="38"/>
        <item x="17"/>
        <item x="52"/>
        <item x="25"/>
        <item x="13"/>
        <item x="11"/>
        <item x="5"/>
        <item x="18"/>
        <item x="31"/>
        <item x="40"/>
        <item x="60"/>
        <item x="12"/>
        <item x="41"/>
        <item x="7"/>
        <item x="53"/>
        <item x="32"/>
        <item x="43"/>
        <item x="6"/>
        <item x="34"/>
        <item x="23"/>
        <item x="58"/>
        <item x="33"/>
        <item x="42"/>
        <item x="45"/>
        <item x="35"/>
        <item x="3"/>
        <item x="54"/>
        <item x="44"/>
        <item x="8"/>
        <item x="46"/>
        <item x="63"/>
        <item x="49"/>
        <item x="50"/>
        <item x="57"/>
        <item x="9"/>
        <item x="48"/>
        <item x="47"/>
        <item x="61"/>
        <item x="62"/>
        <item x="56"/>
        <item x="55"/>
        <item x="59"/>
        <item x="15"/>
        <item x="21"/>
        <item x="22"/>
        <item x="1"/>
        <item x="51"/>
        <item x="14"/>
        <item x="24"/>
        <item x="27"/>
        <item x="37"/>
        <item x="36"/>
        <item x="28"/>
        <item x="0"/>
        <item t="default"/>
      </items>
    </pivotField>
    <pivotField dataField="1" showAll="0"/>
    <pivotField showAll="0"/>
    <pivotField showAll="0"/>
    <pivotField showAll="0"/>
  </pivotFields>
  <rowFields count="1">
    <field x="4"/>
  </rowFields>
  <rowItems count="8">
    <i>
      <x/>
    </i>
    <i>
      <x v="1"/>
    </i>
    <i>
      <x v="2"/>
    </i>
    <i>
      <x v="3"/>
    </i>
    <i>
      <x v="4"/>
    </i>
    <i>
      <x v="5"/>
    </i>
    <i>
      <x v="6"/>
    </i>
    <i t="grand">
      <x/>
    </i>
  </rowItems>
  <colFields count="1">
    <field x="-2"/>
  </colFields>
  <colItems count="2">
    <i>
      <x/>
    </i>
    <i i="1">
      <x v="1"/>
    </i>
  </colItems>
  <dataFields count="2">
    <dataField name="Sum of Women Work Pitched" fld="20" baseField="0" baseItem="0"/>
    <dataField name="Sum of Women Work Awarded" fld="21"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553C9B-948D-42B7-B3C8-D2D0591100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3" firstHeaderRow="0" firstDataRow="1" firstDataCol="1"/>
  <pivotFields count="25">
    <pivotField showAll="0"/>
    <pivotField showAll="0"/>
    <pivotField showAll="0"/>
    <pivotField showAll="0"/>
    <pivotField showAll="0"/>
    <pivotField showAll="0"/>
    <pivotField showAll="0"/>
    <pivotField axis="axisRow" showAll="0">
      <items count="12">
        <item x="2"/>
        <item x="10"/>
        <item x="1"/>
        <item x="0"/>
        <item x="3"/>
        <item x="5"/>
        <item x="8"/>
        <item x="6"/>
        <item x="4"/>
        <item x="7"/>
        <item x="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s>
  <rowFields count="1">
    <field x="7"/>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Sum of BID TOTAL" fld="11" baseField="0" baseItem="0"/>
    <dataField name="Sum of Women Work Pitched" fld="20" baseField="0" baseItem="0"/>
    <dataField name="Sum of Women Work Awarded" fld="21" baseField="0" baseItem="0"/>
    <dataField name="Sum of Total Award" fld="23" baseField="0" baseItem="0"/>
  </dataFields>
  <formats count="2">
    <format dxfId="93">
      <pivotArea dataOnly="0" outline="0" fieldPosition="0">
        <references count="1">
          <reference field="4294967294" count="1">
            <x v="0"/>
          </reference>
        </references>
      </pivotArea>
    </format>
    <format dxfId="92">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01E6D-AA4D-49DF-91DE-41790C751A9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45" firstHeaderRow="1" firstDataRow="1" firstDataCol="1"/>
  <pivotFields count="75">
    <pivotField showAll="0"/>
    <pivotField numFmtId="22" showAll="0"/>
    <pivotField showAll="0"/>
    <pivotField showAll="0"/>
    <pivotField showAll="0"/>
    <pivotField showAll="0"/>
    <pivotField axis="axisRow" showAll="0">
      <items count="10">
        <item x="6"/>
        <item x="3"/>
        <item x="1"/>
        <item x="7"/>
        <item x="8"/>
        <item x="0"/>
        <item x="4"/>
        <item x="5"/>
        <item x="2"/>
        <item t="default"/>
      </items>
    </pivotField>
    <pivotField showAll="0"/>
    <pivotField axis="axisRow" showAll="0">
      <items count="8">
        <item x="3"/>
        <item x="4"/>
        <item x="6"/>
        <item x="5"/>
        <item x="0"/>
        <item x="1"/>
        <item x="2"/>
        <item t="default"/>
      </items>
    </pivotField>
    <pivotField axis="axisRow" showAll="0">
      <items count="15">
        <item x="7"/>
        <item x="9"/>
        <item x="5"/>
        <item x="13"/>
        <item x="10"/>
        <item x="11"/>
        <item x="12"/>
        <item x="2"/>
        <item x="0"/>
        <item x="6"/>
        <item x="8"/>
        <item x="1"/>
        <item x="4"/>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6"/>
    <field x="9"/>
    <field x="8"/>
  </rowFields>
  <rowItems count="44">
    <i>
      <x/>
    </i>
    <i r="1">
      <x v="10"/>
    </i>
    <i r="2">
      <x v="6"/>
    </i>
    <i>
      <x v="1"/>
    </i>
    <i r="1">
      <x v="2"/>
    </i>
    <i r="2">
      <x v="1"/>
    </i>
    <i r="2">
      <x v="2"/>
    </i>
    <i>
      <x v="2"/>
    </i>
    <i r="1">
      <x v="11"/>
    </i>
    <i r="2">
      <x v="5"/>
    </i>
    <i r="2">
      <x v="6"/>
    </i>
    <i>
      <x v="3"/>
    </i>
    <i r="1">
      <x v="1"/>
    </i>
    <i r="2">
      <x/>
    </i>
    <i r="1">
      <x v="4"/>
    </i>
    <i r="2">
      <x/>
    </i>
    <i>
      <x v="4"/>
    </i>
    <i r="1">
      <x v="3"/>
    </i>
    <i r="2">
      <x v="6"/>
    </i>
    <i r="1">
      <x v="5"/>
    </i>
    <i r="2">
      <x v="6"/>
    </i>
    <i r="1">
      <x v="6"/>
    </i>
    <i r="2">
      <x v="6"/>
    </i>
    <i>
      <x v="5"/>
    </i>
    <i r="1">
      <x v="8"/>
    </i>
    <i r="2">
      <x v="4"/>
    </i>
    <i>
      <x v="6"/>
    </i>
    <i r="1">
      <x v="9"/>
    </i>
    <i r="2">
      <x v="2"/>
    </i>
    <i>
      <x v="7"/>
    </i>
    <i r="1">
      <x/>
    </i>
    <i r="2">
      <x v="2"/>
    </i>
    <i>
      <x v="8"/>
    </i>
    <i r="1">
      <x v="7"/>
    </i>
    <i r="2">
      <x/>
    </i>
    <i r="2">
      <x v="1"/>
    </i>
    <i r="2">
      <x v="3"/>
    </i>
    <i r="1">
      <x v="12"/>
    </i>
    <i r="2">
      <x/>
    </i>
    <i r="2">
      <x v="1"/>
    </i>
    <i r="1">
      <x v="13"/>
    </i>
    <i r="2">
      <x/>
    </i>
    <i r="2">
      <x v="1"/>
    </i>
    <i t="grand">
      <x/>
    </i>
  </rowItems>
  <colItems count="1">
    <i/>
  </colItems>
  <dataFields count="1">
    <dataField name="Count of PHAS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4A09D-A169-4052-B514-E11CFE2A40E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6" firstHeaderRow="1" firstDataRow="1" firstDataCol="1"/>
  <pivotFields count="21">
    <pivotField showAll="0"/>
    <pivotField showAll="0">
      <items count="32">
        <item x="5"/>
        <item x="21"/>
        <item x="14"/>
        <item x="30"/>
        <item x="26"/>
        <item x="0"/>
        <item x="9"/>
        <item h="1" x="19"/>
        <item h="1" x="12"/>
        <item h="1" x="11"/>
        <item h="1" x="13"/>
        <item h="1" x="24"/>
        <item h="1" x="29"/>
        <item h="1" x="25"/>
        <item h="1" x="20"/>
        <item h="1" x="28"/>
        <item h="1" x="3"/>
        <item h="1" x="23"/>
        <item h="1" x="17"/>
        <item h="1" x="27"/>
        <item h="1" x="22"/>
        <item h="1" x="15"/>
        <item h="1" x="1"/>
        <item h="1" x="6"/>
        <item h="1" x="4"/>
        <item x="18"/>
        <item h="1" x="10"/>
        <item h="1" x="16"/>
        <item h="1" x="8"/>
        <item h="1" x="2"/>
        <item h="1" x="7"/>
        <item t="default"/>
      </items>
    </pivotField>
    <pivotField showAll="0"/>
    <pivotField axis="axisRow" showAll="0">
      <items count="8">
        <item x="0"/>
        <item x="4"/>
        <item x="6"/>
        <item x="5"/>
        <item x="2"/>
        <item x="3"/>
        <item x="1"/>
        <item t="default"/>
      </items>
    </pivotField>
    <pivotField showAll="0"/>
    <pivotField axis="axisRow" showAll="0">
      <items count="12">
        <item h="1" x="0"/>
        <item h="1" x="8"/>
        <item x="6"/>
        <item x="3"/>
        <item h="1" x="7"/>
        <item h="1" x="5"/>
        <item h="1" x="9"/>
        <item h="1" x="1"/>
        <item h="1" x="4"/>
        <item h="1" x="2"/>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3"/>
    <field x="5"/>
  </rowFields>
  <rowItems count="15">
    <i>
      <x/>
    </i>
    <i r="1">
      <x v="2"/>
    </i>
    <i r="1">
      <x v="3"/>
    </i>
    <i>
      <x v="1"/>
    </i>
    <i r="1">
      <x v="2"/>
    </i>
    <i>
      <x v="2"/>
    </i>
    <i r="1">
      <x v="2"/>
    </i>
    <i r="1">
      <x v="3"/>
    </i>
    <i>
      <x v="3"/>
    </i>
    <i r="1">
      <x v="2"/>
    </i>
    <i r="1">
      <x v="3"/>
    </i>
    <i>
      <x v="6"/>
    </i>
    <i r="1">
      <x v="2"/>
    </i>
    <i r="1">
      <x v="3"/>
    </i>
    <i t="grand">
      <x/>
    </i>
  </rowItems>
  <colItems count="1">
    <i/>
  </colItems>
  <dataFields count="1">
    <dataField name="Max of Variance Perc" fld="20" subtotal="max" baseField="5" baseItem="2"/>
  </dataFields>
  <chartFormats count="2">
    <chartFormat chart="6" format="3"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8" xr16:uid="{E713AAE0-A1D4-4AED-B12E-9932C7917EC8}" autoFormatId="16" applyNumberFormats="0" applyBorderFormats="0" applyFontFormats="0" applyPatternFormats="0" applyAlignmentFormats="0" applyWidthHeightFormats="0">
  <queryTableRefresh nextId="24">
    <queryTableFields count="23">
      <queryTableField id="1" name="PROJECT NAME" tableColumnId="1"/>
      <queryTableField id="2" name="AWARDED" tableColumnId="2"/>
      <queryTableField id="3" name="BRAND" tableColumnId="3"/>
      <queryTableField id="4" name="PRODUCT" tableColumnId="4"/>
      <queryTableField id="5" name="AGENCY" tableColumnId="5"/>
      <queryTableField id="6" name="CAMPAIGN" tableColumnId="6"/>
      <queryTableField id="7" name="VENDOR" tableColumnId="7"/>
      <queryTableField id="8" name="PHASE" tableColumnId="8"/>
      <queryTableField id="9" name="SUBMISSION" tableColumnId="9"/>
      <queryTableField id="10" name="BID NAME" tableColumnId="10"/>
      <queryTableField id="11" name="BIDFILE TYPE" tableColumnId="11"/>
      <queryTableField id="12" name="BID TOTAL" tableColumnId="12"/>
      <queryTableField id="13" name="BID TYPE" tableColumnId="13"/>
      <queryTableField id="14" name="AVERAGE BID" tableColumnId="14"/>
      <queryTableField id="15" name="DIVERSITY:: WOMAN DIRECTOR" tableColumnId="15"/>
      <queryTableField id="16" name="DIVERSITY:: MIINORITY DIRECTOR" tableColumnId="16"/>
      <queryTableField id="17" name="DIVERSITY:: WOMAN EDITOR" tableColumnId="17"/>
      <queryTableField id="18" name="DIVERSITY:: MIINORITY EDITOR" tableColumnId="18"/>
      <queryTableField id="19" name="DIVERSITY:: WOMAN OWNED" tableColumnId="19"/>
      <queryTableField id="20" name="DIVERSITY:: MINORITY OWNED" tableColumnId="20"/>
      <queryTableField id="21" name="Women Work Pitched" tableColumnId="21"/>
      <queryTableField id="22" name="Women Work Awarded" tableColumnId="22"/>
      <queryTableField id="23" name="AvgBidPrice LUT.Average Bid Price"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5" xr16:uid="{6BF4A119-9CF3-4E61-B9C4-67503E974D70}" autoFormatId="16" applyNumberFormats="0" applyBorderFormats="0" applyFontFormats="0" applyPatternFormats="0" applyAlignmentFormats="0" applyWidthHeightFormats="0">
  <queryTableRefresh nextId="17">
    <queryTableFields count="4">
      <queryTableField id="3" name="PHASE" tableColumnId="3"/>
      <queryTableField id="12" name="Awarded to Women" tableColumnId="12"/>
      <queryTableField id="15" name="UnAwarded Women" tableColumnId="15"/>
      <queryTableField id="14" name="PhaseTOtal"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2" xr16:uid="{C8CDDE13-0D11-4299-9D4A-FA396AEC25B3}" autoFormatId="16" applyNumberFormats="0" applyBorderFormats="0" applyFontFormats="0" applyPatternFormats="0" applyAlignmentFormats="0" applyWidthHeightFormats="0">
  <queryTableRefresh nextId="26">
    <queryTableFields count="25">
      <queryTableField id="1" name="PROJECT NAME" tableColumnId="1"/>
      <queryTableField id="2" name="AWARDED" tableColumnId="2"/>
      <queryTableField id="3" name="BRAND" tableColumnId="3"/>
      <queryTableField id="4" name="PRODUCT" tableColumnId="4"/>
      <queryTableField id="5" name="AGENCY" tableColumnId="5"/>
      <queryTableField id="6" name="CAMPAIGN" tableColumnId="6"/>
      <queryTableField id="7" name="VENDOR" tableColumnId="7"/>
      <queryTableField id="8" name="PHASE" tableColumnId="8"/>
      <queryTableField id="9" name="SUBMISSION" tableColumnId="9"/>
      <queryTableField id="10" name="BID NAME" tableColumnId="10"/>
      <queryTableField id="11" name="BIDFILE TYPE" tableColumnId="11"/>
      <queryTableField id="12" name="BID TOTAL" tableColumnId="12"/>
      <queryTableField id="13" name="BID TYPE" tableColumnId="13"/>
      <queryTableField id="14" name="AVERAGE BID" tableColumnId="14"/>
      <queryTableField id="15" name="DIVERSITY:: WOMAN DIRECTOR" tableColumnId="15"/>
      <queryTableField id="16" name="DIVERSITY:: MIINORITY DIRECTOR" tableColumnId="16"/>
      <queryTableField id="17" name="DIVERSITY:: WOMAN EDITOR" tableColumnId="17"/>
      <queryTableField id="18" name="DIVERSITY:: MIINORITY EDITOR" tableColumnId="18"/>
      <queryTableField id="19" name="DIVERSITY:: WOMAN OWNED" tableColumnId="19"/>
      <queryTableField id="20" name="DIVERSITY:: MINORITY OWNED" tableColumnId="20"/>
      <queryTableField id="21" name="Women Work Pitched" tableColumnId="21"/>
      <queryTableField id="22" name="Women Work Awarded" tableColumnId="22"/>
      <queryTableField id="23" name="AvgBidPrice LUT.Average Bid Price" tableColumnId="23"/>
      <queryTableField id="24" name="Total Award" tableColumnId="24"/>
      <queryTableField id="25" name="All Awarded" tableColumnId="2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8369FEE5-1028-408C-B964-D11E3D18E38C}" autoFormatId="16" applyNumberFormats="0" applyBorderFormats="0" applyFontFormats="0" applyPatternFormats="0" applyAlignmentFormats="0" applyWidthHeightFormats="0">
  <queryTableRefresh nextId="26">
    <queryTableFields count="25">
      <queryTableField id="1" name="PROJECT NAME" tableColumnId="1"/>
      <queryTableField id="2" name="AWARDED" tableColumnId="2"/>
      <queryTableField id="3" name="BRAND" tableColumnId="3"/>
      <queryTableField id="4" name="PRODUCT" tableColumnId="4"/>
      <queryTableField id="5" name="AGENCY" tableColumnId="5"/>
      <queryTableField id="6" name="CAMPAIGN" tableColumnId="6"/>
      <queryTableField id="7" name="VENDOR" tableColumnId="7"/>
      <queryTableField id="8" name="PHASE" tableColumnId="8"/>
      <queryTableField id="9" name="SUBMISSION" tableColumnId="9"/>
      <queryTableField id="10" name="BID NAME" tableColumnId="10"/>
      <queryTableField id="11" name="BIDFILE TYPE" tableColumnId="11"/>
      <queryTableField id="12" name="BID TOTAL" tableColumnId="12"/>
      <queryTableField id="13" name="BID TYPE" tableColumnId="13"/>
      <queryTableField id="14" name="AVERAGE BID" tableColumnId="14"/>
      <queryTableField id="15" name="DIVERSITY:: WOMAN DIRECTOR" tableColumnId="15"/>
      <queryTableField id="16" name="DIVERSITY:: MIINORITY DIRECTOR" tableColumnId="16"/>
      <queryTableField id="17" name="DIVERSITY:: WOMAN EDITOR" tableColumnId="17"/>
      <queryTableField id="18" name="DIVERSITY:: MIINORITY EDITOR" tableColumnId="18"/>
      <queryTableField id="19" name="DIVERSITY:: WOMAN OWNED" tableColumnId="19"/>
      <queryTableField id="20" name="DIVERSITY:: MINORITY OWNED" tableColumnId="20"/>
      <queryTableField id="21" name="Women Work Pitched" tableColumnId="21"/>
      <queryTableField id="22" name="Women Work Awarded" tableColumnId="22"/>
      <queryTableField id="23" name="AvgBidPrice LUT.Average Bid Price" tableColumnId="23"/>
      <queryTableField id="24" name="Total Award" tableColumnId="24"/>
      <queryTableField id="25" name="All Awarded" tableColumnId="2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774D2E0D-2E63-4BA1-BB15-539DFD1B673E}" autoFormatId="16" applyNumberFormats="0" applyBorderFormats="0" applyFontFormats="0" applyPatternFormats="0" applyAlignmentFormats="0" applyWidthHeightFormats="0">
  <queryTableRefresh nextId="76">
    <queryTableFields count="75">
      <queryTableField id="1" name="PROJECT ID" tableColumnId="1"/>
      <queryTableField id="2" name="ORIGINAL SUBMISSION DATE" tableColumnId="2"/>
      <queryTableField id="3" name="PROJECT NAME" tableColumnId="3"/>
      <queryTableField id="4" name="WORKSPACE" tableColumnId="4"/>
      <queryTableField id="5" name="PROJECT GROUP" tableColumnId="5"/>
      <queryTableField id="6" name="AWARDED" tableColumnId="6"/>
      <queryTableField id="7" name="BRAND" tableColumnId="7"/>
      <queryTableField id="8" name="PRODUCT" tableColumnId="8"/>
      <queryTableField id="9" name="AGENCY" tableColumnId="9"/>
      <queryTableField id="10" name="CAMPAIGN" tableColumnId="10"/>
      <queryTableField id="11" name="VENDOR" tableColumnId="11"/>
      <queryTableField id="12" name="PHASE" tableColumnId="12"/>
      <queryTableField id="13" name="SUBMISSION" tableColumnId="13"/>
      <queryTableField id="14" name="BID NAME" tableColumnId="14"/>
      <queryTableField id="15" name="BIDFILE TYPE" tableColumnId="15"/>
      <queryTableField id="16" name="BID TOTAL" tableColumnId="16"/>
      <queryTableField id="17" name="BID TYPE" tableColumnId="17"/>
      <queryTableField id="18" name="AVERAGE BID" tableColumnId="18"/>
      <queryTableField id="19" name="DIVERSITY:: WOMAN DIRECTOR" tableColumnId="19"/>
      <queryTableField id="20" name="DIVERSITY:: MIINORITY DIRECTOR" tableColumnId="20"/>
      <queryTableField id="21" name="DIVERSITY:: WOMAN EDITOR" tableColumnId="21"/>
      <queryTableField id="22" name="DIVERSITY:: MIINORITY EDITOR" tableColumnId="22"/>
      <queryTableField id="23" name="DIVERSITY:: WOMAN OWNED" tableColumnId="23"/>
      <queryTableField id="24" name="DIVERSITY:: MINORITY OWNED" tableColumnId="24"/>
      <queryTableField id="25" name="SPEND:: ANIMATION" tableColumnId="25"/>
      <queryTableField id="26" name="SPEND:: ART DEPARTMENT LABOR" tableColumnId="26"/>
      <queryTableField id="27" name="SPEND:: ART DEPARTMENT MATERIALS" tableColumnId="27"/>
      <queryTableField id="28" name="SPEND:: AUDIO POST" tableColumnId="28"/>
      <queryTableField id="29" name="SPEND:: BEHIND THE SCENES" tableColumnId="29"/>
      <queryTableField id="30" name="SPEND:: CATERING / CRAFT SERVICE" tableColumnId="30"/>
      <queryTableField id="31" name="SPEND:: COLOR GRADING" tableColumnId="31"/>
      <queryTableField id="32" name="SPEND:: COVID LABOR" tableColumnId="32"/>
      <queryTableField id="33" name="SPEND:: CUSTOM" tableColumnId="33"/>
      <queryTableField id="34" name="SPEND:: DESIGN" tableColumnId="34"/>
      <queryTableField id="35" name="SPEND:: DIRECTOR/ CREATIVE FEES" tableColumnId="35"/>
      <queryTableField id="36" name="SPEND:: DO NOT USE" tableColumnId="36"/>
      <queryTableField id="37" name="SPEND:: EDITORIAL GRAPHICS" tableColumnId="37"/>
      <queryTableField id="38" name="SPEND:: EDITORIAL LABOR" tableColumnId="38"/>
      <queryTableField id="39" name="SPEND:: EDITORIAL MISC" tableColumnId="39"/>
      <queryTableField id="40" name="SPEND:: EDITORIAL OFFLINE" tableColumnId="40"/>
      <queryTableField id="41" name="SPEND:: EDITORIAL PREP" tableColumnId="41"/>
      <queryTableField id="42" name="SPEND:: EQUIPMENT COSTS" tableColumnId="42"/>
      <queryTableField id="43" name="SPEND:: EXPENDABLES" tableColumnId="43"/>
      <queryTableField id="44" name="SPEND:: FILM STOCK &amp; DIGITAL MEDIA" tableColumnId="44"/>
      <queryTableField id="45" name="SPEND:: FINISHING" tableColumnId="45"/>
      <queryTableField id="46" name="SPEND:: FOREIGN PRODUCTION SERVICES" tableColumnId="46"/>
      <queryTableField id="47" name="SPEND:: HAIR &amp; MAKEUP" tableColumnId="47"/>
      <queryTableField id="48" name="SPEND:: INTERACTIVE" tableColumnId="48"/>
      <queryTableField id="49" name="SPEND:: LOCATION &amp; TRAVEL EXPENSES" tableColumnId="49"/>
      <queryTableField id="50" name="SPEND:: MEALS" tableColumnId="50"/>
      <queryTableField id="51" name="SPEND:: MISCELLANEOUS" tableColumnId="51"/>
      <queryTableField id="52" name="SPEND:: MUSIC" tableColumnId="52"/>
      <queryTableField id="53" name="SPEND:: OTHER LABOR" tableColumnId="53"/>
      <queryTableField id="54" name="SPEND:: PHOTO RETOUCHING" tableColumnId="54"/>
      <queryTableField id="55" name="SPEND:: PRE-PRODUCTION EXPENSES" tableColumnId="55"/>
      <queryTableField id="56" name="SPEND:: PRE-PRODUCTION LABOR" tableColumnId="56"/>
      <queryTableField id="57" name="SPEND:: PRODUCTION COVID 19 COSTS" tableColumnId="57"/>
      <queryTableField id="58" name="SPEND:: PRODUCTION STAFF" tableColumnId="58"/>
      <queryTableField id="59" name="SPEND:: PRODUCTION SUSTAINABILITY" tableColumnId="59"/>
      <queryTableField id="60" name="SPEND:: PROPS, WARDROBE, ANIMALS" tableColumnId="60"/>
      <queryTableField id="61" name="SPEND:: SHOOTING CREW LABOR" tableColumnId="61"/>
      <queryTableField id="62" name="SPEND:: SOCIAL MEDIA" tableColumnId="62"/>
      <queryTableField id="63" name="SPEND:: SPECIAL INSURANCE" tableColumnId="63"/>
      <queryTableField id="64" name="SPEND:: STILL PHOTOGRAPHER FEES" tableColumnId="64"/>
      <queryTableField id="65" name="SPEND:: STILL PHOTOGRAPHY PRODUCTION" tableColumnId="65"/>
      <queryTableField id="66" name="SPEND:: STILLS POST PRODUCTION" tableColumnId="66"/>
      <queryTableField id="67" name="SPEND:: STUDIO &amp; LOCATIONS COMBINED" tableColumnId="67"/>
      <queryTableField id="68" name="SPEND:: STUDIO RENTAL &amp; STAGE EXPENSES" tableColumnId="68"/>
      <queryTableField id="69" name="SPEND:: TALENT" tableColumnId="69"/>
      <queryTableField id="70" name="SPEND:: TALENT EXPENSES" tableColumnId="70"/>
      <queryTableField id="71" name="SPEND:: VFX" tableColumnId="71"/>
      <queryTableField id="72" name="SPEND:: WARDROBE" tableColumnId="72"/>
      <queryTableField id="73" name="Women Work Pitched" tableColumnId="73"/>
      <queryTableField id="74" name="Women Work Awarded" tableColumnId="74"/>
      <queryTableField id="75" name="AvgBidPrice LUT.Average Bid Price" tableColumnId="7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4" xr16:uid="{48FF2137-C837-4302-A092-79AEB725ED8E}" autoFormatId="16" applyNumberFormats="0" applyBorderFormats="0" applyFontFormats="0" applyPatternFormats="0" applyAlignmentFormats="0" applyWidthHeightFormats="0">
  <queryTableRefresh nextId="74">
    <queryTableFields count="4">
      <queryTableField id="1" name="PROJECT ID" tableColumnId="1"/>
      <queryTableField id="3" name="PROJECT NAME" tableColumnId="3"/>
      <queryTableField id="12" name="PHASE" tableColumnId="12"/>
      <queryTableField id="73" name="Average Bid Price" tableColumnId="7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0" xr16:uid="{7E99D916-9DFA-4650-B97A-28C99BF77E82}" autoFormatId="16" applyNumberFormats="0" applyBorderFormats="0" applyFontFormats="0" applyPatternFormats="0" applyAlignmentFormats="0" applyWidthHeightFormats="0">
  <queryTableRefresh nextId="49">
    <queryTableFields count="48">
      <queryTableField id="1" name="AWARDED" tableColumnId="1"/>
      <queryTableField id="2" name="AGENCY" tableColumnId="2"/>
      <queryTableField id="3" name="PHASE" tableColumnId="3"/>
      <queryTableField id="4" name="BID TOTAL" tableColumnId="4"/>
      <queryTableField id="5" name="SPEND:: ANIMATION" tableColumnId="5"/>
      <queryTableField id="6" name="SPEND:: ART DEPARTMENT LABOR" tableColumnId="6"/>
      <queryTableField id="7" name="SPEND:: ART DEPARTMENT MATERIALS" tableColumnId="7"/>
      <queryTableField id="8" name="SPEND:: AUDIO POST" tableColumnId="8"/>
      <queryTableField id="9" name="SPEND:: CATERING / CRAFT SERVICE" tableColumnId="9"/>
      <queryTableField id="10" name="SPEND:: COLOR GRADING" tableColumnId="10"/>
      <queryTableField id="11" name="SPEND:: COVID LABOR" tableColumnId="11"/>
      <queryTableField id="12" name="SPEND:: DESIGN" tableColumnId="12"/>
      <queryTableField id="13" name="SPEND:: DIRECTOR/ CREATIVE FEES" tableColumnId="13"/>
      <queryTableField id="14" name="SPEND:: EDITORIAL GRAPHICS" tableColumnId="14"/>
      <queryTableField id="15" name="SPEND:: EDITORIAL LABOR" tableColumnId="15"/>
      <queryTableField id="16" name="SPEND:: EDITORIAL MISC" tableColumnId="16"/>
      <queryTableField id="17" name="SPEND:: EDITORIAL OFFLINE" tableColumnId="17"/>
      <queryTableField id="18" name="SPEND:: EDITORIAL PREP" tableColumnId="18"/>
      <queryTableField id="19" name="SPEND:: EQUIPMENT COSTS" tableColumnId="19"/>
      <queryTableField id="20" name="SPEND:: EXPENDABLES" tableColumnId="20"/>
      <queryTableField id="21" name="SPEND:: FILM STOCK &amp; DIGITAL MEDIA" tableColumnId="21"/>
      <queryTableField id="22" name="SPEND:: FINISHING" tableColumnId="22"/>
      <queryTableField id="23" name="SPEND:: FOREIGN PRODUCTION SERVICES" tableColumnId="23"/>
      <queryTableField id="24" name="SPEND:: HAIR &amp; MAKEUP" tableColumnId="24"/>
      <queryTableField id="25" name="SPEND:: INTERACTIVE" tableColumnId="25"/>
      <queryTableField id="26" name="SPEND:: LOCATION &amp; TRAVEL EXPENSES" tableColumnId="26"/>
      <queryTableField id="27" name="SPEND:: MEALS" tableColumnId="27"/>
      <queryTableField id="28" name="SPEND:: MISCELLANEOUS" tableColumnId="28"/>
      <queryTableField id="29" name="SPEND:: MUSIC" tableColumnId="29"/>
      <queryTableField id="30" name="SPEND:: PRE-PRODUCTION EXPENSES" tableColumnId="30"/>
      <queryTableField id="31" name="SPEND:: PRE-PRODUCTION LABOR" tableColumnId="31"/>
      <queryTableField id="32" name="SPEND:: PRODUCTION COVID 19 COSTS" tableColumnId="32"/>
      <queryTableField id="33" name="SPEND:: PRODUCTION STAFF" tableColumnId="33"/>
      <queryTableField id="34" name="SPEND:: PRODUCTION SUSTAINABILITY" tableColumnId="34"/>
      <queryTableField id="35" name="SPEND:: PROPS, WARDROBE, ANIMALS" tableColumnId="35"/>
      <queryTableField id="36" name="SPEND:: SHOOTING CREW LABOR" tableColumnId="36"/>
      <queryTableField id="37" name="SPEND:: SOCIAL MEDIA" tableColumnId="37"/>
      <queryTableField id="38" name="SPEND:: SPECIAL INSURANCE" tableColumnId="38"/>
      <queryTableField id="39" name="SPEND:: STILL PHOTOGRAPHER FEES" tableColumnId="39"/>
      <queryTableField id="40" name="SPEND:: STILL PHOTOGRAPHY PRODUCTION" tableColumnId="40"/>
      <queryTableField id="41" name="SPEND:: STILLS POST PRODUCTION" tableColumnId="41"/>
      <queryTableField id="42" name="SPEND:: STUDIO &amp; LOCATIONS COMBINED" tableColumnId="42"/>
      <queryTableField id="43" name="SPEND:: STUDIO RENTAL &amp; STAGE EXPENSES" tableColumnId="43"/>
      <queryTableField id="44" name="SPEND:: TALENT" tableColumnId="44"/>
      <queryTableField id="45" name="SPEND:: TALENT EXPENSES" tableColumnId="45"/>
      <queryTableField id="46" name="SPEND:: VFX" tableColumnId="46"/>
      <queryTableField id="47" name="SPEND:: WARDROBE" tableColumnId="47"/>
      <queryTableField id="48" name="AvgBidPrice LUT.Average Bid Price" tableColumnId="4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C8D16A-8D1E-41D4-A0F4-AFF5EE90AC2B}" autoFormatId="16" applyNumberFormats="0" applyBorderFormats="0" applyFontFormats="0" applyPatternFormats="0" applyAlignmentFormats="0" applyWidthHeightFormats="0">
  <queryTableRefresh nextId="25">
    <queryTableFields count="21">
      <queryTableField id="1" name="PROJECT ID" tableColumnId="1"/>
      <queryTableField id="2" name="PROJECT NAME" tableColumnId="2"/>
      <queryTableField id="3" name="AWARDED" tableColumnId="3"/>
      <queryTableField id="4" name="AGENCY" tableColumnId="4"/>
      <queryTableField id="5" name="VENDOR" tableColumnId="5"/>
      <queryTableField id="6" name="PHASE" tableColumnId="6"/>
      <queryTableField id="7" name="BID TOTAL" tableColumnId="7"/>
      <queryTableField id="8" name="AVERAGE BID" tableColumnId="8"/>
      <queryTableField id="9" name="DIVERSITY:: WOMAN DIRECTOR" tableColumnId="9"/>
      <queryTableField id="10" name="DIVERSITY:: MIINORITY DIRECTOR" tableColumnId="10"/>
      <queryTableField id="11" name="DIVERSITY:: WOMAN EDITOR" tableColumnId="11"/>
      <queryTableField id="12" name="DIVERSITY:: MIINORITY EDITOR" tableColumnId="12"/>
      <queryTableField id="13" name="DIVERSITY:: WOMAN OWNED" tableColumnId="13"/>
      <queryTableField id="14" name="DIVERSITY:: MINORITY OWNED" tableColumnId="14"/>
      <queryTableField id="15" name="Women Work Pitched" tableColumnId="15"/>
      <queryTableField id="16" name="Women Work Awarded" tableColumnId="16"/>
      <queryTableField id="17" name="AvgBidPrice LUT.Average Bid Price" tableColumnId="17"/>
      <queryTableField id="23" name="AVG ADJUSTED" tableColumnId="23"/>
      <queryTableField id="20" name="Awarded Total" tableColumnId="20"/>
      <queryTableField id="21" name="Variance" tableColumnId="21"/>
      <queryTableField id="22" name="Variance Perc" tableColumnId="22"/>
    </queryTableFields>
  </queryTableRefresh>
  <extLst>
    <ext xmlns:x15="http://schemas.microsoft.com/office/spreadsheetml/2010/11/main" uri="{883FBD77-0823-4a55-B5E3-86C4891E6966}">
      <x15:queryTable sourceDataName="Query - AgencyGrid Awarded"/>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CY" xr10:uid="{3022BBC8-8520-4265-95DA-8A75B4F7603A}" sourceName="AGENCY">
  <pivotTables>
    <pivotTable tabId="16" name="PivotTable4"/>
  </pivotTables>
  <data>
    <tabular pivotCacheId="2146977552">
      <items count="7">
        <i x="0" s="1"/>
        <i x="4" s="1"/>
        <i x="6" s="1"/>
        <i x="5"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231FFCA5-5F5E-4B7E-9E4F-27E75351C0B1}" sourceName="PROJECT NAME">
  <pivotTables>
    <pivotTable tabId="16" name="PivotTable4"/>
  </pivotTables>
  <data>
    <tabular pivotCacheId="2146977552">
      <items count="31">
        <i x="5" s="1"/>
        <i x="21" s="1"/>
        <i x="14" s="1"/>
        <i x="30" s="1"/>
        <i x="26" s="1"/>
        <i x="0" s="1"/>
        <i x="9" s="1"/>
        <i x="19"/>
        <i x="12"/>
        <i x="11"/>
        <i x="13"/>
        <i x="24"/>
        <i x="29"/>
        <i x="25"/>
        <i x="20"/>
        <i x="28"/>
        <i x="3"/>
        <i x="23"/>
        <i x="17"/>
        <i x="27"/>
        <i x="22"/>
        <i x="15"/>
        <i x="1"/>
        <i x="6"/>
        <i x="4"/>
        <i x="18" s="1"/>
        <i x="10"/>
        <i x="16"/>
        <i x="8"/>
        <i x="2"/>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CY" xr10:uid="{099C9FDF-9CD4-44C9-A385-5F913C8C3756}" cache="Slicer_AGENCY" caption="AGENCY" rowHeight="241300"/>
  <slicer name="PROJECT NAME" xr10:uid="{885A5719-A22B-4BA4-B064-524488BADD7C}" cache="Slicer_PROJECT_NAME" caption="PROJECT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1A4899-9FC5-41C5-AD58-A2D98E8E1A39}" name="For_SanKey_Base" displayName="For_SanKey_Base" ref="A1:W553" tableType="queryTable" totalsRowShown="0">
  <autoFilter ref="A1:W553" xr:uid="{171A4899-9FC5-41C5-AD58-A2D98E8E1A39}"/>
  <tableColumns count="23">
    <tableColumn id="1" xr3:uid="{8786B8C0-3A5D-4615-833C-FB4299C922CA}" uniqueName="1" name="PROJECT NAME" queryTableFieldId="1" dataDxfId="91"/>
    <tableColumn id="2" xr3:uid="{B1587FFB-437B-45A5-896E-5FC6E0D8C52E}" uniqueName="2" name="AWARDED" queryTableFieldId="2"/>
    <tableColumn id="3" xr3:uid="{75ADBCC7-F12E-4D1C-8625-B9500D8F8DE3}" uniqueName="3" name="BRAND" queryTableFieldId="3" dataDxfId="90"/>
    <tableColumn id="4" xr3:uid="{20483444-BCEA-49A8-898B-E558BA946C5D}" uniqueName="4" name="PRODUCT" queryTableFieldId="4" dataDxfId="89"/>
    <tableColumn id="5" xr3:uid="{02C1E205-9339-4C89-ACB1-55EEFDAE7FBE}" uniqueName="5" name="AGENCY" queryTableFieldId="5" dataDxfId="88"/>
    <tableColumn id="6" xr3:uid="{6263EAD1-1702-4C30-BA85-D4BCD064EAE1}" uniqueName="6" name="CAMPAIGN" queryTableFieldId="6" dataDxfId="87"/>
    <tableColumn id="7" xr3:uid="{5F4D1893-75AC-4407-8B76-8A3051368E3F}" uniqueName="7" name="VENDOR" queryTableFieldId="7" dataDxfId="86"/>
    <tableColumn id="8" xr3:uid="{81293433-C612-42F4-BDBA-FE72D8083E1A}" uniqueName="8" name="PHASE" queryTableFieldId="8" dataDxfId="85"/>
    <tableColumn id="9" xr3:uid="{FD35D45E-907D-4153-9B71-B9759B0E5EA3}" uniqueName="9" name="SUBMISSION" queryTableFieldId="9" dataDxfId="84"/>
    <tableColumn id="10" xr3:uid="{02FC15B3-CCCC-4DA6-88F4-392120073E8C}" uniqueName="10" name="BID NAME" queryTableFieldId="10" dataDxfId="83"/>
    <tableColumn id="11" xr3:uid="{8D44A53D-5F95-40AB-A523-CD0277C711B8}" uniqueName="11" name="BIDFILE TYPE" queryTableFieldId="11" dataDxfId="82"/>
    <tableColumn id="12" xr3:uid="{0BFE5B4A-FE2A-478B-947D-119B22A5315A}" uniqueName="12" name="BID TOTAL" queryTableFieldId="12"/>
    <tableColumn id="13" xr3:uid="{179FE721-B41A-4F02-B036-BF170B3547FC}" uniqueName="13" name="BID TYPE" queryTableFieldId="13" dataDxfId="81"/>
    <tableColumn id="14" xr3:uid="{A482EBA0-FCF5-45DB-BA0A-BD7C3BE77742}" uniqueName="14" name="AVERAGE BID" queryTableFieldId="14"/>
    <tableColumn id="15" xr3:uid="{E44A3621-4C03-4A8F-99F4-4A0A2CD9E364}" uniqueName="15" name="DIVERSITY:: WOMAN DIRECTOR" queryTableFieldId="15"/>
    <tableColumn id="16" xr3:uid="{6AFC9504-C6A6-4AE9-90EC-3FB4EBD973D5}" uniqueName="16" name="DIVERSITY:: MIINORITY DIRECTOR" queryTableFieldId="16"/>
    <tableColumn id="17" xr3:uid="{B908E88A-1077-4A41-A41D-9EB08EC5871C}" uniqueName="17" name="DIVERSITY:: WOMAN EDITOR" queryTableFieldId="17"/>
    <tableColumn id="18" xr3:uid="{23EDCAB9-92A2-41E1-BD9C-16202238C168}" uniqueName="18" name="DIVERSITY:: MIINORITY EDITOR" queryTableFieldId="18"/>
    <tableColumn id="19" xr3:uid="{30F2899A-2308-47FA-9679-F255D10BC552}" uniqueName="19" name="DIVERSITY:: WOMAN OWNED" queryTableFieldId="19"/>
    <tableColumn id="20" xr3:uid="{85A8BF4F-3D68-4C69-920D-9564C81B01C5}" uniqueName="20" name="DIVERSITY:: MINORITY OWNED" queryTableFieldId="20"/>
    <tableColumn id="21" xr3:uid="{707863B7-3200-40B0-ACF0-92624C637640}" uniqueName="21" name="Women Work Pitched" queryTableFieldId="21"/>
    <tableColumn id="22" xr3:uid="{8D2CAF45-9BD8-4172-8B95-E062C7690CA4}" uniqueName="22" name="Women Work Awarded" queryTableFieldId="22"/>
    <tableColumn id="23" xr3:uid="{4C8A708E-8B9F-486B-BB5C-AEFB93918D40}" uniqueName="23" name="AvgBidPrice LUT.Average Bid Price" queryTableField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8C1E14-DD7E-4C4B-8E50-F16D16FBA01D}" name="Wmoen_Creatives" displayName="Wmoen_Creatives" ref="A1:D115" tableType="queryTable" totalsRowShown="0">
  <autoFilter ref="A1:D115" xr:uid="{608C1E14-DD7E-4C4B-8E50-F16D16FBA01D}"/>
  <tableColumns count="4">
    <tableColumn id="3" xr3:uid="{0956E96C-49BF-480B-B624-2C3174CAA90A}" uniqueName="3" name="PHASE" queryTableFieldId="3" dataDxfId="80"/>
    <tableColumn id="12" xr3:uid="{17EBD71B-7652-4553-98CB-ADA91C10F1E3}" uniqueName="12" name="Awarded to Women" queryTableFieldId="12"/>
    <tableColumn id="15" xr3:uid="{75D31E20-6F36-4BD6-ADFD-1917BEFD10BE}" uniqueName="15" name="UnAwarded Women" queryTableFieldId="15"/>
    <tableColumn id="14" xr3:uid="{729B875E-9EE8-4D2E-9BF3-39E87FCC0643}" uniqueName="14" name="PhaseTOtal"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9083B8-25FF-422E-A2BB-4EE4182734AD}" name="RevWomCreat" displayName="RevWomCreat" ref="A1:Y553" tableType="queryTable" totalsRowShown="0">
  <autoFilter ref="A1:Y553" xr:uid="{959083B8-25FF-422E-A2BB-4EE4182734AD}"/>
  <tableColumns count="25">
    <tableColumn id="1" xr3:uid="{581C8FE0-91C7-4978-8C90-6B37FCEE97A5}" uniqueName="1" name="PROJECT NAME" queryTableFieldId="1" dataDxfId="79"/>
    <tableColumn id="2" xr3:uid="{D700F60D-3B8D-4D66-860F-95A934F2D88D}" uniqueName="2" name="AWARDED" queryTableFieldId="2"/>
    <tableColumn id="3" xr3:uid="{8E2CE1A4-FB89-49DA-990B-4940CC4B58E1}" uniqueName="3" name="BRAND" queryTableFieldId="3" dataDxfId="78"/>
    <tableColumn id="4" xr3:uid="{D242DB84-16BF-4C86-90F7-CB37C5260A83}" uniqueName="4" name="PRODUCT" queryTableFieldId="4" dataDxfId="77"/>
    <tableColumn id="5" xr3:uid="{CEE28AEE-9BFD-4ECF-8B27-086E5E0036C7}" uniqueName="5" name="AGENCY" queryTableFieldId="5" dataDxfId="76"/>
    <tableColumn id="6" xr3:uid="{E85EAA90-A8EB-436D-901A-747880B4650C}" uniqueName="6" name="CAMPAIGN" queryTableFieldId="6" dataDxfId="75"/>
    <tableColumn id="7" xr3:uid="{AEEC36D4-B6F6-4832-9F55-A7C45F1E5ACA}" uniqueName="7" name="VENDOR" queryTableFieldId="7" dataDxfId="74"/>
    <tableColumn id="8" xr3:uid="{745248C5-3041-4897-AFA2-D38042D5B332}" uniqueName="8" name="PHASE" queryTableFieldId="8" dataDxfId="73"/>
    <tableColumn id="9" xr3:uid="{5322B85F-EE44-430E-9838-4E3B7BE570AE}" uniqueName="9" name="SUBMISSION" queryTableFieldId="9" dataDxfId="72"/>
    <tableColumn id="10" xr3:uid="{893FD57F-8585-4165-996C-CBD0D5A98A97}" uniqueName="10" name="BID NAME" queryTableFieldId="10" dataDxfId="71"/>
    <tableColumn id="11" xr3:uid="{71C429D4-1266-44C1-B4E8-ED62DD86DCF3}" uniqueName="11" name="BIDFILE TYPE" queryTableFieldId="11" dataDxfId="70"/>
    <tableColumn id="12" xr3:uid="{2DA16FE9-1F42-42D9-8215-3AD2F99A4DBB}" uniqueName="12" name="BID TOTAL" queryTableFieldId="12"/>
    <tableColumn id="13" xr3:uid="{2370A993-2451-45CF-8125-833CDCC77C7F}" uniqueName="13" name="BID TYPE" queryTableFieldId="13" dataDxfId="69"/>
    <tableColumn id="14" xr3:uid="{1E7E538F-9893-49E0-B5F9-4E560C429B3A}" uniqueName="14" name="AVERAGE BID" queryTableFieldId="14"/>
    <tableColumn id="15" xr3:uid="{21EBAF42-541B-42AD-90DF-AC382FD0722B}" uniqueName="15" name="DIVERSITY:: WOMAN DIRECTOR" queryTableFieldId="15"/>
    <tableColumn id="16" xr3:uid="{4696808F-D15C-4E6E-B046-F7B464C18223}" uniqueName="16" name="DIVERSITY:: MIINORITY DIRECTOR" queryTableFieldId="16"/>
    <tableColumn id="17" xr3:uid="{7110AECB-D82B-41DB-A2C4-F8D76A096A6F}" uniqueName="17" name="DIVERSITY:: WOMAN EDITOR" queryTableFieldId="17"/>
    <tableColumn id="18" xr3:uid="{50848E33-6916-42D9-9F11-5FCFBCC2D818}" uniqueName="18" name="DIVERSITY:: MIINORITY EDITOR" queryTableFieldId="18"/>
    <tableColumn id="19" xr3:uid="{A46EB5FD-69B3-41EF-B6DA-99D0D81BC4DF}" uniqueName="19" name="DIVERSITY:: WOMAN OWNED" queryTableFieldId="19"/>
    <tableColumn id="20" xr3:uid="{CC877CF0-2BA0-455D-9038-5A2DB2D1B312}" uniqueName="20" name="DIVERSITY:: MINORITY OWNED" queryTableFieldId="20"/>
    <tableColumn id="21" xr3:uid="{5DC053A6-32AA-4D21-99F3-2B531D9DFB55}" uniqueName="21" name="Women Work Pitched" queryTableFieldId="21"/>
    <tableColumn id="22" xr3:uid="{6166EC8B-BFE2-41E5-92F2-D38D8886060E}" uniqueName="22" name="Women Work Awarded" queryTableFieldId="22"/>
    <tableColumn id="23" xr3:uid="{5E9ED750-75DC-44A2-B8A1-6A9DFE74DCFA}" uniqueName="23" name="AvgBidPrice LUT.Average Bid Price" queryTableFieldId="23"/>
    <tableColumn id="24" xr3:uid="{737EF917-F143-482C-B6FD-77207FEEA5A1}" uniqueName="24" name="Total Award" queryTableFieldId="24"/>
    <tableColumn id="25" xr3:uid="{912EEC48-6464-462F-8D25-A03A7F088B77}" uniqueName="25" name="All Awarded"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227F27-465E-4130-AB34-8544E3D0CCE6}" name="RevWomCreat_" displayName="RevWomCreat_" ref="A1:Y553" tableType="queryTable" totalsRowShown="0">
  <autoFilter ref="A1:Y553" xr:uid="{F3227F27-465E-4130-AB34-8544E3D0CCE6}"/>
  <tableColumns count="25">
    <tableColumn id="1" xr3:uid="{F2D44E1C-B579-4344-9F8A-1D33E8503B1F}" uniqueName="1" name="PROJECT NAME" queryTableFieldId="1" dataDxfId="68"/>
    <tableColumn id="2" xr3:uid="{38B90D17-5885-4247-8702-EF6F2A799C06}" uniqueName="2" name="AWARDED" queryTableFieldId="2"/>
    <tableColumn id="3" xr3:uid="{9BCB6B71-3DB7-4182-BBEF-2957406F7652}" uniqueName="3" name="BRAND" queryTableFieldId="3" dataDxfId="67"/>
    <tableColumn id="4" xr3:uid="{15066EF8-7F9E-423B-8CBF-A7B25AC9E1FD}" uniqueName="4" name="PRODUCT" queryTableFieldId="4" dataDxfId="66"/>
    <tableColumn id="5" xr3:uid="{9E3C0C65-5E8E-419B-A201-ABF8F458E68D}" uniqueName="5" name="AGENCY" queryTableFieldId="5" dataDxfId="65"/>
    <tableColumn id="6" xr3:uid="{7A40C1D1-B9E4-4E75-93C9-A60285F910C9}" uniqueName="6" name="CAMPAIGN" queryTableFieldId="6" dataDxfId="64"/>
    <tableColumn id="7" xr3:uid="{C929F4A5-B913-4528-BD1D-A4813DFE16B0}" uniqueName="7" name="VENDOR" queryTableFieldId="7" dataDxfId="63"/>
    <tableColumn id="8" xr3:uid="{05223C84-21A2-4668-8E02-C8267824F6F4}" uniqueName="8" name="PHASE" queryTableFieldId="8" dataDxfId="62"/>
    <tableColumn id="9" xr3:uid="{2CC1ED42-B8E2-4DCA-A60A-D730BFAA1B82}" uniqueName="9" name="SUBMISSION" queryTableFieldId="9" dataDxfId="61"/>
    <tableColumn id="10" xr3:uid="{7A6756EE-7303-4251-B6CB-C29DA55DB9AE}" uniqueName="10" name="BID NAME" queryTableFieldId="10" dataDxfId="60"/>
    <tableColumn id="11" xr3:uid="{B0F18B8A-E591-4156-AFF3-CDEAAB5507E1}" uniqueName="11" name="BIDFILE TYPE" queryTableFieldId="11" dataDxfId="59"/>
    <tableColumn id="12" xr3:uid="{2EE08946-467C-4B9E-B882-3F52870543F7}" uniqueName="12" name="BID TOTAL" queryTableFieldId="12"/>
    <tableColumn id="13" xr3:uid="{396966C1-93B1-4097-B35B-2FCEE21DB376}" uniqueName="13" name="BID TYPE" queryTableFieldId="13" dataDxfId="58"/>
    <tableColumn id="14" xr3:uid="{CDFF1ED0-85DD-4030-8500-7F66A4280A76}" uniqueName="14" name="AVERAGE BID" queryTableFieldId="14"/>
    <tableColumn id="15" xr3:uid="{E92F42FB-AC28-4591-8504-97A62B45BD3C}" uniqueName="15" name="DIVERSITY:: WOMAN DIRECTOR" queryTableFieldId="15"/>
    <tableColumn id="16" xr3:uid="{C95F93B2-7EAB-40D4-BAD1-156CE4457586}" uniqueName="16" name="DIVERSITY:: MIINORITY DIRECTOR" queryTableFieldId="16"/>
    <tableColumn id="17" xr3:uid="{CA5295F1-961C-442B-AB46-A4518A85FD2C}" uniqueName="17" name="DIVERSITY:: WOMAN EDITOR" queryTableFieldId="17"/>
    <tableColumn id="18" xr3:uid="{F6905216-BB17-4278-9EE6-4BBF94A51089}" uniqueName="18" name="DIVERSITY:: MIINORITY EDITOR" queryTableFieldId="18"/>
    <tableColumn id="19" xr3:uid="{A7F69040-1E74-4BE6-92B9-A90FA8608F20}" uniqueName="19" name="DIVERSITY:: WOMAN OWNED" queryTableFieldId="19"/>
    <tableColumn id="20" xr3:uid="{92282A03-7804-4D21-81F9-EF1AB0ADB245}" uniqueName="20" name="DIVERSITY:: MINORITY OWNED" queryTableFieldId="20"/>
    <tableColumn id="21" xr3:uid="{9534AF87-29A8-45BF-ADA5-A6F87BEE6316}" uniqueName="21" name="Women Work Pitched" queryTableFieldId="21"/>
    <tableColumn id="22" xr3:uid="{51F3843C-C259-4C2C-8EA7-3C3AA67F27CF}" uniqueName="22" name="Women Work Awarded" queryTableFieldId="22"/>
    <tableColumn id="23" xr3:uid="{B6B613F6-E19A-4BE3-954E-02388E8F9E40}" uniqueName="23" name="AvgBidPrice LUT.Average Bid Price" queryTableFieldId="23"/>
    <tableColumn id="24" xr3:uid="{22E934A6-7984-40E6-BCC9-8518F9603AA2}" uniqueName="24" name="Total Award" queryTableFieldId="24"/>
    <tableColumn id="25" xr3:uid="{284469CC-75EC-45AE-9D8E-5AC88E279E73}" uniqueName="25" name="All Awarded" queryTableField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26323-1FC8-4BF9-9EEF-198B47653A46}" name="BeverageData" displayName="BeverageData" ref="A1:BW553" tableType="queryTable" totalsRowShown="0">
  <autoFilter ref="A1:BW553" xr:uid="{99226323-1FC8-4BF9-9EEF-198B47653A46}"/>
  <tableColumns count="75">
    <tableColumn id="1" xr3:uid="{241E7FB5-4F38-4E56-9FF3-AAF99737F12C}" uniqueName="1" name="PROJECT ID" queryTableFieldId="1"/>
    <tableColumn id="2" xr3:uid="{DEB3AA97-17C1-40A4-B3CC-023C06A9EFB4}" uniqueName="2" name="ORIGINAL SUBMISSION DATE" queryTableFieldId="2" dataDxfId="57"/>
    <tableColumn id="3" xr3:uid="{C1F4524D-B685-4F73-87E5-BA4607829998}" uniqueName="3" name="PROJECT NAME" queryTableFieldId="3" dataDxfId="56"/>
    <tableColumn id="4" xr3:uid="{D9818C50-A911-4709-9193-74F3E84106BE}" uniqueName="4" name="WORKSPACE" queryTableFieldId="4" dataDxfId="55"/>
    <tableColumn id="5" xr3:uid="{15BB74F1-F503-472F-A78E-BA31D523D18A}" uniqueName="5" name="PROJECT GROUP" queryTableFieldId="5" dataDxfId="54"/>
    <tableColumn id="6" xr3:uid="{01D38EB3-4C51-47B9-B2DF-2F83CD6E8D8F}" uniqueName="6" name="AWARDED" queryTableFieldId="6"/>
    <tableColumn id="7" xr3:uid="{ECEA2B0C-36F3-4EFE-89C5-2D05489D5824}" uniqueName="7" name="BRAND" queryTableFieldId="7" dataDxfId="53"/>
    <tableColumn id="8" xr3:uid="{35EC5851-C01F-49DE-AD89-AA2382FE90CF}" uniqueName="8" name="PRODUCT" queryTableFieldId="8" dataDxfId="52"/>
    <tableColumn id="9" xr3:uid="{231F6273-21B3-4788-AFED-C2C89E55EBAD}" uniqueName="9" name="AGENCY" queryTableFieldId="9" dataDxfId="51"/>
    <tableColumn id="10" xr3:uid="{7EC29D07-D0DE-4684-959C-BD1E07E88643}" uniqueName="10" name="CAMPAIGN" queryTableFieldId="10" dataDxfId="50"/>
    <tableColumn id="11" xr3:uid="{0A57717C-8F15-4FE4-87FC-4A7515BFD86A}" uniqueName="11" name="VENDOR" queryTableFieldId="11" dataDxfId="49"/>
    <tableColumn id="12" xr3:uid="{88820B71-5EB7-470E-AD63-817CCC955290}" uniqueName="12" name="PHASE" queryTableFieldId="12" dataDxfId="48"/>
    <tableColumn id="13" xr3:uid="{632CF5FD-3860-47B0-B146-92A14E0A4492}" uniqueName="13" name="SUBMISSION" queryTableFieldId="13" dataDxfId="47"/>
    <tableColumn id="14" xr3:uid="{ECB5CC2C-E0D9-48EF-B8B1-0FDECC7B4558}" uniqueName="14" name="BID NAME" queryTableFieldId="14" dataDxfId="46"/>
    <tableColumn id="15" xr3:uid="{93F7C662-776C-4623-8FE7-EBBEC59F6B7A}" uniqueName="15" name="BIDFILE TYPE" queryTableFieldId="15" dataDxfId="45"/>
    <tableColumn id="16" xr3:uid="{CE99ECD2-DB47-496E-85A1-1400A921A2A5}" uniqueName="16" name="BID TOTAL" queryTableFieldId="16"/>
    <tableColumn id="17" xr3:uid="{8D5A8D6F-E6A1-4447-A29D-75BD343F5938}" uniqueName="17" name="BID TYPE" queryTableFieldId="17" dataDxfId="44"/>
    <tableColumn id="18" xr3:uid="{F372AAC1-BCE4-4395-8F0B-E6B2C406F3B6}" uniqueName="18" name="AVERAGE BID" queryTableFieldId="18"/>
    <tableColumn id="19" xr3:uid="{468ED83E-2BF5-47DE-9F07-CCD91B59B836}" uniqueName="19" name="DIVERSITY:: WOMAN DIRECTOR" queryTableFieldId="19"/>
    <tableColumn id="20" xr3:uid="{B5F56D8B-9A54-44C3-8068-94367FD9DCCF}" uniqueName="20" name="DIVERSITY:: MIINORITY DIRECTOR" queryTableFieldId="20"/>
    <tableColumn id="21" xr3:uid="{ECDCE473-A979-4DAF-9405-04059002F1F2}" uniqueName="21" name="DIVERSITY:: WOMAN EDITOR" queryTableFieldId="21"/>
    <tableColumn id="22" xr3:uid="{0E3610BA-6B9C-46BE-83A7-87AB83983269}" uniqueName="22" name="DIVERSITY:: MIINORITY EDITOR" queryTableFieldId="22"/>
    <tableColumn id="23" xr3:uid="{A5FA59ED-E6A5-431C-8AA9-281C234D9166}" uniqueName="23" name="DIVERSITY:: WOMAN OWNED" queryTableFieldId="23"/>
    <tableColumn id="24" xr3:uid="{03D52CD9-8BF4-4C42-B951-22951AEA41A8}" uniqueName="24" name="DIVERSITY:: MINORITY OWNED" queryTableFieldId="24"/>
    <tableColumn id="25" xr3:uid="{AAB1F150-D94B-4FCD-9D5D-DAE2054C774B}" uniqueName="25" name="SPEND:: ANIMATION" queryTableFieldId="25"/>
    <tableColumn id="26" xr3:uid="{9EF3B60B-579A-44B4-8C4E-67AB09E04683}" uniqueName="26" name="SPEND:: ART DEPARTMENT LABOR" queryTableFieldId="26"/>
    <tableColumn id="27" xr3:uid="{7DB492EC-AF18-43D8-9EFD-89B9A8FD22A8}" uniqueName="27" name="SPEND:: ART DEPARTMENT MATERIALS" queryTableFieldId="27"/>
    <tableColumn id="28" xr3:uid="{8B062AD1-7D10-4D29-96C3-66967FAAAA2F}" uniqueName="28" name="SPEND:: AUDIO POST" queryTableFieldId="28"/>
    <tableColumn id="29" xr3:uid="{5E1B832E-11AA-4FFF-9A9B-F33C5D395361}" uniqueName="29" name="SPEND:: BEHIND THE SCENES" queryTableFieldId="29"/>
    <tableColumn id="30" xr3:uid="{68686C63-4CE4-4D4E-9CBA-21663149C580}" uniqueName="30" name="SPEND:: CATERING / CRAFT SERVICE" queryTableFieldId="30"/>
    <tableColumn id="31" xr3:uid="{B22D0620-5348-495E-A653-3616550CA6C8}" uniqueName="31" name="SPEND:: COLOR GRADING" queryTableFieldId="31" dataDxfId="43"/>
    <tableColumn id="32" xr3:uid="{D1F02FA4-EA5B-4FBC-B265-D2B6D3675B10}" uniqueName="32" name="SPEND:: COVID LABOR" queryTableFieldId="32"/>
    <tableColumn id="33" xr3:uid="{D0D185B7-4279-4327-8FE9-D56FD254C9D4}" uniqueName="33" name="SPEND:: CUSTOM" queryTableFieldId="33" dataDxfId="42"/>
    <tableColumn id="34" xr3:uid="{A82CBC02-7CDF-4B49-84ED-2B392B29DCFB}" uniqueName="34" name="SPEND:: DESIGN" queryTableFieldId="34" dataDxfId="41"/>
    <tableColumn id="35" xr3:uid="{4A25CC77-FDBC-44E7-884F-4BE0B75EC42F}" uniqueName="35" name="SPEND:: DIRECTOR/ CREATIVE FEES" queryTableFieldId="35"/>
    <tableColumn id="36" xr3:uid="{11C4B3BE-64EC-4FF3-8E22-0213AED2CAFB}" uniqueName="36" name="SPEND:: DO NOT USE" queryTableFieldId="36" dataDxfId="40"/>
    <tableColumn id="37" xr3:uid="{857A61C6-EFFB-45EF-9B81-90E0FBFF20C8}" uniqueName="37" name="SPEND:: EDITORIAL GRAPHICS" queryTableFieldId="37" dataDxfId="39"/>
    <tableColumn id="38" xr3:uid="{AAA7DAC1-F00E-47B1-90BE-ED5B6D91CC96}" uniqueName="38" name="SPEND:: EDITORIAL LABOR" queryTableFieldId="38"/>
    <tableColumn id="39" xr3:uid="{CB42BA1C-B611-4219-9E1B-385310B6BA4B}" uniqueName="39" name="SPEND:: EDITORIAL MISC" queryTableFieldId="39"/>
    <tableColumn id="40" xr3:uid="{D46B2EFE-5D07-4BEE-9ED1-8A5EA23B972E}" uniqueName="40" name="SPEND:: EDITORIAL OFFLINE" queryTableFieldId="40"/>
    <tableColumn id="41" xr3:uid="{423139CE-8477-4255-B104-660337AE6992}" uniqueName="41" name="SPEND:: EDITORIAL PREP" queryTableFieldId="41"/>
    <tableColumn id="42" xr3:uid="{A923CFD3-B765-4752-8A4F-E3A43625F567}" uniqueName="42" name="SPEND:: EQUIPMENT COSTS" queryTableFieldId="42"/>
    <tableColumn id="43" xr3:uid="{40889563-3747-4D34-BAF7-E79C743A4F60}" uniqueName="43" name="SPEND:: EXPENDABLES" queryTableFieldId="43" dataDxfId="38"/>
    <tableColumn id="44" xr3:uid="{BD114395-B7C3-4A50-8CFD-E70DA3A03CE6}" uniqueName="44" name="SPEND:: FILM STOCK &amp; DIGITAL MEDIA" queryTableFieldId="44"/>
    <tableColumn id="45" xr3:uid="{6236D4DD-696A-413C-A961-C3BE3D73D455}" uniqueName="45" name="SPEND:: FINISHING" queryTableFieldId="45"/>
    <tableColumn id="46" xr3:uid="{38563660-5628-4954-A8C7-2D63D6BE5B17}" uniqueName="46" name="SPEND:: FOREIGN PRODUCTION SERVICES" queryTableFieldId="46" dataDxfId="37"/>
    <tableColumn id="47" xr3:uid="{3AAB96A7-F92D-497B-9E86-C80A66C5B48D}" uniqueName="47" name="SPEND:: HAIR &amp; MAKEUP" queryTableFieldId="47" dataDxfId="36"/>
    <tableColumn id="48" xr3:uid="{05BD08A7-903B-4346-BA0C-8BC0CA83D6A0}" uniqueName="48" name="SPEND:: INTERACTIVE" queryTableFieldId="48" dataDxfId="35"/>
    <tableColumn id="49" xr3:uid="{8930743A-3746-4F7C-A216-29955D54A2A5}" uniqueName="49" name="SPEND:: LOCATION &amp; TRAVEL EXPENSES" queryTableFieldId="49"/>
    <tableColumn id="50" xr3:uid="{0C131C72-7074-415E-921C-11AE0993B0DF}" uniqueName="50" name="SPEND:: MEALS" queryTableFieldId="50" dataDxfId="34"/>
    <tableColumn id="51" xr3:uid="{6513E107-3D5D-4BA5-9DF1-327BB90499A1}" uniqueName="51" name="SPEND:: MISCELLANEOUS" queryTableFieldId="51"/>
    <tableColumn id="52" xr3:uid="{16E72D45-97B5-48FC-8748-06E869D3D813}" uniqueName="52" name="SPEND:: MUSIC" queryTableFieldId="52"/>
    <tableColumn id="53" xr3:uid="{0A660DF6-0C17-4A84-80C3-51411F9C77AD}" uniqueName="53" name="SPEND:: OTHER LABOR" queryTableFieldId="53" dataDxfId="33"/>
    <tableColumn id="54" xr3:uid="{FB221013-5E9C-41E4-903D-D5DAD3AEB1A0}" uniqueName="54" name="SPEND:: PHOTO RETOUCHING" queryTableFieldId="54" dataDxfId="32"/>
    <tableColumn id="55" xr3:uid="{754FE387-A73E-4DFB-90F4-9572F3B53CA9}" uniqueName="55" name="SPEND:: PRE-PRODUCTION EXPENSES" queryTableFieldId="55"/>
    <tableColumn id="56" xr3:uid="{A0E1E7C3-DF8F-486D-B01E-F0EE446F62E9}" uniqueName="56" name="SPEND:: PRE-PRODUCTION LABOR" queryTableFieldId="56"/>
    <tableColumn id="57" xr3:uid="{3BF9E9F8-1D1D-482A-99AE-51C04CCACBA9}" uniqueName="57" name="SPEND:: PRODUCTION COVID 19 COSTS" queryTableFieldId="57"/>
    <tableColumn id="58" xr3:uid="{5B3F4CB9-070A-495C-9F48-6569E730BA73}" uniqueName="58" name="SPEND:: PRODUCTION STAFF" queryTableFieldId="58"/>
    <tableColumn id="59" xr3:uid="{2D50736E-BB90-423B-95B0-84CB6C7CC32D}" uniqueName="59" name="SPEND:: PRODUCTION SUSTAINABILITY" queryTableFieldId="59" dataDxfId="31"/>
    <tableColumn id="60" xr3:uid="{79BDF49D-B5D7-4FB8-B6A7-7819749182D4}" uniqueName="60" name="SPEND:: PROPS, WARDROBE, ANIMALS" queryTableFieldId="60"/>
    <tableColumn id="61" xr3:uid="{DF80CC9A-426D-435A-A0D0-19C785FDABA5}" uniqueName="61" name="SPEND:: SHOOTING CREW LABOR" queryTableFieldId="61"/>
    <tableColumn id="62" xr3:uid="{08DBB2D1-5CA5-4FFE-842E-FD7CAD502410}" uniqueName="62" name="SPEND:: SOCIAL MEDIA" queryTableFieldId="62" dataDxfId="30"/>
    <tableColumn id="63" xr3:uid="{937BEE54-9B8D-4138-A08C-E5FA83D72FBF}" uniqueName="63" name="SPEND:: SPECIAL INSURANCE" queryTableFieldId="63" dataDxfId="29"/>
    <tableColumn id="64" xr3:uid="{3F7E86F3-50ED-444A-B407-C5D4D7E4E8CE}" uniqueName="64" name="SPEND:: STILL PHOTOGRAPHER FEES" queryTableFieldId="64"/>
    <tableColumn id="65" xr3:uid="{4AA60A91-9741-4E5B-970F-E81216AC8A5F}" uniqueName="65" name="SPEND:: STILL PHOTOGRAPHY PRODUCTION" queryTableFieldId="65" dataDxfId="28"/>
    <tableColumn id="66" xr3:uid="{A84D703F-0338-4619-A8B6-DF13F9CB4B0F}" uniqueName="66" name="SPEND:: STILLS POST PRODUCTION" queryTableFieldId="66"/>
    <tableColumn id="67" xr3:uid="{09057C54-A56C-48C4-A8AA-7E25867461FA}" uniqueName="67" name="SPEND:: STUDIO &amp; LOCATIONS COMBINED" queryTableFieldId="67"/>
    <tableColumn id="68" xr3:uid="{C00F99F9-2128-47F5-95D3-BC045C13528C}" uniqueName="68" name="SPEND:: STUDIO RENTAL &amp; STAGE EXPENSES" queryTableFieldId="68"/>
    <tableColumn id="69" xr3:uid="{9776559F-E99C-4F18-B542-FD12DFD9AD1A}" uniqueName="69" name="SPEND:: TALENT" queryTableFieldId="69"/>
    <tableColumn id="70" xr3:uid="{AEB5F5D9-DCE1-4A6F-A45A-BFC6C8664543}" uniqueName="70" name="SPEND:: TALENT EXPENSES" queryTableFieldId="70"/>
    <tableColumn id="71" xr3:uid="{6E2EB76C-FC5F-4975-A4B3-EE5E989FA4C8}" uniqueName="71" name="SPEND:: VFX" queryTableFieldId="71" dataDxfId="27"/>
    <tableColumn id="72" xr3:uid="{1C2F2B97-B85E-4812-BB40-2620C8B8E283}" uniqueName="72" name="SPEND:: WARDROBE" queryTableFieldId="72" dataDxfId="26"/>
    <tableColumn id="73" xr3:uid="{07FFA62E-A0E0-4B41-BADA-A04A39CE35E5}" uniqueName="73" name="Women Work Pitched" queryTableFieldId="73"/>
    <tableColumn id="74" xr3:uid="{2BA6C01B-2295-4D82-BED2-00E84BD53BC3}" uniqueName="74" name="Women Work Awarded" queryTableFieldId="74"/>
    <tableColumn id="75" xr3:uid="{D9902EE4-920F-4F8C-8F61-BFFC464C485F}" uniqueName="75" name="AvgBidPrice LUT.Average Bid Price" queryTableFieldId="7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91D8A1-4809-4028-8902-53C6B50AE84B}" name="AvgBidPrice_LUT" displayName="AvgBidPrice_LUT" ref="A1:D203" tableType="queryTable" totalsRowShown="0">
  <autoFilter ref="A1:D203" xr:uid="{1191D8A1-4809-4028-8902-53C6B50AE84B}"/>
  <tableColumns count="4">
    <tableColumn id="1" xr3:uid="{012BADEF-2C7C-4D81-8239-9EA95F639709}" uniqueName="1" name="PROJECT ID" queryTableFieldId="1" dataDxfId="25"/>
    <tableColumn id="3" xr3:uid="{610463A6-72E6-4C12-9DC4-D2B3A2FD9CBF}" uniqueName="3" name="PROJECT NAME" queryTableFieldId="3" dataDxfId="24"/>
    <tableColumn id="12" xr3:uid="{4A1A10B1-9342-42D6-9074-52046D57D656}" uniqueName="12" name="PHASE" queryTableFieldId="12" dataDxfId="23"/>
    <tableColumn id="73" xr3:uid="{DBCBAFD5-47F1-45D5-A5F7-FE60D70A7CFB}" uniqueName="73" name="Average Bid Price" queryTableFieldId="7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EDB9F4-FCCC-40F3-A9B0-A8D87B66A294}" name="Phase_per_Agency" displayName="Phase_per_Agency" ref="A1:AV553" tableType="queryTable" totalsRowShown="0">
  <autoFilter ref="A1:AV553" xr:uid="{E8EDB9F4-FCCC-40F3-A9B0-A8D87B66A294}"/>
  <tableColumns count="48">
    <tableColumn id="1" xr3:uid="{E5AE5D28-9627-42DA-B2F4-C3CC5F5AEE2F}" uniqueName="1" name="AWARDED" queryTableFieldId="1"/>
    <tableColumn id="2" xr3:uid="{E8D5F090-3D6F-46A1-93F8-232A905EDBAE}" uniqueName="2" name="AGENCY" queryTableFieldId="2" dataDxfId="22"/>
    <tableColumn id="3" xr3:uid="{B946E8FC-D32D-4171-9BB7-5B132542A365}" uniqueName="3" name="PHASE" queryTableFieldId="3" dataDxfId="21"/>
    <tableColumn id="4" xr3:uid="{0360156D-82BE-4E8D-A46E-2A9A0C20C640}" uniqueName="4" name="BID TOTAL" queryTableFieldId="4"/>
    <tableColumn id="5" xr3:uid="{F5246F75-5EAB-4106-BCD7-36FC6519753F}" uniqueName="5" name="SPEND:: ANIMATION" queryTableFieldId="5"/>
    <tableColumn id="6" xr3:uid="{78886D06-DE0B-4D50-80CA-BAC6E16FB9B0}" uniqueName="6" name="SPEND:: ART DEPARTMENT LABOR" queryTableFieldId="6"/>
    <tableColumn id="7" xr3:uid="{6658DBA8-2593-4BF1-81DF-5A5C9A2B9437}" uniqueName="7" name="SPEND:: ART DEPARTMENT MATERIALS" queryTableFieldId="7"/>
    <tableColumn id="8" xr3:uid="{5455B4FB-4E3E-478D-999A-8DBED4EF2CB0}" uniqueName="8" name="SPEND:: AUDIO POST" queryTableFieldId="8"/>
    <tableColumn id="9" xr3:uid="{41455E4D-ED5B-4143-A094-D6F16ACFA86A}" uniqueName="9" name="SPEND:: CATERING / CRAFT SERVICE" queryTableFieldId="9"/>
    <tableColumn id="10" xr3:uid="{427EE4DE-B0F6-4CAE-AC33-BD9A9E1E9CB7}" uniqueName="10" name="SPEND:: COLOR GRADING" queryTableFieldId="10" dataDxfId="20"/>
    <tableColumn id="11" xr3:uid="{0242276F-4701-4C7D-B4AB-55D11524D03B}" uniqueName="11" name="SPEND:: COVID LABOR" queryTableFieldId="11"/>
    <tableColumn id="12" xr3:uid="{2BBAE670-A76D-4979-812D-F0E6B2B18A75}" uniqueName="12" name="SPEND:: DESIGN" queryTableFieldId="12" dataDxfId="19"/>
    <tableColumn id="13" xr3:uid="{59DDD1F5-811E-47CC-90A2-406498AC9D62}" uniqueName="13" name="SPEND:: DIRECTOR/ CREATIVE FEES" queryTableFieldId="13"/>
    <tableColumn id="14" xr3:uid="{BF5B00A6-3A6A-4DD5-82A0-D443A876FF51}" uniqueName="14" name="SPEND:: EDITORIAL GRAPHICS" queryTableFieldId="14" dataDxfId="18"/>
    <tableColumn id="15" xr3:uid="{FDD31503-C5AD-493E-8497-339F069E25FB}" uniqueName="15" name="SPEND:: EDITORIAL LABOR" queryTableFieldId="15"/>
    <tableColumn id="16" xr3:uid="{B8E7EBF1-86EF-4728-B1BC-BCA10D6632B1}" uniqueName="16" name="SPEND:: EDITORIAL MISC" queryTableFieldId="16"/>
    <tableColumn id="17" xr3:uid="{30AB5971-9E3D-41C7-A48E-9DF155A58087}" uniqueName="17" name="SPEND:: EDITORIAL OFFLINE" queryTableFieldId="17"/>
    <tableColumn id="18" xr3:uid="{4ADE9211-A01E-4CB0-91A2-854575D370D3}" uniqueName="18" name="SPEND:: EDITORIAL PREP" queryTableFieldId="18"/>
    <tableColumn id="19" xr3:uid="{E9D07795-5879-4667-BF73-238DD0C262DC}" uniqueName="19" name="SPEND:: EQUIPMENT COSTS" queryTableFieldId="19"/>
    <tableColumn id="20" xr3:uid="{B06E546B-7615-462B-9928-FDE3BB6F0277}" uniqueName="20" name="SPEND:: EXPENDABLES" queryTableFieldId="20" dataDxfId="17"/>
    <tableColumn id="21" xr3:uid="{8900233F-95A9-40D9-B947-FF9484D8227D}" uniqueName="21" name="SPEND:: FILM STOCK &amp; DIGITAL MEDIA" queryTableFieldId="21"/>
    <tableColumn id="22" xr3:uid="{E94814CA-F38B-4EB2-A6E2-F4DB17B28A5B}" uniqueName="22" name="SPEND:: FINISHING" queryTableFieldId="22"/>
    <tableColumn id="23" xr3:uid="{A017DD10-5489-4A98-B609-0F7FD7E6A11B}" uniqueName="23" name="SPEND:: FOREIGN PRODUCTION SERVICES" queryTableFieldId="23" dataDxfId="16"/>
    <tableColumn id="24" xr3:uid="{6B04ECB1-F032-4E59-88C0-135B9B69C335}" uniqueName="24" name="SPEND:: HAIR &amp; MAKEUP" queryTableFieldId="24" dataDxfId="15"/>
    <tableColumn id="25" xr3:uid="{D4629C68-7F1F-46F2-95D8-5B4DBFDBE044}" uniqueName="25" name="SPEND:: INTERACTIVE" queryTableFieldId="25" dataDxfId="14"/>
    <tableColumn id="26" xr3:uid="{B377C5EF-AB5B-47B8-B838-DE9B34D0D6E2}" uniqueName="26" name="SPEND:: LOCATION &amp; TRAVEL EXPENSES" queryTableFieldId="26"/>
    <tableColumn id="27" xr3:uid="{F2839F56-ECCD-408A-BB18-7F2F9242D547}" uniqueName="27" name="SPEND:: MEALS" queryTableFieldId="27" dataDxfId="13"/>
    <tableColumn id="28" xr3:uid="{C767DB1F-4FCF-41DC-9022-657DE809F5F9}" uniqueName="28" name="SPEND:: MISCELLANEOUS" queryTableFieldId="28"/>
    <tableColumn id="29" xr3:uid="{89D444AF-7892-492F-93E3-314A8F11C487}" uniqueName="29" name="SPEND:: MUSIC" queryTableFieldId="29"/>
    <tableColumn id="30" xr3:uid="{FD8AC5F8-A94F-4CD6-904E-955D69FD541C}" uniqueName="30" name="SPEND:: PRE-PRODUCTION EXPENSES" queryTableFieldId="30"/>
    <tableColumn id="31" xr3:uid="{961AEDE7-5BF7-4C56-B2A1-C9EEB4FBF06F}" uniqueName="31" name="SPEND:: PRE-PRODUCTION LABOR" queryTableFieldId="31"/>
    <tableColumn id="32" xr3:uid="{0027A7E9-F29C-4978-ABC7-0852B4DBBBD9}" uniqueName="32" name="SPEND:: PRODUCTION COVID 19 COSTS" queryTableFieldId="32"/>
    <tableColumn id="33" xr3:uid="{AF6AD84B-4FB9-4570-91C0-D409D0F8EDFE}" uniqueName="33" name="SPEND:: PRODUCTION STAFF" queryTableFieldId="33"/>
    <tableColumn id="34" xr3:uid="{621670D7-6510-4A81-B38A-EE0B7883D0EF}" uniqueName="34" name="SPEND:: PRODUCTION SUSTAINABILITY" queryTableFieldId="34" dataDxfId="12"/>
    <tableColumn id="35" xr3:uid="{7A86120C-19CD-4543-B0B0-B66D87BDAD6E}" uniqueName="35" name="SPEND:: PROPS, WARDROBE, ANIMALS" queryTableFieldId="35"/>
    <tableColumn id="36" xr3:uid="{CE19F91D-25C6-4FC1-BDEE-474D9084E33C}" uniqueName="36" name="SPEND:: SHOOTING CREW LABOR" queryTableFieldId="36"/>
    <tableColumn id="37" xr3:uid="{F15D7F43-ED21-4744-A214-4DCAF98ACE20}" uniqueName="37" name="SPEND:: SOCIAL MEDIA" queryTableFieldId="37" dataDxfId="11"/>
    <tableColumn id="38" xr3:uid="{7C7269CC-5E32-4D4F-A12E-A4CB39015B36}" uniqueName="38" name="SPEND:: SPECIAL INSURANCE" queryTableFieldId="38" dataDxfId="10"/>
    <tableColumn id="39" xr3:uid="{232DF3A3-6F1C-4C60-830D-276ED9B12D0A}" uniqueName="39" name="SPEND:: STILL PHOTOGRAPHER FEES" queryTableFieldId="39"/>
    <tableColumn id="40" xr3:uid="{2B99C3C7-56EA-4A4D-92D8-F1EFD060FB0B}" uniqueName="40" name="SPEND:: STILL PHOTOGRAPHY PRODUCTION" queryTableFieldId="40" dataDxfId="9"/>
    <tableColumn id="41" xr3:uid="{882F463B-72F8-4493-9AE7-D6AB4B58BAD1}" uniqueName="41" name="SPEND:: STILLS POST PRODUCTION" queryTableFieldId="41"/>
    <tableColumn id="42" xr3:uid="{2FA6B48B-FCD3-4330-A865-FD1CC827123D}" uniqueName="42" name="SPEND:: STUDIO &amp; LOCATIONS COMBINED" queryTableFieldId="42"/>
    <tableColumn id="43" xr3:uid="{44A8F2AD-BECE-4CDF-A772-4E4BBB791F85}" uniqueName="43" name="SPEND:: STUDIO RENTAL &amp; STAGE EXPENSES" queryTableFieldId="43"/>
    <tableColumn id="44" xr3:uid="{02FA80F2-0031-4136-BD11-01331128C3A0}" uniqueName="44" name="SPEND:: TALENT" queryTableFieldId="44"/>
    <tableColumn id="45" xr3:uid="{A063AE75-E928-47CE-898C-EB9A71E0F623}" uniqueName="45" name="SPEND:: TALENT EXPENSES" queryTableFieldId="45"/>
    <tableColumn id="46" xr3:uid="{AB75D653-8B34-49EF-AF4C-BEF808E1D7EC}" uniqueName="46" name="SPEND:: VFX" queryTableFieldId="46" dataDxfId="8"/>
    <tableColumn id="47" xr3:uid="{25637558-C322-416C-9A50-BBD173777038}" uniqueName="47" name="SPEND:: WARDROBE" queryTableFieldId="47" dataDxfId="7"/>
    <tableColumn id="48" xr3:uid="{94A1B7D1-025C-4028-BC46-F749ADA77D28}" uniqueName="48" name="AvgBidPrice LUT.Average Bid Price" queryTableFieldId="4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3E449A-537F-4758-ABF8-424B36923721}" name="AgencyGrid_Awarded" displayName="AgencyGrid_Awarded" ref="A1:U553" tableType="queryTable" totalsRowShown="0">
  <autoFilter ref="A1:U553" xr:uid="{D23E449A-537F-4758-ABF8-424B36923721}"/>
  <tableColumns count="21">
    <tableColumn id="1" xr3:uid="{A823F654-512B-42CB-88D4-7B6BEBF4F72F}" uniqueName="1" name="PROJECT ID" queryTableFieldId="1"/>
    <tableColumn id="2" xr3:uid="{C995FB4A-5657-454A-8A07-F45D6547CB38}" uniqueName="2" name="PROJECT NAME" queryTableFieldId="2" dataDxfId="6"/>
    <tableColumn id="3" xr3:uid="{6324DE4C-E102-4F6D-89BB-49AEF3A6441D}" uniqueName="3" name="AWARDED" queryTableFieldId="3"/>
    <tableColumn id="4" xr3:uid="{577698AA-2ED3-4541-8784-0EB7915EDC17}" uniqueName="4" name="AGENCY" queryTableFieldId="4" dataDxfId="5"/>
    <tableColumn id="5" xr3:uid="{E960C9A5-E00E-4F12-A400-000808717F22}" uniqueName="5" name="VENDOR" queryTableFieldId="5" dataDxfId="4"/>
    <tableColumn id="6" xr3:uid="{2C1F8B34-1350-4C62-B565-48F5E743BA7A}" uniqueName="6" name="PHASE" queryTableFieldId="6" dataDxfId="3"/>
    <tableColumn id="7" xr3:uid="{58F83EEF-5D01-4B32-B422-FFE357F6876B}" uniqueName="7" name="BID TOTAL" queryTableFieldId="7"/>
    <tableColumn id="8" xr3:uid="{E70D6501-FFDF-4779-89C8-A50A984F7661}" uniqueName="8" name="AVERAGE BID" queryTableFieldId="8"/>
    <tableColumn id="9" xr3:uid="{7FF6DE63-1E96-456F-A327-A7517F155062}" uniqueName="9" name="DIVERSITY:: WOMAN DIRECTOR" queryTableFieldId="9"/>
    <tableColumn id="10" xr3:uid="{E57B9427-0B27-4277-BD59-1ACE0A92FA3D}" uniqueName="10" name="DIVERSITY:: MIINORITY DIRECTOR" queryTableFieldId="10"/>
    <tableColumn id="11" xr3:uid="{C7DF63C4-32CE-48D9-8168-2CD6995DD3B9}" uniqueName="11" name="DIVERSITY:: WOMAN EDITOR" queryTableFieldId="11"/>
    <tableColumn id="12" xr3:uid="{A7F799B8-A5AE-44CD-81EA-9881F131E3B0}" uniqueName="12" name="DIVERSITY:: MIINORITY EDITOR" queryTableFieldId="12"/>
    <tableColumn id="13" xr3:uid="{079F947B-ED5A-4638-862D-79D70598F2E1}" uniqueName="13" name="DIVERSITY:: WOMAN OWNED" queryTableFieldId="13"/>
    <tableColumn id="14" xr3:uid="{0FFDD49A-E324-485D-8D6B-861CA504C092}" uniqueName="14" name="DIVERSITY:: MINORITY OWNED" queryTableFieldId="14"/>
    <tableColumn id="15" xr3:uid="{86AC45D4-38D0-4528-9FDA-22B717FA4151}" uniqueName="15" name="Women Work Pitched" queryTableFieldId="15"/>
    <tableColumn id="16" xr3:uid="{FFDBF4C0-8922-4876-AB8A-781DF60ABD1F}" uniqueName="16" name="Women Work Awarded" queryTableFieldId="16"/>
    <tableColumn id="17" xr3:uid="{66E8653B-19DC-4CDC-8819-8AC463C46BBA}" uniqueName="17" name="AvgBidPrice LUT.Average Bid Price" queryTableFieldId="17"/>
    <tableColumn id="23" xr3:uid="{641C0979-44FF-4289-BA6A-18E0F1FE49B0}" uniqueName="23" name="AVG ADJUSTED" queryTableFieldId="23" dataDxfId="2" dataCellStyle="Percent"/>
    <tableColumn id="20" xr3:uid="{1891C89D-BAAB-44CC-B98C-7C4FCA6F51CC}" uniqueName="20" name="Awarded Total" queryTableFieldId="20" dataDxfId="1"/>
    <tableColumn id="21" xr3:uid="{9605EF9D-3C04-467C-BF73-87187B538FE1}" uniqueName="21" name="Variance" queryTableFieldId="21"/>
    <tableColumn id="22" xr3:uid="{A452316D-CEA2-47A3-ADD6-5DD0B33B8ACE}" uniqueName="22" name="Variance Perc" queryTableFieldId="22" dataDxfId="0"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8468-D31C-4C14-A928-A03377B941A2}">
  <sheetPr codeName="Sheet1"/>
  <dimension ref="A1:CWT15"/>
  <sheetViews>
    <sheetView workbookViewId="0"/>
  </sheetViews>
  <sheetFormatPr defaultRowHeight="15" x14ac:dyDescent="0.25"/>
  <cols>
    <col min="1" max="1" width="16.5703125" style="32" bestFit="1" customWidth="1"/>
    <col min="2" max="2" width="3" style="32" bestFit="1" customWidth="1"/>
    <col min="3" max="5" width="1.7109375" style="32" bestFit="1" customWidth="1"/>
    <col min="6" max="6" width="3.85546875" style="32" bestFit="1" customWidth="1"/>
    <col min="7" max="7" width="4.140625" style="32" bestFit="1" customWidth="1"/>
    <col min="8" max="8" width="3.42578125" style="32" bestFit="1" customWidth="1"/>
    <col min="9" max="9" width="6.5703125" style="32" bestFit="1" customWidth="1"/>
    <col min="10" max="10" width="8" style="32" bestFit="1" customWidth="1"/>
    <col min="11" max="11" width="9.28515625" style="32" bestFit="1" customWidth="1"/>
    <col min="12" max="12" width="6.5703125" style="32" bestFit="1" customWidth="1"/>
    <col min="13" max="14" width="5.42578125" style="32" bestFit="1" customWidth="1"/>
    <col min="15" max="17" width="6.28515625" style="32" bestFit="1" customWidth="1"/>
    <col min="18" max="18" width="4.140625" style="32" bestFit="1" customWidth="1"/>
    <col min="19" max="19" width="10.7109375" style="32" bestFit="1" customWidth="1"/>
    <col min="20" max="20" width="10.42578125" style="32" bestFit="1" customWidth="1"/>
    <col min="21" max="21" width="8.140625" style="32" bestFit="1" customWidth="1"/>
    <col min="22" max="22" width="9" style="32" bestFit="1" customWidth="1"/>
    <col min="23" max="23" width="7.5703125" style="32" bestFit="1" customWidth="1"/>
    <col min="24" max="24" width="10" style="32" bestFit="1" customWidth="1"/>
    <col min="25" max="25" width="4" style="32" bestFit="1" customWidth="1"/>
    <col min="26" max="26" width="2.85546875" style="32" bestFit="1" customWidth="1"/>
    <col min="27" max="29" width="1.7109375" style="32" bestFit="1" customWidth="1"/>
    <col min="30" max="30" width="3.85546875" style="32" bestFit="1" customWidth="1"/>
    <col min="31" max="31" width="4.140625" style="32" bestFit="1" customWidth="1"/>
    <col min="32" max="32" width="3.42578125" style="32" bestFit="1" customWidth="1"/>
    <col min="33" max="33" width="10" style="32" bestFit="1" customWidth="1"/>
    <col min="34" max="34" width="7.42578125" style="32" bestFit="1" customWidth="1"/>
    <col min="35" max="41" width="5.42578125" style="32" bestFit="1" customWidth="1"/>
    <col min="42" max="44" width="6.42578125" style="32" bestFit="1" customWidth="1"/>
    <col min="45" max="50" width="6.28515625" style="32" bestFit="1" customWidth="1"/>
    <col min="51" max="53" width="7.28515625" style="32" bestFit="1" customWidth="1"/>
    <col min="54" max="54" width="11" style="32" bestFit="1" customWidth="1"/>
    <col min="55" max="55" width="5.85546875" style="32" bestFit="1" customWidth="1"/>
    <col min="56" max="56" width="8" style="32" bestFit="1" customWidth="1"/>
    <col min="57" max="62" width="1.7109375" style="32" bestFit="1" customWidth="1"/>
    <col min="63" max="63" width="7.140625" style="32" bestFit="1" customWidth="1"/>
    <col min="64" max="65" width="6.42578125" style="32" bestFit="1" customWidth="1"/>
    <col min="66" max="100" width="9" style="32"/>
    <col min="101" max="101" width="18.42578125" style="32" bestFit="1" customWidth="1"/>
    <col min="102" max="102" width="10.7109375" style="32" bestFit="1" customWidth="1"/>
    <col min="103" max="103" width="10.42578125" style="32" bestFit="1" customWidth="1"/>
    <col min="104" max="104" width="8.140625" style="32" bestFit="1" customWidth="1"/>
    <col min="105" max="105" width="9" style="32" bestFit="1" customWidth="1"/>
    <col min="106" max="107" width="6" style="32" bestFit="1" customWidth="1"/>
    <col min="108" max="108" width="3.5703125" style="32" bestFit="1" customWidth="1"/>
    <col min="109" max="110" width="7" style="32" bestFit="1" customWidth="1"/>
    <col min="111" max="112" width="6" style="32" bestFit="1" customWidth="1"/>
    <col min="113" max="113" width="3.5703125" style="32" bestFit="1" customWidth="1"/>
    <col min="114" max="115" width="7" style="32" bestFit="1" customWidth="1"/>
    <col min="116" max="1500" width="9" style="32"/>
    <col min="1501" max="1501" width="21.7109375" style="32" bestFit="1" customWidth="1"/>
    <col min="1502" max="1502" width="10.7109375" style="32" bestFit="1" customWidth="1"/>
    <col min="1503" max="1503" width="10.42578125" style="32" bestFit="1" customWidth="1"/>
    <col min="1504" max="1504" width="8.140625" style="32" bestFit="1" customWidth="1"/>
    <col min="1505" max="1505" width="9" style="32" bestFit="1" customWidth="1"/>
    <col min="1506" max="1506" width="7" style="32" bestFit="1" customWidth="1"/>
    <col min="1507" max="1600" width="9" style="32"/>
    <col min="1601" max="1601" width="13.140625" style="32" bestFit="1" customWidth="1"/>
    <col min="1602" max="1602" width="3" style="32" bestFit="1" customWidth="1"/>
    <col min="1603" max="1603" width="5.7109375" style="32" bestFit="1" customWidth="1"/>
    <col min="1604" max="1604" width="6.140625" style="32" bestFit="1" customWidth="1"/>
    <col min="1605" max="1605" width="6.5703125" style="32" bestFit="1" customWidth="1"/>
    <col min="1606" max="1608" width="5.42578125" style="32" bestFit="1" customWidth="1"/>
    <col min="1609" max="1609" width="6.5703125" style="32" bestFit="1" customWidth="1"/>
    <col min="1610" max="1610" width="8" style="32" bestFit="1" customWidth="1"/>
    <col min="1611" max="1611" width="8.5703125" style="32" bestFit="1" customWidth="1"/>
    <col min="1612" max="1612" width="6.28515625" style="32" bestFit="1" customWidth="1"/>
    <col min="1613" max="1613" width="7.7109375" style="32" bestFit="1" customWidth="1"/>
    <col min="1614" max="1614" width="4.140625" style="32" bestFit="1" customWidth="1"/>
    <col min="1615" max="1617" width="6.42578125" style="32" bestFit="1" customWidth="1"/>
    <col min="1618" max="1618" width="6" style="32" bestFit="1" customWidth="1"/>
    <col min="1619" max="1619" width="10.7109375" style="32" bestFit="1" customWidth="1"/>
    <col min="1620" max="1620" width="10.42578125" style="32" bestFit="1" customWidth="1"/>
    <col min="1621" max="1621" width="8.140625" style="32" bestFit="1" customWidth="1"/>
    <col min="1622" max="1622" width="9" style="32" bestFit="1" customWidth="1"/>
    <col min="1623" max="1623" width="6" style="32" bestFit="1" customWidth="1"/>
    <col min="1624" max="1624" width="6.28515625" style="32" bestFit="1" customWidth="1"/>
    <col min="1625" max="1900" width="9" style="32"/>
    <col min="1901" max="1901" width="22" style="32" bestFit="1" customWidth="1"/>
    <col min="1902" max="1902" width="10.7109375" style="32" bestFit="1" customWidth="1"/>
    <col min="1903" max="1903" width="10.42578125" style="32" bestFit="1" customWidth="1"/>
    <col min="1904" max="1904" width="8.140625" style="32" bestFit="1" customWidth="1"/>
    <col min="1905" max="1905" width="9" style="32" bestFit="1" customWidth="1"/>
    <col min="1906" max="2000" width="9" style="32"/>
    <col min="2001" max="2001" width="18.7109375" style="32" bestFit="1" customWidth="1"/>
    <col min="2002" max="2002" width="10.7109375" style="32" bestFit="1" customWidth="1"/>
    <col min="2003" max="2003" width="10.42578125" style="32" bestFit="1" customWidth="1"/>
    <col min="2004" max="2004" width="8.140625" style="32" bestFit="1" customWidth="1"/>
    <col min="2005" max="2005" width="9" style="32" bestFit="1" customWidth="1"/>
    <col min="2006" max="2006" width="5.85546875" style="32" bestFit="1" customWidth="1"/>
    <col min="2007" max="2007" width="6.140625" style="32" bestFit="1" customWidth="1"/>
    <col min="2008" max="2008" width="10" style="32" bestFit="1" customWidth="1"/>
    <col min="2009" max="2009" width="9.140625" style="32" bestFit="1" customWidth="1"/>
    <col min="2010" max="2010" width="6.140625" style="32" bestFit="1" customWidth="1"/>
    <col min="2011" max="2011" width="4.85546875" style="32" bestFit="1" customWidth="1"/>
    <col min="2012" max="2012" width="16" style="32" bestFit="1" customWidth="1"/>
    <col min="2013" max="2100" width="9" style="32"/>
    <col min="2101" max="2101" width="16.5703125" style="32" bestFit="1" customWidth="1"/>
    <col min="2102" max="2102" width="10.7109375" style="32" bestFit="1" customWidth="1"/>
    <col min="2103" max="2103" width="10.42578125" style="32" bestFit="1" customWidth="1"/>
    <col min="2104" max="2104" width="8.140625" style="32" bestFit="1" customWidth="1"/>
    <col min="2105" max="2105" width="9" style="32" bestFit="1" customWidth="1"/>
    <col min="2106" max="2109" width="9" style="32"/>
  </cols>
  <sheetData>
    <row r="1" spans="1:2646" s="16" customFormat="1" x14ac:dyDescent="0.25">
      <c r="A1" s="20" t="s">
        <v>1212</v>
      </c>
      <c r="B1" s="20" t="s">
        <v>1213</v>
      </c>
      <c r="C1" s="20">
        <v>1</v>
      </c>
      <c r="D1" s="20">
        <v>2</v>
      </c>
      <c r="E1" s="20">
        <v>3</v>
      </c>
      <c r="F1" s="20" t="s">
        <v>1214</v>
      </c>
      <c r="G1" s="20" t="s">
        <v>1215</v>
      </c>
      <c r="H1" s="20" t="s">
        <v>1216</v>
      </c>
      <c r="I1" s="20" t="s">
        <v>1217</v>
      </c>
      <c r="J1" s="20" t="s">
        <v>1218</v>
      </c>
      <c r="K1" s="20" t="s">
        <v>1219</v>
      </c>
      <c r="L1" s="20" t="s">
        <v>1220</v>
      </c>
      <c r="M1" s="20" t="s">
        <v>1221</v>
      </c>
      <c r="N1" s="20" t="s">
        <v>1222</v>
      </c>
      <c r="O1" s="29" t="s">
        <v>1223</v>
      </c>
      <c r="P1" s="20" t="s">
        <v>1224</v>
      </c>
      <c r="Q1" s="20" t="s">
        <v>1225</v>
      </c>
      <c r="R1" s="20" t="s">
        <v>1226</v>
      </c>
      <c r="S1" s="20" t="s">
        <v>1227</v>
      </c>
      <c r="T1" s="20" t="s">
        <v>1228</v>
      </c>
      <c r="U1" s="20" t="s">
        <v>1229</v>
      </c>
      <c r="V1" s="20" t="s">
        <v>1230</v>
      </c>
      <c r="W1" s="20" t="s">
        <v>1231</v>
      </c>
      <c r="X1" s="20" t="s">
        <v>1232</v>
      </c>
      <c r="Y1" s="20" t="s">
        <v>1233</v>
      </c>
      <c r="Z1" s="21" t="s">
        <v>1234</v>
      </c>
      <c r="AA1" s="21">
        <v>1</v>
      </c>
      <c r="AB1" s="21">
        <v>2</v>
      </c>
      <c r="AC1" s="21">
        <v>3</v>
      </c>
      <c r="AD1" s="21" t="s">
        <v>1214</v>
      </c>
      <c r="AE1" s="21" t="s">
        <v>1215</v>
      </c>
      <c r="AF1" s="21" t="s">
        <v>1216</v>
      </c>
      <c r="AG1" s="21" t="s">
        <v>1235</v>
      </c>
      <c r="AH1" s="21" t="s">
        <v>1236</v>
      </c>
      <c r="AI1" s="30" t="s">
        <v>1237</v>
      </c>
      <c r="AJ1" s="30" t="s">
        <v>1238</v>
      </c>
      <c r="AK1" s="30" t="s">
        <v>1239</v>
      </c>
      <c r="AL1" s="30" t="s">
        <v>1240</v>
      </c>
      <c r="AM1" s="30" t="s">
        <v>1241</v>
      </c>
      <c r="AN1" s="30" t="s">
        <v>1242</v>
      </c>
      <c r="AO1" s="30" t="s">
        <v>1243</v>
      </c>
      <c r="AP1" s="30" t="s">
        <v>1244</v>
      </c>
      <c r="AQ1" s="30" t="s">
        <v>1245</v>
      </c>
      <c r="AR1" s="30" t="s">
        <v>1246</v>
      </c>
      <c r="AS1" s="30" t="s">
        <v>1247</v>
      </c>
      <c r="AT1" s="30" t="s">
        <v>1248</v>
      </c>
      <c r="AU1" s="30" t="s">
        <v>1249</v>
      </c>
      <c r="AV1" s="30" t="s">
        <v>1250</v>
      </c>
      <c r="AW1" s="30" t="s">
        <v>1251</v>
      </c>
      <c r="AX1" s="30" t="s">
        <v>1252</v>
      </c>
      <c r="AY1" s="30" t="s">
        <v>1253</v>
      </c>
      <c r="AZ1" s="30" t="s">
        <v>1254</v>
      </c>
      <c r="BA1" s="30" t="s">
        <v>1255</v>
      </c>
      <c r="BB1" s="31" t="s">
        <v>1256</v>
      </c>
      <c r="BC1" s="31" t="s">
        <v>1257</v>
      </c>
      <c r="BD1" s="19" t="s">
        <v>1258</v>
      </c>
      <c r="BE1" s="20">
        <v>1</v>
      </c>
      <c r="BF1" s="20">
        <v>2</v>
      </c>
      <c r="BG1" s="20">
        <v>3</v>
      </c>
      <c r="BH1" s="21">
        <v>1</v>
      </c>
      <c r="BI1" s="21">
        <v>2</v>
      </c>
      <c r="BJ1" s="21">
        <v>3</v>
      </c>
      <c r="BK1" s="20" t="s">
        <v>1259</v>
      </c>
      <c r="BL1" s="20" t="s">
        <v>1260</v>
      </c>
      <c r="BM1" s="20" t="s">
        <v>1261</v>
      </c>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2" t="s">
        <v>1262</v>
      </c>
      <c r="CX1" s="22" t="s">
        <v>1227</v>
      </c>
      <c r="CY1" s="22" t="s">
        <v>1228</v>
      </c>
      <c r="CZ1" s="23" t="s">
        <v>1229</v>
      </c>
      <c r="DA1" s="22" t="s">
        <v>1230</v>
      </c>
      <c r="DB1" s="23" t="s">
        <v>1263</v>
      </c>
      <c r="DC1" s="23" t="s">
        <v>1264</v>
      </c>
      <c r="DD1" s="23" t="s">
        <v>1265</v>
      </c>
      <c r="DE1" s="23" t="s">
        <v>1266</v>
      </c>
      <c r="DF1" s="23" t="s">
        <v>1267</v>
      </c>
      <c r="DG1" s="23" t="s">
        <v>1263</v>
      </c>
      <c r="DH1" s="23" t="s">
        <v>1264</v>
      </c>
      <c r="DI1" s="23" t="s">
        <v>1265</v>
      </c>
      <c r="DJ1" s="23" t="s">
        <v>1266</v>
      </c>
      <c r="DK1" s="23" t="s">
        <v>1267</v>
      </c>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23"/>
      <c r="OK1" s="23"/>
      <c r="OL1" s="23"/>
      <c r="OM1" s="23"/>
      <c r="ON1" s="23"/>
      <c r="OO1" s="23"/>
      <c r="OP1" s="23"/>
      <c r="OQ1" s="23"/>
      <c r="OR1" s="23"/>
      <c r="OS1" s="23"/>
      <c r="OT1" s="23"/>
      <c r="OU1" s="23"/>
      <c r="OV1" s="23"/>
      <c r="OW1" s="23"/>
      <c r="OX1" s="23"/>
      <c r="OY1" s="23"/>
      <c r="OZ1" s="23"/>
      <c r="PA1" s="23"/>
      <c r="PB1" s="23"/>
      <c r="PC1" s="23"/>
      <c r="PD1" s="23"/>
      <c r="PE1" s="23"/>
      <c r="PF1" s="23"/>
      <c r="PG1" s="23"/>
      <c r="PH1" s="23"/>
      <c r="PI1" s="23"/>
      <c r="PJ1" s="23"/>
      <c r="PK1" s="23"/>
      <c r="PL1" s="23"/>
      <c r="PM1" s="23"/>
      <c r="PN1" s="23"/>
      <c r="PO1" s="23"/>
      <c r="PP1" s="23"/>
      <c r="PQ1" s="23"/>
      <c r="PR1" s="23"/>
      <c r="PS1" s="23"/>
      <c r="PT1" s="23"/>
      <c r="PU1" s="23"/>
      <c r="PV1" s="23"/>
      <c r="PW1" s="23"/>
      <c r="PX1" s="23"/>
      <c r="PY1" s="23"/>
      <c r="PZ1" s="23"/>
      <c r="QA1" s="23"/>
      <c r="QB1" s="23"/>
      <c r="QC1" s="23"/>
      <c r="QD1" s="23"/>
      <c r="QE1" s="23"/>
      <c r="QF1" s="23"/>
      <c r="QG1" s="23"/>
      <c r="QH1" s="23"/>
      <c r="QI1" s="23"/>
      <c r="QJ1" s="23"/>
      <c r="QK1" s="23"/>
      <c r="QL1" s="23"/>
      <c r="QM1" s="23"/>
      <c r="QN1" s="23"/>
      <c r="QO1" s="23"/>
      <c r="QP1" s="23"/>
      <c r="QQ1" s="23"/>
      <c r="QR1" s="23"/>
      <c r="QS1" s="23"/>
      <c r="QT1" s="23"/>
      <c r="QU1" s="23"/>
      <c r="QV1" s="23"/>
      <c r="QW1" s="23"/>
      <c r="QX1" s="23"/>
      <c r="QY1" s="23"/>
      <c r="QZ1" s="23"/>
      <c r="RA1" s="23"/>
      <c r="RB1" s="23"/>
      <c r="RC1" s="23"/>
      <c r="RD1" s="23"/>
      <c r="RE1" s="23"/>
      <c r="RF1" s="23"/>
      <c r="RG1" s="23"/>
      <c r="RH1" s="23"/>
      <c r="RI1" s="23"/>
      <c r="RJ1" s="23"/>
      <c r="RK1" s="23"/>
      <c r="RL1" s="23"/>
      <c r="RM1" s="23"/>
      <c r="RN1" s="23"/>
      <c r="RO1" s="23"/>
      <c r="RP1" s="23"/>
      <c r="RQ1" s="23"/>
      <c r="RR1" s="23"/>
      <c r="RS1" s="23"/>
      <c r="RT1" s="23"/>
      <c r="RU1" s="23"/>
      <c r="RV1" s="23"/>
      <c r="RW1" s="23"/>
      <c r="RX1" s="23"/>
      <c r="RY1" s="23"/>
      <c r="RZ1" s="23"/>
      <c r="SA1" s="23"/>
      <c r="SB1" s="23"/>
      <c r="SC1" s="23"/>
      <c r="SD1" s="23"/>
      <c r="SE1" s="23"/>
      <c r="SF1" s="23"/>
      <c r="SG1" s="23"/>
      <c r="SH1" s="23"/>
      <c r="SI1" s="23"/>
      <c r="SJ1" s="23"/>
      <c r="SK1" s="23"/>
      <c r="SL1" s="23"/>
      <c r="SM1" s="23"/>
      <c r="SN1" s="23"/>
      <c r="SO1" s="23"/>
      <c r="SP1" s="23"/>
      <c r="SQ1" s="23"/>
      <c r="SR1" s="23"/>
      <c r="SS1" s="23"/>
      <c r="ST1" s="23"/>
      <c r="SU1" s="23"/>
      <c r="SV1" s="23"/>
      <c r="SW1" s="23"/>
      <c r="SX1" s="23"/>
      <c r="SY1" s="23"/>
      <c r="SZ1" s="23"/>
      <c r="TA1" s="23"/>
      <c r="TB1" s="23"/>
      <c r="TC1" s="23"/>
      <c r="TD1" s="23"/>
      <c r="TE1" s="23"/>
      <c r="TF1" s="23"/>
      <c r="TG1" s="23"/>
      <c r="TH1" s="23"/>
      <c r="TI1" s="23"/>
      <c r="TJ1" s="23"/>
      <c r="TK1" s="23"/>
      <c r="TL1" s="23"/>
      <c r="TM1" s="23"/>
      <c r="TN1" s="23"/>
      <c r="TO1" s="23"/>
      <c r="TP1" s="23"/>
      <c r="TQ1" s="23"/>
      <c r="TR1" s="23"/>
      <c r="TS1" s="23"/>
      <c r="TT1" s="23"/>
      <c r="TU1" s="23"/>
      <c r="TV1" s="23"/>
      <c r="TW1" s="23"/>
      <c r="TX1" s="23"/>
      <c r="TY1" s="23"/>
      <c r="TZ1" s="23"/>
      <c r="UA1" s="23"/>
      <c r="UB1" s="23"/>
      <c r="UC1" s="23"/>
      <c r="UD1" s="23"/>
      <c r="UE1" s="23"/>
      <c r="UF1" s="23"/>
      <c r="UG1" s="23"/>
      <c r="UH1" s="23"/>
      <c r="UI1" s="23"/>
      <c r="UJ1" s="23"/>
      <c r="UK1" s="23"/>
      <c r="UL1" s="23"/>
      <c r="UM1" s="23"/>
      <c r="UN1" s="23"/>
      <c r="UO1" s="23"/>
      <c r="UP1" s="23"/>
      <c r="UQ1" s="23"/>
      <c r="UR1" s="23"/>
      <c r="US1" s="23"/>
      <c r="UT1" s="23"/>
      <c r="UU1" s="23"/>
      <c r="UV1" s="23"/>
      <c r="UW1" s="23"/>
      <c r="UX1" s="23"/>
      <c r="UY1" s="23"/>
      <c r="UZ1" s="23"/>
      <c r="VA1" s="23"/>
      <c r="VB1" s="23"/>
      <c r="VC1" s="23"/>
      <c r="VD1" s="23"/>
      <c r="VE1" s="23"/>
      <c r="VF1" s="23"/>
      <c r="VG1" s="23"/>
      <c r="VH1" s="23"/>
      <c r="VI1" s="23"/>
      <c r="VJ1" s="23"/>
      <c r="VK1" s="23"/>
      <c r="VL1" s="23"/>
      <c r="VM1" s="23"/>
      <c r="VN1" s="23"/>
      <c r="VO1" s="23"/>
      <c r="VP1" s="23"/>
      <c r="VQ1" s="23"/>
      <c r="VR1" s="23"/>
      <c r="VS1" s="23"/>
      <c r="VT1" s="23"/>
      <c r="VU1" s="23"/>
      <c r="VV1" s="23"/>
      <c r="VW1" s="23"/>
      <c r="VX1" s="23"/>
      <c r="VY1" s="23"/>
      <c r="VZ1" s="23"/>
      <c r="WA1" s="23"/>
      <c r="WB1" s="23"/>
      <c r="WC1" s="23"/>
      <c r="WD1" s="23"/>
      <c r="WE1" s="23"/>
      <c r="WF1" s="23"/>
      <c r="WG1" s="23"/>
      <c r="WH1" s="23"/>
      <c r="WI1" s="23"/>
      <c r="WJ1" s="23"/>
      <c r="WK1" s="23"/>
      <c r="WL1" s="23"/>
      <c r="WM1" s="23"/>
      <c r="WN1" s="23"/>
      <c r="WO1" s="23"/>
      <c r="WP1" s="23"/>
      <c r="WQ1" s="23"/>
      <c r="WR1" s="23"/>
      <c r="WS1" s="23"/>
      <c r="WT1" s="23"/>
      <c r="WU1" s="23"/>
      <c r="WV1" s="23"/>
      <c r="WW1" s="23"/>
      <c r="WX1" s="23"/>
      <c r="WY1" s="23"/>
      <c r="WZ1" s="23"/>
      <c r="XA1" s="23"/>
      <c r="XB1" s="23"/>
      <c r="XC1" s="23"/>
      <c r="XD1" s="23"/>
      <c r="XE1" s="23"/>
      <c r="XF1" s="23"/>
      <c r="XG1" s="23"/>
      <c r="XH1" s="23"/>
      <c r="XI1" s="23"/>
      <c r="XJ1" s="23"/>
      <c r="XK1" s="23"/>
      <c r="XL1" s="23"/>
      <c r="XM1" s="23"/>
      <c r="XN1" s="23"/>
      <c r="XO1" s="23"/>
      <c r="XP1" s="23"/>
      <c r="XQ1" s="23"/>
      <c r="XR1" s="23"/>
      <c r="XS1" s="23"/>
      <c r="XT1" s="23"/>
      <c r="XU1" s="23"/>
      <c r="XV1" s="23"/>
      <c r="XW1" s="23"/>
      <c r="XX1" s="23"/>
      <c r="XY1" s="23"/>
      <c r="XZ1" s="23"/>
      <c r="YA1" s="23"/>
      <c r="YB1" s="23"/>
      <c r="YC1" s="23"/>
      <c r="YD1" s="23"/>
      <c r="YE1" s="23"/>
      <c r="YF1" s="23"/>
      <c r="YG1" s="23"/>
      <c r="YH1" s="23"/>
      <c r="YI1" s="23"/>
      <c r="YJ1" s="23"/>
      <c r="YK1" s="23"/>
      <c r="YL1" s="23"/>
      <c r="YM1" s="23"/>
      <c r="YN1" s="23"/>
      <c r="YO1" s="23"/>
      <c r="YP1" s="23"/>
      <c r="YQ1" s="23"/>
      <c r="YR1" s="23"/>
      <c r="YS1" s="23"/>
      <c r="YT1" s="23"/>
      <c r="YU1" s="23"/>
      <c r="YV1" s="23"/>
      <c r="YW1" s="23"/>
      <c r="YX1" s="23"/>
      <c r="YY1" s="23"/>
      <c r="YZ1" s="23"/>
      <c r="ZA1" s="23"/>
      <c r="ZB1" s="23"/>
      <c r="ZC1" s="23"/>
      <c r="ZD1" s="23"/>
      <c r="ZE1" s="23"/>
      <c r="ZF1" s="23"/>
      <c r="ZG1" s="23"/>
      <c r="ZH1" s="23"/>
      <c r="ZI1" s="23"/>
      <c r="ZJ1" s="23"/>
      <c r="ZK1" s="23"/>
      <c r="ZL1" s="23"/>
      <c r="ZM1" s="23"/>
      <c r="ZN1" s="23"/>
      <c r="ZO1" s="23"/>
      <c r="ZP1" s="23"/>
      <c r="ZQ1" s="23"/>
      <c r="ZR1" s="23"/>
      <c r="ZS1" s="23"/>
      <c r="ZT1" s="23"/>
      <c r="ZU1" s="23"/>
      <c r="ZV1" s="23"/>
      <c r="ZW1" s="23"/>
      <c r="ZX1" s="23"/>
      <c r="ZY1" s="23"/>
      <c r="ZZ1" s="23"/>
      <c r="AAA1" s="23"/>
      <c r="AAB1" s="23"/>
      <c r="AAC1" s="23"/>
      <c r="AAD1" s="23"/>
      <c r="AAE1" s="23"/>
      <c r="AAF1" s="23"/>
      <c r="AAG1" s="23"/>
      <c r="AAH1" s="23"/>
      <c r="AAI1" s="23"/>
      <c r="AAJ1" s="23"/>
      <c r="AAK1" s="23"/>
      <c r="AAL1" s="23"/>
      <c r="AAM1" s="23"/>
      <c r="AAN1" s="23"/>
      <c r="AAO1" s="23"/>
      <c r="AAP1" s="23"/>
      <c r="AAQ1" s="23"/>
      <c r="AAR1" s="23"/>
      <c r="AAS1" s="23"/>
      <c r="AAT1" s="23"/>
      <c r="AAU1" s="23"/>
      <c r="AAV1" s="23"/>
      <c r="AAW1" s="23"/>
      <c r="AAX1" s="23"/>
      <c r="AAY1" s="23"/>
      <c r="AAZ1" s="23"/>
      <c r="ABA1" s="23"/>
      <c r="ABB1" s="23"/>
      <c r="ABC1" s="23"/>
      <c r="ABD1" s="23"/>
      <c r="ABE1" s="23"/>
      <c r="ABF1" s="23"/>
      <c r="ABG1" s="23"/>
      <c r="ABH1" s="23"/>
      <c r="ABI1" s="23"/>
      <c r="ABJ1" s="23"/>
      <c r="ABK1" s="23"/>
      <c r="ABL1" s="23"/>
      <c r="ABM1" s="23"/>
      <c r="ABN1" s="23"/>
      <c r="ABO1" s="23"/>
      <c r="ABP1" s="23"/>
      <c r="ABQ1" s="23"/>
      <c r="ABR1" s="23"/>
      <c r="ABS1" s="23"/>
      <c r="ABT1" s="23"/>
      <c r="ABU1" s="23"/>
      <c r="ABV1" s="23"/>
      <c r="ABW1" s="23"/>
      <c r="ABX1" s="23"/>
      <c r="ABY1" s="23"/>
      <c r="ABZ1" s="23"/>
      <c r="ACA1" s="23"/>
      <c r="ACB1" s="23"/>
      <c r="ACC1" s="23"/>
      <c r="ACD1" s="23"/>
      <c r="ACE1" s="23"/>
      <c r="ACF1" s="23"/>
      <c r="ACG1" s="23"/>
      <c r="ACH1" s="23"/>
      <c r="ACI1" s="23"/>
      <c r="ACJ1" s="23"/>
      <c r="ACK1" s="23"/>
      <c r="ACL1" s="23"/>
      <c r="ACM1" s="23"/>
      <c r="ACN1" s="23"/>
      <c r="ACO1" s="23"/>
      <c r="ACP1" s="23"/>
      <c r="ACQ1" s="23"/>
      <c r="ACR1" s="23"/>
      <c r="ACS1" s="23"/>
      <c r="ACT1" s="23"/>
      <c r="ACU1" s="23"/>
      <c r="ACV1" s="23"/>
      <c r="ACW1" s="23"/>
      <c r="ACX1" s="23"/>
      <c r="ACY1" s="23"/>
      <c r="ACZ1" s="23"/>
      <c r="ADA1" s="23"/>
      <c r="ADB1" s="23"/>
      <c r="ADC1" s="23"/>
      <c r="ADD1" s="23"/>
      <c r="ADE1" s="23"/>
      <c r="ADF1" s="23"/>
      <c r="ADG1" s="23"/>
      <c r="ADH1" s="23"/>
      <c r="ADI1" s="23"/>
      <c r="ADJ1" s="23"/>
      <c r="ADK1" s="23"/>
      <c r="ADL1" s="23"/>
      <c r="ADM1" s="23"/>
      <c r="ADN1" s="23"/>
      <c r="ADO1" s="23"/>
      <c r="ADP1" s="23"/>
      <c r="ADQ1" s="23"/>
      <c r="ADR1" s="23"/>
      <c r="ADS1" s="23"/>
      <c r="ADT1" s="23"/>
      <c r="ADU1" s="23"/>
      <c r="ADV1" s="23"/>
      <c r="ADW1" s="23"/>
      <c r="ADX1" s="23"/>
      <c r="ADY1" s="23"/>
      <c r="ADZ1" s="23"/>
      <c r="AEA1" s="23"/>
      <c r="AEB1" s="23"/>
      <c r="AEC1" s="23"/>
      <c r="AED1" s="23"/>
      <c r="AEE1" s="23"/>
      <c r="AEF1" s="23"/>
      <c r="AEG1" s="23"/>
      <c r="AEH1" s="23"/>
      <c r="AEI1" s="23"/>
      <c r="AEJ1" s="23"/>
      <c r="AEK1" s="23"/>
      <c r="AEL1" s="23"/>
      <c r="AEM1" s="23"/>
      <c r="AEN1" s="23"/>
      <c r="AEO1" s="23"/>
      <c r="AEP1" s="23"/>
      <c r="AEQ1" s="23"/>
      <c r="AER1" s="23"/>
      <c r="AES1" s="23"/>
      <c r="AET1" s="23"/>
      <c r="AEU1" s="23"/>
      <c r="AEV1" s="23"/>
      <c r="AEW1" s="23"/>
      <c r="AEX1" s="23"/>
      <c r="AEY1" s="23"/>
      <c r="AEZ1" s="23"/>
      <c r="AFA1" s="23"/>
      <c r="AFB1" s="23"/>
      <c r="AFC1" s="23"/>
      <c r="AFD1" s="23"/>
      <c r="AFE1" s="23"/>
      <c r="AFF1" s="23"/>
      <c r="AFG1" s="23"/>
      <c r="AFH1" s="23"/>
      <c r="AFI1" s="23"/>
      <c r="AFJ1" s="23"/>
      <c r="AFK1" s="23"/>
      <c r="AFL1" s="23"/>
      <c r="AFM1" s="23"/>
      <c r="AFN1" s="23"/>
      <c r="AFO1" s="23"/>
      <c r="AFP1" s="23"/>
      <c r="AFQ1" s="23"/>
      <c r="AFR1" s="23"/>
      <c r="AFS1" s="23"/>
      <c r="AFT1" s="23"/>
      <c r="AFU1" s="23"/>
      <c r="AFV1" s="23"/>
      <c r="AFW1" s="23"/>
      <c r="AFX1" s="23"/>
      <c r="AFY1" s="23"/>
      <c r="AFZ1" s="23"/>
      <c r="AGA1" s="23"/>
      <c r="AGB1" s="23"/>
      <c r="AGC1" s="23"/>
      <c r="AGD1" s="23"/>
      <c r="AGE1" s="23"/>
      <c r="AGF1" s="23"/>
      <c r="AGG1" s="23"/>
      <c r="AGH1" s="23"/>
      <c r="AGI1" s="23"/>
      <c r="AGJ1" s="23"/>
      <c r="AGK1" s="23"/>
      <c r="AGL1" s="23"/>
      <c r="AGM1" s="23"/>
      <c r="AGN1" s="23"/>
      <c r="AGO1" s="23"/>
      <c r="AGP1" s="23"/>
      <c r="AGQ1" s="23"/>
      <c r="AGR1" s="23"/>
      <c r="AGS1" s="23"/>
      <c r="AGT1" s="23"/>
      <c r="AGU1" s="23"/>
      <c r="AGV1" s="23"/>
      <c r="AGW1" s="23"/>
      <c r="AGX1" s="23"/>
      <c r="AGY1" s="23"/>
      <c r="AGZ1" s="23"/>
      <c r="AHA1" s="23"/>
      <c r="AHB1" s="23"/>
      <c r="AHC1" s="23"/>
      <c r="AHD1" s="23"/>
      <c r="AHE1" s="23"/>
      <c r="AHF1" s="23"/>
      <c r="AHG1" s="23"/>
      <c r="AHH1" s="23"/>
      <c r="AHI1" s="23"/>
      <c r="AHJ1" s="23"/>
      <c r="AHK1" s="23"/>
      <c r="AHL1" s="23"/>
      <c r="AHM1" s="23"/>
      <c r="AHN1" s="23"/>
      <c r="AHO1" s="23"/>
      <c r="AHP1" s="23"/>
      <c r="AHQ1" s="23"/>
      <c r="AHR1" s="23"/>
      <c r="AHS1" s="23"/>
      <c r="AHT1" s="23"/>
      <c r="AHU1" s="23"/>
      <c r="AHV1" s="23"/>
      <c r="AHW1" s="23"/>
      <c r="AHX1" s="23"/>
      <c r="AHY1" s="23"/>
      <c r="AHZ1" s="23"/>
      <c r="AIA1" s="23"/>
      <c r="AIB1" s="23"/>
      <c r="AIC1" s="23"/>
      <c r="AID1" s="23"/>
      <c r="AIE1" s="23"/>
      <c r="AIF1" s="23"/>
      <c r="AIG1" s="23"/>
      <c r="AIH1" s="23"/>
      <c r="AII1" s="23"/>
      <c r="AIJ1" s="23"/>
      <c r="AIK1" s="23"/>
      <c r="AIL1" s="23"/>
      <c r="AIM1" s="23"/>
      <c r="AIN1" s="23"/>
      <c r="AIO1" s="23"/>
      <c r="AIP1" s="23"/>
      <c r="AIQ1" s="23"/>
      <c r="AIR1" s="23"/>
      <c r="AIS1" s="23"/>
      <c r="AIT1" s="23"/>
      <c r="AIU1" s="23"/>
      <c r="AIV1" s="23"/>
      <c r="AIW1" s="23"/>
      <c r="AIX1" s="23"/>
      <c r="AIY1" s="23"/>
      <c r="AIZ1" s="23"/>
      <c r="AJA1" s="23"/>
      <c r="AJB1" s="23"/>
      <c r="AJC1" s="23"/>
      <c r="AJD1" s="23"/>
      <c r="AJE1" s="23"/>
      <c r="AJF1" s="23"/>
      <c r="AJG1" s="23"/>
      <c r="AJH1" s="23"/>
      <c r="AJI1" s="23"/>
      <c r="AJJ1" s="23"/>
      <c r="AJK1" s="23"/>
      <c r="AJL1" s="23"/>
      <c r="AJM1" s="23"/>
      <c r="AJN1" s="23"/>
      <c r="AJO1" s="23"/>
      <c r="AJP1" s="23"/>
      <c r="AJQ1" s="23"/>
      <c r="AJR1" s="23"/>
      <c r="AJS1" s="23"/>
      <c r="AJT1" s="23"/>
      <c r="AJU1" s="23"/>
      <c r="AJV1" s="23"/>
      <c r="AJW1" s="23"/>
      <c r="AJX1" s="23"/>
      <c r="AJY1" s="23"/>
      <c r="AJZ1" s="23"/>
      <c r="AKA1" s="23"/>
      <c r="AKB1" s="23"/>
      <c r="AKC1" s="23"/>
      <c r="AKD1" s="23"/>
      <c r="AKE1" s="23"/>
      <c r="AKF1" s="23"/>
      <c r="AKG1" s="23"/>
      <c r="AKH1" s="23"/>
      <c r="AKI1" s="23"/>
      <c r="AKJ1" s="23"/>
      <c r="AKK1" s="23"/>
      <c r="AKL1" s="23"/>
      <c r="AKM1" s="23"/>
      <c r="AKN1" s="23"/>
      <c r="AKO1" s="23"/>
      <c r="AKP1" s="23"/>
      <c r="AKQ1" s="23"/>
      <c r="AKR1" s="23"/>
      <c r="AKS1" s="23"/>
      <c r="AKT1" s="23"/>
      <c r="AKU1" s="23"/>
      <c r="AKV1" s="23"/>
      <c r="AKW1" s="23"/>
      <c r="AKX1" s="23"/>
      <c r="AKY1" s="23"/>
      <c r="AKZ1" s="23"/>
      <c r="ALA1" s="23"/>
      <c r="ALB1" s="23"/>
      <c r="ALC1" s="23"/>
      <c r="ALD1" s="23"/>
      <c r="ALE1" s="23"/>
      <c r="ALF1" s="23"/>
      <c r="ALG1" s="23"/>
      <c r="ALH1" s="23"/>
      <c r="ALI1" s="23"/>
      <c r="ALJ1" s="23"/>
      <c r="ALK1" s="23"/>
      <c r="ALL1" s="23"/>
      <c r="ALM1" s="23"/>
      <c r="ALN1" s="23"/>
      <c r="ALO1" s="23"/>
      <c r="ALP1" s="23"/>
      <c r="ALQ1" s="23"/>
      <c r="ALR1" s="23"/>
      <c r="ALS1" s="23"/>
      <c r="ALT1" s="23"/>
      <c r="ALU1" s="23"/>
      <c r="ALV1" s="23"/>
      <c r="ALW1" s="23"/>
      <c r="ALX1" s="23"/>
      <c r="ALY1" s="23"/>
      <c r="ALZ1" s="23"/>
      <c r="AMA1" s="23"/>
      <c r="AMB1" s="23"/>
      <c r="AMC1" s="23"/>
      <c r="AMD1" s="23"/>
      <c r="AME1" s="23"/>
      <c r="AMF1" s="23"/>
      <c r="AMG1" s="23"/>
      <c r="AMH1" s="23"/>
      <c r="AMI1" s="23"/>
      <c r="AMJ1" s="23"/>
      <c r="AMK1" s="23"/>
      <c r="AML1" s="23"/>
      <c r="AMM1" s="23"/>
      <c r="AMN1" s="23"/>
      <c r="AMO1" s="23"/>
      <c r="AMP1" s="23"/>
      <c r="AMQ1" s="23"/>
      <c r="AMR1" s="23"/>
      <c r="AMS1" s="23"/>
      <c r="AMT1" s="23"/>
      <c r="AMU1" s="23"/>
      <c r="AMV1" s="23"/>
      <c r="AMW1" s="23"/>
      <c r="AMX1" s="23"/>
      <c r="AMY1" s="23"/>
      <c r="AMZ1" s="23"/>
      <c r="ANA1" s="23"/>
      <c r="ANB1" s="23"/>
      <c r="ANC1" s="23"/>
      <c r="AND1" s="23"/>
      <c r="ANE1" s="23"/>
      <c r="ANF1" s="23"/>
      <c r="ANG1" s="23"/>
      <c r="ANH1" s="23"/>
      <c r="ANI1" s="23"/>
      <c r="ANJ1" s="23"/>
      <c r="ANK1" s="23"/>
      <c r="ANL1" s="23"/>
      <c r="ANM1" s="23"/>
      <c r="ANN1" s="23"/>
      <c r="ANO1" s="23"/>
      <c r="ANP1" s="23"/>
      <c r="ANQ1" s="23"/>
      <c r="ANR1" s="23"/>
      <c r="ANS1" s="23"/>
      <c r="ANT1" s="23"/>
      <c r="ANU1" s="23"/>
      <c r="ANV1" s="23"/>
      <c r="ANW1" s="23"/>
      <c r="ANX1" s="23"/>
      <c r="ANY1" s="23"/>
      <c r="ANZ1" s="23"/>
      <c r="AOA1" s="23"/>
      <c r="AOB1" s="23"/>
      <c r="AOC1" s="23"/>
      <c r="AOD1" s="23"/>
      <c r="AOE1" s="23"/>
      <c r="AOF1" s="23"/>
      <c r="AOG1" s="23"/>
      <c r="AOH1" s="23"/>
      <c r="AOI1" s="23"/>
      <c r="AOJ1" s="23"/>
      <c r="AOK1" s="23"/>
      <c r="AOL1" s="23"/>
      <c r="AOM1" s="23"/>
      <c r="AON1" s="23"/>
      <c r="AOO1" s="23"/>
      <c r="AOP1" s="23"/>
      <c r="AOQ1" s="23"/>
      <c r="AOR1" s="23"/>
      <c r="AOS1" s="23"/>
      <c r="AOT1" s="23"/>
      <c r="AOU1" s="23"/>
      <c r="AOV1" s="23"/>
      <c r="AOW1" s="23"/>
      <c r="AOX1" s="23"/>
      <c r="AOY1" s="23"/>
      <c r="AOZ1" s="23"/>
      <c r="APA1" s="23"/>
      <c r="APB1" s="23"/>
      <c r="APC1" s="23"/>
      <c r="APD1" s="23"/>
      <c r="APE1" s="23"/>
      <c r="APF1" s="23"/>
      <c r="APG1" s="23"/>
      <c r="APH1" s="23"/>
      <c r="API1" s="23"/>
      <c r="APJ1" s="23"/>
      <c r="APK1" s="23"/>
      <c r="APL1" s="23"/>
      <c r="APM1" s="23"/>
      <c r="APN1" s="23"/>
      <c r="APO1" s="23"/>
      <c r="APP1" s="23"/>
      <c r="APQ1" s="23"/>
      <c r="APR1" s="23"/>
      <c r="APS1" s="23"/>
      <c r="APT1" s="23"/>
      <c r="APU1" s="23"/>
      <c r="APV1" s="23"/>
      <c r="APW1" s="23"/>
      <c r="APX1" s="23"/>
      <c r="APY1" s="23"/>
      <c r="APZ1" s="23"/>
      <c r="AQA1" s="23"/>
      <c r="AQB1" s="23"/>
      <c r="AQC1" s="23"/>
      <c r="AQD1" s="23"/>
      <c r="AQE1" s="23"/>
      <c r="AQF1" s="23"/>
      <c r="AQG1" s="23"/>
      <c r="AQH1" s="23"/>
      <c r="AQI1" s="23"/>
      <c r="AQJ1" s="23"/>
      <c r="AQK1" s="23"/>
      <c r="AQL1" s="23"/>
      <c r="AQM1" s="23"/>
      <c r="AQN1" s="23"/>
      <c r="AQO1" s="23"/>
      <c r="AQP1" s="23"/>
      <c r="AQQ1" s="23"/>
      <c r="AQR1" s="23"/>
      <c r="AQS1" s="23"/>
      <c r="AQT1" s="23"/>
      <c r="AQU1" s="23"/>
      <c r="AQV1" s="23"/>
      <c r="AQW1" s="23"/>
      <c r="AQX1" s="23"/>
      <c r="AQY1" s="23"/>
      <c r="AQZ1" s="23"/>
      <c r="ARA1" s="23"/>
      <c r="ARB1" s="23"/>
      <c r="ARC1" s="23"/>
      <c r="ARD1" s="23"/>
      <c r="ARE1" s="23"/>
      <c r="ARF1" s="23"/>
      <c r="ARG1" s="23"/>
      <c r="ARH1" s="23"/>
      <c r="ARI1" s="23"/>
      <c r="ARJ1" s="23"/>
      <c r="ARK1" s="23"/>
      <c r="ARL1" s="23"/>
      <c r="ARM1" s="23"/>
      <c r="ARN1" s="23"/>
      <c r="ARO1" s="23"/>
      <c r="ARP1" s="23"/>
      <c r="ARQ1" s="23"/>
      <c r="ARR1" s="23"/>
      <c r="ARS1" s="23"/>
      <c r="ART1" s="23"/>
      <c r="ARU1" s="23"/>
      <c r="ARV1" s="23"/>
      <c r="ARW1" s="23"/>
      <c r="ARX1" s="23"/>
      <c r="ARY1" s="23"/>
      <c r="ARZ1" s="23"/>
      <c r="ASA1" s="23"/>
      <c r="ASB1" s="23"/>
      <c r="ASC1" s="23"/>
      <c r="ASD1" s="23"/>
      <c r="ASE1" s="23"/>
      <c r="ASF1" s="23"/>
      <c r="ASG1" s="23"/>
      <c r="ASH1" s="23"/>
      <c r="ASI1" s="23"/>
      <c r="ASJ1" s="23"/>
      <c r="ASK1" s="23"/>
      <c r="ASL1" s="23"/>
      <c r="ASM1" s="23"/>
      <c r="ASN1" s="23"/>
      <c r="ASO1" s="23"/>
      <c r="ASP1" s="23"/>
      <c r="ASQ1" s="23"/>
      <c r="ASR1" s="23"/>
      <c r="ASS1" s="23"/>
      <c r="AST1" s="23"/>
      <c r="ASU1" s="23"/>
      <c r="ASV1" s="23"/>
      <c r="ASW1" s="23"/>
      <c r="ASX1" s="23"/>
      <c r="ASY1" s="23"/>
      <c r="ASZ1" s="23"/>
      <c r="ATA1" s="23"/>
      <c r="ATB1" s="23"/>
      <c r="ATC1" s="23"/>
      <c r="ATD1" s="23"/>
      <c r="ATE1" s="23"/>
      <c r="ATF1" s="23"/>
      <c r="ATG1" s="23"/>
      <c r="ATH1" s="23"/>
      <c r="ATI1" s="23"/>
      <c r="ATJ1" s="23"/>
      <c r="ATK1" s="23"/>
      <c r="ATL1" s="23"/>
      <c r="ATM1" s="23"/>
      <c r="ATN1" s="23"/>
      <c r="ATO1" s="23"/>
      <c r="ATP1" s="23"/>
      <c r="ATQ1" s="23"/>
      <c r="ATR1" s="23"/>
      <c r="ATS1" s="23"/>
      <c r="ATT1" s="23"/>
      <c r="ATU1" s="23"/>
      <c r="ATV1" s="23"/>
      <c r="ATW1" s="23"/>
      <c r="ATX1" s="23"/>
      <c r="ATY1" s="23"/>
      <c r="ATZ1" s="23"/>
      <c r="AUA1" s="23"/>
      <c r="AUB1" s="23"/>
      <c r="AUC1" s="23"/>
      <c r="AUD1" s="23"/>
      <c r="AUE1" s="23"/>
      <c r="AUF1" s="23"/>
      <c r="AUG1" s="23"/>
      <c r="AUH1" s="23"/>
      <c r="AUI1" s="23"/>
      <c r="AUJ1" s="23"/>
      <c r="AUK1" s="23"/>
      <c r="AUL1" s="23"/>
      <c r="AUM1" s="23"/>
      <c r="AUN1" s="23"/>
      <c r="AUO1" s="23"/>
      <c r="AUP1" s="23"/>
      <c r="AUQ1" s="23"/>
      <c r="AUR1" s="23"/>
      <c r="AUS1" s="23"/>
      <c r="AUT1" s="23"/>
      <c r="AUU1" s="23"/>
      <c r="AUV1" s="23"/>
      <c r="AUW1" s="23"/>
      <c r="AUX1" s="23"/>
      <c r="AUY1" s="23"/>
      <c r="AUZ1" s="23"/>
      <c r="AVA1" s="23"/>
      <c r="AVB1" s="23"/>
      <c r="AVC1" s="23"/>
      <c r="AVD1" s="23"/>
      <c r="AVE1" s="23"/>
      <c r="AVF1" s="23"/>
      <c r="AVG1" s="23"/>
      <c r="AVH1" s="23"/>
      <c r="AVI1" s="23"/>
      <c r="AVJ1" s="23"/>
      <c r="AVK1" s="23"/>
      <c r="AVL1" s="23"/>
      <c r="AVM1" s="23"/>
      <c r="AVN1" s="23"/>
      <c r="AVO1" s="23"/>
      <c r="AVP1" s="23"/>
      <c r="AVQ1" s="23"/>
      <c r="AVR1" s="23"/>
      <c r="AVS1" s="23"/>
      <c r="AVT1" s="23"/>
      <c r="AVU1" s="23"/>
      <c r="AVV1" s="23"/>
      <c r="AVW1" s="23"/>
      <c r="AVX1" s="23"/>
      <c r="AVY1" s="23"/>
      <c r="AVZ1" s="23"/>
      <c r="AWA1" s="23"/>
      <c r="AWB1" s="23"/>
      <c r="AWC1" s="23"/>
      <c r="AWD1" s="23"/>
      <c r="AWE1" s="23"/>
      <c r="AWF1" s="23"/>
      <c r="AWG1" s="23"/>
      <c r="AWH1" s="23"/>
      <c r="AWI1" s="23"/>
      <c r="AWJ1" s="23"/>
      <c r="AWK1" s="23"/>
      <c r="AWL1" s="23"/>
      <c r="AWM1" s="23"/>
      <c r="AWN1" s="23"/>
      <c r="AWO1" s="23"/>
      <c r="AWP1" s="23"/>
      <c r="AWQ1" s="23"/>
      <c r="AWR1" s="23"/>
      <c r="AWS1" s="23"/>
      <c r="AWT1" s="23"/>
      <c r="AWU1" s="23"/>
      <c r="AWV1" s="23"/>
      <c r="AWW1" s="23"/>
      <c r="AWX1" s="23"/>
      <c r="AWY1" s="23"/>
      <c r="AWZ1" s="23"/>
      <c r="AXA1" s="23"/>
      <c r="AXB1" s="23"/>
      <c r="AXC1" s="23"/>
      <c r="AXD1" s="23"/>
      <c r="AXE1" s="23"/>
      <c r="AXF1" s="23"/>
      <c r="AXG1" s="23"/>
      <c r="AXH1" s="23"/>
      <c r="AXI1" s="23"/>
      <c r="AXJ1" s="23"/>
      <c r="AXK1" s="23"/>
      <c r="AXL1" s="23"/>
      <c r="AXM1" s="23"/>
      <c r="AXN1" s="23"/>
      <c r="AXO1" s="23"/>
      <c r="AXP1" s="23"/>
      <c r="AXQ1" s="23"/>
      <c r="AXR1" s="23"/>
      <c r="AXS1" s="23"/>
      <c r="AXT1" s="23"/>
      <c r="AXU1" s="23"/>
      <c r="AXV1" s="23"/>
      <c r="AXW1" s="23"/>
      <c r="AXX1" s="23"/>
      <c r="AXY1" s="23"/>
      <c r="AXZ1" s="23"/>
      <c r="AYA1" s="23"/>
      <c r="AYB1" s="23"/>
      <c r="AYC1" s="23"/>
      <c r="AYD1" s="23"/>
      <c r="AYE1" s="23"/>
      <c r="AYF1" s="23"/>
      <c r="AYG1" s="23"/>
      <c r="AYH1" s="23"/>
      <c r="AYI1" s="23"/>
      <c r="AYJ1" s="23"/>
      <c r="AYK1" s="23"/>
      <c r="AYL1" s="23"/>
      <c r="AYM1" s="23"/>
      <c r="AYN1" s="23"/>
      <c r="AYO1" s="23"/>
      <c r="AYP1" s="23"/>
      <c r="AYQ1" s="23"/>
      <c r="AYR1" s="23"/>
      <c r="AYS1" s="23"/>
      <c r="AYT1" s="23"/>
      <c r="AYU1" s="23"/>
      <c r="AYV1" s="23"/>
      <c r="AYW1" s="23"/>
      <c r="AYX1" s="23"/>
      <c r="AYY1" s="23"/>
      <c r="AYZ1" s="23"/>
      <c r="AZA1" s="23"/>
      <c r="AZB1" s="23"/>
      <c r="AZC1" s="23"/>
      <c r="AZD1" s="23"/>
      <c r="AZE1" s="23"/>
      <c r="AZF1" s="23"/>
      <c r="AZG1" s="23"/>
      <c r="AZH1" s="23"/>
      <c r="AZI1" s="23"/>
      <c r="AZJ1" s="23"/>
      <c r="AZK1" s="23"/>
      <c r="AZL1" s="23"/>
      <c r="AZM1" s="23"/>
      <c r="AZN1" s="23"/>
      <c r="AZO1" s="23"/>
      <c r="AZP1" s="23"/>
      <c r="AZQ1" s="23"/>
      <c r="AZR1" s="23"/>
      <c r="AZS1" s="23"/>
      <c r="AZT1" s="23"/>
      <c r="AZU1" s="23"/>
      <c r="AZV1" s="23"/>
      <c r="AZW1" s="23"/>
      <c r="AZX1" s="23"/>
      <c r="AZY1" s="23"/>
      <c r="AZZ1" s="23"/>
      <c r="BAA1" s="23"/>
      <c r="BAB1" s="23"/>
      <c r="BAC1" s="23"/>
      <c r="BAD1" s="23"/>
      <c r="BAE1" s="23"/>
      <c r="BAF1" s="23"/>
      <c r="BAG1" s="23"/>
      <c r="BAH1" s="23"/>
      <c r="BAI1" s="23"/>
      <c r="BAJ1" s="23"/>
      <c r="BAK1" s="23"/>
      <c r="BAL1" s="23"/>
      <c r="BAM1" s="23"/>
      <c r="BAN1" s="23"/>
      <c r="BAO1" s="23"/>
      <c r="BAP1" s="23"/>
      <c r="BAQ1" s="23"/>
      <c r="BAR1" s="23"/>
      <c r="BAS1" s="23"/>
      <c r="BAT1" s="23"/>
      <c r="BAU1" s="23"/>
      <c r="BAV1" s="23"/>
      <c r="BAW1" s="23"/>
      <c r="BAX1" s="23"/>
      <c r="BAY1" s="23"/>
      <c r="BAZ1" s="23"/>
      <c r="BBA1" s="23"/>
      <c r="BBB1" s="23"/>
      <c r="BBC1" s="23"/>
      <c r="BBD1" s="23"/>
      <c r="BBE1" s="23"/>
      <c r="BBF1" s="23"/>
      <c r="BBG1" s="23"/>
      <c r="BBH1" s="23"/>
      <c r="BBI1" s="23"/>
      <c r="BBJ1" s="23"/>
      <c r="BBK1" s="23"/>
      <c r="BBL1" s="23"/>
      <c r="BBM1" s="23"/>
      <c r="BBN1" s="23"/>
      <c r="BBO1" s="23"/>
      <c r="BBP1" s="23"/>
      <c r="BBQ1" s="23"/>
      <c r="BBR1" s="23"/>
      <c r="BBS1" s="23"/>
      <c r="BBT1" s="23"/>
      <c r="BBU1" s="23"/>
      <c r="BBV1" s="23"/>
      <c r="BBW1" s="23"/>
      <c r="BBX1" s="23"/>
      <c r="BBY1" s="23"/>
      <c r="BBZ1" s="23"/>
      <c r="BCA1" s="23"/>
      <c r="BCB1" s="23"/>
      <c r="BCC1" s="23"/>
      <c r="BCD1" s="23"/>
      <c r="BCE1" s="23"/>
      <c r="BCF1" s="23"/>
      <c r="BCG1" s="23"/>
      <c r="BCH1" s="23"/>
      <c r="BCI1" s="23"/>
      <c r="BCJ1" s="23"/>
      <c r="BCK1" s="23"/>
      <c r="BCL1" s="23"/>
      <c r="BCM1" s="23"/>
      <c r="BCN1" s="23"/>
      <c r="BCO1" s="23"/>
      <c r="BCP1" s="23"/>
      <c r="BCQ1" s="23"/>
      <c r="BCR1" s="23"/>
      <c r="BCS1" s="23"/>
      <c r="BCT1" s="23"/>
      <c r="BCU1" s="23"/>
      <c r="BCV1" s="23"/>
      <c r="BCW1" s="23"/>
      <c r="BCX1" s="23"/>
      <c r="BCY1" s="23"/>
      <c r="BCZ1" s="23"/>
      <c r="BDA1" s="23"/>
      <c r="BDB1" s="23"/>
      <c r="BDC1" s="23"/>
      <c r="BDD1" s="23"/>
      <c r="BDE1" s="23"/>
      <c r="BDF1" s="23"/>
      <c r="BDG1" s="23"/>
      <c r="BDH1" s="23"/>
      <c r="BDI1" s="23"/>
      <c r="BDJ1" s="23"/>
      <c r="BDK1" s="23"/>
      <c r="BDL1" s="23"/>
      <c r="BDM1" s="23"/>
      <c r="BDN1" s="23"/>
      <c r="BDO1" s="23"/>
      <c r="BDP1" s="23"/>
      <c r="BDQ1" s="23"/>
      <c r="BDR1" s="23"/>
      <c r="BDS1" s="23"/>
      <c r="BDT1" s="23"/>
      <c r="BDU1" s="23"/>
      <c r="BDV1" s="23"/>
      <c r="BDW1" s="23"/>
      <c r="BDX1" s="23"/>
      <c r="BDY1" s="23"/>
      <c r="BDZ1" s="23"/>
      <c r="BEA1" s="23"/>
      <c r="BEB1" s="23"/>
      <c r="BEC1" s="23"/>
      <c r="BED1" s="23"/>
      <c r="BEE1" s="23"/>
      <c r="BEF1" s="23"/>
      <c r="BEG1" s="23"/>
      <c r="BEH1" s="23"/>
      <c r="BEI1" s="23"/>
      <c r="BEJ1" s="23"/>
      <c r="BEK1" s="23"/>
      <c r="BEL1" s="23"/>
      <c r="BEM1" s="23"/>
      <c r="BEN1" s="23"/>
      <c r="BEO1" s="23"/>
      <c r="BEP1" s="23"/>
      <c r="BEQ1" s="23"/>
      <c r="BER1" s="23"/>
      <c r="BES1" s="22" t="s">
        <v>1268</v>
      </c>
      <c r="BET1" s="22" t="s">
        <v>1227</v>
      </c>
      <c r="BEU1" s="22" t="s">
        <v>1228</v>
      </c>
      <c r="BEV1" s="23" t="s">
        <v>1229</v>
      </c>
      <c r="BEW1" s="22" t="s">
        <v>1230</v>
      </c>
      <c r="BEX1" s="23" t="s">
        <v>1266</v>
      </c>
      <c r="BEY1" s="23"/>
      <c r="BEZ1" s="23"/>
      <c r="BFA1" s="23"/>
      <c r="BFB1" s="23"/>
      <c r="BFC1" s="23"/>
      <c r="BFD1" s="23"/>
      <c r="BFE1" s="23"/>
      <c r="BFF1" s="23"/>
      <c r="BFG1" s="23"/>
      <c r="BFH1" s="23"/>
      <c r="BFI1" s="23"/>
      <c r="BFJ1" s="23"/>
      <c r="BFK1" s="23"/>
      <c r="BFL1" s="23"/>
      <c r="BFM1" s="23"/>
      <c r="BFN1" s="23"/>
      <c r="BFO1" s="23"/>
      <c r="BFP1" s="23"/>
      <c r="BFQ1" s="23"/>
      <c r="BFR1" s="23"/>
      <c r="BFS1" s="23"/>
      <c r="BFT1" s="23"/>
      <c r="BFU1" s="23"/>
      <c r="BFV1" s="23"/>
      <c r="BFW1" s="23"/>
      <c r="BFX1" s="23"/>
      <c r="BFY1" s="23"/>
      <c r="BFZ1" s="23"/>
      <c r="BGA1" s="23"/>
      <c r="BGB1" s="23"/>
      <c r="BGC1" s="23"/>
      <c r="BGD1" s="23"/>
      <c r="BGE1" s="23"/>
      <c r="BGF1" s="23"/>
      <c r="BGG1" s="23"/>
      <c r="BGH1" s="23"/>
      <c r="BGI1" s="23"/>
      <c r="BGJ1" s="23"/>
      <c r="BGK1" s="23"/>
      <c r="BGL1" s="23"/>
      <c r="BGM1" s="23"/>
      <c r="BGN1" s="23"/>
      <c r="BGO1" s="23"/>
      <c r="BGP1" s="23"/>
      <c r="BGQ1" s="23"/>
      <c r="BGR1" s="23"/>
      <c r="BGS1" s="23"/>
      <c r="BGT1" s="23"/>
      <c r="BGU1" s="23"/>
      <c r="BGV1" s="23"/>
      <c r="BGW1" s="23"/>
      <c r="BGX1" s="23"/>
      <c r="BGY1" s="23"/>
      <c r="BGZ1" s="23"/>
      <c r="BHA1" s="23"/>
      <c r="BHB1" s="23"/>
      <c r="BHC1" s="23"/>
      <c r="BHD1" s="23"/>
      <c r="BHE1" s="23"/>
      <c r="BHF1" s="23"/>
      <c r="BHG1" s="23"/>
      <c r="BHH1" s="23"/>
      <c r="BHI1" s="23"/>
      <c r="BHJ1" s="23"/>
      <c r="BHK1" s="23"/>
      <c r="BHL1" s="23"/>
      <c r="BHM1" s="23"/>
      <c r="BHN1" s="23"/>
      <c r="BHO1" s="23"/>
      <c r="BHP1" s="23"/>
      <c r="BHQ1" s="23"/>
      <c r="BHR1" s="23"/>
      <c r="BHS1" s="23"/>
      <c r="BHT1" s="23"/>
      <c r="BHU1" s="23"/>
      <c r="BHV1" s="23"/>
      <c r="BHW1" s="23"/>
      <c r="BHX1" s="23"/>
      <c r="BHY1" s="23"/>
      <c r="BHZ1" s="23"/>
      <c r="BIA1" s="23"/>
      <c r="BIB1" s="23"/>
      <c r="BIC1" s="23"/>
      <c r="BID1" s="23"/>
      <c r="BIE1" s="23"/>
      <c r="BIF1" s="23"/>
      <c r="BIG1" s="23"/>
      <c r="BIH1" s="23"/>
      <c r="BII1" s="23"/>
      <c r="BIJ1" s="23"/>
      <c r="BIK1" s="23"/>
      <c r="BIL1" s="23"/>
      <c r="BIM1" s="23"/>
      <c r="BIN1" s="23"/>
      <c r="BIO1" s="22" t="s">
        <v>1269</v>
      </c>
      <c r="BIP1" s="22" t="s">
        <v>1213</v>
      </c>
      <c r="BIQ1" s="22" t="s">
        <v>1270</v>
      </c>
      <c r="BIR1" s="22" t="s">
        <v>1271</v>
      </c>
      <c r="BIS1" s="23" t="s">
        <v>1272</v>
      </c>
      <c r="BIT1" s="22" t="s">
        <v>1273</v>
      </c>
      <c r="BIU1" s="22" t="s">
        <v>1274</v>
      </c>
      <c r="BIV1" s="22" t="s">
        <v>1275</v>
      </c>
      <c r="BIW1" s="22" t="s">
        <v>1217</v>
      </c>
      <c r="BIX1" s="22" t="s">
        <v>1218</v>
      </c>
      <c r="BIY1" s="24" t="s">
        <v>1276</v>
      </c>
      <c r="BIZ1" s="24" t="s">
        <v>1277</v>
      </c>
      <c r="BJA1" s="24" t="s">
        <v>1278</v>
      </c>
      <c r="BJB1" s="24" t="s">
        <v>1279</v>
      </c>
      <c r="BJC1" s="25" t="s">
        <v>1280</v>
      </c>
      <c r="BJD1" s="22" t="s">
        <v>1281</v>
      </c>
      <c r="BJE1" s="22" t="s">
        <v>1282</v>
      </c>
      <c r="BJF1" s="22" t="s">
        <v>1283</v>
      </c>
      <c r="BJG1" s="22" t="s">
        <v>1227</v>
      </c>
      <c r="BJH1" s="22" t="s">
        <v>1228</v>
      </c>
      <c r="BJI1" s="22" t="s">
        <v>1229</v>
      </c>
      <c r="BJJ1" s="22" t="s">
        <v>1230</v>
      </c>
      <c r="BJK1" s="23" t="s">
        <v>1284</v>
      </c>
      <c r="BJL1" s="23" t="s">
        <v>1285</v>
      </c>
      <c r="BJM1" s="23"/>
      <c r="BJN1" s="23"/>
      <c r="BJO1" s="23"/>
      <c r="BJP1" s="23"/>
      <c r="BJQ1" s="23"/>
      <c r="BJR1" s="23"/>
      <c r="BJS1" s="23"/>
      <c r="BJT1" s="23"/>
      <c r="BJU1" s="23"/>
      <c r="BJV1" s="23"/>
      <c r="BJW1" s="23"/>
      <c r="BJX1" s="23"/>
      <c r="BJY1" s="23"/>
      <c r="BJZ1" s="23"/>
      <c r="BKA1" s="23"/>
      <c r="BKB1" s="23"/>
      <c r="BKC1" s="23"/>
      <c r="BKD1" s="23"/>
      <c r="BKE1" s="23"/>
      <c r="BKF1" s="23"/>
      <c r="BKG1" s="23"/>
      <c r="BKH1" s="23"/>
      <c r="BKI1" s="23"/>
      <c r="BKJ1" s="23"/>
      <c r="BKK1" s="23"/>
      <c r="BKL1" s="23"/>
      <c r="BKM1" s="23"/>
      <c r="BKN1" s="23"/>
      <c r="BKO1" s="23"/>
      <c r="BKP1" s="23"/>
      <c r="BKQ1" s="23"/>
      <c r="BKR1" s="23"/>
      <c r="BKS1" s="23"/>
      <c r="BKT1" s="23"/>
      <c r="BKU1" s="23"/>
      <c r="BKV1" s="23"/>
      <c r="BKW1" s="23"/>
      <c r="BKX1" s="23"/>
      <c r="BKY1" s="23"/>
      <c r="BKZ1" s="23"/>
      <c r="BLA1" s="23"/>
      <c r="BLB1" s="23"/>
      <c r="BLC1" s="23"/>
      <c r="BLD1" s="23"/>
      <c r="BLE1" s="23"/>
      <c r="BLF1" s="23"/>
      <c r="BLG1" s="23"/>
      <c r="BLH1" s="23"/>
      <c r="BLI1" s="23"/>
      <c r="BLJ1" s="23"/>
      <c r="BLK1" s="23"/>
      <c r="BLL1" s="23"/>
      <c r="BLM1" s="23"/>
      <c r="BLN1" s="23"/>
      <c r="BLO1" s="23"/>
      <c r="BLP1" s="23"/>
      <c r="BLQ1" s="23"/>
      <c r="BLR1" s="23"/>
      <c r="BLS1" s="23"/>
      <c r="BLT1" s="23"/>
      <c r="BLU1" s="23"/>
      <c r="BLV1" s="23"/>
      <c r="BLW1" s="23"/>
      <c r="BLX1" s="23"/>
      <c r="BLY1" s="23"/>
      <c r="BLZ1" s="23"/>
      <c r="BMA1" s="23"/>
      <c r="BMB1" s="23"/>
      <c r="BMC1" s="23"/>
      <c r="BMD1" s="23"/>
      <c r="BME1" s="23"/>
      <c r="BMF1" s="23"/>
      <c r="BMG1" s="23"/>
      <c r="BMH1" s="23"/>
      <c r="BMI1" s="23"/>
      <c r="BMJ1" s="23"/>
      <c r="BMK1" s="23"/>
      <c r="BML1" s="23"/>
      <c r="BMM1" s="23"/>
      <c r="BMN1" s="23"/>
      <c r="BMO1" s="23"/>
      <c r="BMP1" s="23"/>
      <c r="BMQ1" s="23"/>
      <c r="BMR1" s="23"/>
      <c r="BMS1" s="23"/>
      <c r="BMT1" s="23"/>
      <c r="BMU1" s="23"/>
      <c r="BMV1" s="23"/>
      <c r="BMW1" s="23"/>
      <c r="BMX1" s="23"/>
      <c r="BMY1" s="23"/>
      <c r="BMZ1" s="23"/>
      <c r="BNA1" s="23"/>
      <c r="BNB1" s="23"/>
      <c r="BNC1" s="23"/>
      <c r="BND1" s="23"/>
      <c r="BNE1" s="23"/>
      <c r="BNF1" s="23"/>
      <c r="BNG1" s="23"/>
      <c r="BNH1" s="23"/>
      <c r="BNI1" s="23"/>
      <c r="BNJ1" s="23"/>
      <c r="BNK1" s="23"/>
      <c r="BNL1" s="23"/>
      <c r="BNM1" s="23"/>
      <c r="BNN1" s="23"/>
      <c r="BNO1" s="23"/>
      <c r="BNP1" s="23"/>
      <c r="BNQ1" s="23"/>
      <c r="BNR1" s="23"/>
      <c r="BNS1" s="23"/>
      <c r="BNT1" s="23"/>
      <c r="BNU1" s="23"/>
      <c r="BNV1" s="23"/>
      <c r="BNW1" s="23"/>
      <c r="BNX1" s="23"/>
      <c r="BNY1" s="23"/>
      <c r="BNZ1" s="23"/>
      <c r="BOA1" s="23"/>
      <c r="BOB1" s="23"/>
      <c r="BOC1" s="23"/>
      <c r="BOD1" s="23"/>
      <c r="BOE1" s="23"/>
      <c r="BOF1" s="23"/>
      <c r="BOG1" s="23"/>
      <c r="BOH1" s="23"/>
      <c r="BOI1" s="23"/>
      <c r="BOJ1" s="23"/>
      <c r="BOK1" s="23"/>
      <c r="BOL1" s="23"/>
      <c r="BOM1" s="23"/>
      <c r="BON1" s="23"/>
      <c r="BOO1" s="23"/>
      <c r="BOP1" s="23"/>
      <c r="BOQ1" s="23"/>
      <c r="BOR1" s="23"/>
      <c r="BOS1" s="23"/>
      <c r="BOT1" s="23"/>
      <c r="BOU1" s="23"/>
      <c r="BOV1" s="23"/>
      <c r="BOW1" s="23"/>
      <c r="BOX1" s="23"/>
      <c r="BOY1" s="23"/>
      <c r="BOZ1" s="23"/>
      <c r="BPA1" s="23"/>
      <c r="BPB1" s="23"/>
      <c r="BPC1" s="23"/>
      <c r="BPD1" s="23"/>
      <c r="BPE1" s="23"/>
      <c r="BPF1" s="23"/>
      <c r="BPG1" s="23"/>
      <c r="BPH1" s="23"/>
      <c r="BPI1" s="23"/>
      <c r="BPJ1" s="23"/>
      <c r="BPK1" s="23"/>
      <c r="BPL1" s="23"/>
      <c r="BPM1" s="23"/>
      <c r="BPN1" s="23"/>
      <c r="BPO1" s="23"/>
      <c r="BPP1" s="23"/>
      <c r="BPQ1" s="23"/>
      <c r="BPR1" s="23"/>
      <c r="BPS1" s="23"/>
      <c r="BPT1" s="23"/>
      <c r="BPU1" s="23"/>
      <c r="BPV1" s="23"/>
      <c r="BPW1" s="23"/>
      <c r="BPX1" s="23"/>
      <c r="BPY1" s="23"/>
      <c r="BPZ1" s="23"/>
      <c r="BQA1" s="23"/>
      <c r="BQB1" s="23"/>
      <c r="BQC1" s="23"/>
      <c r="BQD1" s="23"/>
      <c r="BQE1" s="23"/>
      <c r="BQF1" s="23"/>
      <c r="BQG1" s="23"/>
      <c r="BQH1" s="23"/>
      <c r="BQI1" s="23"/>
      <c r="BQJ1" s="23"/>
      <c r="BQK1" s="23"/>
      <c r="BQL1" s="23"/>
      <c r="BQM1" s="23"/>
      <c r="BQN1" s="23"/>
      <c r="BQO1" s="23"/>
      <c r="BQP1" s="23"/>
      <c r="BQQ1" s="23"/>
      <c r="BQR1" s="23"/>
      <c r="BQS1" s="23"/>
      <c r="BQT1" s="23"/>
      <c r="BQU1" s="23"/>
      <c r="BQV1" s="23"/>
      <c r="BQW1" s="23"/>
      <c r="BQX1" s="23"/>
      <c r="BQY1" s="23"/>
      <c r="BQZ1" s="23"/>
      <c r="BRA1" s="23"/>
      <c r="BRB1" s="23"/>
      <c r="BRC1" s="23"/>
      <c r="BRD1" s="23"/>
      <c r="BRE1" s="23"/>
      <c r="BRF1" s="23"/>
      <c r="BRG1" s="23"/>
      <c r="BRH1" s="23"/>
      <c r="BRI1" s="23"/>
      <c r="BRJ1" s="23"/>
      <c r="BRK1" s="23"/>
      <c r="BRL1" s="23"/>
      <c r="BRM1" s="23"/>
      <c r="BRN1" s="23"/>
      <c r="BRO1" s="23"/>
      <c r="BRP1" s="23"/>
      <c r="BRQ1" s="23"/>
      <c r="BRR1" s="23"/>
      <c r="BRS1" s="23"/>
      <c r="BRT1" s="23"/>
      <c r="BRU1" s="23"/>
      <c r="BRV1" s="23"/>
      <c r="BRW1" s="23"/>
      <c r="BRX1" s="23"/>
      <c r="BRY1" s="23"/>
      <c r="BRZ1" s="23"/>
      <c r="BSA1" s="23"/>
      <c r="BSB1" s="23"/>
      <c r="BSC1" s="23"/>
      <c r="BSD1" s="23"/>
      <c r="BSE1" s="23"/>
      <c r="BSF1" s="23"/>
      <c r="BSG1" s="23"/>
      <c r="BSH1" s="23"/>
      <c r="BSI1" s="23"/>
      <c r="BSJ1" s="23"/>
      <c r="BSK1" s="23"/>
      <c r="BSL1" s="23"/>
      <c r="BSM1" s="23"/>
      <c r="BSN1" s="23"/>
      <c r="BSO1" s="23"/>
      <c r="BSP1" s="23"/>
      <c r="BSQ1" s="23"/>
      <c r="BSR1" s="23"/>
      <c r="BSS1" s="23"/>
      <c r="BST1" s="23"/>
      <c r="BSU1" s="23"/>
      <c r="BSV1" s="23"/>
      <c r="BSW1" s="23"/>
      <c r="BSX1" s="23"/>
      <c r="BSY1" s="23"/>
      <c r="BSZ1" s="23"/>
      <c r="BTA1" s="23"/>
      <c r="BTB1" s="23"/>
      <c r="BTC1" s="23"/>
      <c r="BTD1" s="23"/>
      <c r="BTE1" s="23"/>
      <c r="BTF1" s="23"/>
      <c r="BTG1" s="23"/>
      <c r="BTH1" s="23"/>
      <c r="BTI1" s="23"/>
      <c r="BTJ1" s="23"/>
      <c r="BTK1" s="23"/>
      <c r="BTL1" s="23"/>
      <c r="BTM1" s="23"/>
      <c r="BTN1" s="23"/>
      <c r="BTO1" s="23"/>
      <c r="BTP1" s="23"/>
      <c r="BTQ1" s="23"/>
      <c r="BTR1" s="23"/>
      <c r="BTS1" s="23"/>
      <c r="BTT1" s="23"/>
      <c r="BTU1" s="23"/>
      <c r="BTV1" s="23"/>
      <c r="BTW1" s="23"/>
      <c r="BTX1" s="23"/>
      <c r="BTY1" s="23"/>
      <c r="BTZ1" s="23"/>
      <c r="BUA1" s="23"/>
      <c r="BUB1" s="23"/>
      <c r="BUC1" s="22" t="s">
        <v>1286</v>
      </c>
      <c r="BUD1" s="22" t="s">
        <v>1227</v>
      </c>
      <c r="BUE1" s="22" t="s">
        <v>1228</v>
      </c>
      <c r="BUF1" s="23" t="s">
        <v>1229</v>
      </c>
      <c r="BUG1" s="22" t="s">
        <v>1230</v>
      </c>
      <c r="BUH1" s="23"/>
      <c r="BUI1" s="23"/>
      <c r="BUJ1" s="23"/>
      <c r="BUK1" s="23"/>
      <c r="BUL1" s="23"/>
      <c r="BUM1" s="23"/>
      <c r="BUN1" s="23"/>
      <c r="BUO1" s="23"/>
      <c r="BUP1" s="23"/>
      <c r="BUQ1" s="23"/>
      <c r="BUR1" s="23"/>
      <c r="BUS1" s="23"/>
      <c r="BUT1" s="23"/>
      <c r="BUU1" s="23"/>
      <c r="BUV1" s="23"/>
      <c r="BUW1" s="23"/>
      <c r="BUX1" s="23"/>
      <c r="BUY1" s="23"/>
      <c r="BUZ1" s="23"/>
      <c r="BVA1" s="23"/>
      <c r="BVB1" s="23"/>
      <c r="BVC1" s="23"/>
      <c r="BVD1" s="23"/>
      <c r="BVE1" s="23"/>
      <c r="BVF1" s="23"/>
      <c r="BVG1" s="23"/>
      <c r="BVH1" s="23"/>
      <c r="BVI1" s="23"/>
      <c r="BVJ1" s="23"/>
      <c r="BVK1" s="23"/>
      <c r="BVL1" s="23"/>
      <c r="BVM1" s="23"/>
      <c r="BVN1" s="23"/>
      <c r="BVO1" s="23"/>
      <c r="BVP1" s="23"/>
      <c r="BVQ1" s="23"/>
      <c r="BVR1" s="23"/>
      <c r="BVS1" s="23"/>
      <c r="BVT1" s="23"/>
      <c r="BVU1" s="23"/>
      <c r="BVV1" s="23"/>
      <c r="BVW1" s="23"/>
      <c r="BVX1" s="23"/>
      <c r="BVY1" s="23"/>
      <c r="BVZ1" s="23"/>
      <c r="BWA1" s="23"/>
      <c r="BWB1" s="23"/>
      <c r="BWC1" s="23"/>
      <c r="BWD1" s="23"/>
      <c r="BWE1" s="23"/>
      <c r="BWF1" s="23"/>
      <c r="BWG1" s="23"/>
      <c r="BWH1" s="23"/>
      <c r="BWI1" s="23"/>
      <c r="BWJ1" s="23"/>
      <c r="BWK1" s="23"/>
      <c r="BWL1" s="23"/>
      <c r="BWM1" s="23"/>
      <c r="BWN1" s="23"/>
      <c r="BWO1" s="23"/>
      <c r="BWP1" s="23"/>
      <c r="BWQ1" s="23"/>
      <c r="BWR1" s="23"/>
      <c r="BWS1" s="23"/>
      <c r="BWT1" s="23"/>
      <c r="BWU1" s="23"/>
      <c r="BWV1" s="23"/>
      <c r="BWW1" s="23"/>
      <c r="BWX1" s="23"/>
      <c r="BWY1" s="23"/>
      <c r="BWZ1" s="23"/>
      <c r="BXA1" s="23"/>
      <c r="BXB1" s="23"/>
      <c r="BXC1" s="23"/>
      <c r="BXD1" s="23"/>
      <c r="BXE1" s="23"/>
      <c r="BXF1" s="23"/>
      <c r="BXG1" s="23"/>
      <c r="BXH1" s="23"/>
      <c r="BXI1" s="23"/>
      <c r="BXJ1" s="23"/>
      <c r="BXK1" s="23"/>
      <c r="BXL1" s="23"/>
      <c r="BXM1" s="23"/>
      <c r="BXN1" s="23"/>
      <c r="BXO1" s="23"/>
      <c r="BXP1" s="23"/>
      <c r="BXQ1" s="23"/>
      <c r="BXR1" s="23"/>
      <c r="BXS1" s="23"/>
      <c r="BXT1" s="23"/>
      <c r="BXU1" s="23"/>
      <c r="BXV1" s="23"/>
      <c r="BXW1" s="23"/>
      <c r="BXX1" s="23"/>
      <c r="BXY1" s="22" t="s">
        <v>1287</v>
      </c>
      <c r="BXZ1" s="22" t="s">
        <v>1227</v>
      </c>
      <c r="BYA1" s="22" t="s">
        <v>1228</v>
      </c>
      <c r="BYB1" s="23" t="s">
        <v>1229</v>
      </c>
      <c r="BYC1" s="22" t="s">
        <v>1230</v>
      </c>
      <c r="BYD1" s="23" t="s">
        <v>1288</v>
      </c>
      <c r="BYE1" s="23" t="s">
        <v>1289</v>
      </c>
      <c r="BYF1" s="23" t="s">
        <v>1290</v>
      </c>
      <c r="BYG1" s="23" t="s">
        <v>1291</v>
      </c>
      <c r="BYH1" s="23" t="s">
        <v>1292</v>
      </c>
      <c r="BYI1" s="23" t="s">
        <v>1293</v>
      </c>
      <c r="BYJ1" s="23" t="s">
        <v>1294</v>
      </c>
      <c r="BYK1" s="23"/>
      <c r="BYL1" s="23"/>
      <c r="BYM1" s="23"/>
      <c r="BYN1" s="23"/>
      <c r="BYO1" s="23"/>
      <c r="BYP1" s="23"/>
      <c r="BYQ1" s="23"/>
      <c r="BYR1" s="23"/>
      <c r="BYS1" s="23"/>
      <c r="BYT1" s="23"/>
      <c r="BYU1" s="23"/>
      <c r="BYV1" s="23"/>
      <c r="BYW1" s="23"/>
      <c r="BYX1" s="23"/>
      <c r="BYY1" s="23"/>
      <c r="BYZ1" s="23"/>
      <c r="BZA1" s="23"/>
      <c r="BZB1" s="23"/>
      <c r="BZC1" s="23"/>
      <c r="BZD1" s="23"/>
      <c r="BZE1" s="23"/>
      <c r="BZF1" s="23"/>
      <c r="BZG1" s="23"/>
      <c r="BZH1" s="23"/>
      <c r="BZI1" s="23"/>
      <c r="BZJ1" s="23"/>
      <c r="BZK1" s="23"/>
      <c r="BZL1" s="23"/>
      <c r="BZM1" s="23"/>
      <c r="BZN1" s="23"/>
      <c r="BZO1" s="23"/>
      <c r="BZP1" s="23"/>
      <c r="BZQ1" s="23"/>
      <c r="BZR1" s="23"/>
      <c r="BZS1" s="23"/>
      <c r="BZT1" s="23"/>
      <c r="BZU1" s="23"/>
      <c r="BZV1" s="23"/>
      <c r="BZW1" s="23"/>
      <c r="BZX1" s="23"/>
      <c r="BZY1" s="23"/>
      <c r="BZZ1" s="23"/>
      <c r="CAA1" s="23"/>
      <c r="CAB1" s="23"/>
      <c r="CAC1" s="23"/>
      <c r="CAD1" s="23"/>
      <c r="CAE1" s="23"/>
      <c r="CAF1" s="23"/>
      <c r="CAG1" s="23"/>
      <c r="CAH1" s="23"/>
      <c r="CAI1" s="23"/>
      <c r="CAJ1" s="23"/>
      <c r="CAK1" s="23"/>
      <c r="CAL1" s="23"/>
      <c r="CAM1" s="23"/>
      <c r="CAN1" s="23"/>
      <c r="CAO1" s="23"/>
      <c r="CAP1" s="23"/>
      <c r="CAQ1" s="23"/>
      <c r="CAR1" s="23"/>
      <c r="CAS1" s="23"/>
      <c r="CAT1" s="23"/>
      <c r="CAU1" s="23"/>
      <c r="CAV1" s="23"/>
      <c r="CAW1" s="23"/>
      <c r="CAX1" s="23"/>
      <c r="CAY1" s="23"/>
      <c r="CAZ1" s="23"/>
      <c r="CBA1" s="23"/>
      <c r="CBB1" s="23"/>
      <c r="CBC1" s="23"/>
      <c r="CBD1" s="23"/>
      <c r="CBE1" s="23"/>
      <c r="CBF1" s="23"/>
      <c r="CBG1" s="23"/>
      <c r="CBH1" s="23"/>
      <c r="CBI1" s="23"/>
      <c r="CBJ1" s="23"/>
      <c r="CBK1" s="23"/>
      <c r="CBL1" s="23"/>
      <c r="CBM1" s="23"/>
      <c r="CBN1" s="23"/>
      <c r="CBO1" s="23"/>
      <c r="CBP1" s="23"/>
      <c r="CBQ1" s="23"/>
      <c r="CBR1" s="23"/>
      <c r="CBS1" s="23"/>
      <c r="CBT1" s="23"/>
      <c r="CBU1" s="22" t="s">
        <v>1295</v>
      </c>
      <c r="CBV1" s="22" t="s">
        <v>1227</v>
      </c>
      <c r="CBW1" s="22" t="s">
        <v>1228</v>
      </c>
      <c r="CBX1" s="23" t="s">
        <v>1229</v>
      </c>
      <c r="CBY1" s="22" t="s">
        <v>1230</v>
      </c>
      <c r="CBZ1" s="23"/>
      <c r="CCA1" s="23"/>
      <c r="CCB1" s="23"/>
      <c r="CCC1" s="23"/>
      <c r="CFQ1" s="22" t="s">
        <v>1296</v>
      </c>
      <c r="CFR1" s="22" t="s">
        <v>1227</v>
      </c>
      <c r="CFS1" s="22" t="s">
        <v>1228</v>
      </c>
      <c r="CFT1" s="23" t="s">
        <v>1229</v>
      </c>
      <c r="CFU1" s="22" t="s">
        <v>1230</v>
      </c>
      <c r="CJM1" s="22" t="s">
        <v>1297</v>
      </c>
      <c r="CJN1" s="22" t="s">
        <v>1227</v>
      </c>
      <c r="CJO1" s="22" t="s">
        <v>1228</v>
      </c>
      <c r="CJP1" s="23" t="s">
        <v>1229</v>
      </c>
      <c r="CJQ1" s="22" t="s">
        <v>1230</v>
      </c>
      <c r="CJR1" s="22" t="s">
        <v>1298</v>
      </c>
      <c r="CJS1" s="23" t="s">
        <v>1299</v>
      </c>
      <c r="CJT1" s="23" t="s">
        <v>1300</v>
      </c>
      <c r="CJU1" s="23" t="s">
        <v>1301</v>
      </c>
      <c r="CJV1" s="23" t="s">
        <v>1302</v>
      </c>
      <c r="CJW1" s="23" t="s">
        <v>1303</v>
      </c>
      <c r="CJX1" s="23" t="s">
        <v>1304</v>
      </c>
      <c r="CJY1" s="23" t="s">
        <v>1305</v>
      </c>
      <c r="CJZ1" s="23" t="s">
        <v>1306</v>
      </c>
      <c r="CKA1" s="23" t="s">
        <v>1307</v>
      </c>
      <c r="CKB1" s="23" t="s">
        <v>1308</v>
      </c>
      <c r="CKC1" s="23" t="s">
        <v>1309</v>
      </c>
      <c r="CKD1" s="23" t="s">
        <v>1310</v>
      </c>
      <c r="CKE1" s="23" t="s">
        <v>1311</v>
      </c>
      <c r="CKF1" s="23" t="s">
        <v>1312</v>
      </c>
      <c r="CKG1" s="23" t="s">
        <v>1313</v>
      </c>
      <c r="CKH1" s="23" t="s">
        <v>1314</v>
      </c>
      <c r="CKI1" s="23" t="s">
        <v>1315</v>
      </c>
      <c r="CKJ1" s="23" t="s">
        <v>1316</v>
      </c>
      <c r="CKK1" s="23" t="s">
        <v>1317</v>
      </c>
      <c r="CKL1" s="23" t="s">
        <v>1318</v>
      </c>
      <c r="CKM1" s="23" t="s">
        <v>1319</v>
      </c>
      <c r="CKN1" s="23" t="s">
        <v>1320</v>
      </c>
      <c r="CKO1" s="23" t="s">
        <v>1321</v>
      </c>
      <c r="CKP1" s="23" t="s">
        <v>1322</v>
      </c>
      <c r="CKQ1" s="23" t="s">
        <v>1323</v>
      </c>
      <c r="CKR1" s="23" t="s">
        <v>1324</v>
      </c>
      <c r="CKS1" s="23" t="s">
        <v>1325</v>
      </c>
      <c r="CKT1" s="23" t="s">
        <v>1326</v>
      </c>
      <c r="CKU1" s="23" t="s">
        <v>1327</v>
      </c>
      <c r="CKV1" s="23" t="s">
        <v>1328</v>
      </c>
      <c r="CKW1" s="23" t="s">
        <v>1329</v>
      </c>
      <c r="CKX1" s="23" t="s">
        <v>1330</v>
      </c>
      <c r="CKY1" s="23" t="s">
        <v>1331</v>
      </c>
      <c r="CKZ1" s="23" t="s">
        <v>1332</v>
      </c>
      <c r="CLA1" s="23" t="s">
        <v>1333</v>
      </c>
      <c r="CLB1" s="23" t="s">
        <v>1334</v>
      </c>
      <c r="CLC1" s="23" t="s">
        <v>1335</v>
      </c>
      <c r="CLD1" s="23" t="s">
        <v>1336</v>
      </c>
      <c r="CLE1" s="23" t="s">
        <v>1337</v>
      </c>
      <c r="CLF1" s="23" t="s">
        <v>1338</v>
      </c>
      <c r="CLG1" s="23"/>
      <c r="CLH1" s="23"/>
      <c r="CLI1" s="23"/>
      <c r="CLJ1" s="23"/>
      <c r="CLK1" s="23"/>
      <c r="CLL1" s="23"/>
      <c r="CLM1" s="23"/>
      <c r="CNI1" s="22" t="s">
        <v>1339</v>
      </c>
      <c r="CNJ1" s="22" t="s">
        <v>1227</v>
      </c>
      <c r="CNK1" s="22" t="s">
        <v>1228</v>
      </c>
      <c r="CNL1" s="23" t="s">
        <v>1229</v>
      </c>
      <c r="CNM1" s="22" t="s">
        <v>1230</v>
      </c>
      <c r="CNN1" s="25" t="s">
        <v>1340</v>
      </c>
      <c r="CNO1" s="25" t="s">
        <v>1341</v>
      </c>
      <c r="CNP1" s="25" t="s">
        <v>1342</v>
      </c>
      <c r="CNQ1" s="25" t="s">
        <v>1343</v>
      </c>
      <c r="CNR1" s="25" t="s">
        <v>1344</v>
      </c>
      <c r="CNS1" s="25" t="s">
        <v>1024</v>
      </c>
      <c r="CNT1" s="25" t="s">
        <v>1345</v>
      </c>
      <c r="CNU1" s="25" t="s">
        <v>1346</v>
      </c>
      <c r="CNV1" s="27" t="s">
        <v>1347</v>
      </c>
      <c r="CNW1" s="23" t="s">
        <v>1348</v>
      </c>
      <c r="CNX1" s="23" t="s">
        <v>1349</v>
      </c>
      <c r="CNY1" s="23" t="s">
        <v>1350</v>
      </c>
      <c r="CNZ1" s="23" t="s">
        <v>1351</v>
      </c>
      <c r="COA1" s="23" t="s">
        <v>1351</v>
      </c>
      <c r="COB1" s="23" t="s">
        <v>1351</v>
      </c>
      <c r="CRE1" s="22" t="s">
        <v>1352</v>
      </c>
      <c r="CRF1" s="22" t="s">
        <v>1227</v>
      </c>
      <c r="CRG1" s="22" t="s">
        <v>1228</v>
      </c>
      <c r="CRH1" s="23" t="s">
        <v>1229</v>
      </c>
      <c r="CRI1" s="22" t="s">
        <v>1230</v>
      </c>
      <c r="CRJ1" s="23" t="s">
        <v>1299</v>
      </c>
      <c r="CRK1" s="23" t="s">
        <v>1303</v>
      </c>
      <c r="CRL1" s="28" t="s">
        <v>1280</v>
      </c>
      <c r="CRM1" s="28" t="s">
        <v>1281</v>
      </c>
      <c r="CRO1" s="25"/>
      <c r="CRP1" s="25"/>
      <c r="CRQ1" s="25"/>
      <c r="CRR1" s="27"/>
      <c r="CRS1" s="23"/>
      <c r="CRT1" s="23"/>
      <c r="CRU1" s="23"/>
      <c r="CRV1" s="23"/>
      <c r="CRW1" s="23"/>
      <c r="CRX1" s="23"/>
      <c r="CVA1" s="22" t="s">
        <v>1353</v>
      </c>
      <c r="CVB1" s="22" t="s">
        <v>1227</v>
      </c>
      <c r="CVC1" s="22" t="s">
        <v>1228</v>
      </c>
      <c r="CVD1" s="23" t="s">
        <v>1229</v>
      </c>
      <c r="CVE1" s="22" t="s">
        <v>1230</v>
      </c>
      <c r="CVF1" s="22" t="s">
        <v>1354</v>
      </c>
      <c r="CVG1" s="22" t="s">
        <v>1355</v>
      </c>
      <c r="CVH1" s="22" t="s">
        <v>1356</v>
      </c>
      <c r="CVI1" s="22" t="s">
        <v>1357</v>
      </c>
      <c r="CVJ1" s="22" t="s">
        <v>1358</v>
      </c>
      <c r="CVK1" s="22" t="s">
        <v>1359</v>
      </c>
      <c r="CVL1" s="23"/>
      <c r="CVM1" s="23"/>
      <c r="CVN1" s="23"/>
      <c r="CVO1" s="23"/>
      <c r="CVP1" s="23"/>
      <c r="CVQ1" s="23"/>
      <c r="CVR1" s="23"/>
      <c r="CVS1" s="23"/>
      <c r="CVT1" s="23"/>
      <c r="CVU1" s="23"/>
      <c r="CVV1" s="23"/>
      <c r="CVW1" s="23"/>
      <c r="CVX1" s="23"/>
      <c r="CVY1" s="23"/>
      <c r="CVZ1" s="23"/>
      <c r="CWA1" s="23"/>
      <c r="CWB1" s="23"/>
      <c r="CWC1" s="23"/>
      <c r="CWD1" s="23"/>
      <c r="CWE1" s="23"/>
      <c r="CWF1" s="23"/>
      <c r="CWG1" s="23"/>
      <c r="CWH1" s="23"/>
      <c r="CWI1" s="23"/>
      <c r="CWJ1" s="23"/>
      <c r="CWK1" s="23"/>
      <c r="CWL1" s="23"/>
      <c r="CWM1" s="23"/>
      <c r="CWN1" s="23"/>
      <c r="CWO1" s="23"/>
      <c r="CWP1" s="23"/>
      <c r="CWQ1" s="23"/>
      <c r="CWR1" s="23"/>
      <c r="CWS1" s="23"/>
      <c r="CWT1" s="23"/>
    </row>
    <row r="2" spans="1:2646" x14ac:dyDescent="0.25">
      <c r="CNI2" t="s">
        <v>1362</v>
      </c>
      <c r="CNJ2" t="str">
        <f ca="1">SUBSTITUTE(MID(_xlfn.FORMULATEXT(CNM2),2,FIND("!",_xlfn.FORMULATEXT(CNM2),1)-2), "'","")</f>
        <v>New Sankey</v>
      </c>
      <c r="CNK2">
        <f ca="1">_xlfn.SHEET( 'New Sankey'!$NTP$1000000)</f>
        <v>5</v>
      </c>
      <c r="CNM2">
        <f>'New Sankey'!$NTP$1000000</f>
        <v>0</v>
      </c>
      <c r="CNN2" s="34"/>
      <c r="CNO2" s="35"/>
      <c r="CNP2" s="35"/>
      <c r="CNQ2" s="35">
        <v>1</v>
      </c>
      <c r="CNR2" s="35"/>
      <c r="CNS2" s="35">
        <f>CNP3</f>
        <v>2723028.4667999996</v>
      </c>
      <c r="CNT2" s="35">
        <v>0</v>
      </c>
      <c r="CNU2" s="35">
        <f>CNS2/2+CNS2/2</f>
        <v>2723028.4667999996</v>
      </c>
      <c r="CNV2" s="26"/>
      <c r="CNW2" s="35">
        <f>(CNU2/2)-(CNU2/2)*6/100</f>
        <v>1279823.3793959997</v>
      </c>
      <c r="CNX2" s="36">
        <f>(CNU2/2)+(CNU2/2)*7/100</f>
        <v>1456820.2297379998</v>
      </c>
      <c r="CNY2" s="37"/>
      <c r="CNZ2" s="26"/>
    </row>
    <row r="3" spans="1:2646" x14ac:dyDescent="0.25">
      <c r="CNI3" t="s">
        <v>1362</v>
      </c>
      <c r="CNJ3" t="str">
        <f t="shared" ref="CNJ3:CNJ10" ca="1" si="0">SUBSTITUTE(MID(_xlfn.FORMULATEXT(CNM3),2,FIND("!",_xlfn.FORMULATEXT(CNM3),1)-2), "'","")</f>
        <v>New Sankey</v>
      </c>
      <c r="CNK3">
        <f ca="1">_xlfn.SHEET( 'New Sankey'!$NTP$1000000)</f>
        <v>5</v>
      </c>
      <c r="CNM3">
        <f>'New Sankey'!$NTP$1000000</f>
        <v>0</v>
      </c>
      <c r="CNN3" s="38">
        <v>12345678</v>
      </c>
      <c r="CNO3" s="35" t="str">
        <f>'New Sankey'!$K$2</f>
        <v>Aster PPK</v>
      </c>
      <c r="CNP3" s="46">
        <f>'New Sankey'!$L$2</f>
        <v>2723028.4667999996</v>
      </c>
      <c r="CNQ3" s="35">
        <f>CNQ2+1</f>
        <v>2</v>
      </c>
      <c r="CNR3" s="35" t="str">
        <f>CONCATENATE(CNO3," ",CNP3)</f>
        <v>Aster PPK 2723028.4668</v>
      </c>
      <c r="CNS3" s="35">
        <f>CNP3</f>
        <v>2723028.4667999996</v>
      </c>
      <c r="CNT3" s="35">
        <f>CNS2/2-CNS3/2</f>
        <v>0</v>
      </c>
      <c r="CNU3" s="35">
        <f>CNS2/2+CNS3/2</f>
        <v>2723028.4667999996</v>
      </c>
      <c r="CNV3" s="34">
        <f>CNQ2+1/2</f>
        <v>1.5</v>
      </c>
      <c r="CNW3" s="35">
        <f>CNW2</f>
        <v>1279823.3793959997</v>
      </c>
      <c r="CNX3" s="35">
        <f>CNX2</f>
        <v>1456820.2297379998</v>
      </c>
      <c r="CNY3" s="39">
        <f>CNS3/CNS2</f>
        <v>1</v>
      </c>
      <c r="CNZ3" s="26"/>
    </row>
    <row r="4" spans="1:2646" x14ac:dyDescent="0.25">
      <c r="CNI4" t="s">
        <v>1362</v>
      </c>
      <c r="CNJ4" t="str">
        <f t="shared" ca="1" si="0"/>
        <v>New Sankey</v>
      </c>
      <c r="CNK4">
        <f ca="1">_xlfn.SHEET( 'New Sankey'!$NTP$1000000)</f>
        <v>5</v>
      </c>
      <c r="CNM4">
        <f>'New Sankey'!$NTP$1000000</f>
        <v>0</v>
      </c>
      <c r="CNN4" s="40">
        <v>12345678</v>
      </c>
      <c r="CNO4" s="35" t="str">
        <f>'New Sankey'!$K$3</f>
        <v>Cantor Asia Media</v>
      </c>
      <c r="CNP4" s="46">
        <f>'New Sankey'!$L$3</f>
        <v>1746051.3833999997</v>
      </c>
      <c r="CNQ4" s="35">
        <f t="shared" ref="CNQ4:CNQ9" si="1">CNQ3+1</f>
        <v>3</v>
      </c>
      <c r="CNR4" s="35" t="str">
        <f>CONCATENATE(CNO4," ",CNP4)</f>
        <v>Cantor Asia Media 1746051.3834</v>
      </c>
      <c r="CNS4" s="35">
        <f>CNP4</f>
        <v>1746051.3833999997</v>
      </c>
      <c r="CNT4" s="35">
        <f>CNS2/2-CNS4/2</f>
        <v>488488.54169999994</v>
      </c>
      <c r="CNU4" s="35">
        <f>CNS2/2+CNS4/2</f>
        <v>2234539.9250999996</v>
      </c>
      <c r="CNV4" s="34">
        <f t="shared" ref="CNV4:CNV9" si="2">CNQ3+1/2</f>
        <v>2.5</v>
      </c>
      <c r="CNW4" s="35">
        <f t="shared" ref="CNW4:CNX9" si="3">CNW3</f>
        <v>1279823.3793959997</v>
      </c>
      <c r="CNX4" s="35">
        <f t="shared" si="3"/>
        <v>1456820.2297379998</v>
      </c>
      <c r="CNY4" s="39">
        <f>CNS4/CNS2</f>
        <v>0.6412167205331839</v>
      </c>
      <c r="CNZ4" s="26"/>
    </row>
    <row r="5" spans="1:2646" x14ac:dyDescent="0.25">
      <c r="CNI5" t="s">
        <v>1362</v>
      </c>
      <c r="CNJ5" t="str">
        <f t="shared" ca="1" si="0"/>
        <v>New Sankey</v>
      </c>
      <c r="CNK5">
        <f ca="1">_xlfn.SHEET( 'New Sankey'!$NTP$1000000)</f>
        <v>5</v>
      </c>
      <c r="CNM5">
        <f>'New Sankey'!$NTP$1000000</f>
        <v>0</v>
      </c>
      <c r="CNN5" s="41">
        <v>12345678</v>
      </c>
      <c r="CNO5" s="35" t="str">
        <f>'New Sankey'!$K$4</f>
        <v>Geoffrey Monty Allen</v>
      </c>
      <c r="CNP5" s="46">
        <f>'New Sankey'!$L$4</f>
        <v>920570.1642</v>
      </c>
      <c r="CNQ5" s="35">
        <f t="shared" si="1"/>
        <v>4</v>
      </c>
      <c r="CNR5" s="35" t="str">
        <f>CONCATENATE(CNO5," ",CNP5)</f>
        <v>Geoffrey Monty Allen 920570.1642</v>
      </c>
      <c r="CNS5" s="35">
        <f>CNP5</f>
        <v>920570.1642</v>
      </c>
      <c r="CNT5" s="35">
        <f>CNS2/2-CNS5/2</f>
        <v>901229.15129999979</v>
      </c>
      <c r="CNU5" s="35">
        <f>CNS2/2+CNS5/2</f>
        <v>1821799.3154999998</v>
      </c>
      <c r="CNV5" s="34">
        <f t="shared" si="2"/>
        <v>3.5</v>
      </c>
      <c r="CNW5" s="35">
        <f t="shared" si="3"/>
        <v>1279823.3793959997</v>
      </c>
      <c r="CNX5" s="35">
        <f t="shared" si="3"/>
        <v>1456820.2297379998</v>
      </c>
      <c r="CNY5" s="39">
        <f>CNS5/CNS2</f>
        <v>0.33806850549815198</v>
      </c>
      <c r="CNZ5" s="26"/>
    </row>
    <row r="6" spans="1:2646" x14ac:dyDescent="0.25">
      <c r="CNI6" t="s">
        <v>1362</v>
      </c>
      <c r="CNJ6" t="str">
        <f t="shared" ca="1" si="0"/>
        <v>New Sankey</v>
      </c>
      <c r="CNK6">
        <f ca="1">_xlfn.SHEET( 'New Sankey'!$NTP$1000000)</f>
        <v>5</v>
      </c>
      <c r="CNM6">
        <f>'New Sankey'!$NTP$1000000</f>
        <v>0</v>
      </c>
      <c r="CNN6" s="42">
        <v>12345678</v>
      </c>
      <c r="CNO6" s="35" t="str">
        <f>'New Sankey'!$K$5</f>
        <v>Idea Manufacturing</v>
      </c>
      <c r="CNP6" s="46">
        <f>'New Sankey'!$L$5</f>
        <v>0</v>
      </c>
      <c r="CNQ6" s="35">
        <f t="shared" si="1"/>
        <v>5</v>
      </c>
      <c r="CNR6" s="35" t="str">
        <f t="shared" ref="CNR6:CNR9" si="4">CONCATENATE(CNO6," ",CNP6)</f>
        <v>Idea Manufacturing 0</v>
      </c>
      <c r="CNS6" s="35">
        <f t="shared" ref="CNS6:CNS9" si="5">CNP6</f>
        <v>0</v>
      </c>
      <c r="CNT6" s="35">
        <f>CNS2/2-CNS6/2</f>
        <v>1361514.2333999998</v>
      </c>
      <c r="CNU6" s="35">
        <f>CNS2/2+CNS6/2</f>
        <v>1361514.2333999998</v>
      </c>
      <c r="CNV6" s="34">
        <f t="shared" si="2"/>
        <v>4.5</v>
      </c>
      <c r="CNW6" s="35">
        <f t="shared" si="3"/>
        <v>1279823.3793959997</v>
      </c>
      <c r="CNX6" s="35">
        <f t="shared" si="3"/>
        <v>1456820.2297379998</v>
      </c>
      <c r="CNY6" s="39">
        <f>CNS6/CNS2</f>
        <v>0</v>
      </c>
      <c r="CNZ6" s="26"/>
    </row>
    <row r="7" spans="1:2646" x14ac:dyDescent="0.25">
      <c r="CNI7" t="s">
        <v>1362</v>
      </c>
      <c r="CNJ7" t="str">
        <f t="shared" ca="1" si="0"/>
        <v>New Sankey</v>
      </c>
      <c r="CNK7">
        <f ca="1">_xlfn.SHEET( 'New Sankey'!$NTP$1000000)</f>
        <v>5</v>
      </c>
      <c r="CNM7">
        <f>'New Sankey'!$NTP$1000000</f>
        <v>0</v>
      </c>
      <c r="CNN7" s="43">
        <v>12345678</v>
      </c>
      <c r="CNO7" s="35" t="str">
        <f>'New Sankey'!$K$6</f>
        <v>Korea SMB</v>
      </c>
      <c r="CNP7" s="46">
        <f>'New Sankey'!$L$6</f>
        <v>1691093.3244999999</v>
      </c>
      <c r="CNQ7" s="35">
        <f t="shared" si="1"/>
        <v>6</v>
      </c>
      <c r="CNR7" s="35" t="str">
        <f t="shared" si="4"/>
        <v>Korea SMB 1691093.3245</v>
      </c>
      <c r="CNS7" s="35">
        <f t="shared" si="5"/>
        <v>1691093.3244999999</v>
      </c>
      <c r="CNT7" s="35">
        <f>CNS2/2-CNS7/2</f>
        <v>515967.57114999986</v>
      </c>
      <c r="CNU7" s="35">
        <f>CNS2/2+CNS7/2</f>
        <v>2207060.8956499998</v>
      </c>
      <c r="CNV7" s="34">
        <f t="shared" si="2"/>
        <v>5.5</v>
      </c>
      <c r="CNW7" s="35">
        <f t="shared" si="3"/>
        <v>1279823.3793959997</v>
      </c>
      <c r="CNX7" s="35">
        <f t="shared" si="3"/>
        <v>1456820.2297379998</v>
      </c>
      <c r="CNY7" s="39">
        <f>CNS7/CNS2</f>
        <v>0.62103402337446334</v>
      </c>
      <c r="CNZ7" s="26"/>
    </row>
    <row r="8" spans="1:2646" x14ac:dyDescent="0.25">
      <c r="CNI8" t="s">
        <v>1362</v>
      </c>
      <c r="CNJ8" t="str">
        <f t="shared" ca="1" si="0"/>
        <v>New Sankey</v>
      </c>
      <c r="CNK8">
        <f ca="1">_xlfn.SHEET( 'New Sankey'!$NTP$1000000)</f>
        <v>5</v>
      </c>
      <c r="CNM8">
        <f>'New Sankey'!$NTP$1000000</f>
        <v>0</v>
      </c>
      <c r="CNN8" s="44">
        <v>12345678</v>
      </c>
      <c r="CNO8" s="35" t="str">
        <f>'New Sankey'!$K$7</f>
        <v>Last Station Group</v>
      </c>
      <c r="CNP8" s="46">
        <f>'New Sankey'!$L$7</f>
        <v>1378028.8352999999</v>
      </c>
      <c r="CNQ8" s="35">
        <f t="shared" si="1"/>
        <v>7</v>
      </c>
      <c r="CNR8" s="35" t="str">
        <f t="shared" si="4"/>
        <v>Last Station Group 1378028.8353</v>
      </c>
      <c r="CNS8" s="35">
        <f t="shared" si="5"/>
        <v>1378028.8352999999</v>
      </c>
      <c r="CNT8" s="35">
        <f>CNS2/2-CNS8/2</f>
        <v>672499.81574999983</v>
      </c>
      <c r="CNU8" s="35">
        <f>CNS2/2+CNS8/2</f>
        <v>2050528.6510499998</v>
      </c>
      <c r="CNV8" s="34">
        <f t="shared" si="2"/>
        <v>6.5</v>
      </c>
      <c r="CNW8" s="35">
        <f t="shared" si="3"/>
        <v>1279823.3793959997</v>
      </c>
      <c r="CNX8" s="35">
        <f t="shared" si="3"/>
        <v>1456820.2297379998</v>
      </c>
      <c r="CNY8" s="39">
        <f>CNS8/CNS2</f>
        <v>0.50606479223458412</v>
      </c>
      <c r="CNZ8" s="26"/>
    </row>
    <row r="9" spans="1:2646" x14ac:dyDescent="0.25">
      <c r="CNI9" t="s">
        <v>1362</v>
      </c>
      <c r="CNJ9" t="str">
        <f t="shared" ca="1" si="0"/>
        <v>New Sankey</v>
      </c>
      <c r="CNK9">
        <f ca="1">_xlfn.SHEET( 'New Sankey'!$NTP$1000000)</f>
        <v>5</v>
      </c>
      <c r="CNM9">
        <f>'New Sankey'!$NTP$1000000</f>
        <v>0</v>
      </c>
      <c r="CNN9" s="45">
        <v>12345678</v>
      </c>
      <c r="CNO9" s="35" t="str">
        <f>'New Sankey'!$K$8</f>
        <v>Top Notch Creative</v>
      </c>
      <c r="CNP9" s="46">
        <f>'New Sankey'!$L$8</f>
        <v>1943021.7769000002</v>
      </c>
      <c r="CNQ9" s="35">
        <f t="shared" si="1"/>
        <v>8</v>
      </c>
      <c r="CNR9" s="35" t="str">
        <f t="shared" si="4"/>
        <v>Top Notch Creative 1943021.7769</v>
      </c>
      <c r="CNS9" s="35">
        <f t="shared" si="5"/>
        <v>1943021.7769000002</v>
      </c>
      <c r="CNT9" s="35">
        <f>CNS2/2-CNS9/2</f>
        <v>390003.34494999971</v>
      </c>
      <c r="CNU9" s="35">
        <f>CNS2/2+CNS9/2</f>
        <v>2333025.1218499998</v>
      </c>
      <c r="CNV9" s="34">
        <f t="shared" si="2"/>
        <v>7.5</v>
      </c>
      <c r="CNW9" s="35">
        <f t="shared" si="3"/>
        <v>1279823.3793959997</v>
      </c>
      <c r="CNX9" s="35">
        <f t="shared" si="3"/>
        <v>1456820.2297379998</v>
      </c>
      <c r="CNY9" s="39">
        <f>CNS9/CNS2</f>
        <v>0.71355176803691889</v>
      </c>
      <c r="CNZ9" s="26"/>
    </row>
    <row r="10" spans="1:2646" x14ac:dyDescent="0.25">
      <c r="CNI10" t="s">
        <v>1362</v>
      </c>
      <c r="CNJ10" t="str">
        <f t="shared" ca="1" si="0"/>
        <v>New Sankey</v>
      </c>
      <c r="CNK10">
        <f ca="1">_xlfn.SHEET( 'New Sankey'!$NTP$1000000)</f>
        <v>5</v>
      </c>
      <c r="CNM10">
        <f>'New Sankey'!$NTP$1000000</f>
        <v>0</v>
      </c>
      <c r="CNN10" s="26"/>
      <c r="CNO10" s="35" t="s">
        <v>1363</v>
      </c>
      <c r="CNP10" s="26"/>
      <c r="CNQ10" s="35">
        <f>CNQ9+31/100</f>
        <v>8.31</v>
      </c>
      <c r="CNR10" s="35">
        <f>CNS9</f>
        <v>1943021.7769000002</v>
      </c>
      <c r="CNS10" s="35">
        <f>CNS2/2</f>
        <v>1361514.2333999998</v>
      </c>
      <c r="CNT10" s="26"/>
      <c r="CNU10" s="26"/>
      <c r="CNV10" s="34"/>
      <c r="CNW10" s="26"/>
      <c r="CNX10" s="26"/>
      <c r="CNY10" s="39"/>
      <c r="CNZ10" s="26"/>
    </row>
    <row r="11" spans="1:2646" x14ac:dyDescent="0.25">
      <c r="CNI11" t="s">
        <v>1366</v>
      </c>
      <c r="CNJ11" t="str">
        <f ca="1">SUBSTITUTE(MID(_xlfn.FORMULATEXT(CNM11),2,FIND("!",_xlfn.FORMULATEXT(CNM11),1)-2), "'","")</f>
        <v>New Sankey</v>
      </c>
      <c r="CNK11">
        <f ca="1">_xlfn.SHEET( 'New Sankey'!$NTP$1000000)</f>
        <v>5</v>
      </c>
      <c r="CNM11">
        <f>'New Sankey'!$NTP$1000000</f>
        <v>0</v>
      </c>
      <c r="CNN11" s="34"/>
      <c r="CNO11" s="35"/>
      <c r="CNP11" s="35"/>
      <c r="CNQ11" s="35">
        <v>1</v>
      </c>
      <c r="CNR11" s="35"/>
      <c r="CNS11" s="35">
        <f>CNP12</f>
        <v>10000</v>
      </c>
      <c r="CNT11" s="35">
        <v>0</v>
      </c>
      <c r="CNU11" s="35">
        <f>CNS11/2+CNS11/2</f>
        <v>10000</v>
      </c>
      <c r="CNV11" s="26"/>
      <c r="CNW11" s="35">
        <f>(CNU11/2)-(CNU11/2)*6/100</f>
        <v>4700</v>
      </c>
      <c r="CNX11" s="36">
        <f>(CNU11/2)+(CNU11/2)*7/100</f>
        <v>5350</v>
      </c>
      <c r="CNY11" s="37"/>
      <c r="CNZ11" s="26"/>
    </row>
    <row r="12" spans="1:2646" x14ac:dyDescent="0.25">
      <c r="CNI12" t="s">
        <v>1366</v>
      </c>
      <c r="CNJ12" t="str">
        <f t="shared" ref="CNJ12:CNJ15" ca="1" si="6">SUBSTITUTE(MID(_xlfn.FORMULATEXT(CNM12),2,FIND("!",_xlfn.FORMULATEXT(CNM12),1)-2), "'","")</f>
        <v>New Sankey</v>
      </c>
      <c r="CNK12">
        <f ca="1">_xlfn.SHEET( 'New Sankey'!$NTP$1000000)</f>
        <v>5</v>
      </c>
      <c r="CNM12">
        <f>'New Sankey'!$NTP$1000000</f>
        <v>0</v>
      </c>
      <c r="CNN12" s="38">
        <v>12345678</v>
      </c>
      <c r="CNO12" s="35" t="str">
        <f>'New Sankey'!$H$18</f>
        <v>All Work</v>
      </c>
      <c r="CNP12" s="47">
        <f>'New Sankey'!$I$18</f>
        <v>10000</v>
      </c>
      <c r="CNQ12" s="35">
        <f>CNQ11+1</f>
        <v>2</v>
      </c>
      <c r="CNR12" s="35" t="str">
        <f>CONCATENATE(CNO12," ",CNP12)</f>
        <v>All Work 10000</v>
      </c>
      <c r="CNS12" s="35">
        <f>CNP12</f>
        <v>10000</v>
      </c>
      <c r="CNT12" s="35">
        <f>CNS11/2-CNS12/2</f>
        <v>0</v>
      </c>
      <c r="CNU12" s="35">
        <f>CNS11/2+CNS12/2</f>
        <v>10000</v>
      </c>
      <c r="CNV12" s="34">
        <f>CNQ11+1/2</f>
        <v>1.5</v>
      </c>
      <c r="CNW12" s="35">
        <f>CNW11</f>
        <v>4700</v>
      </c>
      <c r="CNX12" s="35">
        <f>CNX11</f>
        <v>5350</v>
      </c>
      <c r="CNY12" s="39">
        <f>CNS12/CNS11</f>
        <v>1</v>
      </c>
      <c r="CNZ12" s="26"/>
    </row>
    <row r="13" spans="1:2646" x14ac:dyDescent="0.25">
      <c r="CNI13" t="s">
        <v>1366</v>
      </c>
      <c r="CNJ13" t="str">
        <f t="shared" ca="1" si="6"/>
        <v>New Sankey</v>
      </c>
      <c r="CNK13">
        <f ca="1">_xlfn.SHEET( 'New Sankey'!$NTP$1000000)</f>
        <v>5</v>
      </c>
      <c r="CNM13">
        <f>'New Sankey'!$NTP$1000000</f>
        <v>0</v>
      </c>
      <c r="CNN13" s="40">
        <v>12345678</v>
      </c>
      <c r="CNO13" s="35" t="str">
        <f>'New Sankey'!$H$19</f>
        <v>Awarded</v>
      </c>
      <c r="CNP13" s="47">
        <f>'New Sankey'!$I$19</f>
        <v>3000</v>
      </c>
      <c r="CNQ13" s="35">
        <f t="shared" ref="CNQ13:CNQ14" si="7">CNQ12+1</f>
        <v>3</v>
      </c>
      <c r="CNR13" s="35" t="str">
        <f>CONCATENATE(CNO13," ",CNP13)</f>
        <v>Awarded 3000</v>
      </c>
      <c r="CNS13" s="35">
        <f>CNP13</f>
        <v>3000</v>
      </c>
      <c r="CNT13" s="35">
        <f>CNS11/2-CNS13/2</f>
        <v>3500</v>
      </c>
      <c r="CNU13" s="35">
        <f>CNS11/2+CNS13/2</f>
        <v>6500</v>
      </c>
      <c r="CNV13" s="34">
        <f t="shared" ref="CNV13:CNV14" si="8">CNQ12+1/2</f>
        <v>2.5</v>
      </c>
      <c r="CNW13" s="35">
        <f t="shared" ref="CNW13:CNX14" si="9">CNW12</f>
        <v>4700</v>
      </c>
      <c r="CNX13" s="35">
        <f t="shared" si="9"/>
        <v>5350</v>
      </c>
      <c r="CNY13" s="39">
        <f>CNS13/CNS11</f>
        <v>0.3</v>
      </c>
      <c r="CNZ13" s="26"/>
    </row>
    <row r="14" spans="1:2646" x14ac:dyDescent="0.25">
      <c r="CNI14" t="s">
        <v>1366</v>
      </c>
      <c r="CNJ14" t="str">
        <f t="shared" ca="1" si="6"/>
        <v>New Sankey</v>
      </c>
      <c r="CNK14">
        <f ca="1">_xlfn.SHEET( 'New Sankey'!$NTP$1000000)</f>
        <v>5</v>
      </c>
      <c r="CNM14">
        <f>'New Sankey'!$NTP$1000000</f>
        <v>0</v>
      </c>
      <c r="CNN14" s="41">
        <v>12345678</v>
      </c>
      <c r="CNO14" s="35" t="str">
        <f>'New Sankey'!$H$20</f>
        <v>Women</v>
      </c>
      <c r="CNP14" s="47">
        <f>'New Sankey'!$I$20</f>
        <v>254</v>
      </c>
      <c r="CNQ14" s="35">
        <f t="shared" si="7"/>
        <v>4</v>
      </c>
      <c r="CNR14" s="35" t="str">
        <f>CONCATENATE(CNO14," ",CNP14)</f>
        <v>Women 254</v>
      </c>
      <c r="CNS14" s="35">
        <f>CNP14</f>
        <v>254</v>
      </c>
      <c r="CNT14" s="35">
        <f>CNS11/2-CNS14/2</f>
        <v>4873</v>
      </c>
      <c r="CNU14" s="35">
        <f>CNS11/2+CNS14/2</f>
        <v>5127</v>
      </c>
      <c r="CNV14" s="34">
        <f t="shared" si="8"/>
        <v>3.5</v>
      </c>
      <c r="CNW14" s="35">
        <f t="shared" si="9"/>
        <v>4700</v>
      </c>
      <c r="CNX14" s="35">
        <f t="shared" si="9"/>
        <v>5350</v>
      </c>
      <c r="CNY14" s="39">
        <f>CNS14/CNS11</f>
        <v>2.5399999999999999E-2</v>
      </c>
      <c r="CNZ14" s="26"/>
    </row>
    <row r="15" spans="1:2646" x14ac:dyDescent="0.25">
      <c r="CNI15" t="s">
        <v>1366</v>
      </c>
      <c r="CNJ15" t="str">
        <f t="shared" ca="1" si="6"/>
        <v>New Sankey</v>
      </c>
      <c r="CNK15">
        <f ca="1">_xlfn.SHEET( 'New Sankey'!$NTP$1000000)</f>
        <v>5</v>
      </c>
      <c r="CNM15">
        <f>'New Sankey'!$NTP$1000000</f>
        <v>0</v>
      </c>
      <c r="CNN15" s="26"/>
      <c r="CNO15" s="35" t="s">
        <v>1363</v>
      </c>
      <c r="CNP15" s="26"/>
      <c r="CNQ15" s="35">
        <f>CNQ14+31/100</f>
        <v>4.3099999999999996</v>
      </c>
      <c r="CNR15" s="35">
        <f>CNS14</f>
        <v>254</v>
      </c>
      <c r="CNS15" s="35">
        <f>CNS11/2</f>
        <v>5000</v>
      </c>
      <c r="CNT15" s="26"/>
      <c r="CNU15" s="26"/>
      <c r="CNV15" s="34"/>
      <c r="CNW15" s="26"/>
      <c r="CNX15" s="26"/>
      <c r="CNY15" s="39"/>
      <c r="CNZ15" s="26"/>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F459-850E-4C3F-9EE9-913A0C8EC33E}">
  <sheetPr codeName="Sheet2"/>
  <dimension ref="A1:W553"/>
  <sheetViews>
    <sheetView topLeftCell="U1" workbookViewId="0"/>
  </sheetViews>
  <sheetFormatPr defaultRowHeight="15" x14ac:dyDescent="0.25"/>
  <cols>
    <col min="1" max="1" width="22.7109375" bestFit="1" customWidth="1"/>
    <col min="2" max="2" width="11.42578125" bestFit="1" customWidth="1"/>
    <col min="3" max="3" width="13.28515625" bestFit="1" customWidth="1"/>
    <col min="4" max="4" width="27.42578125" bestFit="1" customWidth="1"/>
    <col min="5" max="5" width="17.85546875" bestFit="1" customWidth="1"/>
    <col min="6" max="6" width="23.42578125" bestFit="1" customWidth="1"/>
    <col min="7" max="7" width="27.7109375" bestFit="1" customWidth="1"/>
    <col min="8" max="8" width="23.42578125" bestFit="1" customWidth="1"/>
    <col min="9" max="9" width="49.140625" bestFit="1" customWidth="1"/>
    <col min="10" max="10" width="44.7109375" bestFit="1" customWidth="1"/>
    <col min="11" max="11" width="13.140625" bestFit="1" customWidth="1"/>
    <col min="12" max="12" width="11.7109375" bestFit="1" customWidth="1"/>
    <col min="13" max="13" width="10" bestFit="1" customWidth="1"/>
    <col min="14" max="14" width="13.85546875" bestFit="1" customWidth="1"/>
    <col min="15" max="15" width="28.7109375" bestFit="1" customWidth="1"/>
    <col min="16" max="16" width="30.42578125" bestFit="1" customWidth="1"/>
    <col min="17" max="17" width="26.5703125" bestFit="1" customWidth="1"/>
    <col min="18" max="18" width="28.28515625" bestFit="1" customWidth="1"/>
    <col min="19" max="19" width="27" bestFit="1" customWidth="1"/>
    <col min="20" max="20" width="28.28515625" bestFit="1" customWidth="1"/>
    <col min="21" max="21" width="21" bestFit="1" customWidth="1"/>
    <col min="22" max="22" width="22.28515625" bestFit="1" customWidth="1"/>
    <col min="23" max="23" width="31" bestFit="1" customWidth="1"/>
  </cols>
  <sheetData>
    <row r="1" spans="1:23" x14ac:dyDescent="0.25">
      <c r="A1" t="s">
        <v>2</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944</v>
      </c>
      <c r="V1" t="s">
        <v>945</v>
      </c>
      <c r="W1" t="s">
        <v>1010</v>
      </c>
    </row>
    <row r="2" spans="1:23" x14ac:dyDescent="0.25">
      <c r="A2" t="s">
        <v>72</v>
      </c>
      <c r="B2">
        <v>1</v>
      </c>
      <c r="C2" t="s">
        <v>75</v>
      </c>
      <c r="D2" t="s">
        <v>76</v>
      </c>
      <c r="E2" t="s">
        <v>77</v>
      </c>
      <c r="F2" t="s">
        <v>78</v>
      </c>
      <c r="G2" t="s">
        <v>79</v>
      </c>
      <c r="H2" t="s">
        <v>80</v>
      </c>
      <c r="I2" t="s">
        <v>72</v>
      </c>
      <c r="J2" t="s">
        <v>81</v>
      </c>
      <c r="K2" t="s">
        <v>82</v>
      </c>
      <c r="L2">
        <v>960207.05279999995</v>
      </c>
      <c r="M2" t="s">
        <v>83</v>
      </c>
      <c r="N2">
        <v>745866.46849999996</v>
      </c>
      <c r="O2">
        <v>1</v>
      </c>
      <c r="U2">
        <v>960207.05279999995</v>
      </c>
      <c r="V2">
        <v>960207.05279999995</v>
      </c>
      <c r="W2">
        <v>745866.46846666664</v>
      </c>
    </row>
    <row r="3" spans="1:23" x14ac:dyDescent="0.25">
      <c r="A3" t="s">
        <v>72</v>
      </c>
      <c r="B3">
        <v>0</v>
      </c>
      <c r="C3" t="s">
        <v>75</v>
      </c>
      <c r="D3" t="s">
        <v>76</v>
      </c>
      <c r="E3" t="s">
        <v>77</v>
      </c>
      <c r="F3" t="s">
        <v>78</v>
      </c>
      <c r="G3" t="s">
        <v>84</v>
      </c>
      <c r="H3" t="s">
        <v>80</v>
      </c>
      <c r="I3" t="s">
        <v>72</v>
      </c>
      <c r="J3" t="s">
        <v>85</v>
      </c>
      <c r="K3" t="s">
        <v>82</v>
      </c>
      <c r="L3">
        <v>662457.18420000002</v>
      </c>
      <c r="M3" t="s">
        <v>83</v>
      </c>
      <c r="O3">
        <v>1</v>
      </c>
      <c r="P3">
        <v>1</v>
      </c>
      <c r="U3">
        <v>662457.18420000002</v>
      </c>
      <c r="V3">
        <v>0</v>
      </c>
      <c r="W3">
        <v>745866.46846666664</v>
      </c>
    </row>
    <row r="4" spans="1:23" x14ac:dyDescent="0.25">
      <c r="A4" t="s">
        <v>72</v>
      </c>
      <c r="B4">
        <v>0</v>
      </c>
      <c r="C4" t="s">
        <v>75</v>
      </c>
      <c r="D4" t="s">
        <v>76</v>
      </c>
      <c r="E4" t="s">
        <v>77</v>
      </c>
      <c r="F4" t="s">
        <v>78</v>
      </c>
      <c r="G4" t="s">
        <v>84</v>
      </c>
      <c r="H4" t="s">
        <v>80</v>
      </c>
      <c r="I4" t="s">
        <v>72</v>
      </c>
      <c r="J4" t="s">
        <v>86</v>
      </c>
      <c r="K4" t="s">
        <v>82</v>
      </c>
      <c r="L4">
        <v>614935.16839999997</v>
      </c>
      <c r="M4" t="s">
        <v>83</v>
      </c>
      <c r="U4">
        <v>0</v>
      </c>
      <c r="V4">
        <v>0</v>
      </c>
      <c r="W4">
        <v>745866.46846666664</v>
      </c>
    </row>
    <row r="5" spans="1:23" x14ac:dyDescent="0.25">
      <c r="A5" t="s">
        <v>72</v>
      </c>
      <c r="B5">
        <v>0</v>
      </c>
      <c r="C5" t="s">
        <v>75</v>
      </c>
      <c r="D5" t="s">
        <v>76</v>
      </c>
      <c r="E5" t="s">
        <v>77</v>
      </c>
      <c r="F5" t="s">
        <v>78</v>
      </c>
      <c r="G5" t="s">
        <v>84</v>
      </c>
      <c r="H5" t="s">
        <v>87</v>
      </c>
      <c r="I5" t="s">
        <v>72</v>
      </c>
      <c r="J5" t="s">
        <v>88</v>
      </c>
      <c r="K5" t="s">
        <v>82</v>
      </c>
      <c r="L5">
        <v>107610.4167</v>
      </c>
      <c r="M5" t="s">
        <v>83</v>
      </c>
      <c r="U5">
        <v>0</v>
      </c>
      <c r="V5">
        <v>0</v>
      </c>
      <c r="W5">
        <v>109194.18611</v>
      </c>
    </row>
    <row r="6" spans="1:23" x14ac:dyDescent="0.25">
      <c r="A6" t="s">
        <v>72</v>
      </c>
      <c r="B6">
        <v>0</v>
      </c>
      <c r="C6" t="s">
        <v>75</v>
      </c>
      <c r="D6" t="s">
        <v>76</v>
      </c>
      <c r="E6" t="s">
        <v>77</v>
      </c>
      <c r="F6" t="s">
        <v>78</v>
      </c>
      <c r="G6" t="s">
        <v>84</v>
      </c>
      <c r="H6" t="s">
        <v>87</v>
      </c>
      <c r="I6" t="s">
        <v>72</v>
      </c>
      <c r="J6" t="s">
        <v>89</v>
      </c>
      <c r="K6" t="s">
        <v>82</v>
      </c>
      <c r="L6">
        <v>133998.9583</v>
      </c>
      <c r="M6" t="s">
        <v>83</v>
      </c>
      <c r="Q6">
        <v>1</v>
      </c>
      <c r="T6">
        <v>1</v>
      </c>
      <c r="U6">
        <v>0</v>
      </c>
      <c r="V6">
        <v>0</v>
      </c>
      <c r="W6">
        <v>109194.18611</v>
      </c>
    </row>
    <row r="7" spans="1:23" x14ac:dyDescent="0.25">
      <c r="A7" t="s">
        <v>72</v>
      </c>
      <c r="B7">
        <v>1</v>
      </c>
      <c r="C7" t="s">
        <v>75</v>
      </c>
      <c r="D7" t="s">
        <v>76</v>
      </c>
      <c r="E7" t="s">
        <v>77</v>
      </c>
      <c r="F7" t="s">
        <v>78</v>
      </c>
      <c r="G7" t="s">
        <v>90</v>
      </c>
      <c r="H7" t="s">
        <v>87</v>
      </c>
      <c r="I7" t="s">
        <v>72</v>
      </c>
      <c r="J7" t="s">
        <v>91</v>
      </c>
      <c r="K7" t="s">
        <v>82</v>
      </c>
      <c r="L7">
        <v>85973.18333</v>
      </c>
      <c r="M7" t="s">
        <v>83</v>
      </c>
      <c r="N7">
        <v>109194.18610000001</v>
      </c>
      <c r="T7">
        <v>1</v>
      </c>
      <c r="U7">
        <v>0</v>
      </c>
      <c r="V7">
        <v>0</v>
      </c>
      <c r="W7">
        <v>109194.18611</v>
      </c>
    </row>
    <row r="8" spans="1:23" x14ac:dyDescent="0.25">
      <c r="A8" t="s">
        <v>72</v>
      </c>
      <c r="B8">
        <v>0</v>
      </c>
      <c r="C8" t="s">
        <v>75</v>
      </c>
      <c r="D8" t="s">
        <v>76</v>
      </c>
      <c r="E8" t="s">
        <v>77</v>
      </c>
      <c r="F8" t="s">
        <v>78</v>
      </c>
      <c r="G8" t="s">
        <v>84</v>
      </c>
      <c r="H8" t="s">
        <v>92</v>
      </c>
      <c r="I8" t="s">
        <v>93</v>
      </c>
      <c r="J8" t="s">
        <v>93</v>
      </c>
      <c r="K8" t="s">
        <v>82</v>
      </c>
      <c r="L8">
        <v>14510</v>
      </c>
      <c r="M8" t="s">
        <v>83</v>
      </c>
      <c r="U8">
        <v>0</v>
      </c>
      <c r="V8">
        <v>0</v>
      </c>
      <c r="W8">
        <v>21656.666666666668</v>
      </c>
    </row>
    <row r="9" spans="1:23" x14ac:dyDescent="0.25">
      <c r="A9" t="s">
        <v>72</v>
      </c>
      <c r="B9">
        <v>1</v>
      </c>
      <c r="C9" t="s">
        <v>75</v>
      </c>
      <c r="D9" t="s">
        <v>76</v>
      </c>
      <c r="E9" t="s">
        <v>77</v>
      </c>
      <c r="F9" t="s">
        <v>78</v>
      </c>
      <c r="G9" t="s">
        <v>94</v>
      </c>
      <c r="H9" t="s">
        <v>92</v>
      </c>
      <c r="I9" t="s">
        <v>94</v>
      </c>
      <c r="J9" t="s">
        <v>95</v>
      </c>
      <c r="K9" t="s">
        <v>82</v>
      </c>
      <c r="L9">
        <v>21040</v>
      </c>
      <c r="M9" t="s">
        <v>83</v>
      </c>
      <c r="N9">
        <v>21656.666669999999</v>
      </c>
      <c r="O9">
        <v>1</v>
      </c>
      <c r="R9">
        <v>1</v>
      </c>
      <c r="U9">
        <v>21040</v>
      </c>
      <c r="V9">
        <v>21040</v>
      </c>
      <c r="W9">
        <v>21656.666666666668</v>
      </c>
    </row>
    <row r="10" spans="1:23" x14ac:dyDescent="0.25">
      <c r="A10" t="s">
        <v>72</v>
      </c>
      <c r="B10">
        <v>0</v>
      </c>
      <c r="C10" t="s">
        <v>75</v>
      </c>
      <c r="D10" t="s">
        <v>76</v>
      </c>
      <c r="E10" t="s">
        <v>77</v>
      </c>
      <c r="F10" t="s">
        <v>78</v>
      </c>
      <c r="G10" t="s">
        <v>84</v>
      </c>
      <c r="H10" t="s">
        <v>92</v>
      </c>
      <c r="I10" t="s">
        <v>96</v>
      </c>
      <c r="J10" t="s">
        <v>97</v>
      </c>
      <c r="K10" t="s">
        <v>82</v>
      </c>
      <c r="L10">
        <v>29420</v>
      </c>
      <c r="M10" t="s">
        <v>83</v>
      </c>
      <c r="U10">
        <v>0</v>
      </c>
      <c r="V10">
        <v>0</v>
      </c>
      <c r="W10">
        <v>21656.666666666668</v>
      </c>
    </row>
    <row r="11" spans="1:23" x14ac:dyDescent="0.25">
      <c r="A11" t="s">
        <v>72</v>
      </c>
      <c r="B11">
        <v>0</v>
      </c>
      <c r="C11" t="s">
        <v>75</v>
      </c>
      <c r="D11" t="s">
        <v>76</v>
      </c>
      <c r="E11" t="s">
        <v>77</v>
      </c>
      <c r="F11" t="s">
        <v>78</v>
      </c>
      <c r="G11" t="s">
        <v>84</v>
      </c>
      <c r="H11" t="s">
        <v>98</v>
      </c>
      <c r="I11" t="s">
        <v>99</v>
      </c>
      <c r="J11" t="s">
        <v>100</v>
      </c>
      <c r="K11" t="s">
        <v>82</v>
      </c>
      <c r="L11">
        <v>52850</v>
      </c>
      <c r="M11" t="s">
        <v>83</v>
      </c>
      <c r="S11">
        <v>1</v>
      </c>
      <c r="U11">
        <v>0</v>
      </c>
      <c r="V11">
        <v>0</v>
      </c>
      <c r="W11">
        <v>37833.333333333336</v>
      </c>
    </row>
    <row r="12" spans="1:23" x14ac:dyDescent="0.25">
      <c r="A12" t="s">
        <v>72</v>
      </c>
      <c r="B12">
        <v>0</v>
      </c>
      <c r="C12" t="s">
        <v>75</v>
      </c>
      <c r="D12" t="s">
        <v>76</v>
      </c>
      <c r="E12" t="s">
        <v>77</v>
      </c>
      <c r="F12" t="s">
        <v>78</v>
      </c>
      <c r="G12" t="s">
        <v>84</v>
      </c>
      <c r="H12" t="s">
        <v>98</v>
      </c>
      <c r="I12" t="s">
        <v>101</v>
      </c>
      <c r="J12" t="s">
        <v>102</v>
      </c>
      <c r="K12" t="s">
        <v>82</v>
      </c>
      <c r="L12">
        <v>20700</v>
      </c>
      <c r="M12" t="s">
        <v>83</v>
      </c>
      <c r="Q12">
        <v>1</v>
      </c>
      <c r="S12">
        <v>1</v>
      </c>
      <c r="U12">
        <v>0</v>
      </c>
      <c r="V12">
        <v>0</v>
      </c>
      <c r="W12">
        <v>37833.333333333336</v>
      </c>
    </row>
    <row r="13" spans="1:23" x14ac:dyDescent="0.25">
      <c r="A13" t="s">
        <v>72</v>
      </c>
      <c r="B13">
        <v>1</v>
      </c>
      <c r="C13" t="s">
        <v>75</v>
      </c>
      <c r="D13" t="s">
        <v>76</v>
      </c>
      <c r="E13" t="s">
        <v>77</v>
      </c>
      <c r="F13" t="s">
        <v>78</v>
      </c>
      <c r="G13" t="s">
        <v>103</v>
      </c>
      <c r="H13" t="s">
        <v>98</v>
      </c>
      <c r="I13" t="s">
        <v>104</v>
      </c>
      <c r="J13" t="s">
        <v>105</v>
      </c>
      <c r="K13" t="s">
        <v>82</v>
      </c>
      <c r="L13">
        <v>39950</v>
      </c>
      <c r="M13" t="s">
        <v>83</v>
      </c>
      <c r="N13">
        <v>37833.333330000001</v>
      </c>
      <c r="R13">
        <v>1</v>
      </c>
      <c r="T13">
        <v>1</v>
      </c>
      <c r="U13">
        <v>0</v>
      </c>
      <c r="V13">
        <v>0</v>
      </c>
      <c r="W13">
        <v>37833.333333333336</v>
      </c>
    </row>
    <row r="14" spans="1:23" x14ac:dyDescent="0.25">
      <c r="A14" t="s">
        <v>72</v>
      </c>
      <c r="B14">
        <v>1</v>
      </c>
      <c r="C14" t="s">
        <v>75</v>
      </c>
      <c r="D14" t="s">
        <v>76</v>
      </c>
      <c r="E14" t="s">
        <v>77</v>
      </c>
      <c r="F14" t="s">
        <v>78</v>
      </c>
      <c r="G14" t="s">
        <v>79</v>
      </c>
      <c r="H14" t="s">
        <v>106</v>
      </c>
      <c r="I14" t="s">
        <v>72</v>
      </c>
      <c r="J14" t="s">
        <v>107</v>
      </c>
      <c r="K14" t="s">
        <v>82</v>
      </c>
      <c r="L14">
        <v>4805.2749999999996</v>
      </c>
      <c r="M14" t="s">
        <v>83</v>
      </c>
      <c r="N14">
        <v>7050.3625000000002</v>
      </c>
      <c r="O14">
        <v>1</v>
      </c>
      <c r="U14">
        <v>4805.2749999999996</v>
      </c>
      <c r="V14">
        <v>4805.2749999999996</v>
      </c>
      <c r="W14">
        <v>7050.3624999999993</v>
      </c>
    </row>
    <row r="15" spans="1:23" x14ac:dyDescent="0.25">
      <c r="A15" t="s">
        <v>72</v>
      </c>
      <c r="B15">
        <v>0</v>
      </c>
      <c r="C15" t="s">
        <v>75</v>
      </c>
      <c r="D15" t="s">
        <v>76</v>
      </c>
      <c r="E15" t="s">
        <v>77</v>
      </c>
      <c r="F15" t="s">
        <v>78</v>
      </c>
      <c r="G15" t="s">
        <v>84</v>
      </c>
      <c r="H15" t="s">
        <v>106</v>
      </c>
      <c r="I15" t="s">
        <v>72</v>
      </c>
      <c r="J15" t="s">
        <v>108</v>
      </c>
      <c r="K15" t="s">
        <v>82</v>
      </c>
      <c r="L15">
        <v>10043.8125</v>
      </c>
      <c r="M15" t="s">
        <v>83</v>
      </c>
      <c r="O15">
        <v>1</v>
      </c>
      <c r="P15">
        <v>1</v>
      </c>
      <c r="U15">
        <v>10043.8125</v>
      </c>
      <c r="V15">
        <v>0</v>
      </c>
      <c r="W15">
        <v>7050.3624999999993</v>
      </c>
    </row>
    <row r="16" spans="1:23" x14ac:dyDescent="0.25">
      <c r="A16" t="s">
        <v>72</v>
      </c>
      <c r="B16">
        <v>0</v>
      </c>
      <c r="C16" t="s">
        <v>75</v>
      </c>
      <c r="D16" t="s">
        <v>76</v>
      </c>
      <c r="E16" t="s">
        <v>77</v>
      </c>
      <c r="F16" t="s">
        <v>78</v>
      </c>
      <c r="G16" t="s">
        <v>84</v>
      </c>
      <c r="H16" t="s">
        <v>106</v>
      </c>
      <c r="I16" t="s">
        <v>72</v>
      </c>
      <c r="J16" t="s">
        <v>109</v>
      </c>
      <c r="K16" t="s">
        <v>82</v>
      </c>
      <c r="L16">
        <v>6302</v>
      </c>
      <c r="M16" t="s">
        <v>83</v>
      </c>
      <c r="U16">
        <v>0</v>
      </c>
      <c r="V16">
        <v>0</v>
      </c>
      <c r="W16">
        <v>7050.3624999999993</v>
      </c>
    </row>
    <row r="17" spans="1:23" x14ac:dyDescent="0.25">
      <c r="A17" t="s">
        <v>72</v>
      </c>
      <c r="B17">
        <v>1</v>
      </c>
      <c r="C17" t="s">
        <v>75</v>
      </c>
      <c r="D17" t="s">
        <v>76</v>
      </c>
      <c r="E17" t="s">
        <v>77</v>
      </c>
      <c r="F17" t="s">
        <v>78</v>
      </c>
      <c r="G17" t="s">
        <v>79</v>
      </c>
      <c r="H17" t="s">
        <v>110</v>
      </c>
      <c r="I17" t="s">
        <v>72</v>
      </c>
      <c r="J17" t="s">
        <v>111</v>
      </c>
      <c r="K17" t="s">
        <v>82</v>
      </c>
      <c r="L17">
        <v>18176</v>
      </c>
      <c r="M17" t="s">
        <v>83</v>
      </c>
      <c r="N17">
        <v>14980</v>
      </c>
      <c r="O17">
        <v>1</v>
      </c>
      <c r="U17">
        <v>18176</v>
      </c>
      <c r="V17">
        <v>18176</v>
      </c>
      <c r="W17">
        <v>14980</v>
      </c>
    </row>
    <row r="18" spans="1:23" x14ac:dyDescent="0.25">
      <c r="A18" t="s">
        <v>72</v>
      </c>
      <c r="B18">
        <v>0</v>
      </c>
      <c r="C18" t="s">
        <v>75</v>
      </c>
      <c r="D18" t="s">
        <v>76</v>
      </c>
      <c r="E18" t="s">
        <v>77</v>
      </c>
      <c r="F18" t="s">
        <v>78</v>
      </c>
      <c r="G18" t="s">
        <v>84</v>
      </c>
      <c r="H18" t="s">
        <v>110</v>
      </c>
      <c r="I18" t="s">
        <v>72</v>
      </c>
      <c r="J18" t="s">
        <v>112</v>
      </c>
      <c r="K18" t="s">
        <v>82</v>
      </c>
      <c r="L18">
        <v>14364</v>
      </c>
      <c r="M18" t="s">
        <v>83</v>
      </c>
      <c r="O18">
        <v>1</v>
      </c>
      <c r="P18">
        <v>1</v>
      </c>
      <c r="U18">
        <v>14364</v>
      </c>
      <c r="V18">
        <v>0</v>
      </c>
      <c r="W18">
        <v>14980</v>
      </c>
    </row>
    <row r="19" spans="1:23" x14ac:dyDescent="0.25">
      <c r="A19" t="s">
        <v>72</v>
      </c>
      <c r="B19">
        <v>0</v>
      </c>
      <c r="C19" t="s">
        <v>75</v>
      </c>
      <c r="D19" t="s">
        <v>76</v>
      </c>
      <c r="E19" t="s">
        <v>77</v>
      </c>
      <c r="F19" t="s">
        <v>78</v>
      </c>
      <c r="G19" t="s">
        <v>84</v>
      </c>
      <c r="H19" t="s">
        <v>110</v>
      </c>
      <c r="I19" t="s">
        <v>72</v>
      </c>
      <c r="J19" t="s">
        <v>113</v>
      </c>
      <c r="K19" t="s">
        <v>82</v>
      </c>
      <c r="L19">
        <v>12400</v>
      </c>
      <c r="M19" t="s">
        <v>83</v>
      </c>
      <c r="U19">
        <v>0</v>
      </c>
      <c r="V19">
        <v>0</v>
      </c>
      <c r="W19">
        <v>14980</v>
      </c>
    </row>
    <row r="20" spans="1:23" x14ac:dyDescent="0.25">
      <c r="A20" t="s">
        <v>72</v>
      </c>
      <c r="B20">
        <v>0</v>
      </c>
      <c r="C20" t="s">
        <v>75</v>
      </c>
      <c r="D20" t="s">
        <v>76</v>
      </c>
      <c r="E20" t="s">
        <v>77</v>
      </c>
      <c r="F20" t="s">
        <v>78</v>
      </c>
      <c r="G20" t="s">
        <v>84</v>
      </c>
      <c r="H20" t="s">
        <v>114</v>
      </c>
      <c r="I20" t="s">
        <v>115</v>
      </c>
      <c r="J20" t="s">
        <v>116</v>
      </c>
      <c r="K20" t="s">
        <v>82</v>
      </c>
      <c r="L20">
        <v>39250</v>
      </c>
      <c r="M20" t="s">
        <v>83</v>
      </c>
      <c r="P20">
        <v>1</v>
      </c>
      <c r="U20">
        <v>0</v>
      </c>
      <c r="V20">
        <v>0</v>
      </c>
      <c r="W20">
        <v>37483.333333333336</v>
      </c>
    </row>
    <row r="21" spans="1:23" x14ac:dyDescent="0.25">
      <c r="A21" t="s">
        <v>72</v>
      </c>
      <c r="B21">
        <v>0</v>
      </c>
      <c r="C21" t="s">
        <v>75</v>
      </c>
      <c r="D21" t="s">
        <v>76</v>
      </c>
      <c r="E21" t="s">
        <v>77</v>
      </c>
      <c r="F21" t="s">
        <v>78</v>
      </c>
      <c r="G21" t="s">
        <v>84</v>
      </c>
      <c r="H21" t="s">
        <v>114</v>
      </c>
      <c r="I21" t="s">
        <v>72</v>
      </c>
      <c r="J21" t="s">
        <v>117</v>
      </c>
      <c r="K21" t="s">
        <v>82</v>
      </c>
      <c r="L21">
        <v>36200</v>
      </c>
      <c r="M21" t="s">
        <v>83</v>
      </c>
      <c r="S21">
        <v>1</v>
      </c>
      <c r="U21">
        <v>0</v>
      </c>
      <c r="V21">
        <v>0</v>
      </c>
      <c r="W21">
        <v>37483.333333333336</v>
      </c>
    </row>
    <row r="22" spans="1:23" x14ac:dyDescent="0.25">
      <c r="A22" t="s">
        <v>72</v>
      </c>
      <c r="B22">
        <v>1</v>
      </c>
      <c r="C22" t="s">
        <v>75</v>
      </c>
      <c r="D22" t="s">
        <v>76</v>
      </c>
      <c r="E22" t="s">
        <v>77</v>
      </c>
      <c r="F22" t="s">
        <v>78</v>
      </c>
      <c r="G22" t="s">
        <v>118</v>
      </c>
      <c r="H22" t="s">
        <v>114</v>
      </c>
      <c r="I22" t="s">
        <v>119</v>
      </c>
      <c r="J22" t="s">
        <v>120</v>
      </c>
      <c r="K22" t="s">
        <v>82</v>
      </c>
      <c r="L22">
        <v>37000</v>
      </c>
      <c r="M22" t="s">
        <v>83</v>
      </c>
      <c r="N22">
        <v>37483.333330000001</v>
      </c>
      <c r="U22">
        <v>0</v>
      </c>
      <c r="V22">
        <v>0</v>
      </c>
      <c r="W22">
        <v>37483.333333333336</v>
      </c>
    </row>
    <row r="23" spans="1:23" x14ac:dyDescent="0.25">
      <c r="A23" t="s">
        <v>72</v>
      </c>
      <c r="B23">
        <v>0</v>
      </c>
      <c r="C23" t="s">
        <v>75</v>
      </c>
      <c r="D23" t="s">
        <v>76</v>
      </c>
      <c r="E23" t="s">
        <v>77</v>
      </c>
      <c r="F23" t="s">
        <v>78</v>
      </c>
      <c r="G23" t="s">
        <v>84</v>
      </c>
      <c r="H23" t="s">
        <v>121</v>
      </c>
      <c r="I23" t="s">
        <v>115</v>
      </c>
      <c r="J23" t="s">
        <v>122</v>
      </c>
      <c r="K23" t="s">
        <v>82</v>
      </c>
      <c r="L23">
        <v>161541.30129999999</v>
      </c>
      <c r="M23" t="s">
        <v>83</v>
      </c>
      <c r="P23">
        <v>1</v>
      </c>
      <c r="U23">
        <v>0</v>
      </c>
      <c r="V23">
        <v>0</v>
      </c>
      <c r="W23">
        <v>145472.97853333334</v>
      </c>
    </row>
    <row r="24" spans="1:23" x14ac:dyDescent="0.25">
      <c r="A24" t="s">
        <v>72</v>
      </c>
      <c r="B24">
        <v>0</v>
      </c>
      <c r="C24" t="s">
        <v>75</v>
      </c>
      <c r="D24" t="s">
        <v>76</v>
      </c>
      <c r="E24" t="s">
        <v>77</v>
      </c>
      <c r="F24" t="s">
        <v>78</v>
      </c>
      <c r="G24" t="s">
        <v>84</v>
      </c>
      <c r="H24" t="s">
        <v>121</v>
      </c>
      <c r="I24" t="s">
        <v>72</v>
      </c>
      <c r="J24" t="s">
        <v>123</v>
      </c>
      <c r="K24" t="s">
        <v>82</v>
      </c>
      <c r="L24">
        <v>138331.54800000001</v>
      </c>
      <c r="M24" t="s">
        <v>83</v>
      </c>
      <c r="S24">
        <v>1</v>
      </c>
      <c r="U24">
        <v>0</v>
      </c>
      <c r="V24">
        <v>0</v>
      </c>
      <c r="W24">
        <v>145472.97853333334</v>
      </c>
    </row>
    <row r="25" spans="1:23" x14ac:dyDescent="0.25">
      <c r="A25" t="s">
        <v>72</v>
      </c>
      <c r="B25">
        <v>1</v>
      </c>
      <c r="C25" t="s">
        <v>75</v>
      </c>
      <c r="D25" t="s">
        <v>76</v>
      </c>
      <c r="E25" t="s">
        <v>77</v>
      </c>
      <c r="F25" t="s">
        <v>78</v>
      </c>
      <c r="G25" t="s">
        <v>118</v>
      </c>
      <c r="H25" t="s">
        <v>121</v>
      </c>
      <c r="I25" t="s">
        <v>119</v>
      </c>
      <c r="J25" t="s">
        <v>124</v>
      </c>
      <c r="K25" t="s">
        <v>82</v>
      </c>
      <c r="L25">
        <v>136546.0863</v>
      </c>
      <c r="M25" t="s">
        <v>83</v>
      </c>
      <c r="N25">
        <v>145472.9786</v>
      </c>
      <c r="U25">
        <v>0</v>
      </c>
      <c r="V25">
        <v>0</v>
      </c>
      <c r="W25">
        <v>145472.97853333334</v>
      </c>
    </row>
    <row r="26" spans="1:23" x14ac:dyDescent="0.25">
      <c r="A26" t="s">
        <v>72</v>
      </c>
      <c r="B26">
        <v>0</v>
      </c>
      <c r="C26" t="s">
        <v>75</v>
      </c>
      <c r="D26" t="s">
        <v>76</v>
      </c>
      <c r="E26" t="s">
        <v>77</v>
      </c>
      <c r="F26" t="s">
        <v>78</v>
      </c>
      <c r="G26" t="s">
        <v>84</v>
      </c>
      <c r="H26" t="s">
        <v>125</v>
      </c>
      <c r="I26" t="s">
        <v>126</v>
      </c>
      <c r="J26" t="s">
        <v>127</v>
      </c>
      <c r="K26" t="s">
        <v>82</v>
      </c>
      <c r="L26">
        <v>8700</v>
      </c>
      <c r="M26" t="s">
        <v>83</v>
      </c>
      <c r="U26">
        <v>0</v>
      </c>
      <c r="V26">
        <v>0</v>
      </c>
      <c r="W26">
        <v>38916.666666666672</v>
      </c>
    </row>
    <row r="27" spans="1:23" x14ac:dyDescent="0.25">
      <c r="A27" t="s">
        <v>72</v>
      </c>
      <c r="B27">
        <v>0</v>
      </c>
      <c r="C27" t="s">
        <v>75</v>
      </c>
      <c r="D27" t="s">
        <v>76</v>
      </c>
      <c r="E27" t="s">
        <v>77</v>
      </c>
      <c r="F27" t="s">
        <v>78</v>
      </c>
      <c r="G27" t="s">
        <v>84</v>
      </c>
      <c r="H27" t="s">
        <v>125</v>
      </c>
      <c r="I27" t="s">
        <v>128</v>
      </c>
      <c r="J27" t="s">
        <v>129</v>
      </c>
      <c r="K27" t="s">
        <v>82</v>
      </c>
      <c r="L27">
        <v>69900</v>
      </c>
      <c r="M27" t="s">
        <v>83</v>
      </c>
      <c r="U27">
        <v>0</v>
      </c>
      <c r="V27">
        <v>0</v>
      </c>
      <c r="W27">
        <v>38916.666666666672</v>
      </c>
    </row>
    <row r="28" spans="1:23" x14ac:dyDescent="0.25">
      <c r="A28" t="s">
        <v>72</v>
      </c>
      <c r="B28">
        <v>1</v>
      </c>
      <c r="C28" t="s">
        <v>75</v>
      </c>
      <c r="D28" t="s">
        <v>76</v>
      </c>
      <c r="E28" t="s">
        <v>77</v>
      </c>
      <c r="F28" t="s">
        <v>78</v>
      </c>
      <c r="G28" t="s">
        <v>130</v>
      </c>
      <c r="H28" t="s">
        <v>125</v>
      </c>
      <c r="I28" t="s">
        <v>131</v>
      </c>
      <c r="J28" t="s">
        <v>132</v>
      </c>
      <c r="K28" t="s">
        <v>82</v>
      </c>
      <c r="L28">
        <v>38150</v>
      </c>
      <c r="M28" t="s">
        <v>83</v>
      </c>
      <c r="N28">
        <v>38916.666669999999</v>
      </c>
      <c r="T28">
        <v>1</v>
      </c>
      <c r="U28">
        <v>0</v>
      </c>
      <c r="V28">
        <v>0</v>
      </c>
      <c r="W28">
        <v>38916.666666666672</v>
      </c>
    </row>
    <row r="29" spans="1:23" x14ac:dyDescent="0.25">
      <c r="A29" t="s">
        <v>133</v>
      </c>
      <c r="B29">
        <v>0</v>
      </c>
      <c r="C29" t="s">
        <v>135</v>
      </c>
      <c r="D29" t="s">
        <v>136</v>
      </c>
      <c r="E29" t="s">
        <v>137</v>
      </c>
      <c r="F29" t="s">
        <v>138</v>
      </c>
      <c r="G29" t="s">
        <v>84</v>
      </c>
      <c r="H29" t="s">
        <v>92</v>
      </c>
      <c r="I29" t="s">
        <v>139</v>
      </c>
      <c r="J29" t="s">
        <v>140</v>
      </c>
      <c r="K29" t="s">
        <v>82</v>
      </c>
      <c r="L29">
        <v>24800</v>
      </c>
      <c r="M29" t="s">
        <v>83</v>
      </c>
      <c r="O29">
        <v>1</v>
      </c>
      <c r="T29">
        <v>1</v>
      </c>
      <c r="U29">
        <v>24800</v>
      </c>
      <c r="V29">
        <v>0</v>
      </c>
      <c r="W29">
        <v>33935</v>
      </c>
    </row>
    <row r="30" spans="1:23" x14ac:dyDescent="0.25">
      <c r="A30" t="s">
        <v>133</v>
      </c>
      <c r="B30">
        <v>1</v>
      </c>
      <c r="C30" t="s">
        <v>135</v>
      </c>
      <c r="D30" t="s">
        <v>136</v>
      </c>
      <c r="E30" t="s">
        <v>137</v>
      </c>
      <c r="F30" t="s">
        <v>138</v>
      </c>
      <c r="G30" t="s">
        <v>141</v>
      </c>
      <c r="H30" t="s">
        <v>92</v>
      </c>
      <c r="I30" t="s">
        <v>142</v>
      </c>
      <c r="J30" t="s">
        <v>143</v>
      </c>
      <c r="K30" t="s">
        <v>82</v>
      </c>
      <c r="L30">
        <v>43070</v>
      </c>
      <c r="M30" t="s">
        <v>83</v>
      </c>
      <c r="N30">
        <v>33935</v>
      </c>
      <c r="U30">
        <v>0</v>
      </c>
      <c r="V30">
        <v>0</v>
      </c>
      <c r="W30">
        <v>33935</v>
      </c>
    </row>
    <row r="31" spans="1:23" x14ac:dyDescent="0.25">
      <c r="A31" t="s">
        <v>133</v>
      </c>
      <c r="B31">
        <v>1</v>
      </c>
      <c r="C31" t="s">
        <v>135</v>
      </c>
      <c r="D31" t="s">
        <v>136</v>
      </c>
      <c r="E31" t="s">
        <v>137</v>
      </c>
      <c r="F31" t="s">
        <v>138</v>
      </c>
      <c r="G31" t="s">
        <v>141</v>
      </c>
      <c r="H31" t="s">
        <v>125</v>
      </c>
      <c r="I31" t="s">
        <v>144</v>
      </c>
      <c r="J31" t="s">
        <v>145</v>
      </c>
      <c r="K31" t="s">
        <v>82</v>
      </c>
      <c r="L31">
        <v>20800</v>
      </c>
      <c r="M31" t="s">
        <v>83</v>
      </c>
      <c r="N31">
        <v>40150</v>
      </c>
      <c r="U31">
        <v>0</v>
      </c>
      <c r="V31">
        <v>0</v>
      </c>
      <c r="W31">
        <v>40150</v>
      </c>
    </row>
    <row r="32" spans="1:23" x14ac:dyDescent="0.25">
      <c r="A32" t="s">
        <v>133</v>
      </c>
      <c r="B32">
        <v>0</v>
      </c>
      <c r="C32" t="s">
        <v>135</v>
      </c>
      <c r="D32" t="s">
        <v>136</v>
      </c>
      <c r="E32" t="s">
        <v>137</v>
      </c>
      <c r="F32" t="s">
        <v>138</v>
      </c>
      <c r="G32" t="s">
        <v>84</v>
      </c>
      <c r="H32" t="s">
        <v>125</v>
      </c>
      <c r="I32" t="s">
        <v>146</v>
      </c>
      <c r="J32" t="s">
        <v>147</v>
      </c>
      <c r="K32" t="s">
        <v>82</v>
      </c>
      <c r="L32">
        <v>49050</v>
      </c>
      <c r="M32" t="s">
        <v>83</v>
      </c>
      <c r="U32">
        <v>0</v>
      </c>
      <c r="V32">
        <v>0</v>
      </c>
      <c r="W32">
        <v>40150</v>
      </c>
    </row>
    <row r="33" spans="1:23" x14ac:dyDescent="0.25">
      <c r="A33" t="s">
        <v>133</v>
      </c>
      <c r="B33">
        <v>0</v>
      </c>
      <c r="C33" t="s">
        <v>135</v>
      </c>
      <c r="D33" t="s">
        <v>136</v>
      </c>
      <c r="E33" t="s">
        <v>137</v>
      </c>
      <c r="F33" t="s">
        <v>138</v>
      </c>
      <c r="G33" t="s">
        <v>84</v>
      </c>
      <c r="H33" t="s">
        <v>125</v>
      </c>
      <c r="I33" t="s">
        <v>148</v>
      </c>
      <c r="J33" t="s">
        <v>149</v>
      </c>
      <c r="K33" t="s">
        <v>82</v>
      </c>
      <c r="L33">
        <v>50600</v>
      </c>
      <c r="M33" t="s">
        <v>83</v>
      </c>
      <c r="U33">
        <v>0</v>
      </c>
      <c r="V33">
        <v>0</v>
      </c>
      <c r="W33">
        <v>40150</v>
      </c>
    </row>
    <row r="34" spans="1:23" x14ac:dyDescent="0.25">
      <c r="A34" t="s">
        <v>133</v>
      </c>
      <c r="B34">
        <v>1</v>
      </c>
      <c r="C34" t="s">
        <v>135</v>
      </c>
      <c r="D34" t="s">
        <v>136</v>
      </c>
      <c r="E34" t="s">
        <v>137</v>
      </c>
      <c r="F34" t="s">
        <v>138</v>
      </c>
      <c r="G34" t="s">
        <v>150</v>
      </c>
      <c r="H34" t="s">
        <v>151</v>
      </c>
      <c r="I34" t="s">
        <v>152</v>
      </c>
      <c r="J34" t="s">
        <v>153</v>
      </c>
      <c r="K34" t="s">
        <v>82</v>
      </c>
      <c r="L34">
        <v>116454</v>
      </c>
      <c r="M34" t="s">
        <v>83</v>
      </c>
      <c r="N34">
        <v>104828.75</v>
      </c>
      <c r="U34">
        <v>0</v>
      </c>
      <c r="V34">
        <v>0</v>
      </c>
      <c r="W34">
        <v>104828.75</v>
      </c>
    </row>
    <row r="35" spans="1:23" x14ac:dyDescent="0.25">
      <c r="A35" t="s">
        <v>133</v>
      </c>
      <c r="B35">
        <v>0</v>
      </c>
      <c r="C35" t="s">
        <v>135</v>
      </c>
      <c r="D35" t="s">
        <v>136</v>
      </c>
      <c r="E35" t="s">
        <v>137</v>
      </c>
      <c r="F35" t="s">
        <v>138</v>
      </c>
      <c r="G35" t="s">
        <v>84</v>
      </c>
      <c r="H35" t="s">
        <v>151</v>
      </c>
      <c r="I35" t="s">
        <v>154</v>
      </c>
      <c r="J35" t="s">
        <v>155</v>
      </c>
      <c r="K35" t="s">
        <v>82</v>
      </c>
      <c r="L35">
        <v>93203.5</v>
      </c>
      <c r="M35" t="s">
        <v>83</v>
      </c>
      <c r="U35">
        <v>0</v>
      </c>
      <c r="V35">
        <v>0</v>
      </c>
      <c r="W35">
        <v>104828.75</v>
      </c>
    </row>
    <row r="36" spans="1:23" x14ac:dyDescent="0.25">
      <c r="A36" t="s">
        <v>133</v>
      </c>
      <c r="B36">
        <v>0</v>
      </c>
      <c r="C36" t="s">
        <v>135</v>
      </c>
      <c r="D36" t="s">
        <v>136</v>
      </c>
      <c r="E36" t="s">
        <v>137</v>
      </c>
      <c r="F36" t="s">
        <v>138</v>
      </c>
      <c r="G36" t="s">
        <v>84</v>
      </c>
      <c r="H36" t="s">
        <v>98</v>
      </c>
      <c r="I36" t="s">
        <v>156</v>
      </c>
      <c r="J36" t="s">
        <v>157</v>
      </c>
      <c r="K36" t="s">
        <v>82</v>
      </c>
      <c r="L36">
        <v>17500</v>
      </c>
      <c r="M36" t="s">
        <v>83</v>
      </c>
      <c r="S36">
        <v>1</v>
      </c>
      <c r="U36">
        <v>0</v>
      </c>
      <c r="V36">
        <v>0</v>
      </c>
      <c r="W36">
        <v>32250</v>
      </c>
    </row>
    <row r="37" spans="1:23" x14ac:dyDescent="0.25">
      <c r="A37" t="s">
        <v>133</v>
      </c>
      <c r="B37">
        <v>1</v>
      </c>
      <c r="C37" t="s">
        <v>135</v>
      </c>
      <c r="D37" t="s">
        <v>136</v>
      </c>
      <c r="E37" t="s">
        <v>137</v>
      </c>
      <c r="F37" t="s">
        <v>138</v>
      </c>
      <c r="G37" t="s">
        <v>158</v>
      </c>
      <c r="H37" t="s">
        <v>98</v>
      </c>
      <c r="I37" t="s">
        <v>159</v>
      </c>
      <c r="J37" t="s">
        <v>160</v>
      </c>
      <c r="K37" t="s">
        <v>82</v>
      </c>
      <c r="L37">
        <v>49250</v>
      </c>
      <c r="M37" t="s">
        <v>83</v>
      </c>
      <c r="N37">
        <v>32250</v>
      </c>
      <c r="O37">
        <v>1</v>
      </c>
      <c r="S37">
        <v>1</v>
      </c>
      <c r="U37">
        <v>49250</v>
      </c>
      <c r="V37">
        <v>49250</v>
      </c>
      <c r="W37">
        <v>32250</v>
      </c>
    </row>
    <row r="38" spans="1:23" x14ac:dyDescent="0.25">
      <c r="A38" t="s">
        <v>133</v>
      </c>
      <c r="B38">
        <v>0</v>
      </c>
      <c r="C38" t="s">
        <v>135</v>
      </c>
      <c r="D38" t="s">
        <v>136</v>
      </c>
      <c r="E38" t="s">
        <v>137</v>
      </c>
      <c r="F38" t="s">
        <v>138</v>
      </c>
      <c r="G38" t="s">
        <v>84</v>
      </c>
      <c r="H38" t="s">
        <v>98</v>
      </c>
      <c r="I38" t="s">
        <v>161</v>
      </c>
      <c r="J38" t="s">
        <v>162</v>
      </c>
      <c r="K38" t="s">
        <v>82</v>
      </c>
      <c r="L38">
        <v>30000</v>
      </c>
      <c r="M38" t="s">
        <v>83</v>
      </c>
      <c r="R38">
        <v>1</v>
      </c>
      <c r="U38">
        <v>0</v>
      </c>
      <c r="V38">
        <v>0</v>
      </c>
      <c r="W38">
        <v>32250</v>
      </c>
    </row>
    <row r="39" spans="1:23" x14ac:dyDescent="0.25">
      <c r="A39" t="s">
        <v>133</v>
      </c>
      <c r="B39">
        <v>1</v>
      </c>
      <c r="C39" t="s">
        <v>135</v>
      </c>
      <c r="D39" t="s">
        <v>136</v>
      </c>
      <c r="E39" t="s">
        <v>137</v>
      </c>
      <c r="F39" t="s">
        <v>138</v>
      </c>
      <c r="G39" t="s">
        <v>163</v>
      </c>
      <c r="H39" t="s">
        <v>87</v>
      </c>
      <c r="I39" t="s">
        <v>133</v>
      </c>
      <c r="J39" t="s">
        <v>164</v>
      </c>
      <c r="K39" t="s">
        <v>82</v>
      </c>
      <c r="L39">
        <v>95889.791670000006</v>
      </c>
      <c r="M39" t="s">
        <v>83</v>
      </c>
      <c r="N39">
        <v>93203.872220000005</v>
      </c>
      <c r="T39">
        <v>1</v>
      </c>
      <c r="U39">
        <v>0</v>
      </c>
      <c r="V39">
        <v>0</v>
      </c>
      <c r="W39">
        <v>93203.872213333336</v>
      </c>
    </row>
    <row r="40" spans="1:23" x14ac:dyDescent="0.25">
      <c r="A40" t="s">
        <v>133</v>
      </c>
      <c r="B40">
        <v>0</v>
      </c>
      <c r="C40" t="s">
        <v>135</v>
      </c>
      <c r="D40" t="s">
        <v>136</v>
      </c>
      <c r="E40" t="s">
        <v>137</v>
      </c>
      <c r="F40" t="s">
        <v>138</v>
      </c>
      <c r="G40" t="s">
        <v>84</v>
      </c>
      <c r="H40" t="s">
        <v>87</v>
      </c>
      <c r="I40" t="s">
        <v>133</v>
      </c>
      <c r="J40" t="s">
        <v>165</v>
      </c>
      <c r="K40" t="s">
        <v>82</v>
      </c>
      <c r="L40">
        <v>67406.616670000003</v>
      </c>
      <c r="M40" t="s">
        <v>83</v>
      </c>
      <c r="Q40">
        <v>1</v>
      </c>
      <c r="U40">
        <v>0</v>
      </c>
      <c r="V40">
        <v>0</v>
      </c>
      <c r="W40">
        <v>93203.872213333336</v>
      </c>
    </row>
    <row r="41" spans="1:23" x14ac:dyDescent="0.25">
      <c r="A41" t="s">
        <v>133</v>
      </c>
      <c r="B41">
        <v>0</v>
      </c>
      <c r="C41" t="s">
        <v>135</v>
      </c>
      <c r="D41" t="s">
        <v>136</v>
      </c>
      <c r="E41" t="s">
        <v>137</v>
      </c>
      <c r="F41" t="s">
        <v>138</v>
      </c>
      <c r="G41" t="s">
        <v>84</v>
      </c>
      <c r="H41" t="s">
        <v>87</v>
      </c>
      <c r="I41" t="s">
        <v>133</v>
      </c>
      <c r="J41" t="s">
        <v>166</v>
      </c>
      <c r="K41" t="s">
        <v>82</v>
      </c>
      <c r="L41">
        <v>116315.2083</v>
      </c>
      <c r="M41" t="s">
        <v>83</v>
      </c>
      <c r="U41">
        <v>0</v>
      </c>
      <c r="V41">
        <v>0</v>
      </c>
      <c r="W41">
        <v>93203.872213333336</v>
      </c>
    </row>
    <row r="42" spans="1:23" x14ac:dyDescent="0.25">
      <c r="A42" t="s">
        <v>133</v>
      </c>
      <c r="B42">
        <v>1</v>
      </c>
      <c r="C42" t="s">
        <v>135</v>
      </c>
      <c r="D42" t="s">
        <v>136</v>
      </c>
      <c r="E42" t="s">
        <v>137</v>
      </c>
      <c r="F42" t="s">
        <v>138</v>
      </c>
      <c r="G42" t="s">
        <v>167</v>
      </c>
      <c r="H42" t="s">
        <v>110</v>
      </c>
      <c r="I42" t="s">
        <v>133</v>
      </c>
      <c r="J42" t="s">
        <v>168</v>
      </c>
      <c r="K42" t="s">
        <v>82</v>
      </c>
      <c r="L42">
        <v>10250</v>
      </c>
      <c r="M42" t="s">
        <v>83</v>
      </c>
      <c r="N42">
        <v>9606</v>
      </c>
      <c r="U42">
        <v>0</v>
      </c>
      <c r="V42">
        <v>0</v>
      </c>
      <c r="W42">
        <v>9606</v>
      </c>
    </row>
    <row r="43" spans="1:23" x14ac:dyDescent="0.25">
      <c r="A43" t="s">
        <v>133</v>
      </c>
      <c r="B43">
        <v>0</v>
      </c>
      <c r="C43" t="s">
        <v>135</v>
      </c>
      <c r="D43" t="s">
        <v>136</v>
      </c>
      <c r="E43" t="s">
        <v>137</v>
      </c>
      <c r="F43" t="s">
        <v>138</v>
      </c>
      <c r="G43" t="s">
        <v>84</v>
      </c>
      <c r="H43" t="s">
        <v>110</v>
      </c>
      <c r="I43" t="s">
        <v>133</v>
      </c>
      <c r="J43" t="s">
        <v>169</v>
      </c>
      <c r="K43" t="s">
        <v>82</v>
      </c>
      <c r="L43">
        <v>8568</v>
      </c>
      <c r="M43" t="s">
        <v>83</v>
      </c>
      <c r="O43">
        <v>1</v>
      </c>
      <c r="U43">
        <v>8568</v>
      </c>
      <c r="V43">
        <v>0</v>
      </c>
      <c r="W43">
        <v>9606</v>
      </c>
    </row>
    <row r="44" spans="1:23" x14ac:dyDescent="0.25">
      <c r="A44" t="s">
        <v>133</v>
      </c>
      <c r="B44">
        <v>0</v>
      </c>
      <c r="C44" t="s">
        <v>135</v>
      </c>
      <c r="D44" t="s">
        <v>136</v>
      </c>
      <c r="E44" t="s">
        <v>137</v>
      </c>
      <c r="F44" t="s">
        <v>138</v>
      </c>
      <c r="G44" t="s">
        <v>84</v>
      </c>
      <c r="H44" t="s">
        <v>110</v>
      </c>
      <c r="I44" t="s">
        <v>133</v>
      </c>
      <c r="J44" t="s">
        <v>170</v>
      </c>
      <c r="K44" t="s">
        <v>82</v>
      </c>
      <c r="L44">
        <v>10000</v>
      </c>
      <c r="M44" t="s">
        <v>83</v>
      </c>
      <c r="O44">
        <v>1</v>
      </c>
      <c r="P44">
        <v>1</v>
      </c>
      <c r="U44">
        <v>10000</v>
      </c>
      <c r="V44">
        <v>0</v>
      </c>
      <c r="W44">
        <v>9606</v>
      </c>
    </row>
    <row r="45" spans="1:23" x14ac:dyDescent="0.25">
      <c r="A45" t="s">
        <v>133</v>
      </c>
      <c r="B45">
        <v>1</v>
      </c>
      <c r="C45" t="s">
        <v>135</v>
      </c>
      <c r="D45" t="s">
        <v>136</v>
      </c>
      <c r="E45" t="s">
        <v>137</v>
      </c>
      <c r="F45" t="s">
        <v>138</v>
      </c>
      <c r="G45" t="s">
        <v>167</v>
      </c>
      <c r="H45" t="s">
        <v>106</v>
      </c>
      <c r="I45" t="s">
        <v>133</v>
      </c>
      <c r="J45" t="s">
        <v>171</v>
      </c>
      <c r="K45" t="s">
        <v>82</v>
      </c>
      <c r="L45">
        <v>7200.0349999999999</v>
      </c>
      <c r="M45" t="s">
        <v>83</v>
      </c>
      <c r="N45">
        <v>9810.1133329999993</v>
      </c>
      <c r="U45">
        <v>0</v>
      </c>
      <c r="V45">
        <v>0</v>
      </c>
      <c r="W45">
        <v>9810.1133333333328</v>
      </c>
    </row>
    <row r="46" spans="1:23" x14ac:dyDescent="0.25">
      <c r="A46" t="s">
        <v>133</v>
      </c>
      <c r="B46">
        <v>0</v>
      </c>
      <c r="C46" t="s">
        <v>135</v>
      </c>
      <c r="D46" t="s">
        <v>136</v>
      </c>
      <c r="E46" t="s">
        <v>137</v>
      </c>
      <c r="F46" t="s">
        <v>138</v>
      </c>
      <c r="G46" t="s">
        <v>84</v>
      </c>
      <c r="H46" t="s">
        <v>106</v>
      </c>
      <c r="I46" t="s">
        <v>133</v>
      </c>
      <c r="J46" t="s">
        <v>172</v>
      </c>
      <c r="K46" t="s">
        <v>82</v>
      </c>
      <c r="L46">
        <v>12958.487499999999</v>
      </c>
      <c r="M46" t="s">
        <v>83</v>
      </c>
      <c r="O46">
        <v>1</v>
      </c>
      <c r="U46">
        <v>12958.487499999999</v>
      </c>
      <c r="V46">
        <v>0</v>
      </c>
      <c r="W46">
        <v>9810.1133333333328</v>
      </c>
    </row>
    <row r="47" spans="1:23" x14ac:dyDescent="0.25">
      <c r="A47" t="s">
        <v>133</v>
      </c>
      <c r="B47">
        <v>0</v>
      </c>
      <c r="C47" t="s">
        <v>135</v>
      </c>
      <c r="D47" t="s">
        <v>136</v>
      </c>
      <c r="E47" t="s">
        <v>137</v>
      </c>
      <c r="F47" t="s">
        <v>138</v>
      </c>
      <c r="G47" t="s">
        <v>84</v>
      </c>
      <c r="H47" t="s">
        <v>106</v>
      </c>
      <c r="I47" t="s">
        <v>133</v>
      </c>
      <c r="J47" t="s">
        <v>173</v>
      </c>
      <c r="K47" t="s">
        <v>82</v>
      </c>
      <c r="L47">
        <v>9271.8174999999992</v>
      </c>
      <c r="M47" t="s">
        <v>83</v>
      </c>
      <c r="O47">
        <v>1</v>
      </c>
      <c r="P47">
        <v>1</v>
      </c>
      <c r="U47">
        <v>9271.8174999999992</v>
      </c>
      <c r="V47">
        <v>0</v>
      </c>
      <c r="W47">
        <v>9810.1133333333328</v>
      </c>
    </row>
    <row r="48" spans="1:23" x14ac:dyDescent="0.25">
      <c r="A48" t="s">
        <v>133</v>
      </c>
      <c r="B48">
        <v>1</v>
      </c>
      <c r="C48" t="s">
        <v>135</v>
      </c>
      <c r="D48" t="s">
        <v>136</v>
      </c>
      <c r="E48" t="s">
        <v>137</v>
      </c>
      <c r="F48" t="s">
        <v>138</v>
      </c>
      <c r="G48" t="s">
        <v>167</v>
      </c>
      <c r="H48" t="s">
        <v>80</v>
      </c>
      <c r="I48" t="s">
        <v>133</v>
      </c>
      <c r="J48" t="s">
        <v>174</v>
      </c>
      <c r="K48" t="s">
        <v>82</v>
      </c>
      <c r="L48">
        <v>685626.90079999994</v>
      </c>
      <c r="M48" t="s">
        <v>83</v>
      </c>
      <c r="N48">
        <v>649602.47699999996</v>
      </c>
      <c r="U48">
        <v>0</v>
      </c>
      <c r="V48">
        <v>0</v>
      </c>
      <c r="W48">
        <v>649602.47703333327</v>
      </c>
    </row>
    <row r="49" spans="1:23" x14ac:dyDescent="0.25">
      <c r="A49" t="s">
        <v>133</v>
      </c>
      <c r="B49">
        <v>0</v>
      </c>
      <c r="C49" t="s">
        <v>135</v>
      </c>
      <c r="D49" t="s">
        <v>136</v>
      </c>
      <c r="E49" t="s">
        <v>137</v>
      </c>
      <c r="F49" t="s">
        <v>138</v>
      </c>
      <c r="G49" t="s">
        <v>84</v>
      </c>
      <c r="H49" t="s">
        <v>80</v>
      </c>
      <c r="I49" t="s">
        <v>133</v>
      </c>
      <c r="J49" t="s">
        <v>175</v>
      </c>
      <c r="K49" t="s">
        <v>82</v>
      </c>
      <c r="L49">
        <v>673878.4375</v>
      </c>
      <c r="M49" t="s">
        <v>83</v>
      </c>
      <c r="O49">
        <v>1</v>
      </c>
      <c r="U49">
        <v>673878.4375</v>
      </c>
      <c r="V49">
        <v>0</v>
      </c>
      <c r="W49">
        <v>649602.47703333327</v>
      </c>
    </row>
    <row r="50" spans="1:23" x14ac:dyDescent="0.25">
      <c r="A50" t="s">
        <v>133</v>
      </c>
      <c r="B50">
        <v>0</v>
      </c>
      <c r="C50" t="s">
        <v>135</v>
      </c>
      <c r="D50" t="s">
        <v>136</v>
      </c>
      <c r="E50" t="s">
        <v>137</v>
      </c>
      <c r="F50" t="s">
        <v>138</v>
      </c>
      <c r="G50" t="s">
        <v>84</v>
      </c>
      <c r="H50" t="s">
        <v>80</v>
      </c>
      <c r="I50" t="s">
        <v>133</v>
      </c>
      <c r="J50" t="s">
        <v>176</v>
      </c>
      <c r="K50" t="s">
        <v>82</v>
      </c>
      <c r="L50">
        <v>589302.09279999998</v>
      </c>
      <c r="M50" t="s">
        <v>83</v>
      </c>
      <c r="O50">
        <v>1</v>
      </c>
      <c r="P50">
        <v>1</v>
      </c>
      <c r="U50">
        <v>589302.09279999998</v>
      </c>
      <c r="V50">
        <v>0</v>
      </c>
      <c r="W50">
        <v>649602.47703333327</v>
      </c>
    </row>
    <row r="51" spans="1:23" x14ac:dyDescent="0.25">
      <c r="A51" t="s">
        <v>177</v>
      </c>
      <c r="B51">
        <v>0</v>
      </c>
      <c r="C51" t="s">
        <v>135</v>
      </c>
      <c r="D51" t="s">
        <v>136</v>
      </c>
      <c r="E51" t="s">
        <v>179</v>
      </c>
      <c r="F51" t="s">
        <v>138</v>
      </c>
      <c r="G51" t="s">
        <v>84</v>
      </c>
      <c r="H51" t="s">
        <v>92</v>
      </c>
      <c r="I51" t="s">
        <v>180</v>
      </c>
      <c r="J51" t="s">
        <v>181</v>
      </c>
      <c r="K51" t="s">
        <v>82</v>
      </c>
      <c r="L51">
        <v>29320</v>
      </c>
      <c r="M51" t="s">
        <v>83</v>
      </c>
      <c r="U51">
        <v>0</v>
      </c>
      <c r="V51">
        <v>0</v>
      </c>
      <c r="W51">
        <v>48990</v>
      </c>
    </row>
    <row r="52" spans="1:23" x14ac:dyDescent="0.25">
      <c r="A52" t="s">
        <v>177</v>
      </c>
      <c r="B52">
        <v>1</v>
      </c>
      <c r="C52" t="s">
        <v>135</v>
      </c>
      <c r="D52" t="s">
        <v>136</v>
      </c>
      <c r="E52" t="s">
        <v>179</v>
      </c>
      <c r="F52" t="s">
        <v>138</v>
      </c>
      <c r="G52" t="s">
        <v>182</v>
      </c>
      <c r="H52" t="s">
        <v>92</v>
      </c>
      <c r="I52" t="s">
        <v>183</v>
      </c>
      <c r="J52" t="s">
        <v>184</v>
      </c>
      <c r="K52" t="s">
        <v>82</v>
      </c>
      <c r="L52">
        <v>68660</v>
      </c>
      <c r="M52" t="s">
        <v>83</v>
      </c>
      <c r="N52">
        <v>48990</v>
      </c>
      <c r="Q52">
        <v>1</v>
      </c>
      <c r="S52">
        <v>1</v>
      </c>
      <c r="U52">
        <v>0</v>
      </c>
      <c r="V52">
        <v>0</v>
      </c>
      <c r="W52">
        <v>48990</v>
      </c>
    </row>
    <row r="53" spans="1:23" x14ac:dyDescent="0.25">
      <c r="A53" t="s">
        <v>177</v>
      </c>
      <c r="B53">
        <v>0</v>
      </c>
      <c r="C53" t="s">
        <v>135</v>
      </c>
      <c r="D53" t="s">
        <v>136</v>
      </c>
      <c r="E53" t="s">
        <v>179</v>
      </c>
      <c r="F53" t="s">
        <v>138</v>
      </c>
      <c r="G53" t="s">
        <v>84</v>
      </c>
      <c r="H53" t="s">
        <v>185</v>
      </c>
      <c r="I53" t="s">
        <v>186</v>
      </c>
      <c r="J53" t="s">
        <v>187</v>
      </c>
      <c r="K53" t="s">
        <v>82</v>
      </c>
      <c r="L53">
        <v>22844.75</v>
      </c>
      <c r="M53" t="s">
        <v>83</v>
      </c>
      <c r="U53">
        <v>0</v>
      </c>
      <c r="V53">
        <v>0</v>
      </c>
      <c r="W53">
        <v>18774.708333333332</v>
      </c>
    </row>
    <row r="54" spans="1:23" x14ac:dyDescent="0.25">
      <c r="A54" t="s">
        <v>177</v>
      </c>
      <c r="B54">
        <v>1</v>
      </c>
      <c r="C54" t="s">
        <v>135</v>
      </c>
      <c r="D54" t="s">
        <v>136</v>
      </c>
      <c r="E54" t="s">
        <v>179</v>
      </c>
      <c r="F54" t="s">
        <v>138</v>
      </c>
      <c r="G54" t="s">
        <v>188</v>
      </c>
      <c r="H54" t="s">
        <v>185</v>
      </c>
      <c r="I54" t="s">
        <v>189</v>
      </c>
      <c r="J54" t="s">
        <v>190</v>
      </c>
      <c r="K54" t="s">
        <v>82</v>
      </c>
      <c r="L54">
        <v>19457.424999999999</v>
      </c>
      <c r="M54" t="s">
        <v>83</v>
      </c>
      <c r="N54">
        <v>18774.708330000001</v>
      </c>
      <c r="T54">
        <v>1</v>
      </c>
      <c r="U54">
        <v>0</v>
      </c>
      <c r="V54">
        <v>0</v>
      </c>
      <c r="W54">
        <v>18774.708333333332</v>
      </c>
    </row>
    <row r="55" spans="1:23" x14ac:dyDescent="0.25">
      <c r="A55" t="s">
        <v>177</v>
      </c>
      <c r="B55">
        <v>0</v>
      </c>
      <c r="C55" t="s">
        <v>135</v>
      </c>
      <c r="D55" t="s">
        <v>136</v>
      </c>
      <c r="E55" t="s">
        <v>179</v>
      </c>
      <c r="F55" t="s">
        <v>138</v>
      </c>
      <c r="G55" t="s">
        <v>84</v>
      </c>
      <c r="H55" t="s">
        <v>185</v>
      </c>
      <c r="I55" t="s">
        <v>191</v>
      </c>
      <c r="J55" t="s">
        <v>192</v>
      </c>
      <c r="K55" t="s">
        <v>82</v>
      </c>
      <c r="L55">
        <v>14021.95</v>
      </c>
      <c r="M55" t="s">
        <v>83</v>
      </c>
      <c r="P55">
        <v>1</v>
      </c>
      <c r="T55">
        <v>1</v>
      </c>
      <c r="U55">
        <v>0</v>
      </c>
      <c r="V55">
        <v>0</v>
      </c>
      <c r="W55">
        <v>18774.708333333332</v>
      </c>
    </row>
    <row r="56" spans="1:23" x14ac:dyDescent="0.25">
      <c r="A56" t="s">
        <v>177</v>
      </c>
      <c r="B56">
        <v>1</v>
      </c>
      <c r="C56" t="s">
        <v>135</v>
      </c>
      <c r="D56" t="s">
        <v>136</v>
      </c>
      <c r="E56" t="s">
        <v>179</v>
      </c>
      <c r="F56" t="s">
        <v>138</v>
      </c>
      <c r="G56" t="s">
        <v>130</v>
      </c>
      <c r="H56" t="s">
        <v>125</v>
      </c>
      <c r="I56" t="s">
        <v>193</v>
      </c>
      <c r="J56" t="s">
        <v>194</v>
      </c>
      <c r="K56" t="s">
        <v>82</v>
      </c>
      <c r="L56">
        <v>15950</v>
      </c>
      <c r="M56" t="s">
        <v>83</v>
      </c>
      <c r="N56">
        <v>30350</v>
      </c>
      <c r="T56">
        <v>1</v>
      </c>
      <c r="U56">
        <v>0</v>
      </c>
      <c r="V56">
        <v>0</v>
      </c>
      <c r="W56">
        <v>30350</v>
      </c>
    </row>
    <row r="57" spans="1:23" x14ac:dyDescent="0.25">
      <c r="A57" t="s">
        <v>177</v>
      </c>
      <c r="B57">
        <v>0</v>
      </c>
      <c r="C57" t="s">
        <v>135</v>
      </c>
      <c r="D57" t="s">
        <v>136</v>
      </c>
      <c r="E57" t="s">
        <v>179</v>
      </c>
      <c r="F57" t="s">
        <v>138</v>
      </c>
      <c r="G57" t="s">
        <v>84</v>
      </c>
      <c r="H57" t="s">
        <v>125</v>
      </c>
      <c r="I57" t="s">
        <v>195</v>
      </c>
      <c r="J57" t="s">
        <v>196</v>
      </c>
      <c r="K57" t="s">
        <v>82</v>
      </c>
      <c r="L57">
        <v>34650</v>
      </c>
      <c r="M57" t="s">
        <v>83</v>
      </c>
      <c r="U57">
        <v>0</v>
      </c>
      <c r="V57">
        <v>0</v>
      </c>
      <c r="W57">
        <v>30350</v>
      </c>
    </row>
    <row r="58" spans="1:23" x14ac:dyDescent="0.25">
      <c r="A58" t="s">
        <v>177</v>
      </c>
      <c r="B58">
        <v>0</v>
      </c>
      <c r="C58" t="s">
        <v>135</v>
      </c>
      <c r="D58" t="s">
        <v>136</v>
      </c>
      <c r="E58" t="s">
        <v>179</v>
      </c>
      <c r="F58" t="s">
        <v>138</v>
      </c>
      <c r="G58" t="s">
        <v>84</v>
      </c>
      <c r="H58" t="s">
        <v>125</v>
      </c>
      <c r="I58" t="s">
        <v>197</v>
      </c>
      <c r="J58" t="s">
        <v>198</v>
      </c>
      <c r="K58" t="s">
        <v>82</v>
      </c>
      <c r="L58">
        <v>40450</v>
      </c>
      <c r="M58" t="s">
        <v>83</v>
      </c>
      <c r="U58">
        <v>0</v>
      </c>
      <c r="V58">
        <v>0</v>
      </c>
      <c r="W58">
        <v>30350</v>
      </c>
    </row>
    <row r="59" spans="1:23" x14ac:dyDescent="0.25">
      <c r="A59" t="s">
        <v>177</v>
      </c>
      <c r="B59">
        <v>0</v>
      </c>
      <c r="C59" t="s">
        <v>135</v>
      </c>
      <c r="D59" t="s">
        <v>136</v>
      </c>
      <c r="E59" t="s">
        <v>179</v>
      </c>
      <c r="F59" t="s">
        <v>138</v>
      </c>
      <c r="G59" t="s">
        <v>84</v>
      </c>
      <c r="H59" t="s">
        <v>98</v>
      </c>
      <c r="I59" t="s">
        <v>199</v>
      </c>
      <c r="J59" t="s">
        <v>200</v>
      </c>
      <c r="K59" t="s">
        <v>82</v>
      </c>
      <c r="L59">
        <v>14900</v>
      </c>
      <c r="M59" t="s">
        <v>83</v>
      </c>
      <c r="R59">
        <v>1</v>
      </c>
      <c r="U59">
        <v>0</v>
      </c>
      <c r="V59">
        <v>0</v>
      </c>
      <c r="W59">
        <v>27083.333333333336</v>
      </c>
    </row>
    <row r="60" spans="1:23" x14ac:dyDescent="0.25">
      <c r="A60" t="s">
        <v>177</v>
      </c>
      <c r="B60">
        <v>0</v>
      </c>
      <c r="C60" t="s">
        <v>135</v>
      </c>
      <c r="D60" t="s">
        <v>136</v>
      </c>
      <c r="E60" t="s">
        <v>179</v>
      </c>
      <c r="F60" t="s">
        <v>138</v>
      </c>
      <c r="G60" t="s">
        <v>84</v>
      </c>
      <c r="H60" t="s">
        <v>98</v>
      </c>
      <c r="I60" t="s">
        <v>201</v>
      </c>
      <c r="J60" t="s">
        <v>202</v>
      </c>
      <c r="K60" t="s">
        <v>82</v>
      </c>
      <c r="L60">
        <v>47450</v>
      </c>
      <c r="M60" t="s">
        <v>83</v>
      </c>
      <c r="R60">
        <v>1</v>
      </c>
      <c r="T60">
        <v>1</v>
      </c>
      <c r="U60">
        <v>0</v>
      </c>
      <c r="V60">
        <v>0</v>
      </c>
      <c r="W60">
        <v>27083.333333333336</v>
      </c>
    </row>
    <row r="61" spans="1:23" x14ac:dyDescent="0.25">
      <c r="A61" t="s">
        <v>177</v>
      </c>
      <c r="B61">
        <v>1</v>
      </c>
      <c r="C61" t="s">
        <v>135</v>
      </c>
      <c r="D61" t="s">
        <v>136</v>
      </c>
      <c r="E61" t="s">
        <v>179</v>
      </c>
      <c r="F61" t="s">
        <v>138</v>
      </c>
      <c r="G61" t="s">
        <v>203</v>
      </c>
      <c r="H61" t="s">
        <v>98</v>
      </c>
      <c r="I61" t="s">
        <v>204</v>
      </c>
      <c r="J61" t="s">
        <v>205</v>
      </c>
      <c r="K61" t="s">
        <v>82</v>
      </c>
      <c r="L61">
        <v>18900</v>
      </c>
      <c r="M61" t="s">
        <v>83</v>
      </c>
      <c r="N61">
        <v>27083.333330000001</v>
      </c>
      <c r="U61">
        <v>0</v>
      </c>
      <c r="V61">
        <v>0</v>
      </c>
      <c r="W61">
        <v>27083.333333333336</v>
      </c>
    </row>
    <row r="62" spans="1:23" x14ac:dyDescent="0.25">
      <c r="A62" t="s">
        <v>177</v>
      </c>
      <c r="B62">
        <v>0</v>
      </c>
      <c r="C62" t="s">
        <v>135</v>
      </c>
      <c r="D62" t="s">
        <v>136</v>
      </c>
      <c r="E62" t="s">
        <v>179</v>
      </c>
      <c r="F62" t="s">
        <v>138</v>
      </c>
      <c r="G62" t="s">
        <v>84</v>
      </c>
      <c r="H62" t="s">
        <v>87</v>
      </c>
      <c r="I62" t="s">
        <v>177</v>
      </c>
      <c r="J62" t="s">
        <v>206</v>
      </c>
      <c r="K62" t="s">
        <v>82</v>
      </c>
      <c r="L62">
        <v>56933.45</v>
      </c>
      <c r="M62" t="s">
        <v>83</v>
      </c>
      <c r="Q62">
        <v>1</v>
      </c>
      <c r="U62">
        <v>0</v>
      </c>
      <c r="V62">
        <v>0</v>
      </c>
      <c r="W62">
        <v>93441.483333333337</v>
      </c>
    </row>
    <row r="63" spans="1:23" x14ac:dyDescent="0.25">
      <c r="A63" t="s">
        <v>177</v>
      </c>
      <c r="B63">
        <v>1</v>
      </c>
      <c r="C63" t="s">
        <v>135</v>
      </c>
      <c r="D63" t="s">
        <v>136</v>
      </c>
      <c r="E63" t="s">
        <v>179</v>
      </c>
      <c r="F63" t="s">
        <v>138</v>
      </c>
      <c r="G63" t="s">
        <v>207</v>
      </c>
      <c r="H63" t="s">
        <v>87</v>
      </c>
      <c r="I63" t="s">
        <v>177</v>
      </c>
      <c r="J63" t="s">
        <v>208</v>
      </c>
      <c r="K63" t="s">
        <v>82</v>
      </c>
      <c r="L63">
        <v>100975.5833</v>
      </c>
      <c r="M63" t="s">
        <v>83</v>
      </c>
      <c r="N63">
        <v>93441.483330000003</v>
      </c>
      <c r="S63">
        <v>1</v>
      </c>
      <c r="T63">
        <v>1</v>
      </c>
      <c r="U63">
        <v>0</v>
      </c>
      <c r="V63">
        <v>0</v>
      </c>
      <c r="W63">
        <v>93441.483333333337</v>
      </c>
    </row>
    <row r="64" spans="1:23" x14ac:dyDescent="0.25">
      <c r="A64" t="s">
        <v>177</v>
      </c>
      <c r="B64">
        <v>0</v>
      </c>
      <c r="C64" t="s">
        <v>135</v>
      </c>
      <c r="D64" t="s">
        <v>136</v>
      </c>
      <c r="E64" t="s">
        <v>179</v>
      </c>
      <c r="F64" t="s">
        <v>138</v>
      </c>
      <c r="G64" t="s">
        <v>84</v>
      </c>
      <c r="H64" t="s">
        <v>87</v>
      </c>
      <c r="I64" t="s">
        <v>177</v>
      </c>
      <c r="J64" t="s">
        <v>209</v>
      </c>
      <c r="K64" t="s">
        <v>82</v>
      </c>
      <c r="L64">
        <v>122415.4167</v>
      </c>
      <c r="M64" t="s">
        <v>83</v>
      </c>
      <c r="T64">
        <v>1</v>
      </c>
      <c r="U64">
        <v>0</v>
      </c>
      <c r="V64">
        <v>0</v>
      </c>
      <c r="W64">
        <v>93441.483333333337</v>
      </c>
    </row>
    <row r="65" spans="1:23" x14ac:dyDescent="0.25">
      <c r="A65" t="s">
        <v>177</v>
      </c>
      <c r="B65">
        <v>0</v>
      </c>
      <c r="C65" t="s">
        <v>135</v>
      </c>
      <c r="D65" t="s">
        <v>136</v>
      </c>
      <c r="E65" t="s">
        <v>179</v>
      </c>
      <c r="F65" t="s">
        <v>138</v>
      </c>
      <c r="G65" t="s">
        <v>84</v>
      </c>
      <c r="H65" t="s">
        <v>110</v>
      </c>
      <c r="I65" t="s">
        <v>186</v>
      </c>
      <c r="J65" t="s">
        <v>113</v>
      </c>
      <c r="K65" t="s">
        <v>82</v>
      </c>
      <c r="L65">
        <v>12400</v>
      </c>
      <c r="M65" t="s">
        <v>83</v>
      </c>
      <c r="U65">
        <v>0</v>
      </c>
      <c r="V65">
        <v>0</v>
      </c>
      <c r="W65">
        <v>11703.333333333334</v>
      </c>
    </row>
    <row r="66" spans="1:23" x14ac:dyDescent="0.25">
      <c r="A66" t="s">
        <v>177</v>
      </c>
      <c r="B66">
        <v>1</v>
      </c>
      <c r="C66" t="s">
        <v>135</v>
      </c>
      <c r="D66" t="s">
        <v>136</v>
      </c>
      <c r="E66" t="s">
        <v>179</v>
      </c>
      <c r="F66" t="s">
        <v>138</v>
      </c>
      <c r="G66" t="s">
        <v>188</v>
      </c>
      <c r="H66" t="s">
        <v>110</v>
      </c>
      <c r="I66" t="s">
        <v>189</v>
      </c>
      <c r="J66" t="s">
        <v>210</v>
      </c>
      <c r="K66" t="s">
        <v>82</v>
      </c>
      <c r="L66">
        <v>13750</v>
      </c>
      <c r="M66" t="s">
        <v>83</v>
      </c>
      <c r="N66">
        <v>11703.333329999999</v>
      </c>
      <c r="T66">
        <v>1</v>
      </c>
      <c r="U66">
        <v>0</v>
      </c>
      <c r="V66">
        <v>0</v>
      </c>
      <c r="W66">
        <v>11703.333333333334</v>
      </c>
    </row>
    <row r="67" spans="1:23" x14ac:dyDescent="0.25">
      <c r="A67" t="s">
        <v>177</v>
      </c>
      <c r="B67">
        <v>0</v>
      </c>
      <c r="C67" t="s">
        <v>135</v>
      </c>
      <c r="D67" t="s">
        <v>136</v>
      </c>
      <c r="E67" t="s">
        <v>179</v>
      </c>
      <c r="F67" t="s">
        <v>138</v>
      </c>
      <c r="G67" t="s">
        <v>84</v>
      </c>
      <c r="H67" t="s">
        <v>110</v>
      </c>
      <c r="I67" t="s">
        <v>191</v>
      </c>
      <c r="J67" t="s">
        <v>211</v>
      </c>
      <c r="K67" t="s">
        <v>82</v>
      </c>
      <c r="L67">
        <v>8960</v>
      </c>
      <c r="M67" t="s">
        <v>83</v>
      </c>
      <c r="P67">
        <v>1</v>
      </c>
      <c r="T67">
        <v>1</v>
      </c>
      <c r="U67">
        <v>0</v>
      </c>
      <c r="V67">
        <v>0</v>
      </c>
      <c r="W67">
        <v>11703.333333333334</v>
      </c>
    </row>
    <row r="68" spans="1:23" x14ac:dyDescent="0.25">
      <c r="A68" t="s">
        <v>177</v>
      </c>
      <c r="B68">
        <v>0</v>
      </c>
      <c r="C68" t="s">
        <v>135</v>
      </c>
      <c r="D68" t="s">
        <v>136</v>
      </c>
      <c r="E68" t="s">
        <v>179</v>
      </c>
      <c r="F68" t="s">
        <v>138</v>
      </c>
      <c r="G68" t="s">
        <v>84</v>
      </c>
      <c r="H68" t="s">
        <v>106</v>
      </c>
      <c r="I68" t="s">
        <v>186</v>
      </c>
      <c r="J68" t="s">
        <v>212</v>
      </c>
      <c r="K68" t="s">
        <v>82</v>
      </c>
      <c r="L68">
        <v>7010.9750000000004</v>
      </c>
      <c r="M68" t="s">
        <v>83</v>
      </c>
      <c r="U68">
        <v>0</v>
      </c>
      <c r="V68">
        <v>0</v>
      </c>
      <c r="W68">
        <v>7058.2400000000007</v>
      </c>
    </row>
    <row r="69" spans="1:23" x14ac:dyDescent="0.25">
      <c r="A69" t="s">
        <v>177</v>
      </c>
      <c r="B69">
        <v>1</v>
      </c>
      <c r="C69" t="s">
        <v>135</v>
      </c>
      <c r="D69" t="s">
        <v>136</v>
      </c>
      <c r="E69" t="s">
        <v>179</v>
      </c>
      <c r="F69" t="s">
        <v>138</v>
      </c>
      <c r="G69" t="s">
        <v>188</v>
      </c>
      <c r="H69" t="s">
        <v>106</v>
      </c>
      <c r="I69" t="s">
        <v>189</v>
      </c>
      <c r="J69" t="s">
        <v>213</v>
      </c>
      <c r="K69" t="s">
        <v>82</v>
      </c>
      <c r="L69">
        <v>5317.3125</v>
      </c>
      <c r="M69" t="s">
        <v>83</v>
      </c>
      <c r="N69">
        <v>7058.24</v>
      </c>
      <c r="T69">
        <v>1</v>
      </c>
      <c r="U69">
        <v>0</v>
      </c>
      <c r="V69">
        <v>0</v>
      </c>
      <c r="W69">
        <v>7058.2400000000007</v>
      </c>
    </row>
    <row r="70" spans="1:23" x14ac:dyDescent="0.25">
      <c r="A70" t="s">
        <v>177</v>
      </c>
      <c r="B70">
        <v>0</v>
      </c>
      <c r="C70" t="s">
        <v>135</v>
      </c>
      <c r="D70" t="s">
        <v>136</v>
      </c>
      <c r="E70" t="s">
        <v>179</v>
      </c>
      <c r="F70" t="s">
        <v>138</v>
      </c>
      <c r="G70" t="s">
        <v>84</v>
      </c>
      <c r="H70" t="s">
        <v>106</v>
      </c>
      <c r="I70" t="s">
        <v>191</v>
      </c>
      <c r="J70" t="s">
        <v>214</v>
      </c>
      <c r="K70" t="s">
        <v>82</v>
      </c>
      <c r="L70">
        <v>8846.4325000000008</v>
      </c>
      <c r="M70" t="s">
        <v>83</v>
      </c>
      <c r="P70">
        <v>1</v>
      </c>
      <c r="T70">
        <v>1</v>
      </c>
      <c r="U70">
        <v>0</v>
      </c>
      <c r="V70">
        <v>0</v>
      </c>
      <c r="W70">
        <v>7058.2400000000007</v>
      </c>
    </row>
    <row r="71" spans="1:23" x14ac:dyDescent="0.25">
      <c r="A71" t="s">
        <v>177</v>
      </c>
      <c r="B71">
        <v>0</v>
      </c>
      <c r="C71" t="s">
        <v>135</v>
      </c>
      <c r="D71" t="s">
        <v>136</v>
      </c>
      <c r="E71" t="s">
        <v>179</v>
      </c>
      <c r="F71" t="s">
        <v>138</v>
      </c>
      <c r="G71" t="s">
        <v>84</v>
      </c>
      <c r="H71" t="s">
        <v>80</v>
      </c>
      <c r="I71" t="s">
        <v>186</v>
      </c>
      <c r="J71" t="s">
        <v>215</v>
      </c>
      <c r="K71" t="s">
        <v>82</v>
      </c>
      <c r="L71">
        <v>748472.65919999999</v>
      </c>
      <c r="M71" t="s">
        <v>83</v>
      </c>
      <c r="U71">
        <v>0</v>
      </c>
      <c r="V71">
        <v>0</v>
      </c>
      <c r="W71">
        <v>835635.3772333333</v>
      </c>
    </row>
    <row r="72" spans="1:23" x14ac:dyDescent="0.25">
      <c r="A72" t="s">
        <v>177</v>
      </c>
      <c r="B72">
        <v>1</v>
      </c>
      <c r="C72" t="s">
        <v>135</v>
      </c>
      <c r="D72" t="s">
        <v>136</v>
      </c>
      <c r="E72" t="s">
        <v>179</v>
      </c>
      <c r="F72" t="s">
        <v>138</v>
      </c>
      <c r="G72" t="s">
        <v>188</v>
      </c>
      <c r="H72" t="s">
        <v>80</v>
      </c>
      <c r="I72" t="s">
        <v>189</v>
      </c>
      <c r="J72" t="s">
        <v>216</v>
      </c>
      <c r="K72" t="s">
        <v>82</v>
      </c>
      <c r="L72">
        <v>856318.5</v>
      </c>
      <c r="M72" t="s">
        <v>83</v>
      </c>
      <c r="N72">
        <v>835635.37719999999</v>
      </c>
      <c r="T72">
        <v>1</v>
      </c>
      <c r="U72">
        <v>0</v>
      </c>
      <c r="V72">
        <v>0</v>
      </c>
      <c r="W72">
        <v>835635.3772333333</v>
      </c>
    </row>
    <row r="73" spans="1:23" x14ac:dyDescent="0.25">
      <c r="A73" t="s">
        <v>177</v>
      </c>
      <c r="B73">
        <v>0</v>
      </c>
      <c r="C73" t="s">
        <v>135</v>
      </c>
      <c r="D73" t="s">
        <v>136</v>
      </c>
      <c r="E73" t="s">
        <v>179</v>
      </c>
      <c r="F73" t="s">
        <v>138</v>
      </c>
      <c r="G73" t="s">
        <v>84</v>
      </c>
      <c r="H73" t="s">
        <v>80</v>
      </c>
      <c r="I73" t="s">
        <v>191</v>
      </c>
      <c r="J73" t="s">
        <v>217</v>
      </c>
      <c r="K73" t="s">
        <v>82</v>
      </c>
      <c r="L73">
        <v>902114.97250000003</v>
      </c>
      <c r="M73" t="s">
        <v>83</v>
      </c>
      <c r="P73">
        <v>1</v>
      </c>
      <c r="T73">
        <v>1</v>
      </c>
      <c r="U73">
        <v>0</v>
      </c>
      <c r="V73">
        <v>0</v>
      </c>
      <c r="W73">
        <v>835635.3772333333</v>
      </c>
    </row>
    <row r="74" spans="1:23" x14ac:dyDescent="0.25">
      <c r="A74" t="s">
        <v>218</v>
      </c>
      <c r="B74">
        <v>0</v>
      </c>
      <c r="C74" t="s">
        <v>135</v>
      </c>
      <c r="D74" t="s">
        <v>219</v>
      </c>
      <c r="E74" t="s">
        <v>179</v>
      </c>
      <c r="F74" t="s">
        <v>138</v>
      </c>
      <c r="G74" t="s">
        <v>84</v>
      </c>
      <c r="H74" t="s">
        <v>92</v>
      </c>
      <c r="I74" t="s">
        <v>220</v>
      </c>
      <c r="J74" t="s">
        <v>181</v>
      </c>
      <c r="K74" t="s">
        <v>82</v>
      </c>
      <c r="L74">
        <v>35540</v>
      </c>
      <c r="M74" t="s">
        <v>83</v>
      </c>
      <c r="U74">
        <v>0</v>
      </c>
      <c r="V74">
        <v>0</v>
      </c>
      <c r="W74">
        <v>52025</v>
      </c>
    </row>
    <row r="75" spans="1:23" x14ac:dyDescent="0.25">
      <c r="A75" t="s">
        <v>218</v>
      </c>
      <c r="B75">
        <v>1</v>
      </c>
      <c r="C75" t="s">
        <v>135</v>
      </c>
      <c r="D75" t="s">
        <v>219</v>
      </c>
      <c r="E75" t="s">
        <v>179</v>
      </c>
      <c r="F75" t="s">
        <v>138</v>
      </c>
      <c r="G75" t="s">
        <v>221</v>
      </c>
      <c r="H75" t="s">
        <v>92</v>
      </c>
      <c r="I75" t="s">
        <v>222</v>
      </c>
      <c r="J75" t="s">
        <v>221</v>
      </c>
      <c r="K75" t="s">
        <v>82</v>
      </c>
      <c r="L75">
        <v>68510</v>
      </c>
      <c r="M75" t="s">
        <v>83</v>
      </c>
      <c r="N75">
        <v>52025</v>
      </c>
      <c r="R75">
        <v>1</v>
      </c>
      <c r="U75">
        <v>0</v>
      </c>
      <c r="V75">
        <v>0</v>
      </c>
      <c r="W75">
        <v>52025</v>
      </c>
    </row>
    <row r="76" spans="1:23" x14ac:dyDescent="0.25">
      <c r="A76" t="s">
        <v>218</v>
      </c>
      <c r="B76">
        <v>0</v>
      </c>
      <c r="C76" t="s">
        <v>135</v>
      </c>
      <c r="D76" t="s">
        <v>219</v>
      </c>
      <c r="E76" t="s">
        <v>179</v>
      </c>
      <c r="F76" t="s">
        <v>138</v>
      </c>
      <c r="G76" t="s">
        <v>84</v>
      </c>
      <c r="H76" t="s">
        <v>125</v>
      </c>
      <c r="I76" t="s">
        <v>223</v>
      </c>
      <c r="J76" t="s">
        <v>224</v>
      </c>
      <c r="K76" t="s">
        <v>82</v>
      </c>
      <c r="L76">
        <v>8600</v>
      </c>
      <c r="M76" t="s">
        <v>83</v>
      </c>
      <c r="O76">
        <v>1</v>
      </c>
      <c r="S76">
        <v>1</v>
      </c>
      <c r="U76">
        <v>8600</v>
      </c>
      <c r="V76">
        <v>0</v>
      </c>
      <c r="W76">
        <v>40166.666666666672</v>
      </c>
    </row>
    <row r="77" spans="1:23" x14ac:dyDescent="0.25">
      <c r="A77" t="s">
        <v>218</v>
      </c>
      <c r="B77">
        <v>1</v>
      </c>
      <c r="C77" t="s">
        <v>135</v>
      </c>
      <c r="D77" t="s">
        <v>219</v>
      </c>
      <c r="E77" t="s">
        <v>179</v>
      </c>
      <c r="F77" t="s">
        <v>138</v>
      </c>
      <c r="G77" t="s">
        <v>141</v>
      </c>
      <c r="H77" t="s">
        <v>125</v>
      </c>
      <c r="I77" t="s">
        <v>225</v>
      </c>
      <c r="J77" t="s">
        <v>226</v>
      </c>
      <c r="K77" t="s">
        <v>82</v>
      </c>
      <c r="L77">
        <v>52150</v>
      </c>
      <c r="M77" t="s">
        <v>83</v>
      </c>
      <c r="N77">
        <v>40166.666669999999</v>
      </c>
      <c r="U77">
        <v>0</v>
      </c>
      <c r="V77">
        <v>0</v>
      </c>
      <c r="W77">
        <v>40166.666666666672</v>
      </c>
    </row>
    <row r="78" spans="1:23" x14ac:dyDescent="0.25">
      <c r="A78" t="s">
        <v>218</v>
      </c>
      <c r="B78">
        <v>0</v>
      </c>
      <c r="C78" t="s">
        <v>135</v>
      </c>
      <c r="D78" t="s">
        <v>219</v>
      </c>
      <c r="E78" t="s">
        <v>179</v>
      </c>
      <c r="F78" t="s">
        <v>138</v>
      </c>
      <c r="G78" t="s">
        <v>84</v>
      </c>
      <c r="H78" t="s">
        <v>125</v>
      </c>
      <c r="I78" t="s">
        <v>227</v>
      </c>
      <c r="J78" t="s">
        <v>228</v>
      </c>
      <c r="K78" t="s">
        <v>82</v>
      </c>
      <c r="L78">
        <v>59750</v>
      </c>
      <c r="M78" t="s">
        <v>83</v>
      </c>
      <c r="T78">
        <v>1</v>
      </c>
      <c r="U78">
        <v>0</v>
      </c>
      <c r="V78">
        <v>0</v>
      </c>
      <c r="W78">
        <v>40166.666666666672</v>
      </c>
    </row>
    <row r="79" spans="1:23" x14ac:dyDescent="0.25">
      <c r="A79" t="s">
        <v>218</v>
      </c>
      <c r="B79">
        <v>1</v>
      </c>
      <c r="C79" t="s">
        <v>135</v>
      </c>
      <c r="D79" t="s">
        <v>219</v>
      </c>
      <c r="E79" t="s">
        <v>179</v>
      </c>
      <c r="F79" t="s">
        <v>138</v>
      </c>
      <c r="G79" t="s">
        <v>229</v>
      </c>
      <c r="H79" t="s">
        <v>151</v>
      </c>
      <c r="I79" t="s">
        <v>230</v>
      </c>
      <c r="J79" t="s">
        <v>231</v>
      </c>
      <c r="K79" t="s">
        <v>82</v>
      </c>
      <c r="L79">
        <v>80541.5</v>
      </c>
      <c r="M79" t="s">
        <v>83</v>
      </c>
      <c r="N79">
        <v>79204.666670000006</v>
      </c>
      <c r="U79">
        <v>0</v>
      </c>
      <c r="V79">
        <v>0</v>
      </c>
      <c r="W79">
        <v>79204.666666666672</v>
      </c>
    </row>
    <row r="80" spans="1:23" x14ac:dyDescent="0.25">
      <c r="A80" t="s">
        <v>218</v>
      </c>
      <c r="B80">
        <v>0</v>
      </c>
      <c r="C80" t="s">
        <v>135</v>
      </c>
      <c r="D80" t="s">
        <v>219</v>
      </c>
      <c r="E80" t="s">
        <v>179</v>
      </c>
      <c r="F80" t="s">
        <v>138</v>
      </c>
      <c r="G80" t="s">
        <v>84</v>
      </c>
      <c r="H80" t="s">
        <v>151</v>
      </c>
      <c r="I80" t="s">
        <v>232</v>
      </c>
      <c r="J80" t="s">
        <v>233</v>
      </c>
      <c r="K80" t="s">
        <v>82</v>
      </c>
      <c r="L80">
        <v>92170</v>
      </c>
      <c r="M80" t="s">
        <v>83</v>
      </c>
      <c r="U80">
        <v>0</v>
      </c>
      <c r="V80">
        <v>0</v>
      </c>
      <c r="W80">
        <v>79204.666666666672</v>
      </c>
    </row>
    <row r="81" spans="1:23" x14ac:dyDescent="0.25">
      <c r="A81" t="s">
        <v>218</v>
      </c>
      <c r="B81">
        <v>0</v>
      </c>
      <c r="C81" t="s">
        <v>135</v>
      </c>
      <c r="D81" t="s">
        <v>219</v>
      </c>
      <c r="E81" t="s">
        <v>179</v>
      </c>
      <c r="F81" t="s">
        <v>138</v>
      </c>
      <c r="G81" t="s">
        <v>84</v>
      </c>
      <c r="H81" t="s">
        <v>151</v>
      </c>
      <c r="I81" t="s">
        <v>234</v>
      </c>
      <c r="J81" t="s">
        <v>235</v>
      </c>
      <c r="K81" t="s">
        <v>82</v>
      </c>
      <c r="L81">
        <v>64902.5</v>
      </c>
      <c r="M81" t="s">
        <v>83</v>
      </c>
      <c r="S81">
        <v>1</v>
      </c>
      <c r="U81">
        <v>0</v>
      </c>
      <c r="V81">
        <v>0</v>
      </c>
      <c r="W81">
        <v>79204.666666666672</v>
      </c>
    </row>
    <row r="82" spans="1:23" x14ac:dyDescent="0.25">
      <c r="A82" t="s">
        <v>218</v>
      </c>
      <c r="B82">
        <v>0</v>
      </c>
      <c r="C82" t="s">
        <v>135</v>
      </c>
      <c r="D82" t="s">
        <v>219</v>
      </c>
      <c r="E82" t="s">
        <v>179</v>
      </c>
      <c r="F82" t="s">
        <v>138</v>
      </c>
      <c r="G82" t="s">
        <v>84</v>
      </c>
      <c r="H82" t="s">
        <v>98</v>
      </c>
      <c r="I82" t="s">
        <v>236</v>
      </c>
      <c r="J82" t="s">
        <v>237</v>
      </c>
      <c r="K82" t="s">
        <v>82</v>
      </c>
      <c r="L82">
        <v>8850</v>
      </c>
      <c r="M82" t="s">
        <v>83</v>
      </c>
      <c r="S82">
        <v>1</v>
      </c>
      <c r="U82">
        <v>0</v>
      </c>
      <c r="V82">
        <v>0</v>
      </c>
      <c r="W82">
        <v>18050</v>
      </c>
    </row>
    <row r="83" spans="1:23" x14ac:dyDescent="0.25">
      <c r="A83" t="s">
        <v>218</v>
      </c>
      <c r="B83">
        <v>1</v>
      </c>
      <c r="C83" t="s">
        <v>135</v>
      </c>
      <c r="D83" t="s">
        <v>219</v>
      </c>
      <c r="E83" t="s">
        <v>179</v>
      </c>
      <c r="F83" t="s">
        <v>138</v>
      </c>
      <c r="G83" t="s">
        <v>238</v>
      </c>
      <c r="H83" t="s">
        <v>98</v>
      </c>
      <c r="I83" t="s">
        <v>239</v>
      </c>
      <c r="J83" t="s">
        <v>240</v>
      </c>
      <c r="K83" t="s">
        <v>82</v>
      </c>
      <c r="L83">
        <v>28600</v>
      </c>
      <c r="M83" t="s">
        <v>83</v>
      </c>
      <c r="N83">
        <v>18050</v>
      </c>
      <c r="Q83">
        <v>1</v>
      </c>
      <c r="R83">
        <v>1</v>
      </c>
      <c r="U83">
        <v>0</v>
      </c>
      <c r="V83">
        <v>0</v>
      </c>
      <c r="W83">
        <v>18050</v>
      </c>
    </row>
    <row r="84" spans="1:23" x14ac:dyDescent="0.25">
      <c r="A84" t="s">
        <v>218</v>
      </c>
      <c r="B84">
        <v>0</v>
      </c>
      <c r="C84" t="s">
        <v>135</v>
      </c>
      <c r="D84" t="s">
        <v>219</v>
      </c>
      <c r="E84" t="s">
        <v>179</v>
      </c>
      <c r="F84" t="s">
        <v>138</v>
      </c>
      <c r="G84" t="s">
        <v>84</v>
      </c>
      <c r="H84" t="s">
        <v>98</v>
      </c>
      <c r="I84" t="s">
        <v>241</v>
      </c>
      <c r="J84" t="s">
        <v>84</v>
      </c>
      <c r="K84" t="s">
        <v>82</v>
      </c>
      <c r="L84">
        <v>16700</v>
      </c>
      <c r="M84" t="s">
        <v>83</v>
      </c>
      <c r="S84">
        <v>1</v>
      </c>
      <c r="U84">
        <v>0</v>
      </c>
      <c r="V84">
        <v>0</v>
      </c>
      <c r="W84">
        <v>18050</v>
      </c>
    </row>
    <row r="85" spans="1:23" x14ac:dyDescent="0.25">
      <c r="A85" t="s">
        <v>218</v>
      </c>
      <c r="B85">
        <v>0</v>
      </c>
      <c r="C85" t="s">
        <v>135</v>
      </c>
      <c r="D85" t="s">
        <v>219</v>
      </c>
      <c r="E85" t="s">
        <v>179</v>
      </c>
      <c r="F85" t="s">
        <v>138</v>
      </c>
      <c r="G85" t="s">
        <v>84</v>
      </c>
      <c r="H85" t="s">
        <v>87</v>
      </c>
      <c r="I85" t="s">
        <v>218</v>
      </c>
      <c r="J85" t="s">
        <v>242</v>
      </c>
      <c r="K85" t="s">
        <v>82</v>
      </c>
      <c r="L85">
        <v>112476.875</v>
      </c>
      <c r="M85" t="s">
        <v>83</v>
      </c>
      <c r="U85">
        <v>0</v>
      </c>
      <c r="V85">
        <v>0</v>
      </c>
      <c r="W85">
        <v>100943.59723333333</v>
      </c>
    </row>
    <row r="86" spans="1:23" x14ac:dyDescent="0.25">
      <c r="A86" t="s">
        <v>218</v>
      </c>
      <c r="B86">
        <v>1</v>
      </c>
      <c r="C86" t="s">
        <v>135</v>
      </c>
      <c r="D86" t="s">
        <v>219</v>
      </c>
      <c r="E86" t="s">
        <v>179</v>
      </c>
      <c r="F86" t="s">
        <v>138</v>
      </c>
      <c r="G86" t="s">
        <v>243</v>
      </c>
      <c r="H86" t="s">
        <v>87</v>
      </c>
      <c r="I86" t="s">
        <v>218</v>
      </c>
      <c r="J86" t="s">
        <v>244</v>
      </c>
      <c r="K86" t="s">
        <v>82</v>
      </c>
      <c r="L86">
        <v>111615.9917</v>
      </c>
      <c r="M86" t="s">
        <v>83</v>
      </c>
      <c r="N86">
        <v>100943.5972</v>
      </c>
      <c r="U86">
        <v>0</v>
      </c>
      <c r="V86">
        <v>0</v>
      </c>
      <c r="W86">
        <v>100943.59723333333</v>
      </c>
    </row>
    <row r="87" spans="1:23" x14ac:dyDescent="0.25">
      <c r="A87" t="s">
        <v>218</v>
      </c>
      <c r="B87">
        <v>0</v>
      </c>
      <c r="C87" t="s">
        <v>135</v>
      </c>
      <c r="D87" t="s">
        <v>219</v>
      </c>
      <c r="E87" t="s">
        <v>179</v>
      </c>
      <c r="F87" t="s">
        <v>138</v>
      </c>
      <c r="G87" t="s">
        <v>84</v>
      </c>
      <c r="H87" t="s">
        <v>87</v>
      </c>
      <c r="I87" t="s">
        <v>218</v>
      </c>
      <c r="J87" t="s">
        <v>245</v>
      </c>
      <c r="K87" t="s">
        <v>82</v>
      </c>
      <c r="L87">
        <v>78737.925000000003</v>
      </c>
      <c r="M87" t="s">
        <v>83</v>
      </c>
      <c r="T87">
        <v>1</v>
      </c>
      <c r="U87">
        <v>0</v>
      </c>
      <c r="V87">
        <v>0</v>
      </c>
      <c r="W87">
        <v>100943.59723333333</v>
      </c>
    </row>
    <row r="88" spans="1:23" x14ac:dyDescent="0.25">
      <c r="A88" t="s">
        <v>218</v>
      </c>
      <c r="B88">
        <v>0</v>
      </c>
      <c r="C88" t="s">
        <v>135</v>
      </c>
      <c r="D88" t="s">
        <v>219</v>
      </c>
      <c r="E88" t="s">
        <v>179</v>
      </c>
      <c r="F88" t="s">
        <v>138</v>
      </c>
      <c r="G88" t="s">
        <v>84</v>
      </c>
      <c r="H88" t="s">
        <v>110</v>
      </c>
      <c r="I88" t="s">
        <v>246</v>
      </c>
      <c r="J88" t="s">
        <v>247</v>
      </c>
      <c r="K88" t="s">
        <v>82</v>
      </c>
      <c r="L88">
        <v>6875</v>
      </c>
      <c r="M88" t="s">
        <v>83</v>
      </c>
      <c r="S88">
        <v>1</v>
      </c>
      <c r="U88">
        <v>0</v>
      </c>
      <c r="V88">
        <v>0</v>
      </c>
      <c r="W88">
        <v>8766.3333333333339</v>
      </c>
    </row>
    <row r="89" spans="1:23" x14ac:dyDescent="0.25">
      <c r="A89" t="s">
        <v>218</v>
      </c>
      <c r="B89">
        <v>1</v>
      </c>
      <c r="C89" t="s">
        <v>135</v>
      </c>
      <c r="D89" t="s">
        <v>219</v>
      </c>
      <c r="E89" t="s">
        <v>179</v>
      </c>
      <c r="F89" t="s">
        <v>138</v>
      </c>
      <c r="G89" t="s">
        <v>248</v>
      </c>
      <c r="H89" t="s">
        <v>110</v>
      </c>
      <c r="I89" t="s">
        <v>218</v>
      </c>
      <c r="J89" t="s">
        <v>249</v>
      </c>
      <c r="K89" t="s">
        <v>82</v>
      </c>
      <c r="L89">
        <v>8928</v>
      </c>
      <c r="M89" t="s">
        <v>83</v>
      </c>
      <c r="N89">
        <v>8766.3333330000005</v>
      </c>
      <c r="O89">
        <v>1</v>
      </c>
      <c r="P89">
        <v>1</v>
      </c>
      <c r="U89">
        <v>8928</v>
      </c>
      <c r="V89">
        <v>8928</v>
      </c>
      <c r="W89">
        <v>8766.3333333333339</v>
      </c>
    </row>
    <row r="90" spans="1:23" x14ac:dyDescent="0.25">
      <c r="A90" t="s">
        <v>218</v>
      </c>
      <c r="B90">
        <v>0</v>
      </c>
      <c r="C90" t="s">
        <v>135</v>
      </c>
      <c r="D90" t="s">
        <v>219</v>
      </c>
      <c r="E90" t="s">
        <v>179</v>
      </c>
      <c r="F90" t="s">
        <v>138</v>
      </c>
      <c r="G90" t="s">
        <v>84</v>
      </c>
      <c r="H90" t="s">
        <v>110</v>
      </c>
      <c r="I90" t="s">
        <v>246</v>
      </c>
      <c r="J90" t="s">
        <v>250</v>
      </c>
      <c r="K90" t="s">
        <v>82</v>
      </c>
      <c r="L90">
        <v>10496</v>
      </c>
      <c r="M90" t="s">
        <v>83</v>
      </c>
      <c r="O90">
        <v>1</v>
      </c>
      <c r="U90">
        <v>10496</v>
      </c>
      <c r="V90">
        <v>0</v>
      </c>
      <c r="W90">
        <v>8766.3333333333339</v>
      </c>
    </row>
    <row r="91" spans="1:23" x14ac:dyDescent="0.25">
      <c r="A91" t="s">
        <v>218</v>
      </c>
      <c r="B91">
        <v>0</v>
      </c>
      <c r="C91" t="s">
        <v>135</v>
      </c>
      <c r="D91" t="s">
        <v>219</v>
      </c>
      <c r="E91" t="s">
        <v>179</v>
      </c>
      <c r="F91" t="s">
        <v>138</v>
      </c>
      <c r="G91" t="s">
        <v>84</v>
      </c>
      <c r="H91" t="s">
        <v>106</v>
      </c>
      <c r="I91" t="s">
        <v>246</v>
      </c>
      <c r="J91" t="s">
        <v>251</v>
      </c>
      <c r="K91" t="s">
        <v>82</v>
      </c>
      <c r="L91">
        <v>10484.952499999999</v>
      </c>
      <c r="M91" t="s">
        <v>83</v>
      </c>
      <c r="S91">
        <v>1</v>
      </c>
      <c r="U91">
        <v>0</v>
      </c>
      <c r="V91">
        <v>0</v>
      </c>
      <c r="W91">
        <v>7291.939166666667</v>
      </c>
    </row>
    <row r="92" spans="1:23" x14ac:dyDescent="0.25">
      <c r="A92" t="s">
        <v>218</v>
      </c>
      <c r="B92">
        <v>1</v>
      </c>
      <c r="C92" t="s">
        <v>135</v>
      </c>
      <c r="D92" t="s">
        <v>219</v>
      </c>
      <c r="E92" t="s">
        <v>179</v>
      </c>
      <c r="F92" t="s">
        <v>138</v>
      </c>
      <c r="G92" t="s">
        <v>248</v>
      </c>
      <c r="H92" t="s">
        <v>106</v>
      </c>
      <c r="I92" t="s">
        <v>218</v>
      </c>
      <c r="J92" t="s">
        <v>252</v>
      </c>
      <c r="K92" t="s">
        <v>82</v>
      </c>
      <c r="L92">
        <v>6664.3649999999998</v>
      </c>
      <c r="M92" t="s">
        <v>83</v>
      </c>
      <c r="N92">
        <v>7291.9391670000005</v>
      </c>
      <c r="O92">
        <v>1</v>
      </c>
      <c r="P92">
        <v>1</v>
      </c>
      <c r="U92">
        <v>6664.3649999999998</v>
      </c>
      <c r="V92">
        <v>6664.3649999999998</v>
      </c>
      <c r="W92">
        <v>7291.939166666667</v>
      </c>
    </row>
    <row r="93" spans="1:23" x14ac:dyDescent="0.25">
      <c r="A93" t="s">
        <v>218</v>
      </c>
      <c r="B93">
        <v>0</v>
      </c>
      <c r="C93" t="s">
        <v>135</v>
      </c>
      <c r="D93" t="s">
        <v>219</v>
      </c>
      <c r="E93" t="s">
        <v>179</v>
      </c>
      <c r="F93" t="s">
        <v>138</v>
      </c>
      <c r="G93" t="s">
        <v>84</v>
      </c>
      <c r="H93" t="s">
        <v>106</v>
      </c>
      <c r="I93" t="s">
        <v>246</v>
      </c>
      <c r="J93" t="s">
        <v>253</v>
      </c>
      <c r="K93" t="s">
        <v>82</v>
      </c>
      <c r="L93">
        <v>4726.5</v>
      </c>
      <c r="M93" t="s">
        <v>83</v>
      </c>
      <c r="O93">
        <v>1</v>
      </c>
      <c r="U93">
        <v>4726.5</v>
      </c>
      <c r="V93">
        <v>0</v>
      </c>
      <c r="W93">
        <v>7291.939166666667</v>
      </c>
    </row>
    <row r="94" spans="1:23" x14ac:dyDescent="0.25">
      <c r="A94" t="s">
        <v>218</v>
      </c>
      <c r="B94">
        <v>0</v>
      </c>
      <c r="C94" t="s">
        <v>135</v>
      </c>
      <c r="D94" t="s">
        <v>219</v>
      </c>
      <c r="E94" t="s">
        <v>179</v>
      </c>
      <c r="F94" t="s">
        <v>138</v>
      </c>
      <c r="G94" t="s">
        <v>84</v>
      </c>
      <c r="H94" t="s">
        <v>80</v>
      </c>
      <c r="I94" t="s">
        <v>246</v>
      </c>
      <c r="J94" t="s">
        <v>254</v>
      </c>
      <c r="K94" t="s">
        <v>82</v>
      </c>
      <c r="L94">
        <v>702418.88</v>
      </c>
      <c r="M94" t="s">
        <v>83</v>
      </c>
      <c r="S94">
        <v>1</v>
      </c>
      <c r="U94">
        <v>0</v>
      </c>
      <c r="V94">
        <v>0</v>
      </c>
      <c r="W94">
        <v>656708.28960000002</v>
      </c>
    </row>
    <row r="95" spans="1:23" x14ac:dyDescent="0.25">
      <c r="A95" t="s">
        <v>218</v>
      </c>
      <c r="B95">
        <v>1</v>
      </c>
      <c r="C95" t="s">
        <v>135</v>
      </c>
      <c r="D95" t="s">
        <v>219</v>
      </c>
      <c r="E95" t="s">
        <v>179</v>
      </c>
      <c r="F95" t="s">
        <v>138</v>
      </c>
      <c r="G95" t="s">
        <v>248</v>
      </c>
      <c r="H95" t="s">
        <v>80</v>
      </c>
      <c r="I95" t="s">
        <v>218</v>
      </c>
      <c r="J95" t="s">
        <v>255</v>
      </c>
      <c r="K95" t="s">
        <v>82</v>
      </c>
      <c r="L95">
        <v>621332.42879999999</v>
      </c>
      <c r="M95" t="s">
        <v>83</v>
      </c>
      <c r="N95">
        <v>656708.28960000002</v>
      </c>
      <c r="O95">
        <v>1</v>
      </c>
      <c r="P95">
        <v>1</v>
      </c>
      <c r="U95">
        <v>621332.42879999999</v>
      </c>
      <c r="V95">
        <v>621332.42879999999</v>
      </c>
      <c r="W95">
        <v>656708.28960000002</v>
      </c>
    </row>
    <row r="96" spans="1:23" x14ac:dyDescent="0.25">
      <c r="A96" t="s">
        <v>218</v>
      </c>
      <c r="B96">
        <v>0</v>
      </c>
      <c r="C96" t="s">
        <v>135</v>
      </c>
      <c r="D96" t="s">
        <v>219</v>
      </c>
      <c r="E96" t="s">
        <v>179</v>
      </c>
      <c r="F96" t="s">
        <v>138</v>
      </c>
      <c r="G96" t="s">
        <v>84</v>
      </c>
      <c r="H96" t="s">
        <v>80</v>
      </c>
      <c r="I96" t="s">
        <v>246</v>
      </c>
      <c r="J96" t="s">
        <v>256</v>
      </c>
      <c r="K96" t="s">
        <v>82</v>
      </c>
      <c r="L96">
        <v>646373.56000000006</v>
      </c>
      <c r="M96" t="s">
        <v>83</v>
      </c>
      <c r="O96">
        <v>1</v>
      </c>
      <c r="U96">
        <v>646373.56000000006</v>
      </c>
      <c r="V96">
        <v>0</v>
      </c>
      <c r="W96">
        <v>656708.28960000002</v>
      </c>
    </row>
    <row r="97" spans="1:23" x14ac:dyDescent="0.25">
      <c r="A97" t="s">
        <v>257</v>
      </c>
      <c r="B97">
        <v>0</v>
      </c>
      <c r="C97" t="s">
        <v>258</v>
      </c>
      <c r="D97" t="s">
        <v>259</v>
      </c>
      <c r="E97" t="s">
        <v>260</v>
      </c>
      <c r="F97" t="s">
        <v>261</v>
      </c>
      <c r="G97" t="s">
        <v>84</v>
      </c>
      <c r="H97" t="s">
        <v>92</v>
      </c>
      <c r="I97" t="s">
        <v>262</v>
      </c>
      <c r="J97" t="s">
        <v>221</v>
      </c>
      <c r="K97" t="s">
        <v>82</v>
      </c>
      <c r="L97">
        <v>50580</v>
      </c>
      <c r="M97" t="s">
        <v>83</v>
      </c>
      <c r="U97">
        <v>0</v>
      </c>
      <c r="V97">
        <v>0</v>
      </c>
      <c r="W97">
        <v>36220</v>
      </c>
    </row>
    <row r="98" spans="1:23" x14ac:dyDescent="0.25">
      <c r="A98" t="s">
        <v>257</v>
      </c>
      <c r="B98">
        <v>0</v>
      </c>
      <c r="C98" t="s">
        <v>258</v>
      </c>
      <c r="D98" t="s">
        <v>259</v>
      </c>
      <c r="E98" t="s">
        <v>260</v>
      </c>
      <c r="F98" t="s">
        <v>261</v>
      </c>
      <c r="G98" t="s">
        <v>84</v>
      </c>
      <c r="H98" t="s">
        <v>92</v>
      </c>
      <c r="I98" t="s">
        <v>263</v>
      </c>
      <c r="J98" t="s">
        <v>264</v>
      </c>
      <c r="K98" t="s">
        <v>82</v>
      </c>
      <c r="L98">
        <v>18410</v>
      </c>
      <c r="M98" t="s">
        <v>83</v>
      </c>
      <c r="O98">
        <v>1</v>
      </c>
      <c r="P98">
        <v>1</v>
      </c>
      <c r="R98">
        <v>1</v>
      </c>
      <c r="S98">
        <v>1</v>
      </c>
      <c r="U98">
        <v>18410</v>
      </c>
      <c r="V98">
        <v>0</v>
      </c>
      <c r="W98">
        <v>36220</v>
      </c>
    </row>
    <row r="99" spans="1:23" x14ac:dyDescent="0.25">
      <c r="A99" t="s">
        <v>257</v>
      </c>
      <c r="B99">
        <v>1</v>
      </c>
      <c r="C99" t="s">
        <v>258</v>
      </c>
      <c r="D99" t="s">
        <v>259</v>
      </c>
      <c r="E99" t="s">
        <v>260</v>
      </c>
      <c r="F99" t="s">
        <v>261</v>
      </c>
      <c r="G99" t="s">
        <v>181</v>
      </c>
      <c r="H99" t="s">
        <v>92</v>
      </c>
      <c r="I99" t="s">
        <v>181</v>
      </c>
      <c r="J99" t="s">
        <v>181</v>
      </c>
      <c r="K99" t="s">
        <v>82</v>
      </c>
      <c r="L99">
        <v>39670</v>
      </c>
      <c r="M99" t="s">
        <v>83</v>
      </c>
      <c r="N99">
        <v>36220</v>
      </c>
      <c r="U99">
        <v>0</v>
      </c>
      <c r="V99">
        <v>0</v>
      </c>
      <c r="W99">
        <v>36220</v>
      </c>
    </row>
    <row r="100" spans="1:23" x14ac:dyDescent="0.25">
      <c r="A100" t="s">
        <v>257</v>
      </c>
      <c r="B100">
        <v>0</v>
      </c>
      <c r="C100" t="s">
        <v>258</v>
      </c>
      <c r="D100" t="s">
        <v>259</v>
      </c>
      <c r="E100" t="s">
        <v>260</v>
      </c>
      <c r="F100" t="s">
        <v>261</v>
      </c>
      <c r="G100" t="s">
        <v>84</v>
      </c>
      <c r="H100" t="s">
        <v>114</v>
      </c>
      <c r="I100" t="s">
        <v>265</v>
      </c>
      <c r="J100" t="s">
        <v>266</v>
      </c>
      <c r="K100" t="s">
        <v>82</v>
      </c>
      <c r="L100">
        <v>21700</v>
      </c>
      <c r="M100" t="s">
        <v>83</v>
      </c>
      <c r="S100">
        <v>1</v>
      </c>
      <c r="U100">
        <v>0</v>
      </c>
      <c r="V100">
        <v>0</v>
      </c>
      <c r="W100">
        <v>25166.666666666668</v>
      </c>
    </row>
    <row r="101" spans="1:23" x14ac:dyDescent="0.25">
      <c r="A101" t="s">
        <v>257</v>
      </c>
      <c r="B101">
        <v>1</v>
      </c>
      <c r="C101" t="s">
        <v>258</v>
      </c>
      <c r="D101" t="s">
        <v>259</v>
      </c>
      <c r="E101" t="s">
        <v>260</v>
      </c>
      <c r="F101" t="s">
        <v>261</v>
      </c>
      <c r="G101" t="s">
        <v>267</v>
      </c>
      <c r="H101" t="s">
        <v>114</v>
      </c>
      <c r="I101" t="s">
        <v>268</v>
      </c>
      <c r="J101" t="s">
        <v>269</v>
      </c>
      <c r="K101" t="s">
        <v>82</v>
      </c>
      <c r="L101">
        <v>18350</v>
      </c>
      <c r="M101" t="s">
        <v>83</v>
      </c>
      <c r="N101">
        <v>25166.666669999999</v>
      </c>
      <c r="U101">
        <v>0</v>
      </c>
      <c r="V101">
        <v>0</v>
      </c>
      <c r="W101">
        <v>25166.666666666668</v>
      </c>
    </row>
    <row r="102" spans="1:23" x14ac:dyDescent="0.25">
      <c r="A102" t="s">
        <v>257</v>
      </c>
      <c r="B102">
        <v>0</v>
      </c>
      <c r="C102" t="s">
        <v>258</v>
      </c>
      <c r="D102" t="s">
        <v>259</v>
      </c>
      <c r="E102" t="s">
        <v>260</v>
      </c>
      <c r="F102" t="s">
        <v>261</v>
      </c>
      <c r="G102" t="s">
        <v>84</v>
      </c>
      <c r="H102" t="s">
        <v>114</v>
      </c>
      <c r="I102" t="s">
        <v>270</v>
      </c>
      <c r="J102" t="s">
        <v>271</v>
      </c>
      <c r="K102" t="s">
        <v>82</v>
      </c>
      <c r="L102">
        <v>35450</v>
      </c>
      <c r="M102" t="s">
        <v>83</v>
      </c>
      <c r="U102">
        <v>0</v>
      </c>
      <c r="V102">
        <v>0</v>
      </c>
      <c r="W102">
        <v>25166.666666666668</v>
      </c>
    </row>
    <row r="103" spans="1:23" x14ac:dyDescent="0.25">
      <c r="A103" t="s">
        <v>257</v>
      </c>
      <c r="B103">
        <v>0</v>
      </c>
      <c r="C103" t="s">
        <v>258</v>
      </c>
      <c r="D103" t="s">
        <v>259</v>
      </c>
      <c r="E103" t="s">
        <v>260</v>
      </c>
      <c r="F103" t="s">
        <v>261</v>
      </c>
      <c r="G103" t="s">
        <v>84</v>
      </c>
      <c r="H103" t="s">
        <v>121</v>
      </c>
      <c r="I103" t="s">
        <v>265</v>
      </c>
      <c r="J103" t="s">
        <v>272</v>
      </c>
      <c r="K103" t="s">
        <v>82</v>
      </c>
      <c r="L103">
        <v>151338.10579999999</v>
      </c>
      <c r="M103" t="s">
        <v>83</v>
      </c>
      <c r="S103">
        <v>1</v>
      </c>
      <c r="U103">
        <v>0</v>
      </c>
      <c r="V103">
        <v>0</v>
      </c>
      <c r="W103">
        <v>149975.39453333334</v>
      </c>
    </row>
    <row r="104" spans="1:23" x14ac:dyDescent="0.25">
      <c r="A104" t="s">
        <v>257</v>
      </c>
      <c r="B104">
        <v>1</v>
      </c>
      <c r="C104" t="s">
        <v>258</v>
      </c>
      <c r="D104" t="s">
        <v>259</v>
      </c>
      <c r="E104" t="s">
        <v>260</v>
      </c>
      <c r="F104" t="s">
        <v>261</v>
      </c>
      <c r="G104" t="s">
        <v>267</v>
      </c>
      <c r="H104" t="s">
        <v>121</v>
      </c>
      <c r="I104" t="s">
        <v>268</v>
      </c>
      <c r="J104" t="s">
        <v>273</v>
      </c>
      <c r="K104" t="s">
        <v>82</v>
      </c>
      <c r="L104">
        <v>146169.37580000001</v>
      </c>
      <c r="M104" t="s">
        <v>83</v>
      </c>
      <c r="N104">
        <v>149975.3946</v>
      </c>
      <c r="U104">
        <v>0</v>
      </c>
      <c r="V104">
        <v>0</v>
      </c>
      <c r="W104">
        <v>149975.39453333334</v>
      </c>
    </row>
    <row r="105" spans="1:23" x14ac:dyDescent="0.25">
      <c r="A105" t="s">
        <v>257</v>
      </c>
      <c r="B105">
        <v>0</v>
      </c>
      <c r="C105" t="s">
        <v>258</v>
      </c>
      <c r="D105" t="s">
        <v>259</v>
      </c>
      <c r="E105" t="s">
        <v>260</v>
      </c>
      <c r="F105" t="s">
        <v>261</v>
      </c>
      <c r="G105" t="s">
        <v>84</v>
      </c>
      <c r="H105" t="s">
        <v>121</v>
      </c>
      <c r="I105" t="s">
        <v>270</v>
      </c>
      <c r="J105" t="s">
        <v>274</v>
      </c>
      <c r="K105" t="s">
        <v>82</v>
      </c>
      <c r="L105">
        <v>152418.70199999999</v>
      </c>
      <c r="M105" t="s">
        <v>83</v>
      </c>
      <c r="U105">
        <v>0</v>
      </c>
      <c r="V105">
        <v>0</v>
      </c>
      <c r="W105">
        <v>149975.39453333334</v>
      </c>
    </row>
    <row r="106" spans="1:23" x14ac:dyDescent="0.25">
      <c r="A106" t="s">
        <v>257</v>
      </c>
      <c r="B106">
        <v>0</v>
      </c>
      <c r="C106" t="s">
        <v>258</v>
      </c>
      <c r="D106" t="s">
        <v>259</v>
      </c>
      <c r="E106" t="s">
        <v>260</v>
      </c>
      <c r="F106" t="s">
        <v>261</v>
      </c>
      <c r="G106" t="s">
        <v>84</v>
      </c>
      <c r="H106" t="s">
        <v>80</v>
      </c>
      <c r="I106" t="s">
        <v>265</v>
      </c>
      <c r="J106" t="s">
        <v>275</v>
      </c>
      <c r="K106" t="s">
        <v>82</v>
      </c>
      <c r="L106">
        <v>836827.74</v>
      </c>
      <c r="M106" t="s">
        <v>83</v>
      </c>
      <c r="P106">
        <v>1</v>
      </c>
      <c r="T106">
        <v>1</v>
      </c>
      <c r="U106">
        <v>0</v>
      </c>
      <c r="V106">
        <v>0</v>
      </c>
      <c r="W106">
        <v>689735.13113333331</v>
      </c>
    </row>
    <row r="107" spans="1:23" x14ac:dyDescent="0.25">
      <c r="A107" t="s">
        <v>257</v>
      </c>
      <c r="B107">
        <v>1</v>
      </c>
      <c r="C107" t="s">
        <v>258</v>
      </c>
      <c r="D107" t="s">
        <v>259</v>
      </c>
      <c r="E107" t="s">
        <v>260</v>
      </c>
      <c r="F107" t="s">
        <v>261</v>
      </c>
      <c r="G107" t="s">
        <v>276</v>
      </c>
      <c r="H107" t="s">
        <v>80</v>
      </c>
      <c r="I107" t="s">
        <v>257</v>
      </c>
      <c r="J107" t="s">
        <v>277</v>
      </c>
      <c r="K107" t="s">
        <v>82</v>
      </c>
      <c r="L107">
        <v>557667.92339999997</v>
      </c>
      <c r="M107" t="s">
        <v>83</v>
      </c>
      <c r="N107">
        <v>689735.1311</v>
      </c>
      <c r="U107">
        <v>0</v>
      </c>
      <c r="V107">
        <v>0</v>
      </c>
      <c r="W107">
        <v>689735.13113333331</v>
      </c>
    </row>
    <row r="108" spans="1:23" x14ac:dyDescent="0.25">
      <c r="A108" t="s">
        <v>257</v>
      </c>
      <c r="B108">
        <v>0</v>
      </c>
      <c r="C108" t="s">
        <v>258</v>
      </c>
      <c r="D108" t="s">
        <v>259</v>
      </c>
      <c r="E108" t="s">
        <v>260</v>
      </c>
      <c r="F108" t="s">
        <v>261</v>
      </c>
      <c r="G108" t="s">
        <v>84</v>
      </c>
      <c r="H108" t="s">
        <v>80</v>
      </c>
      <c r="I108" t="s">
        <v>265</v>
      </c>
      <c r="J108" t="s">
        <v>278</v>
      </c>
      <c r="K108" t="s">
        <v>82</v>
      </c>
      <c r="L108">
        <v>674709.73</v>
      </c>
      <c r="M108" t="s">
        <v>83</v>
      </c>
      <c r="O108">
        <v>1</v>
      </c>
      <c r="U108">
        <v>674709.73</v>
      </c>
      <c r="V108">
        <v>0</v>
      </c>
      <c r="W108">
        <v>689735.13113333331</v>
      </c>
    </row>
    <row r="109" spans="1:23" x14ac:dyDescent="0.25">
      <c r="A109" t="s">
        <v>257</v>
      </c>
      <c r="B109">
        <v>0</v>
      </c>
      <c r="C109" t="s">
        <v>258</v>
      </c>
      <c r="D109" t="s">
        <v>259</v>
      </c>
      <c r="E109" t="s">
        <v>260</v>
      </c>
      <c r="F109" t="s">
        <v>261</v>
      </c>
      <c r="G109" t="s">
        <v>84</v>
      </c>
      <c r="H109" t="s">
        <v>106</v>
      </c>
      <c r="I109" t="s">
        <v>265</v>
      </c>
      <c r="J109" t="s">
        <v>279</v>
      </c>
      <c r="K109" t="s">
        <v>82</v>
      </c>
      <c r="L109">
        <v>5136.13</v>
      </c>
      <c r="M109" t="s">
        <v>83</v>
      </c>
      <c r="P109">
        <v>1</v>
      </c>
      <c r="T109">
        <v>1</v>
      </c>
      <c r="U109">
        <v>0</v>
      </c>
      <c r="V109">
        <v>0</v>
      </c>
      <c r="W109">
        <v>5600.9025000000001</v>
      </c>
    </row>
    <row r="110" spans="1:23" x14ac:dyDescent="0.25">
      <c r="A110" t="s">
        <v>257</v>
      </c>
      <c r="B110">
        <v>1</v>
      </c>
      <c r="C110" t="s">
        <v>258</v>
      </c>
      <c r="D110" t="s">
        <v>259</v>
      </c>
      <c r="E110" t="s">
        <v>260</v>
      </c>
      <c r="F110" t="s">
        <v>261</v>
      </c>
      <c r="G110" t="s">
        <v>276</v>
      </c>
      <c r="H110" t="s">
        <v>106</v>
      </c>
      <c r="I110" t="s">
        <v>257</v>
      </c>
      <c r="J110" t="s">
        <v>280</v>
      </c>
      <c r="K110" t="s">
        <v>82</v>
      </c>
      <c r="L110">
        <v>2638.9625000000001</v>
      </c>
      <c r="M110" t="s">
        <v>83</v>
      </c>
      <c r="N110">
        <v>5600.9025000000001</v>
      </c>
      <c r="U110">
        <v>0</v>
      </c>
      <c r="V110">
        <v>0</v>
      </c>
      <c r="W110">
        <v>5600.9025000000001</v>
      </c>
    </row>
    <row r="111" spans="1:23" x14ac:dyDescent="0.25">
      <c r="A111" t="s">
        <v>257</v>
      </c>
      <c r="B111">
        <v>0</v>
      </c>
      <c r="C111" t="s">
        <v>258</v>
      </c>
      <c r="D111" t="s">
        <v>259</v>
      </c>
      <c r="E111" t="s">
        <v>260</v>
      </c>
      <c r="F111" t="s">
        <v>261</v>
      </c>
      <c r="G111" t="s">
        <v>84</v>
      </c>
      <c r="H111" t="s">
        <v>106</v>
      </c>
      <c r="I111" t="s">
        <v>265</v>
      </c>
      <c r="J111" t="s">
        <v>281</v>
      </c>
      <c r="K111" t="s">
        <v>82</v>
      </c>
      <c r="L111">
        <v>9027.6149999999998</v>
      </c>
      <c r="M111" t="s">
        <v>83</v>
      </c>
      <c r="O111">
        <v>1</v>
      </c>
      <c r="U111">
        <v>9027.6149999999998</v>
      </c>
      <c r="V111">
        <v>0</v>
      </c>
      <c r="W111">
        <v>5600.9025000000001</v>
      </c>
    </row>
    <row r="112" spans="1:23" x14ac:dyDescent="0.25">
      <c r="A112" t="s">
        <v>257</v>
      </c>
      <c r="B112">
        <v>0</v>
      </c>
      <c r="C112" t="s">
        <v>258</v>
      </c>
      <c r="D112" t="s">
        <v>259</v>
      </c>
      <c r="E112" t="s">
        <v>260</v>
      </c>
      <c r="F112" t="s">
        <v>261</v>
      </c>
      <c r="G112" t="s">
        <v>84</v>
      </c>
      <c r="H112" t="s">
        <v>110</v>
      </c>
      <c r="I112" t="s">
        <v>265</v>
      </c>
      <c r="J112" t="s">
        <v>282</v>
      </c>
      <c r="K112" t="s">
        <v>82</v>
      </c>
      <c r="L112">
        <v>7182</v>
      </c>
      <c r="M112" t="s">
        <v>83</v>
      </c>
      <c r="P112">
        <v>1</v>
      </c>
      <c r="T112">
        <v>1</v>
      </c>
      <c r="U112">
        <v>0</v>
      </c>
      <c r="V112">
        <v>0</v>
      </c>
      <c r="W112">
        <v>5023.3333333333339</v>
      </c>
    </row>
    <row r="113" spans="1:23" x14ac:dyDescent="0.25">
      <c r="A113" t="s">
        <v>257</v>
      </c>
      <c r="B113">
        <v>1</v>
      </c>
      <c r="C113" t="s">
        <v>258</v>
      </c>
      <c r="D113" t="s">
        <v>259</v>
      </c>
      <c r="E113" t="s">
        <v>260</v>
      </c>
      <c r="F113" t="s">
        <v>261</v>
      </c>
      <c r="G113" t="s">
        <v>276</v>
      </c>
      <c r="H113" t="s">
        <v>110</v>
      </c>
      <c r="I113" t="s">
        <v>257</v>
      </c>
      <c r="J113" t="s">
        <v>283</v>
      </c>
      <c r="K113" t="s">
        <v>82</v>
      </c>
      <c r="L113">
        <v>6400</v>
      </c>
      <c r="M113" t="s">
        <v>83</v>
      </c>
      <c r="N113">
        <v>5023.3333329999996</v>
      </c>
      <c r="U113">
        <v>0</v>
      </c>
      <c r="V113">
        <v>0</v>
      </c>
      <c r="W113">
        <v>5023.3333333333339</v>
      </c>
    </row>
    <row r="114" spans="1:23" x14ac:dyDescent="0.25">
      <c r="A114" t="s">
        <v>257</v>
      </c>
      <c r="B114">
        <v>0</v>
      </c>
      <c r="C114" t="s">
        <v>258</v>
      </c>
      <c r="D114" t="s">
        <v>259</v>
      </c>
      <c r="E114" t="s">
        <v>260</v>
      </c>
      <c r="F114" t="s">
        <v>261</v>
      </c>
      <c r="G114" t="s">
        <v>84</v>
      </c>
      <c r="H114" t="s">
        <v>110</v>
      </c>
      <c r="I114" t="s">
        <v>265</v>
      </c>
      <c r="J114" t="s">
        <v>284</v>
      </c>
      <c r="K114" t="s">
        <v>82</v>
      </c>
      <c r="L114">
        <v>1488</v>
      </c>
      <c r="M114" t="s">
        <v>83</v>
      </c>
      <c r="O114">
        <v>1</v>
      </c>
      <c r="U114">
        <v>1488</v>
      </c>
      <c r="V114">
        <v>0</v>
      </c>
      <c r="W114">
        <v>5023.3333333333339</v>
      </c>
    </row>
    <row r="115" spans="1:23" x14ac:dyDescent="0.25">
      <c r="A115" t="s">
        <v>257</v>
      </c>
      <c r="B115">
        <v>0</v>
      </c>
      <c r="C115" t="s">
        <v>258</v>
      </c>
      <c r="D115" t="s">
        <v>259</v>
      </c>
      <c r="E115" t="s">
        <v>260</v>
      </c>
      <c r="F115" t="s">
        <v>261</v>
      </c>
      <c r="G115" t="s">
        <v>84</v>
      </c>
      <c r="H115" t="s">
        <v>87</v>
      </c>
      <c r="I115" t="s">
        <v>285</v>
      </c>
      <c r="J115" t="s">
        <v>286</v>
      </c>
      <c r="K115" t="s">
        <v>82</v>
      </c>
      <c r="L115">
        <v>123512.0833</v>
      </c>
      <c r="M115" t="s">
        <v>83</v>
      </c>
      <c r="U115">
        <v>0</v>
      </c>
      <c r="V115">
        <v>0</v>
      </c>
      <c r="W115">
        <v>123349.4111</v>
      </c>
    </row>
    <row r="116" spans="1:23" x14ac:dyDescent="0.25">
      <c r="A116" t="s">
        <v>257</v>
      </c>
      <c r="B116">
        <v>1</v>
      </c>
      <c r="C116" t="s">
        <v>258</v>
      </c>
      <c r="D116" t="s">
        <v>259</v>
      </c>
      <c r="E116" t="s">
        <v>260</v>
      </c>
      <c r="F116" t="s">
        <v>261</v>
      </c>
      <c r="G116" t="s">
        <v>207</v>
      </c>
      <c r="H116" t="s">
        <v>87</v>
      </c>
      <c r="I116" t="s">
        <v>257</v>
      </c>
      <c r="J116" t="s">
        <v>287</v>
      </c>
      <c r="K116" t="s">
        <v>82</v>
      </c>
      <c r="L116">
        <v>123923.3333</v>
      </c>
      <c r="M116" t="s">
        <v>83</v>
      </c>
      <c r="N116">
        <v>123349.4111</v>
      </c>
      <c r="S116">
        <v>1</v>
      </c>
      <c r="T116">
        <v>1</v>
      </c>
      <c r="U116">
        <v>0</v>
      </c>
      <c r="V116">
        <v>0</v>
      </c>
      <c r="W116">
        <v>123349.4111</v>
      </c>
    </row>
    <row r="117" spans="1:23" x14ac:dyDescent="0.25">
      <c r="A117" t="s">
        <v>257</v>
      </c>
      <c r="B117">
        <v>0</v>
      </c>
      <c r="C117" t="s">
        <v>258</v>
      </c>
      <c r="D117" t="s">
        <v>259</v>
      </c>
      <c r="E117" t="s">
        <v>260</v>
      </c>
      <c r="F117" t="s">
        <v>261</v>
      </c>
      <c r="G117" t="s">
        <v>84</v>
      </c>
      <c r="H117" t="s">
        <v>87</v>
      </c>
      <c r="I117" t="s">
        <v>257</v>
      </c>
      <c r="J117" t="s">
        <v>288</v>
      </c>
      <c r="K117" t="s">
        <v>82</v>
      </c>
      <c r="L117">
        <v>122612.8167</v>
      </c>
      <c r="M117" t="s">
        <v>83</v>
      </c>
      <c r="U117">
        <v>0</v>
      </c>
      <c r="V117">
        <v>0</v>
      </c>
      <c r="W117">
        <v>123349.4111</v>
      </c>
    </row>
    <row r="118" spans="1:23" x14ac:dyDescent="0.25">
      <c r="A118" t="s">
        <v>257</v>
      </c>
      <c r="B118">
        <v>1</v>
      </c>
      <c r="C118" t="s">
        <v>258</v>
      </c>
      <c r="D118" t="s">
        <v>259</v>
      </c>
      <c r="E118" t="s">
        <v>260</v>
      </c>
      <c r="F118" t="s">
        <v>261</v>
      </c>
      <c r="G118" t="s">
        <v>289</v>
      </c>
      <c r="H118" t="s">
        <v>98</v>
      </c>
      <c r="I118" t="s">
        <v>290</v>
      </c>
      <c r="J118" t="s">
        <v>291</v>
      </c>
      <c r="K118" t="s">
        <v>82</v>
      </c>
      <c r="L118">
        <v>41300</v>
      </c>
      <c r="M118" t="s">
        <v>83</v>
      </c>
      <c r="N118">
        <v>38500</v>
      </c>
      <c r="U118">
        <v>0</v>
      </c>
      <c r="V118">
        <v>0</v>
      </c>
      <c r="W118">
        <v>38500</v>
      </c>
    </row>
    <row r="119" spans="1:23" x14ac:dyDescent="0.25">
      <c r="A119" t="s">
        <v>257</v>
      </c>
      <c r="B119">
        <v>0</v>
      </c>
      <c r="C119" t="s">
        <v>258</v>
      </c>
      <c r="D119" t="s">
        <v>259</v>
      </c>
      <c r="E119" t="s">
        <v>260</v>
      </c>
      <c r="F119" t="s">
        <v>261</v>
      </c>
      <c r="G119" t="s">
        <v>84</v>
      </c>
      <c r="H119" t="s">
        <v>98</v>
      </c>
      <c r="I119" t="s">
        <v>292</v>
      </c>
      <c r="J119" t="s">
        <v>293</v>
      </c>
      <c r="K119" t="s">
        <v>82</v>
      </c>
      <c r="L119">
        <v>53600</v>
      </c>
      <c r="M119" t="s">
        <v>83</v>
      </c>
      <c r="U119">
        <v>0</v>
      </c>
      <c r="V119">
        <v>0</v>
      </c>
      <c r="W119">
        <v>38500</v>
      </c>
    </row>
    <row r="120" spans="1:23" x14ac:dyDescent="0.25">
      <c r="A120" t="s">
        <v>257</v>
      </c>
      <c r="B120">
        <v>0</v>
      </c>
      <c r="C120" t="s">
        <v>258</v>
      </c>
      <c r="D120" t="s">
        <v>259</v>
      </c>
      <c r="E120" t="s">
        <v>260</v>
      </c>
      <c r="F120" t="s">
        <v>261</v>
      </c>
      <c r="G120" t="s">
        <v>84</v>
      </c>
      <c r="H120" t="s">
        <v>98</v>
      </c>
      <c r="I120" t="s">
        <v>294</v>
      </c>
      <c r="J120" t="s">
        <v>295</v>
      </c>
      <c r="K120" t="s">
        <v>82</v>
      </c>
      <c r="L120">
        <v>20600</v>
      </c>
      <c r="M120" t="s">
        <v>83</v>
      </c>
      <c r="U120">
        <v>0</v>
      </c>
      <c r="V120">
        <v>0</v>
      </c>
      <c r="W120">
        <v>38500</v>
      </c>
    </row>
    <row r="121" spans="1:23" x14ac:dyDescent="0.25">
      <c r="A121" t="s">
        <v>296</v>
      </c>
      <c r="B121">
        <v>0</v>
      </c>
      <c r="C121" t="s">
        <v>258</v>
      </c>
      <c r="D121" t="s">
        <v>297</v>
      </c>
      <c r="E121" t="s">
        <v>260</v>
      </c>
      <c r="F121" t="s">
        <v>298</v>
      </c>
      <c r="G121" t="s">
        <v>84</v>
      </c>
      <c r="H121" t="s">
        <v>92</v>
      </c>
      <c r="I121" t="s">
        <v>299</v>
      </c>
      <c r="J121" t="s">
        <v>300</v>
      </c>
      <c r="K121" t="s">
        <v>82</v>
      </c>
      <c r="L121">
        <v>21500</v>
      </c>
      <c r="M121" t="s">
        <v>83</v>
      </c>
      <c r="U121">
        <v>0</v>
      </c>
      <c r="V121">
        <v>0</v>
      </c>
      <c r="W121">
        <v>31766.666666666664</v>
      </c>
    </row>
    <row r="122" spans="1:23" x14ac:dyDescent="0.25">
      <c r="A122" t="s">
        <v>296</v>
      </c>
      <c r="B122">
        <v>1</v>
      </c>
      <c r="C122" t="s">
        <v>258</v>
      </c>
      <c r="D122" t="s">
        <v>297</v>
      </c>
      <c r="E122" t="s">
        <v>260</v>
      </c>
      <c r="F122" t="s">
        <v>298</v>
      </c>
      <c r="G122" t="s">
        <v>301</v>
      </c>
      <c r="H122" t="s">
        <v>92</v>
      </c>
      <c r="I122" t="s">
        <v>302</v>
      </c>
      <c r="J122" t="s">
        <v>303</v>
      </c>
      <c r="K122" t="s">
        <v>82</v>
      </c>
      <c r="L122">
        <v>40400</v>
      </c>
      <c r="M122" t="s">
        <v>83</v>
      </c>
      <c r="N122">
        <v>31766.666669999999</v>
      </c>
      <c r="U122">
        <v>0</v>
      </c>
      <c r="V122">
        <v>0</v>
      </c>
      <c r="W122">
        <v>31766.666666666664</v>
      </c>
    </row>
    <row r="123" spans="1:23" x14ac:dyDescent="0.25">
      <c r="A123" t="s">
        <v>296</v>
      </c>
      <c r="B123">
        <v>0</v>
      </c>
      <c r="C123" t="s">
        <v>258</v>
      </c>
      <c r="D123" t="s">
        <v>297</v>
      </c>
      <c r="E123" t="s">
        <v>260</v>
      </c>
      <c r="F123" t="s">
        <v>298</v>
      </c>
      <c r="G123" t="s">
        <v>84</v>
      </c>
      <c r="H123" t="s">
        <v>92</v>
      </c>
      <c r="I123" t="s">
        <v>304</v>
      </c>
      <c r="J123" t="s">
        <v>181</v>
      </c>
      <c r="K123" t="s">
        <v>82</v>
      </c>
      <c r="L123">
        <v>33400</v>
      </c>
      <c r="M123" t="s">
        <v>83</v>
      </c>
      <c r="Q123">
        <v>1</v>
      </c>
      <c r="R123">
        <v>1</v>
      </c>
      <c r="U123">
        <v>0</v>
      </c>
      <c r="V123">
        <v>0</v>
      </c>
      <c r="W123">
        <v>31766.666666666664</v>
      </c>
    </row>
    <row r="124" spans="1:23" x14ac:dyDescent="0.25">
      <c r="A124" t="s">
        <v>296</v>
      </c>
      <c r="B124">
        <v>0</v>
      </c>
      <c r="C124" t="s">
        <v>258</v>
      </c>
      <c r="D124" t="s">
        <v>297</v>
      </c>
      <c r="E124" t="s">
        <v>260</v>
      </c>
      <c r="F124" t="s">
        <v>298</v>
      </c>
      <c r="G124" t="s">
        <v>84</v>
      </c>
      <c r="H124" t="s">
        <v>80</v>
      </c>
      <c r="I124" t="s">
        <v>296</v>
      </c>
      <c r="J124" t="s">
        <v>305</v>
      </c>
      <c r="K124" t="s">
        <v>82</v>
      </c>
      <c r="L124">
        <v>804309.03</v>
      </c>
      <c r="M124" t="s">
        <v>83</v>
      </c>
      <c r="S124">
        <v>1</v>
      </c>
      <c r="U124">
        <v>0</v>
      </c>
      <c r="V124">
        <v>0</v>
      </c>
      <c r="W124">
        <v>827429.73420000006</v>
      </c>
    </row>
    <row r="125" spans="1:23" x14ac:dyDescent="0.25">
      <c r="A125" t="s">
        <v>296</v>
      </c>
      <c r="B125">
        <v>1</v>
      </c>
      <c r="C125" t="s">
        <v>258</v>
      </c>
      <c r="D125" t="s">
        <v>297</v>
      </c>
      <c r="E125" t="s">
        <v>260</v>
      </c>
      <c r="F125" t="s">
        <v>298</v>
      </c>
      <c r="G125" t="s">
        <v>79</v>
      </c>
      <c r="H125" t="s">
        <v>80</v>
      </c>
      <c r="I125" t="s">
        <v>306</v>
      </c>
      <c r="J125" t="s">
        <v>307</v>
      </c>
      <c r="K125" t="s">
        <v>82</v>
      </c>
      <c r="L125">
        <v>746158.29760000005</v>
      </c>
      <c r="M125" t="s">
        <v>83</v>
      </c>
      <c r="N125">
        <v>827429.73419999995</v>
      </c>
      <c r="O125">
        <v>1</v>
      </c>
      <c r="U125">
        <v>746158.29760000005</v>
      </c>
      <c r="V125">
        <v>746158.29760000005</v>
      </c>
      <c r="W125">
        <v>827429.73420000006</v>
      </c>
    </row>
    <row r="126" spans="1:23" x14ac:dyDescent="0.25">
      <c r="A126" t="s">
        <v>296</v>
      </c>
      <c r="B126">
        <v>0</v>
      </c>
      <c r="C126" t="s">
        <v>258</v>
      </c>
      <c r="D126" t="s">
        <v>297</v>
      </c>
      <c r="E126" t="s">
        <v>260</v>
      </c>
      <c r="F126" t="s">
        <v>298</v>
      </c>
      <c r="G126" t="s">
        <v>84</v>
      </c>
      <c r="H126" t="s">
        <v>80</v>
      </c>
      <c r="I126" t="s">
        <v>296</v>
      </c>
      <c r="J126" t="s">
        <v>308</v>
      </c>
      <c r="K126" t="s">
        <v>82</v>
      </c>
      <c r="L126">
        <v>931821.875</v>
      </c>
      <c r="M126" t="s">
        <v>83</v>
      </c>
      <c r="O126">
        <v>1</v>
      </c>
      <c r="P126">
        <v>1</v>
      </c>
      <c r="U126">
        <v>931821.875</v>
      </c>
      <c r="V126">
        <v>0</v>
      </c>
      <c r="W126">
        <v>827429.73420000006</v>
      </c>
    </row>
    <row r="127" spans="1:23" x14ac:dyDescent="0.25">
      <c r="A127" t="s">
        <v>296</v>
      </c>
      <c r="B127">
        <v>0</v>
      </c>
      <c r="C127" t="s">
        <v>258</v>
      </c>
      <c r="D127" t="s">
        <v>297</v>
      </c>
      <c r="E127" t="s">
        <v>260</v>
      </c>
      <c r="F127" t="s">
        <v>298</v>
      </c>
      <c r="G127" t="s">
        <v>84</v>
      </c>
      <c r="H127" t="s">
        <v>106</v>
      </c>
      <c r="I127" t="s">
        <v>296</v>
      </c>
      <c r="J127" t="s">
        <v>309</v>
      </c>
      <c r="K127" t="s">
        <v>82</v>
      </c>
      <c r="L127">
        <v>11871.3925</v>
      </c>
      <c r="M127" t="s">
        <v>83</v>
      </c>
      <c r="S127">
        <v>1</v>
      </c>
      <c r="U127">
        <v>0</v>
      </c>
      <c r="V127">
        <v>0</v>
      </c>
      <c r="W127">
        <v>7782.9699999999993</v>
      </c>
    </row>
    <row r="128" spans="1:23" x14ac:dyDescent="0.25">
      <c r="A128" t="s">
        <v>296</v>
      </c>
      <c r="B128">
        <v>1</v>
      </c>
      <c r="C128" t="s">
        <v>258</v>
      </c>
      <c r="D128" t="s">
        <v>297</v>
      </c>
      <c r="E128" t="s">
        <v>260</v>
      </c>
      <c r="F128" t="s">
        <v>298</v>
      </c>
      <c r="G128" t="s">
        <v>79</v>
      </c>
      <c r="H128" t="s">
        <v>106</v>
      </c>
      <c r="I128" t="s">
        <v>306</v>
      </c>
      <c r="J128" t="s">
        <v>310</v>
      </c>
      <c r="K128" t="s">
        <v>82</v>
      </c>
      <c r="L128">
        <v>5537.8824999999997</v>
      </c>
      <c r="M128" t="s">
        <v>83</v>
      </c>
      <c r="N128">
        <v>7782.97</v>
      </c>
      <c r="O128">
        <v>1</v>
      </c>
      <c r="U128">
        <v>5537.8824999999997</v>
      </c>
      <c r="V128">
        <v>5537.8824999999997</v>
      </c>
      <c r="W128">
        <v>7782.9699999999993</v>
      </c>
    </row>
    <row r="129" spans="1:23" x14ac:dyDescent="0.25">
      <c r="A129" t="s">
        <v>296</v>
      </c>
      <c r="B129">
        <v>0</v>
      </c>
      <c r="C129" t="s">
        <v>258</v>
      </c>
      <c r="D129" t="s">
        <v>297</v>
      </c>
      <c r="E129" t="s">
        <v>260</v>
      </c>
      <c r="F129" t="s">
        <v>298</v>
      </c>
      <c r="G129" t="s">
        <v>84</v>
      </c>
      <c r="H129" t="s">
        <v>106</v>
      </c>
      <c r="I129" t="s">
        <v>296</v>
      </c>
      <c r="J129" t="s">
        <v>311</v>
      </c>
      <c r="K129" t="s">
        <v>82</v>
      </c>
      <c r="L129">
        <v>5939.6350000000002</v>
      </c>
      <c r="M129" t="s">
        <v>83</v>
      </c>
      <c r="O129">
        <v>1</v>
      </c>
      <c r="P129">
        <v>1</v>
      </c>
      <c r="U129">
        <v>5939.6350000000002</v>
      </c>
      <c r="V129">
        <v>0</v>
      </c>
      <c r="W129">
        <v>7782.9699999999993</v>
      </c>
    </row>
    <row r="130" spans="1:23" x14ac:dyDescent="0.25">
      <c r="A130" t="s">
        <v>296</v>
      </c>
      <c r="B130">
        <v>0</v>
      </c>
      <c r="C130" t="s">
        <v>258</v>
      </c>
      <c r="D130" t="s">
        <v>297</v>
      </c>
      <c r="E130" t="s">
        <v>260</v>
      </c>
      <c r="F130" t="s">
        <v>298</v>
      </c>
      <c r="G130" t="s">
        <v>84</v>
      </c>
      <c r="H130" t="s">
        <v>110</v>
      </c>
      <c r="I130" t="s">
        <v>296</v>
      </c>
      <c r="J130" t="s">
        <v>312</v>
      </c>
      <c r="K130" t="s">
        <v>82</v>
      </c>
      <c r="L130">
        <v>6750</v>
      </c>
      <c r="M130" t="s">
        <v>83</v>
      </c>
      <c r="S130">
        <v>1</v>
      </c>
      <c r="U130">
        <v>0</v>
      </c>
      <c r="V130">
        <v>0</v>
      </c>
      <c r="W130">
        <v>11750</v>
      </c>
    </row>
    <row r="131" spans="1:23" x14ac:dyDescent="0.25">
      <c r="A131" t="s">
        <v>296</v>
      </c>
      <c r="B131">
        <v>1</v>
      </c>
      <c r="C131" t="s">
        <v>258</v>
      </c>
      <c r="D131" t="s">
        <v>297</v>
      </c>
      <c r="E131" t="s">
        <v>260</v>
      </c>
      <c r="F131" t="s">
        <v>298</v>
      </c>
      <c r="G131" t="s">
        <v>79</v>
      </c>
      <c r="H131" t="s">
        <v>110</v>
      </c>
      <c r="I131" t="s">
        <v>306</v>
      </c>
      <c r="J131" t="s">
        <v>313</v>
      </c>
      <c r="K131" t="s">
        <v>82</v>
      </c>
      <c r="L131">
        <v>11214</v>
      </c>
      <c r="M131" t="s">
        <v>83</v>
      </c>
      <c r="N131">
        <v>11750</v>
      </c>
      <c r="O131">
        <v>1</v>
      </c>
      <c r="U131">
        <v>11214</v>
      </c>
      <c r="V131">
        <v>11214</v>
      </c>
      <c r="W131">
        <v>11750</v>
      </c>
    </row>
    <row r="132" spans="1:23" x14ac:dyDescent="0.25">
      <c r="A132" t="s">
        <v>296</v>
      </c>
      <c r="B132">
        <v>0</v>
      </c>
      <c r="C132" t="s">
        <v>258</v>
      </c>
      <c r="D132" t="s">
        <v>297</v>
      </c>
      <c r="E132" t="s">
        <v>260</v>
      </c>
      <c r="F132" t="s">
        <v>298</v>
      </c>
      <c r="G132" t="s">
        <v>84</v>
      </c>
      <c r="H132" t="s">
        <v>110</v>
      </c>
      <c r="I132" t="s">
        <v>296</v>
      </c>
      <c r="J132" t="s">
        <v>314</v>
      </c>
      <c r="K132" t="s">
        <v>82</v>
      </c>
      <c r="L132">
        <v>17286</v>
      </c>
      <c r="M132" t="s">
        <v>83</v>
      </c>
      <c r="O132">
        <v>1</v>
      </c>
      <c r="P132">
        <v>1</v>
      </c>
      <c r="U132">
        <v>17286</v>
      </c>
      <c r="V132">
        <v>0</v>
      </c>
      <c r="W132">
        <v>11750</v>
      </c>
    </row>
    <row r="133" spans="1:23" x14ac:dyDescent="0.25">
      <c r="A133" t="s">
        <v>296</v>
      </c>
      <c r="B133">
        <v>0</v>
      </c>
      <c r="C133" t="s">
        <v>258</v>
      </c>
      <c r="D133" t="s">
        <v>297</v>
      </c>
      <c r="E133" t="s">
        <v>260</v>
      </c>
      <c r="F133" t="s">
        <v>298</v>
      </c>
      <c r="G133" t="s">
        <v>84</v>
      </c>
      <c r="H133" t="s">
        <v>87</v>
      </c>
      <c r="I133" t="s">
        <v>296</v>
      </c>
      <c r="J133" t="s">
        <v>315</v>
      </c>
      <c r="K133" t="s">
        <v>82</v>
      </c>
      <c r="L133">
        <v>119193.9583</v>
      </c>
      <c r="M133" t="s">
        <v>83</v>
      </c>
      <c r="R133">
        <v>1</v>
      </c>
      <c r="U133">
        <v>0</v>
      </c>
      <c r="V133">
        <v>0</v>
      </c>
      <c r="W133">
        <v>114895.93886666666</v>
      </c>
    </row>
    <row r="134" spans="1:23" x14ac:dyDescent="0.25">
      <c r="A134" t="s">
        <v>296</v>
      </c>
      <c r="B134">
        <v>1</v>
      </c>
      <c r="C134" t="s">
        <v>258</v>
      </c>
      <c r="D134" t="s">
        <v>297</v>
      </c>
      <c r="E134" t="s">
        <v>260</v>
      </c>
      <c r="F134" t="s">
        <v>298</v>
      </c>
      <c r="G134" t="s">
        <v>316</v>
      </c>
      <c r="H134" t="s">
        <v>87</v>
      </c>
      <c r="I134" t="s">
        <v>296</v>
      </c>
      <c r="J134" t="s">
        <v>317</v>
      </c>
      <c r="K134" t="s">
        <v>82</v>
      </c>
      <c r="L134">
        <v>130914.5833</v>
      </c>
      <c r="M134" t="s">
        <v>83</v>
      </c>
      <c r="N134">
        <v>114895.93889999999</v>
      </c>
      <c r="Q134">
        <v>1</v>
      </c>
      <c r="U134">
        <v>0</v>
      </c>
      <c r="V134">
        <v>0</v>
      </c>
      <c r="W134">
        <v>114895.93886666666</v>
      </c>
    </row>
    <row r="135" spans="1:23" x14ac:dyDescent="0.25">
      <c r="A135" t="s">
        <v>296</v>
      </c>
      <c r="B135">
        <v>0</v>
      </c>
      <c r="C135" t="s">
        <v>258</v>
      </c>
      <c r="D135" t="s">
        <v>297</v>
      </c>
      <c r="E135" t="s">
        <v>260</v>
      </c>
      <c r="F135" t="s">
        <v>298</v>
      </c>
      <c r="G135" t="s">
        <v>84</v>
      </c>
      <c r="H135" t="s">
        <v>87</v>
      </c>
      <c r="I135" t="s">
        <v>296</v>
      </c>
      <c r="J135" t="s">
        <v>318</v>
      </c>
      <c r="K135" t="s">
        <v>82</v>
      </c>
      <c r="L135">
        <v>94579.274999999994</v>
      </c>
      <c r="M135" t="s">
        <v>83</v>
      </c>
      <c r="S135">
        <v>1</v>
      </c>
      <c r="T135">
        <v>1</v>
      </c>
      <c r="U135">
        <v>0</v>
      </c>
      <c r="V135">
        <v>0</v>
      </c>
      <c r="W135">
        <v>114895.93886666666</v>
      </c>
    </row>
    <row r="136" spans="1:23" x14ac:dyDescent="0.25">
      <c r="A136" t="s">
        <v>296</v>
      </c>
      <c r="B136">
        <v>0</v>
      </c>
      <c r="C136" t="s">
        <v>258</v>
      </c>
      <c r="D136" t="s">
        <v>297</v>
      </c>
      <c r="E136" t="s">
        <v>260</v>
      </c>
      <c r="F136" t="s">
        <v>298</v>
      </c>
      <c r="G136" t="s">
        <v>84</v>
      </c>
      <c r="H136" t="s">
        <v>98</v>
      </c>
      <c r="I136" t="s">
        <v>319</v>
      </c>
      <c r="J136" t="s">
        <v>320</v>
      </c>
      <c r="K136" t="s">
        <v>82</v>
      </c>
      <c r="L136">
        <v>29850</v>
      </c>
      <c r="M136" t="s">
        <v>83</v>
      </c>
      <c r="U136">
        <v>0</v>
      </c>
      <c r="V136">
        <v>0</v>
      </c>
      <c r="W136">
        <v>36283.333333333336</v>
      </c>
    </row>
    <row r="137" spans="1:23" x14ac:dyDescent="0.25">
      <c r="A137" t="s">
        <v>296</v>
      </c>
      <c r="B137">
        <v>1</v>
      </c>
      <c r="C137" t="s">
        <v>258</v>
      </c>
      <c r="D137" t="s">
        <v>297</v>
      </c>
      <c r="E137" t="s">
        <v>260</v>
      </c>
      <c r="F137" t="s">
        <v>298</v>
      </c>
      <c r="G137" t="s">
        <v>158</v>
      </c>
      <c r="H137" t="s">
        <v>98</v>
      </c>
      <c r="I137" t="s">
        <v>321</v>
      </c>
      <c r="J137" t="s">
        <v>322</v>
      </c>
      <c r="K137" t="s">
        <v>82</v>
      </c>
      <c r="L137">
        <v>62100</v>
      </c>
      <c r="M137" t="s">
        <v>83</v>
      </c>
      <c r="N137">
        <v>36283.333330000001</v>
      </c>
      <c r="Q137">
        <v>1</v>
      </c>
      <c r="S137">
        <v>1</v>
      </c>
      <c r="U137">
        <v>0</v>
      </c>
      <c r="V137">
        <v>0</v>
      </c>
      <c r="W137">
        <v>36283.333333333336</v>
      </c>
    </row>
    <row r="138" spans="1:23" x14ac:dyDescent="0.25">
      <c r="A138" t="s">
        <v>296</v>
      </c>
      <c r="B138">
        <v>0</v>
      </c>
      <c r="C138" t="s">
        <v>258</v>
      </c>
      <c r="D138" t="s">
        <v>297</v>
      </c>
      <c r="E138" t="s">
        <v>260</v>
      </c>
      <c r="F138" t="s">
        <v>298</v>
      </c>
      <c r="G138" t="s">
        <v>84</v>
      </c>
      <c r="H138" t="s">
        <v>98</v>
      </c>
      <c r="I138" t="s">
        <v>323</v>
      </c>
      <c r="J138" t="s">
        <v>324</v>
      </c>
      <c r="K138" t="s">
        <v>82</v>
      </c>
      <c r="L138">
        <v>16900</v>
      </c>
      <c r="M138" t="s">
        <v>83</v>
      </c>
      <c r="U138">
        <v>0</v>
      </c>
      <c r="V138">
        <v>0</v>
      </c>
      <c r="W138">
        <v>36283.333333333336</v>
      </c>
    </row>
    <row r="139" spans="1:23" x14ac:dyDescent="0.25">
      <c r="A139" t="s">
        <v>296</v>
      </c>
      <c r="B139">
        <v>0</v>
      </c>
      <c r="C139" t="s">
        <v>258</v>
      </c>
      <c r="D139" t="s">
        <v>297</v>
      </c>
      <c r="E139" t="s">
        <v>260</v>
      </c>
      <c r="F139" t="s">
        <v>298</v>
      </c>
      <c r="G139" t="s">
        <v>84</v>
      </c>
      <c r="H139" t="s">
        <v>121</v>
      </c>
      <c r="I139" t="s">
        <v>296</v>
      </c>
      <c r="J139" t="s">
        <v>325</v>
      </c>
      <c r="K139" t="s">
        <v>82</v>
      </c>
      <c r="L139">
        <v>192655.61499999999</v>
      </c>
      <c r="M139" t="s">
        <v>83</v>
      </c>
      <c r="S139">
        <v>1</v>
      </c>
      <c r="U139">
        <v>0</v>
      </c>
      <c r="V139">
        <v>0</v>
      </c>
      <c r="W139">
        <v>158633.04393333333</v>
      </c>
    </row>
    <row r="140" spans="1:23" x14ac:dyDescent="0.25">
      <c r="A140" t="s">
        <v>296</v>
      </c>
      <c r="B140">
        <v>1</v>
      </c>
      <c r="C140" t="s">
        <v>258</v>
      </c>
      <c r="D140" t="s">
        <v>297</v>
      </c>
      <c r="E140" t="s">
        <v>260</v>
      </c>
      <c r="F140" t="s">
        <v>298</v>
      </c>
      <c r="G140" t="s">
        <v>326</v>
      </c>
      <c r="H140" t="s">
        <v>121</v>
      </c>
      <c r="I140" t="s">
        <v>327</v>
      </c>
      <c r="J140" t="s">
        <v>328</v>
      </c>
      <c r="K140" t="s">
        <v>82</v>
      </c>
      <c r="L140">
        <v>139549.23199999999</v>
      </c>
      <c r="M140" t="s">
        <v>83</v>
      </c>
      <c r="N140">
        <v>158633.04389999999</v>
      </c>
      <c r="P140">
        <v>1</v>
      </c>
      <c r="T140">
        <v>1</v>
      </c>
      <c r="U140">
        <v>0</v>
      </c>
      <c r="V140">
        <v>0</v>
      </c>
      <c r="W140">
        <v>158633.04393333333</v>
      </c>
    </row>
    <row r="141" spans="1:23" x14ac:dyDescent="0.25">
      <c r="A141" t="s">
        <v>296</v>
      </c>
      <c r="B141">
        <v>0</v>
      </c>
      <c r="C141" t="s">
        <v>258</v>
      </c>
      <c r="D141" t="s">
        <v>297</v>
      </c>
      <c r="E141" t="s">
        <v>260</v>
      </c>
      <c r="F141" t="s">
        <v>298</v>
      </c>
      <c r="G141" t="s">
        <v>84</v>
      </c>
      <c r="H141" t="s">
        <v>121</v>
      </c>
      <c r="I141" t="s">
        <v>329</v>
      </c>
      <c r="J141" t="s">
        <v>330</v>
      </c>
      <c r="K141" t="s">
        <v>82</v>
      </c>
      <c r="L141">
        <v>143694.28479999999</v>
      </c>
      <c r="M141" t="s">
        <v>83</v>
      </c>
      <c r="P141">
        <v>1</v>
      </c>
      <c r="U141">
        <v>0</v>
      </c>
      <c r="V141">
        <v>0</v>
      </c>
      <c r="W141">
        <v>158633.04393333333</v>
      </c>
    </row>
    <row r="142" spans="1:23" x14ac:dyDescent="0.25">
      <c r="A142" t="s">
        <v>296</v>
      </c>
      <c r="B142">
        <v>0</v>
      </c>
      <c r="C142" t="s">
        <v>258</v>
      </c>
      <c r="D142" t="s">
        <v>297</v>
      </c>
      <c r="E142" t="s">
        <v>260</v>
      </c>
      <c r="F142" t="s">
        <v>298</v>
      </c>
      <c r="G142" t="s">
        <v>84</v>
      </c>
      <c r="H142" t="s">
        <v>114</v>
      </c>
      <c r="I142" t="s">
        <v>296</v>
      </c>
      <c r="J142" t="s">
        <v>331</v>
      </c>
      <c r="K142" t="s">
        <v>82</v>
      </c>
      <c r="L142">
        <v>38300</v>
      </c>
      <c r="M142" t="s">
        <v>83</v>
      </c>
      <c r="S142">
        <v>1</v>
      </c>
      <c r="U142">
        <v>0</v>
      </c>
      <c r="V142">
        <v>0</v>
      </c>
      <c r="W142">
        <v>29616.666666666664</v>
      </c>
    </row>
    <row r="143" spans="1:23" x14ac:dyDescent="0.25">
      <c r="A143" t="s">
        <v>296</v>
      </c>
      <c r="B143">
        <v>1</v>
      </c>
      <c r="C143" t="s">
        <v>258</v>
      </c>
      <c r="D143" t="s">
        <v>297</v>
      </c>
      <c r="E143" t="s">
        <v>260</v>
      </c>
      <c r="F143" t="s">
        <v>298</v>
      </c>
      <c r="G143" t="s">
        <v>326</v>
      </c>
      <c r="H143" t="s">
        <v>114</v>
      </c>
      <c r="I143" t="s">
        <v>327</v>
      </c>
      <c r="J143" t="s">
        <v>332</v>
      </c>
      <c r="K143" t="s">
        <v>82</v>
      </c>
      <c r="L143">
        <v>23000</v>
      </c>
      <c r="M143" t="s">
        <v>83</v>
      </c>
      <c r="N143">
        <v>29616.666669999999</v>
      </c>
      <c r="P143">
        <v>1</v>
      </c>
      <c r="T143">
        <v>1</v>
      </c>
      <c r="U143">
        <v>0</v>
      </c>
      <c r="V143">
        <v>0</v>
      </c>
      <c r="W143">
        <v>29616.666666666664</v>
      </c>
    </row>
    <row r="144" spans="1:23" x14ac:dyDescent="0.25">
      <c r="A144" t="s">
        <v>296</v>
      </c>
      <c r="B144">
        <v>0</v>
      </c>
      <c r="C144" t="s">
        <v>258</v>
      </c>
      <c r="D144" t="s">
        <v>297</v>
      </c>
      <c r="E144" t="s">
        <v>260</v>
      </c>
      <c r="F144" t="s">
        <v>298</v>
      </c>
      <c r="G144" t="s">
        <v>84</v>
      </c>
      <c r="H144" t="s">
        <v>114</v>
      </c>
      <c r="I144" t="s">
        <v>329</v>
      </c>
      <c r="J144" t="s">
        <v>333</v>
      </c>
      <c r="K144" t="s">
        <v>82</v>
      </c>
      <c r="L144">
        <v>27550</v>
      </c>
      <c r="M144" t="s">
        <v>83</v>
      </c>
      <c r="P144">
        <v>1</v>
      </c>
      <c r="U144">
        <v>0</v>
      </c>
      <c r="V144">
        <v>0</v>
      </c>
      <c r="W144">
        <v>29616.666666666664</v>
      </c>
    </row>
    <row r="145" spans="1:23" x14ac:dyDescent="0.25">
      <c r="A145" t="s">
        <v>296</v>
      </c>
      <c r="B145">
        <v>0</v>
      </c>
      <c r="C145" t="s">
        <v>258</v>
      </c>
      <c r="D145" t="s">
        <v>297</v>
      </c>
      <c r="E145" t="s">
        <v>260</v>
      </c>
      <c r="F145" t="s">
        <v>298</v>
      </c>
      <c r="G145" t="s">
        <v>84</v>
      </c>
      <c r="H145" t="s">
        <v>185</v>
      </c>
      <c r="I145" t="s">
        <v>296</v>
      </c>
      <c r="J145" t="s">
        <v>334</v>
      </c>
      <c r="K145" t="s">
        <v>82</v>
      </c>
      <c r="L145">
        <v>17251.724999999999</v>
      </c>
      <c r="M145" t="s">
        <v>83</v>
      </c>
      <c r="S145">
        <v>1</v>
      </c>
      <c r="U145">
        <v>0</v>
      </c>
      <c r="V145">
        <v>0</v>
      </c>
      <c r="W145">
        <v>18144.508333333331</v>
      </c>
    </row>
    <row r="146" spans="1:23" x14ac:dyDescent="0.25">
      <c r="A146" t="s">
        <v>296</v>
      </c>
      <c r="B146">
        <v>1</v>
      </c>
      <c r="C146" t="s">
        <v>258</v>
      </c>
      <c r="D146" t="s">
        <v>297</v>
      </c>
      <c r="E146" t="s">
        <v>260</v>
      </c>
      <c r="F146" t="s">
        <v>298</v>
      </c>
      <c r="G146" t="s">
        <v>79</v>
      </c>
      <c r="H146" t="s">
        <v>185</v>
      </c>
      <c r="I146" t="s">
        <v>306</v>
      </c>
      <c r="J146" t="s">
        <v>335</v>
      </c>
      <c r="K146" t="s">
        <v>82</v>
      </c>
      <c r="L146">
        <v>18827.224999999999</v>
      </c>
      <c r="M146" t="s">
        <v>83</v>
      </c>
      <c r="N146">
        <v>18144.508330000001</v>
      </c>
      <c r="O146">
        <v>1</v>
      </c>
      <c r="U146">
        <v>18827.224999999999</v>
      </c>
      <c r="V146">
        <v>18827.224999999999</v>
      </c>
      <c r="W146">
        <v>18144.508333333331</v>
      </c>
    </row>
    <row r="147" spans="1:23" x14ac:dyDescent="0.25">
      <c r="A147" t="s">
        <v>296</v>
      </c>
      <c r="B147">
        <v>0</v>
      </c>
      <c r="C147" t="s">
        <v>258</v>
      </c>
      <c r="D147" t="s">
        <v>297</v>
      </c>
      <c r="E147" t="s">
        <v>260</v>
      </c>
      <c r="F147" t="s">
        <v>298</v>
      </c>
      <c r="G147" t="s">
        <v>84</v>
      </c>
      <c r="H147" t="s">
        <v>185</v>
      </c>
      <c r="I147" t="s">
        <v>296</v>
      </c>
      <c r="J147" t="s">
        <v>336</v>
      </c>
      <c r="K147" t="s">
        <v>82</v>
      </c>
      <c r="L147">
        <v>18354.575000000001</v>
      </c>
      <c r="M147" t="s">
        <v>83</v>
      </c>
      <c r="O147">
        <v>1</v>
      </c>
      <c r="P147">
        <v>1</v>
      </c>
      <c r="U147">
        <v>18354.575000000001</v>
      </c>
      <c r="V147">
        <v>0</v>
      </c>
      <c r="W147">
        <v>18144.508333333331</v>
      </c>
    </row>
    <row r="148" spans="1:23" x14ac:dyDescent="0.25">
      <c r="A148" t="s">
        <v>337</v>
      </c>
      <c r="B148">
        <v>1</v>
      </c>
      <c r="C148" t="s">
        <v>258</v>
      </c>
      <c r="D148" t="s">
        <v>297</v>
      </c>
      <c r="E148" t="s">
        <v>338</v>
      </c>
      <c r="F148" t="s">
        <v>298</v>
      </c>
      <c r="G148" t="s">
        <v>140</v>
      </c>
      <c r="H148" t="s">
        <v>92</v>
      </c>
      <c r="I148" t="s">
        <v>339</v>
      </c>
      <c r="J148" t="s">
        <v>140</v>
      </c>
      <c r="K148" t="s">
        <v>82</v>
      </c>
      <c r="L148">
        <v>48690</v>
      </c>
      <c r="M148" t="s">
        <v>83</v>
      </c>
      <c r="N148">
        <v>31286.666669999999</v>
      </c>
      <c r="Q148">
        <v>1</v>
      </c>
      <c r="S148">
        <v>1</v>
      </c>
      <c r="U148">
        <v>0</v>
      </c>
      <c r="V148">
        <v>0</v>
      </c>
      <c r="W148">
        <v>31286.666666666668</v>
      </c>
    </row>
    <row r="149" spans="1:23" x14ac:dyDescent="0.25">
      <c r="A149" t="s">
        <v>337</v>
      </c>
      <c r="B149">
        <v>0</v>
      </c>
      <c r="C149" t="s">
        <v>258</v>
      </c>
      <c r="D149" t="s">
        <v>297</v>
      </c>
      <c r="E149" t="s">
        <v>338</v>
      </c>
      <c r="F149" t="s">
        <v>298</v>
      </c>
      <c r="G149" t="s">
        <v>84</v>
      </c>
      <c r="H149" t="s">
        <v>92</v>
      </c>
      <c r="I149" t="s">
        <v>340</v>
      </c>
      <c r="J149" t="s">
        <v>341</v>
      </c>
      <c r="K149" t="s">
        <v>82</v>
      </c>
      <c r="L149">
        <v>20890</v>
      </c>
      <c r="M149" t="s">
        <v>83</v>
      </c>
      <c r="O149">
        <v>1</v>
      </c>
      <c r="T149">
        <v>1</v>
      </c>
      <c r="U149">
        <v>20890</v>
      </c>
      <c r="V149">
        <v>0</v>
      </c>
      <c r="W149">
        <v>31286.666666666668</v>
      </c>
    </row>
    <row r="150" spans="1:23" x14ac:dyDescent="0.25">
      <c r="A150" t="s">
        <v>337</v>
      </c>
      <c r="B150">
        <v>0</v>
      </c>
      <c r="C150" t="s">
        <v>258</v>
      </c>
      <c r="D150" t="s">
        <v>297</v>
      </c>
      <c r="E150" t="s">
        <v>338</v>
      </c>
      <c r="F150" t="s">
        <v>298</v>
      </c>
      <c r="G150" t="s">
        <v>84</v>
      </c>
      <c r="H150" t="s">
        <v>92</v>
      </c>
      <c r="I150" t="s">
        <v>342</v>
      </c>
      <c r="J150" t="s">
        <v>343</v>
      </c>
      <c r="K150" t="s">
        <v>82</v>
      </c>
      <c r="L150">
        <v>24280</v>
      </c>
      <c r="M150" t="s">
        <v>83</v>
      </c>
      <c r="P150">
        <v>1</v>
      </c>
      <c r="Q150">
        <v>1</v>
      </c>
      <c r="U150">
        <v>0</v>
      </c>
      <c r="V150">
        <v>0</v>
      </c>
      <c r="W150">
        <v>31286.666666666668</v>
      </c>
    </row>
    <row r="151" spans="1:23" x14ac:dyDescent="0.25">
      <c r="A151" t="s">
        <v>337</v>
      </c>
      <c r="B151">
        <v>0</v>
      </c>
      <c r="C151" t="s">
        <v>258</v>
      </c>
      <c r="D151" t="s">
        <v>297</v>
      </c>
      <c r="E151" t="s">
        <v>338</v>
      </c>
      <c r="F151" t="s">
        <v>298</v>
      </c>
      <c r="G151" t="s">
        <v>84</v>
      </c>
      <c r="H151" t="s">
        <v>80</v>
      </c>
      <c r="I151" t="s">
        <v>337</v>
      </c>
      <c r="J151" t="s">
        <v>344</v>
      </c>
      <c r="K151" t="s">
        <v>82</v>
      </c>
      <c r="L151">
        <v>861318.65</v>
      </c>
      <c r="M151" t="s">
        <v>83</v>
      </c>
      <c r="P151">
        <v>1</v>
      </c>
      <c r="U151">
        <v>0</v>
      </c>
      <c r="V151">
        <v>0</v>
      </c>
      <c r="W151">
        <v>837017.14029999997</v>
      </c>
    </row>
    <row r="152" spans="1:23" x14ac:dyDescent="0.25">
      <c r="A152" t="s">
        <v>337</v>
      </c>
      <c r="B152">
        <v>0</v>
      </c>
      <c r="C152" t="s">
        <v>258</v>
      </c>
      <c r="D152" t="s">
        <v>297</v>
      </c>
      <c r="E152" t="s">
        <v>338</v>
      </c>
      <c r="F152" t="s">
        <v>298</v>
      </c>
      <c r="G152" t="s">
        <v>84</v>
      </c>
      <c r="H152" t="s">
        <v>80</v>
      </c>
      <c r="I152" t="s">
        <v>345</v>
      </c>
      <c r="J152" t="s">
        <v>346</v>
      </c>
      <c r="K152" t="s">
        <v>82</v>
      </c>
      <c r="L152">
        <v>850434.76089999999</v>
      </c>
      <c r="M152" t="s">
        <v>83</v>
      </c>
      <c r="O152">
        <v>1</v>
      </c>
      <c r="U152">
        <v>850434.76089999999</v>
      </c>
      <c r="V152">
        <v>0</v>
      </c>
      <c r="W152">
        <v>837017.14029999997</v>
      </c>
    </row>
    <row r="153" spans="1:23" x14ac:dyDescent="0.25">
      <c r="A153" t="s">
        <v>337</v>
      </c>
      <c r="B153">
        <v>1</v>
      </c>
      <c r="C153" t="s">
        <v>258</v>
      </c>
      <c r="D153" t="s">
        <v>297</v>
      </c>
      <c r="E153" t="s">
        <v>338</v>
      </c>
      <c r="F153" t="s">
        <v>298</v>
      </c>
      <c r="G153" t="s">
        <v>248</v>
      </c>
      <c r="H153" t="s">
        <v>80</v>
      </c>
      <c r="I153" t="s">
        <v>337</v>
      </c>
      <c r="J153" t="s">
        <v>347</v>
      </c>
      <c r="K153" t="s">
        <v>82</v>
      </c>
      <c r="L153">
        <v>799298.01</v>
      </c>
      <c r="M153" t="s">
        <v>83</v>
      </c>
      <c r="N153">
        <v>837017.14029999997</v>
      </c>
      <c r="O153">
        <v>1</v>
      </c>
      <c r="P153">
        <v>1</v>
      </c>
      <c r="U153">
        <v>799298.01</v>
      </c>
      <c r="V153">
        <v>799298.01</v>
      </c>
      <c r="W153">
        <v>837017.14029999997</v>
      </c>
    </row>
    <row r="154" spans="1:23" x14ac:dyDescent="0.25">
      <c r="A154" t="s">
        <v>337</v>
      </c>
      <c r="B154">
        <v>0</v>
      </c>
      <c r="C154" t="s">
        <v>258</v>
      </c>
      <c r="D154" t="s">
        <v>297</v>
      </c>
      <c r="E154" t="s">
        <v>338</v>
      </c>
      <c r="F154" t="s">
        <v>298</v>
      </c>
      <c r="G154" t="s">
        <v>84</v>
      </c>
      <c r="H154" t="s">
        <v>106</v>
      </c>
      <c r="I154" t="s">
        <v>337</v>
      </c>
      <c r="J154" t="s">
        <v>348</v>
      </c>
      <c r="K154" t="s">
        <v>82</v>
      </c>
      <c r="L154">
        <v>9846.875</v>
      </c>
      <c r="M154" t="s">
        <v>83</v>
      </c>
      <c r="P154">
        <v>1</v>
      </c>
      <c r="U154">
        <v>0</v>
      </c>
      <c r="V154">
        <v>0</v>
      </c>
      <c r="W154">
        <v>7549.2708333333339</v>
      </c>
    </row>
    <row r="155" spans="1:23" x14ac:dyDescent="0.25">
      <c r="A155" t="s">
        <v>337</v>
      </c>
      <c r="B155">
        <v>0</v>
      </c>
      <c r="C155" t="s">
        <v>258</v>
      </c>
      <c r="D155" t="s">
        <v>297</v>
      </c>
      <c r="E155" t="s">
        <v>338</v>
      </c>
      <c r="F155" t="s">
        <v>298</v>
      </c>
      <c r="G155" t="s">
        <v>84</v>
      </c>
      <c r="H155" t="s">
        <v>106</v>
      </c>
      <c r="I155" t="s">
        <v>345</v>
      </c>
      <c r="J155" t="s">
        <v>349</v>
      </c>
      <c r="K155" t="s">
        <v>82</v>
      </c>
      <c r="L155">
        <v>8783.4125000000004</v>
      </c>
      <c r="M155" t="s">
        <v>83</v>
      </c>
      <c r="O155">
        <v>1</v>
      </c>
      <c r="U155">
        <v>8783.4125000000004</v>
      </c>
      <c r="V155">
        <v>0</v>
      </c>
      <c r="W155">
        <v>7549.2708333333339</v>
      </c>
    </row>
    <row r="156" spans="1:23" x14ac:dyDescent="0.25">
      <c r="A156" t="s">
        <v>337</v>
      </c>
      <c r="B156">
        <v>1</v>
      </c>
      <c r="C156" t="s">
        <v>258</v>
      </c>
      <c r="D156" t="s">
        <v>297</v>
      </c>
      <c r="E156" t="s">
        <v>338</v>
      </c>
      <c r="F156" t="s">
        <v>298</v>
      </c>
      <c r="G156" t="s">
        <v>248</v>
      </c>
      <c r="H156" t="s">
        <v>106</v>
      </c>
      <c r="I156" t="s">
        <v>337</v>
      </c>
      <c r="J156" t="s">
        <v>350</v>
      </c>
      <c r="K156" t="s">
        <v>82</v>
      </c>
      <c r="L156">
        <v>4017.5250000000001</v>
      </c>
      <c r="M156" t="s">
        <v>83</v>
      </c>
      <c r="N156">
        <v>7549.2708329999996</v>
      </c>
      <c r="O156">
        <v>1</v>
      </c>
      <c r="P156">
        <v>1</v>
      </c>
      <c r="U156">
        <v>4017.5250000000001</v>
      </c>
      <c r="V156">
        <v>4017.5250000000001</v>
      </c>
      <c r="W156">
        <v>7549.2708333333339</v>
      </c>
    </row>
    <row r="157" spans="1:23" x14ac:dyDescent="0.25">
      <c r="A157" t="s">
        <v>337</v>
      </c>
      <c r="B157">
        <v>0</v>
      </c>
      <c r="C157" t="s">
        <v>258</v>
      </c>
      <c r="D157" t="s">
        <v>297</v>
      </c>
      <c r="E157" t="s">
        <v>338</v>
      </c>
      <c r="F157" t="s">
        <v>298</v>
      </c>
      <c r="G157" t="s">
        <v>84</v>
      </c>
      <c r="H157" t="s">
        <v>110</v>
      </c>
      <c r="I157" t="s">
        <v>337</v>
      </c>
      <c r="J157" t="s">
        <v>351</v>
      </c>
      <c r="K157" t="s">
        <v>82</v>
      </c>
      <c r="L157">
        <v>11008</v>
      </c>
      <c r="M157" t="s">
        <v>83</v>
      </c>
      <c r="P157">
        <v>1</v>
      </c>
      <c r="U157">
        <v>0</v>
      </c>
      <c r="V157">
        <v>0</v>
      </c>
      <c r="W157">
        <v>12020</v>
      </c>
    </row>
    <row r="158" spans="1:23" x14ac:dyDescent="0.25">
      <c r="A158" t="s">
        <v>337</v>
      </c>
      <c r="B158">
        <v>0</v>
      </c>
      <c r="C158" t="s">
        <v>258</v>
      </c>
      <c r="D158" t="s">
        <v>297</v>
      </c>
      <c r="E158" t="s">
        <v>338</v>
      </c>
      <c r="F158" t="s">
        <v>298</v>
      </c>
      <c r="G158" t="s">
        <v>84</v>
      </c>
      <c r="H158" t="s">
        <v>110</v>
      </c>
      <c r="I158" t="s">
        <v>345</v>
      </c>
      <c r="J158" t="s">
        <v>352</v>
      </c>
      <c r="K158" t="s">
        <v>82</v>
      </c>
      <c r="L158">
        <v>11844</v>
      </c>
      <c r="M158" t="s">
        <v>83</v>
      </c>
      <c r="O158">
        <v>1</v>
      </c>
      <c r="U158">
        <v>11844</v>
      </c>
      <c r="V158">
        <v>0</v>
      </c>
      <c r="W158">
        <v>12020</v>
      </c>
    </row>
    <row r="159" spans="1:23" x14ac:dyDescent="0.25">
      <c r="A159" t="s">
        <v>337</v>
      </c>
      <c r="B159">
        <v>1</v>
      </c>
      <c r="C159" t="s">
        <v>258</v>
      </c>
      <c r="D159" t="s">
        <v>297</v>
      </c>
      <c r="E159" t="s">
        <v>338</v>
      </c>
      <c r="F159" t="s">
        <v>298</v>
      </c>
      <c r="G159" t="s">
        <v>248</v>
      </c>
      <c r="H159" t="s">
        <v>110</v>
      </c>
      <c r="I159" t="s">
        <v>337</v>
      </c>
      <c r="J159" t="s">
        <v>353</v>
      </c>
      <c r="K159" t="s">
        <v>82</v>
      </c>
      <c r="L159">
        <v>13208</v>
      </c>
      <c r="M159" t="s">
        <v>83</v>
      </c>
      <c r="N159">
        <v>12020</v>
      </c>
      <c r="O159">
        <v>1</v>
      </c>
      <c r="P159">
        <v>1</v>
      </c>
      <c r="U159">
        <v>13208</v>
      </c>
      <c r="V159">
        <v>13208</v>
      </c>
      <c r="W159">
        <v>12020</v>
      </c>
    </row>
    <row r="160" spans="1:23" x14ac:dyDescent="0.25">
      <c r="A160" t="s">
        <v>337</v>
      </c>
      <c r="B160">
        <v>0</v>
      </c>
      <c r="C160" t="s">
        <v>258</v>
      </c>
      <c r="D160" t="s">
        <v>297</v>
      </c>
      <c r="E160" t="s">
        <v>338</v>
      </c>
      <c r="F160" t="s">
        <v>298</v>
      </c>
      <c r="G160" t="s">
        <v>84</v>
      </c>
      <c r="H160" t="s">
        <v>87</v>
      </c>
      <c r="I160" t="s">
        <v>354</v>
      </c>
      <c r="J160" t="s">
        <v>355</v>
      </c>
      <c r="K160" t="s">
        <v>82</v>
      </c>
      <c r="L160">
        <v>93795.158330000006</v>
      </c>
      <c r="M160" t="s">
        <v>83</v>
      </c>
      <c r="U160">
        <v>0</v>
      </c>
      <c r="V160">
        <v>0</v>
      </c>
      <c r="W160">
        <v>108474.041665</v>
      </c>
    </row>
    <row r="161" spans="1:23" x14ac:dyDescent="0.25">
      <c r="A161" t="s">
        <v>337</v>
      </c>
      <c r="B161">
        <v>1</v>
      </c>
      <c r="C161" t="s">
        <v>258</v>
      </c>
      <c r="D161" t="s">
        <v>297</v>
      </c>
      <c r="E161" t="s">
        <v>338</v>
      </c>
      <c r="F161" t="s">
        <v>298</v>
      </c>
      <c r="G161" t="s">
        <v>243</v>
      </c>
      <c r="H161" t="s">
        <v>87</v>
      </c>
      <c r="I161" t="s">
        <v>337</v>
      </c>
      <c r="J161" t="s">
        <v>356</v>
      </c>
      <c r="K161" t="s">
        <v>82</v>
      </c>
      <c r="L161">
        <v>123152.925</v>
      </c>
      <c r="M161" t="s">
        <v>83</v>
      </c>
      <c r="N161">
        <v>108474.0417</v>
      </c>
      <c r="U161">
        <v>0</v>
      </c>
      <c r="V161">
        <v>0</v>
      </c>
      <c r="W161">
        <v>108474.041665</v>
      </c>
    </row>
    <row r="162" spans="1:23" x14ac:dyDescent="0.25">
      <c r="A162" t="s">
        <v>337</v>
      </c>
      <c r="B162">
        <v>0</v>
      </c>
      <c r="C162" t="s">
        <v>258</v>
      </c>
      <c r="D162" t="s">
        <v>297</v>
      </c>
      <c r="E162" t="s">
        <v>338</v>
      </c>
      <c r="F162" t="s">
        <v>298</v>
      </c>
      <c r="G162" t="s">
        <v>84</v>
      </c>
      <c r="H162" t="s">
        <v>98</v>
      </c>
      <c r="I162" t="s">
        <v>357</v>
      </c>
      <c r="J162" t="s">
        <v>358</v>
      </c>
      <c r="K162" t="s">
        <v>82</v>
      </c>
      <c r="L162">
        <v>40900</v>
      </c>
      <c r="M162" t="s">
        <v>83</v>
      </c>
      <c r="R162">
        <v>1</v>
      </c>
      <c r="U162">
        <v>0</v>
      </c>
      <c r="V162">
        <v>0</v>
      </c>
      <c r="W162">
        <v>31766.666666666664</v>
      </c>
    </row>
    <row r="163" spans="1:23" x14ac:dyDescent="0.25">
      <c r="A163" t="s">
        <v>337</v>
      </c>
      <c r="B163">
        <v>1</v>
      </c>
      <c r="C163" t="s">
        <v>258</v>
      </c>
      <c r="D163" t="s">
        <v>297</v>
      </c>
      <c r="E163" t="s">
        <v>338</v>
      </c>
      <c r="F163" t="s">
        <v>298</v>
      </c>
      <c r="G163" t="s">
        <v>103</v>
      </c>
      <c r="H163" t="s">
        <v>98</v>
      </c>
      <c r="I163" t="s">
        <v>359</v>
      </c>
      <c r="J163" t="s">
        <v>360</v>
      </c>
      <c r="K163" t="s">
        <v>82</v>
      </c>
      <c r="L163">
        <v>35150</v>
      </c>
      <c r="M163" t="s">
        <v>83</v>
      </c>
      <c r="N163">
        <v>31766.666669999999</v>
      </c>
      <c r="R163">
        <v>1</v>
      </c>
      <c r="T163">
        <v>1</v>
      </c>
      <c r="U163">
        <v>0</v>
      </c>
      <c r="V163">
        <v>0</v>
      </c>
      <c r="W163">
        <v>31766.666666666664</v>
      </c>
    </row>
    <row r="164" spans="1:23" x14ac:dyDescent="0.25">
      <c r="A164" t="s">
        <v>337</v>
      </c>
      <c r="B164">
        <v>0</v>
      </c>
      <c r="C164" t="s">
        <v>258</v>
      </c>
      <c r="D164" t="s">
        <v>297</v>
      </c>
      <c r="E164" t="s">
        <v>338</v>
      </c>
      <c r="F164" t="s">
        <v>298</v>
      </c>
      <c r="G164" t="s">
        <v>84</v>
      </c>
      <c r="H164" t="s">
        <v>98</v>
      </c>
      <c r="I164" t="s">
        <v>361</v>
      </c>
      <c r="J164" t="s">
        <v>362</v>
      </c>
      <c r="K164" t="s">
        <v>82</v>
      </c>
      <c r="L164">
        <v>19250</v>
      </c>
      <c r="M164" t="s">
        <v>83</v>
      </c>
      <c r="U164">
        <v>0</v>
      </c>
      <c r="V164">
        <v>0</v>
      </c>
      <c r="W164">
        <v>31766.666666666664</v>
      </c>
    </row>
    <row r="165" spans="1:23" x14ac:dyDescent="0.25">
      <c r="A165" t="s">
        <v>337</v>
      </c>
      <c r="B165">
        <v>0</v>
      </c>
      <c r="C165" t="s">
        <v>258</v>
      </c>
      <c r="D165" t="s">
        <v>297</v>
      </c>
      <c r="E165" t="s">
        <v>338</v>
      </c>
      <c r="F165" t="s">
        <v>298</v>
      </c>
      <c r="G165" t="s">
        <v>84</v>
      </c>
      <c r="H165" t="s">
        <v>185</v>
      </c>
      <c r="I165" t="s">
        <v>337</v>
      </c>
      <c r="J165" t="s">
        <v>363</v>
      </c>
      <c r="K165" t="s">
        <v>82</v>
      </c>
      <c r="L165">
        <v>12604</v>
      </c>
      <c r="M165" t="s">
        <v>83</v>
      </c>
      <c r="P165">
        <v>1</v>
      </c>
      <c r="U165">
        <v>0</v>
      </c>
      <c r="V165">
        <v>0</v>
      </c>
      <c r="W165">
        <v>16726.558333333334</v>
      </c>
    </row>
    <row r="166" spans="1:23" x14ac:dyDescent="0.25">
      <c r="A166" t="s">
        <v>337</v>
      </c>
      <c r="B166">
        <v>0</v>
      </c>
      <c r="C166" t="s">
        <v>258</v>
      </c>
      <c r="D166" t="s">
        <v>297</v>
      </c>
      <c r="E166" t="s">
        <v>338</v>
      </c>
      <c r="F166" t="s">
        <v>298</v>
      </c>
      <c r="G166" t="s">
        <v>84</v>
      </c>
      <c r="H166" t="s">
        <v>185</v>
      </c>
      <c r="I166" t="s">
        <v>345</v>
      </c>
      <c r="J166" t="s">
        <v>364</v>
      </c>
      <c r="K166" t="s">
        <v>82</v>
      </c>
      <c r="L166">
        <v>20166.400000000001</v>
      </c>
      <c r="M166" t="s">
        <v>83</v>
      </c>
      <c r="O166">
        <v>1</v>
      </c>
      <c r="U166">
        <v>20166.400000000001</v>
      </c>
      <c r="V166">
        <v>0</v>
      </c>
      <c r="W166">
        <v>16726.558333333334</v>
      </c>
    </row>
    <row r="167" spans="1:23" x14ac:dyDescent="0.25">
      <c r="A167" t="s">
        <v>337</v>
      </c>
      <c r="B167">
        <v>1</v>
      </c>
      <c r="C167" t="s">
        <v>258</v>
      </c>
      <c r="D167" t="s">
        <v>297</v>
      </c>
      <c r="E167" t="s">
        <v>338</v>
      </c>
      <c r="F167" t="s">
        <v>298</v>
      </c>
      <c r="G167" t="s">
        <v>248</v>
      </c>
      <c r="H167" t="s">
        <v>185</v>
      </c>
      <c r="I167" t="s">
        <v>337</v>
      </c>
      <c r="J167" t="s">
        <v>365</v>
      </c>
      <c r="K167" t="s">
        <v>82</v>
      </c>
      <c r="L167">
        <v>17409.275000000001</v>
      </c>
      <c r="M167" t="s">
        <v>83</v>
      </c>
      <c r="N167">
        <v>16726.55833</v>
      </c>
      <c r="O167">
        <v>1</v>
      </c>
      <c r="P167">
        <v>1</v>
      </c>
      <c r="U167">
        <v>17409.275000000001</v>
      </c>
      <c r="V167">
        <v>17409.275000000001</v>
      </c>
      <c r="W167">
        <v>16726.558333333334</v>
      </c>
    </row>
    <row r="168" spans="1:23" x14ac:dyDescent="0.25">
      <c r="A168" t="s">
        <v>366</v>
      </c>
      <c r="B168">
        <v>1</v>
      </c>
      <c r="C168" t="s">
        <v>258</v>
      </c>
      <c r="D168" t="s">
        <v>297</v>
      </c>
      <c r="E168" t="s">
        <v>338</v>
      </c>
      <c r="F168" t="s">
        <v>367</v>
      </c>
      <c r="G168" t="s">
        <v>94</v>
      </c>
      <c r="H168" t="s">
        <v>92</v>
      </c>
      <c r="I168" t="s">
        <v>368</v>
      </c>
      <c r="J168" t="s">
        <v>343</v>
      </c>
      <c r="K168" t="s">
        <v>82</v>
      </c>
      <c r="L168">
        <v>28010</v>
      </c>
      <c r="M168" t="s">
        <v>83</v>
      </c>
      <c r="N168">
        <v>27166.666669999999</v>
      </c>
      <c r="U168">
        <v>0</v>
      </c>
      <c r="V168">
        <v>0</v>
      </c>
      <c r="W168">
        <v>27166.666666666668</v>
      </c>
    </row>
    <row r="169" spans="1:23" x14ac:dyDescent="0.25">
      <c r="A169" t="s">
        <v>366</v>
      </c>
      <c r="B169">
        <v>0</v>
      </c>
      <c r="C169" t="s">
        <v>258</v>
      </c>
      <c r="D169" t="s">
        <v>297</v>
      </c>
      <c r="E169" t="s">
        <v>338</v>
      </c>
      <c r="F169" t="s">
        <v>367</v>
      </c>
      <c r="G169" t="s">
        <v>84</v>
      </c>
      <c r="H169" t="s">
        <v>92</v>
      </c>
      <c r="I169" t="s">
        <v>369</v>
      </c>
      <c r="J169" t="s">
        <v>303</v>
      </c>
      <c r="K169" t="s">
        <v>82</v>
      </c>
      <c r="L169">
        <v>23450</v>
      </c>
      <c r="M169" t="s">
        <v>83</v>
      </c>
      <c r="P169">
        <v>1</v>
      </c>
      <c r="S169">
        <v>1</v>
      </c>
      <c r="U169">
        <v>0</v>
      </c>
      <c r="V169">
        <v>0</v>
      </c>
      <c r="W169">
        <v>27166.666666666668</v>
      </c>
    </row>
    <row r="170" spans="1:23" x14ac:dyDescent="0.25">
      <c r="A170" t="s">
        <v>366</v>
      </c>
      <c r="B170">
        <v>0</v>
      </c>
      <c r="C170" t="s">
        <v>258</v>
      </c>
      <c r="D170" t="s">
        <v>297</v>
      </c>
      <c r="E170" t="s">
        <v>338</v>
      </c>
      <c r="F170" t="s">
        <v>367</v>
      </c>
      <c r="G170" t="s">
        <v>84</v>
      </c>
      <c r="H170" t="s">
        <v>92</v>
      </c>
      <c r="I170" t="s">
        <v>370</v>
      </c>
      <c r="J170" t="s">
        <v>371</v>
      </c>
      <c r="K170" t="s">
        <v>82</v>
      </c>
      <c r="L170">
        <v>30040</v>
      </c>
      <c r="M170" t="s">
        <v>83</v>
      </c>
      <c r="U170">
        <v>0</v>
      </c>
      <c r="V170">
        <v>0</v>
      </c>
      <c r="W170">
        <v>27166.666666666668</v>
      </c>
    </row>
    <row r="171" spans="1:23" x14ac:dyDescent="0.25">
      <c r="A171" t="s">
        <v>366</v>
      </c>
      <c r="B171">
        <v>0</v>
      </c>
      <c r="C171" t="s">
        <v>258</v>
      </c>
      <c r="D171" t="s">
        <v>297</v>
      </c>
      <c r="E171" t="s">
        <v>338</v>
      </c>
      <c r="F171" t="s">
        <v>367</v>
      </c>
      <c r="G171" t="s">
        <v>84</v>
      </c>
      <c r="H171" t="s">
        <v>80</v>
      </c>
      <c r="I171" t="s">
        <v>366</v>
      </c>
      <c r="J171" t="s">
        <v>372</v>
      </c>
      <c r="K171" t="s">
        <v>82</v>
      </c>
      <c r="L171">
        <v>724100.86499999999</v>
      </c>
      <c r="M171" t="s">
        <v>83</v>
      </c>
      <c r="T171">
        <v>1</v>
      </c>
      <c r="U171">
        <v>0</v>
      </c>
      <c r="V171">
        <v>0</v>
      </c>
      <c r="W171">
        <v>836563.7093333333</v>
      </c>
    </row>
    <row r="172" spans="1:23" x14ac:dyDescent="0.25">
      <c r="A172" t="s">
        <v>366</v>
      </c>
      <c r="B172">
        <v>1</v>
      </c>
      <c r="C172" t="s">
        <v>258</v>
      </c>
      <c r="D172" t="s">
        <v>297</v>
      </c>
      <c r="E172" t="s">
        <v>338</v>
      </c>
      <c r="F172" t="s">
        <v>367</v>
      </c>
      <c r="G172" t="s">
        <v>188</v>
      </c>
      <c r="H172" t="s">
        <v>80</v>
      </c>
      <c r="I172" t="s">
        <v>366</v>
      </c>
      <c r="J172" t="s">
        <v>373</v>
      </c>
      <c r="K172" t="s">
        <v>82</v>
      </c>
      <c r="L172">
        <v>879045.36300000001</v>
      </c>
      <c r="M172" t="s">
        <v>83</v>
      </c>
      <c r="N172">
        <v>836563.70929999999</v>
      </c>
      <c r="P172">
        <v>1</v>
      </c>
      <c r="T172">
        <v>1</v>
      </c>
      <c r="U172">
        <v>0</v>
      </c>
      <c r="V172">
        <v>0</v>
      </c>
      <c r="W172">
        <v>836563.7093333333</v>
      </c>
    </row>
    <row r="173" spans="1:23" x14ac:dyDescent="0.25">
      <c r="A173" t="s">
        <v>366</v>
      </c>
      <c r="B173">
        <v>0</v>
      </c>
      <c r="C173" t="s">
        <v>258</v>
      </c>
      <c r="D173" t="s">
        <v>297</v>
      </c>
      <c r="E173" t="s">
        <v>338</v>
      </c>
      <c r="F173" t="s">
        <v>367</v>
      </c>
      <c r="G173" t="s">
        <v>84</v>
      </c>
      <c r="H173" t="s">
        <v>80</v>
      </c>
      <c r="I173" t="s">
        <v>366</v>
      </c>
      <c r="J173" t="s">
        <v>374</v>
      </c>
      <c r="K173" t="s">
        <v>82</v>
      </c>
      <c r="L173">
        <v>906544.9</v>
      </c>
      <c r="M173" t="s">
        <v>83</v>
      </c>
      <c r="U173">
        <v>0</v>
      </c>
      <c r="V173">
        <v>0</v>
      </c>
      <c r="W173">
        <v>836563.7093333333</v>
      </c>
    </row>
    <row r="174" spans="1:23" x14ac:dyDescent="0.25">
      <c r="A174" t="s">
        <v>366</v>
      </c>
      <c r="B174">
        <v>0</v>
      </c>
      <c r="C174" t="s">
        <v>258</v>
      </c>
      <c r="D174" t="s">
        <v>297</v>
      </c>
      <c r="E174" t="s">
        <v>338</v>
      </c>
      <c r="F174" t="s">
        <v>367</v>
      </c>
      <c r="G174" t="s">
        <v>84</v>
      </c>
      <c r="H174" t="s">
        <v>106</v>
      </c>
      <c r="I174" t="s">
        <v>366</v>
      </c>
      <c r="J174" t="s">
        <v>375</v>
      </c>
      <c r="K174" t="s">
        <v>82</v>
      </c>
      <c r="L174">
        <v>11382.987499999999</v>
      </c>
      <c r="M174" t="s">
        <v>83</v>
      </c>
      <c r="T174">
        <v>1</v>
      </c>
      <c r="U174">
        <v>0</v>
      </c>
      <c r="V174">
        <v>0</v>
      </c>
      <c r="W174">
        <v>10274.885833333334</v>
      </c>
    </row>
    <row r="175" spans="1:23" x14ac:dyDescent="0.25">
      <c r="A175" t="s">
        <v>366</v>
      </c>
      <c r="B175">
        <v>1</v>
      </c>
      <c r="C175" t="s">
        <v>258</v>
      </c>
      <c r="D175" t="s">
        <v>297</v>
      </c>
      <c r="E175" t="s">
        <v>338</v>
      </c>
      <c r="F175" t="s">
        <v>367</v>
      </c>
      <c r="G175" t="s">
        <v>188</v>
      </c>
      <c r="H175" t="s">
        <v>106</v>
      </c>
      <c r="I175" t="s">
        <v>366</v>
      </c>
      <c r="J175" t="s">
        <v>376</v>
      </c>
      <c r="K175" t="s">
        <v>82</v>
      </c>
      <c r="L175">
        <v>10303.77</v>
      </c>
      <c r="M175" t="s">
        <v>83</v>
      </c>
      <c r="N175">
        <v>10274.885829999999</v>
      </c>
      <c r="P175">
        <v>1</v>
      </c>
      <c r="T175">
        <v>1</v>
      </c>
      <c r="U175">
        <v>0</v>
      </c>
      <c r="V175">
        <v>0</v>
      </c>
      <c r="W175">
        <v>10274.885833333334</v>
      </c>
    </row>
    <row r="176" spans="1:23" x14ac:dyDescent="0.25">
      <c r="A176" t="s">
        <v>366</v>
      </c>
      <c r="B176">
        <v>0</v>
      </c>
      <c r="C176" t="s">
        <v>258</v>
      </c>
      <c r="D176" t="s">
        <v>297</v>
      </c>
      <c r="E176" t="s">
        <v>338</v>
      </c>
      <c r="F176" t="s">
        <v>367</v>
      </c>
      <c r="G176" t="s">
        <v>84</v>
      </c>
      <c r="H176" t="s">
        <v>106</v>
      </c>
      <c r="I176" t="s">
        <v>366</v>
      </c>
      <c r="J176" t="s">
        <v>377</v>
      </c>
      <c r="K176" t="s">
        <v>82</v>
      </c>
      <c r="L176">
        <v>9137.9</v>
      </c>
      <c r="M176" t="s">
        <v>83</v>
      </c>
      <c r="U176">
        <v>0</v>
      </c>
      <c r="V176">
        <v>0</v>
      </c>
      <c r="W176">
        <v>10274.885833333334</v>
      </c>
    </row>
    <row r="177" spans="1:23" x14ac:dyDescent="0.25">
      <c r="A177" t="s">
        <v>366</v>
      </c>
      <c r="B177">
        <v>0</v>
      </c>
      <c r="C177" t="s">
        <v>258</v>
      </c>
      <c r="D177" t="s">
        <v>297</v>
      </c>
      <c r="E177" t="s">
        <v>338</v>
      </c>
      <c r="F177" t="s">
        <v>367</v>
      </c>
      <c r="G177" t="s">
        <v>84</v>
      </c>
      <c r="H177" t="s">
        <v>110</v>
      </c>
      <c r="I177" t="s">
        <v>366</v>
      </c>
      <c r="J177" t="s">
        <v>378</v>
      </c>
      <c r="K177" t="s">
        <v>82</v>
      </c>
      <c r="L177">
        <v>13696</v>
      </c>
      <c r="M177" t="s">
        <v>83</v>
      </c>
      <c r="T177">
        <v>1</v>
      </c>
      <c r="U177">
        <v>0</v>
      </c>
      <c r="V177">
        <v>0</v>
      </c>
      <c r="W177">
        <v>8960</v>
      </c>
    </row>
    <row r="178" spans="1:23" x14ac:dyDescent="0.25">
      <c r="A178" t="s">
        <v>366</v>
      </c>
      <c r="B178">
        <v>1</v>
      </c>
      <c r="C178" t="s">
        <v>258</v>
      </c>
      <c r="D178" t="s">
        <v>297</v>
      </c>
      <c r="E178" t="s">
        <v>338</v>
      </c>
      <c r="F178" t="s">
        <v>367</v>
      </c>
      <c r="G178" t="s">
        <v>188</v>
      </c>
      <c r="H178" t="s">
        <v>110</v>
      </c>
      <c r="I178" t="s">
        <v>366</v>
      </c>
      <c r="J178" t="s">
        <v>379</v>
      </c>
      <c r="K178" t="s">
        <v>82</v>
      </c>
      <c r="L178">
        <v>6656</v>
      </c>
      <c r="M178" t="s">
        <v>83</v>
      </c>
      <c r="N178">
        <v>8960</v>
      </c>
      <c r="P178">
        <v>1</v>
      </c>
      <c r="T178">
        <v>1</v>
      </c>
      <c r="U178">
        <v>0</v>
      </c>
      <c r="V178">
        <v>0</v>
      </c>
      <c r="W178">
        <v>8960</v>
      </c>
    </row>
    <row r="179" spans="1:23" x14ac:dyDescent="0.25">
      <c r="A179" t="s">
        <v>366</v>
      </c>
      <c r="B179">
        <v>0</v>
      </c>
      <c r="C179" t="s">
        <v>258</v>
      </c>
      <c r="D179" t="s">
        <v>297</v>
      </c>
      <c r="E179" t="s">
        <v>338</v>
      </c>
      <c r="F179" t="s">
        <v>367</v>
      </c>
      <c r="G179" t="s">
        <v>84</v>
      </c>
      <c r="H179" t="s">
        <v>110</v>
      </c>
      <c r="I179" t="s">
        <v>366</v>
      </c>
      <c r="J179" t="s">
        <v>380</v>
      </c>
      <c r="K179" t="s">
        <v>82</v>
      </c>
      <c r="L179">
        <v>6528</v>
      </c>
      <c r="M179" t="s">
        <v>83</v>
      </c>
      <c r="U179">
        <v>0</v>
      </c>
      <c r="V179">
        <v>0</v>
      </c>
      <c r="W179">
        <v>8960</v>
      </c>
    </row>
    <row r="180" spans="1:23" x14ac:dyDescent="0.25">
      <c r="A180" t="s">
        <v>366</v>
      </c>
      <c r="B180">
        <v>0</v>
      </c>
      <c r="C180" t="s">
        <v>258</v>
      </c>
      <c r="D180" t="s">
        <v>297</v>
      </c>
      <c r="E180" t="s">
        <v>338</v>
      </c>
      <c r="F180" t="s">
        <v>367</v>
      </c>
      <c r="G180" t="s">
        <v>84</v>
      </c>
      <c r="H180" t="s">
        <v>87</v>
      </c>
      <c r="I180" t="s">
        <v>366</v>
      </c>
      <c r="J180" t="s">
        <v>381</v>
      </c>
      <c r="K180" t="s">
        <v>82</v>
      </c>
      <c r="L180">
        <v>131904.32500000001</v>
      </c>
      <c r="M180" t="s">
        <v>83</v>
      </c>
      <c r="S180">
        <v>1</v>
      </c>
      <c r="T180">
        <v>1</v>
      </c>
      <c r="U180">
        <v>0</v>
      </c>
      <c r="V180">
        <v>0</v>
      </c>
      <c r="W180">
        <v>108672.35555666668</v>
      </c>
    </row>
    <row r="181" spans="1:23" x14ac:dyDescent="0.25">
      <c r="A181" t="s">
        <v>366</v>
      </c>
      <c r="B181">
        <v>0</v>
      </c>
      <c r="C181" t="s">
        <v>258</v>
      </c>
      <c r="D181" t="s">
        <v>297</v>
      </c>
      <c r="E181" t="s">
        <v>338</v>
      </c>
      <c r="F181" t="s">
        <v>367</v>
      </c>
      <c r="G181" t="s">
        <v>84</v>
      </c>
      <c r="H181" t="s">
        <v>87</v>
      </c>
      <c r="I181" t="s">
        <v>382</v>
      </c>
      <c r="J181" t="s">
        <v>383</v>
      </c>
      <c r="K181" t="s">
        <v>82</v>
      </c>
      <c r="L181">
        <v>85172.616670000003</v>
      </c>
      <c r="M181" t="s">
        <v>83</v>
      </c>
      <c r="U181">
        <v>0</v>
      </c>
      <c r="V181">
        <v>0</v>
      </c>
      <c r="W181">
        <v>108672.35555666668</v>
      </c>
    </row>
    <row r="182" spans="1:23" x14ac:dyDescent="0.25">
      <c r="A182" t="s">
        <v>366</v>
      </c>
      <c r="B182">
        <v>1</v>
      </c>
      <c r="C182" t="s">
        <v>258</v>
      </c>
      <c r="D182" t="s">
        <v>297</v>
      </c>
      <c r="E182" t="s">
        <v>338</v>
      </c>
      <c r="F182" t="s">
        <v>367</v>
      </c>
      <c r="G182" t="s">
        <v>384</v>
      </c>
      <c r="H182" t="s">
        <v>87</v>
      </c>
      <c r="I182" t="s">
        <v>366</v>
      </c>
      <c r="J182" t="s">
        <v>385</v>
      </c>
      <c r="K182" t="s">
        <v>82</v>
      </c>
      <c r="L182">
        <v>108940.125</v>
      </c>
      <c r="M182" t="s">
        <v>83</v>
      </c>
      <c r="N182">
        <v>108672.3556</v>
      </c>
      <c r="U182">
        <v>0</v>
      </c>
      <c r="V182">
        <v>0</v>
      </c>
      <c r="W182">
        <v>108672.35555666668</v>
      </c>
    </row>
    <row r="183" spans="1:23" x14ac:dyDescent="0.25">
      <c r="A183" t="s">
        <v>366</v>
      </c>
      <c r="B183">
        <v>0</v>
      </c>
      <c r="C183" t="s">
        <v>258</v>
      </c>
      <c r="D183" t="s">
        <v>297</v>
      </c>
      <c r="E183" t="s">
        <v>338</v>
      </c>
      <c r="F183" t="s">
        <v>367</v>
      </c>
      <c r="G183" t="s">
        <v>84</v>
      </c>
      <c r="H183" t="s">
        <v>98</v>
      </c>
      <c r="I183" t="s">
        <v>386</v>
      </c>
      <c r="J183" t="s">
        <v>387</v>
      </c>
      <c r="K183" t="s">
        <v>82</v>
      </c>
      <c r="L183">
        <v>19100</v>
      </c>
      <c r="M183" t="s">
        <v>83</v>
      </c>
      <c r="U183">
        <v>0</v>
      </c>
      <c r="V183">
        <v>0</v>
      </c>
      <c r="W183">
        <v>24616.666666666668</v>
      </c>
    </row>
    <row r="184" spans="1:23" x14ac:dyDescent="0.25">
      <c r="A184" t="s">
        <v>366</v>
      </c>
      <c r="B184">
        <v>0</v>
      </c>
      <c r="C184" t="s">
        <v>258</v>
      </c>
      <c r="D184" t="s">
        <v>297</v>
      </c>
      <c r="E184" t="s">
        <v>338</v>
      </c>
      <c r="F184" t="s">
        <v>367</v>
      </c>
      <c r="G184" t="s">
        <v>84</v>
      </c>
      <c r="H184" t="s">
        <v>98</v>
      </c>
      <c r="I184" t="s">
        <v>388</v>
      </c>
      <c r="J184" t="s">
        <v>389</v>
      </c>
      <c r="K184" t="s">
        <v>82</v>
      </c>
      <c r="L184">
        <v>24250</v>
      </c>
      <c r="M184" t="s">
        <v>83</v>
      </c>
      <c r="R184">
        <v>1</v>
      </c>
      <c r="T184">
        <v>1</v>
      </c>
      <c r="U184">
        <v>0</v>
      </c>
      <c r="V184">
        <v>0</v>
      </c>
      <c r="W184">
        <v>24616.666666666668</v>
      </c>
    </row>
    <row r="185" spans="1:23" x14ac:dyDescent="0.25">
      <c r="A185" t="s">
        <v>366</v>
      </c>
      <c r="B185">
        <v>1</v>
      </c>
      <c r="C185" t="s">
        <v>258</v>
      </c>
      <c r="D185" t="s">
        <v>297</v>
      </c>
      <c r="E185" t="s">
        <v>260</v>
      </c>
      <c r="F185" t="s">
        <v>367</v>
      </c>
      <c r="G185" t="s">
        <v>203</v>
      </c>
      <c r="H185" t="s">
        <v>98</v>
      </c>
      <c r="I185" t="s">
        <v>390</v>
      </c>
      <c r="J185" t="s">
        <v>391</v>
      </c>
      <c r="K185" t="s">
        <v>82</v>
      </c>
      <c r="L185">
        <v>30500</v>
      </c>
      <c r="M185" t="s">
        <v>83</v>
      </c>
      <c r="N185">
        <v>24616.666669999999</v>
      </c>
      <c r="R185">
        <v>1</v>
      </c>
      <c r="U185">
        <v>0</v>
      </c>
      <c r="V185">
        <v>0</v>
      </c>
      <c r="W185">
        <v>24616.666666666668</v>
      </c>
    </row>
    <row r="186" spans="1:23" x14ac:dyDescent="0.25">
      <c r="A186" t="s">
        <v>366</v>
      </c>
      <c r="B186">
        <v>0</v>
      </c>
      <c r="C186" t="s">
        <v>258</v>
      </c>
      <c r="D186" t="s">
        <v>297</v>
      </c>
      <c r="E186" t="s">
        <v>260</v>
      </c>
      <c r="F186" t="s">
        <v>367</v>
      </c>
      <c r="G186" t="s">
        <v>84</v>
      </c>
      <c r="H186" t="s">
        <v>125</v>
      </c>
      <c r="I186" t="s">
        <v>392</v>
      </c>
      <c r="J186" t="s">
        <v>393</v>
      </c>
      <c r="K186" t="s">
        <v>82</v>
      </c>
      <c r="L186">
        <v>52050</v>
      </c>
      <c r="M186" t="s">
        <v>83</v>
      </c>
      <c r="T186">
        <v>1</v>
      </c>
      <c r="U186">
        <v>0</v>
      </c>
      <c r="V186">
        <v>0</v>
      </c>
      <c r="W186">
        <v>45025</v>
      </c>
    </row>
    <row r="187" spans="1:23" x14ac:dyDescent="0.25">
      <c r="A187" t="s">
        <v>366</v>
      </c>
      <c r="B187">
        <v>1</v>
      </c>
      <c r="C187" t="s">
        <v>258</v>
      </c>
      <c r="D187" t="s">
        <v>297</v>
      </c>
      <c r="E187" t="s">
        <v>260</v>
      </c>
      <c r="F187" t="s">
        <v>367</v>
      </c>
      <c r="G187" t="s">
        <v>394</v>
      </c>
      <c r="H187" t="s">
        <v>125</v>
      </c>
      <c r="I187" t="s">
        <v>395</v>
      </c>
      <c r="J187" t="s">
        <v>396</v>
      </c>
      <c r="K187" t="s">
        <v>82</v>
      </c>
      <c r="L187">
        <v>38000</v>
      </c>
      <c r="M187" t="s">
        <v>83</v>
      </c>
      <c r="N187">
        <v>45025</v>
      </c>
      <c r="U187">
        <v>0</v>
      </c>
      <c r="V187">
        <v>0</v>
      </c>
      <c r="W187">
        <v>45025</v>
      </c>
    </row>
    <row r="188" spans="1:23" x14ac:dyDescent="0.25">
      <c r="A188" t="s">
        <v>366</v>
      </c>
      <c r="B188">
        <v>0</v>
      </c>
      <c r="C188" t="s">
        <v>258</v>
      </c>
      <c r="D188" t="s">
        <v>297</v>
      </c>
      <c r="E188" t="s">
        <v>260</v>
      </c>
      <c r="F188" t="s">
        <v>367</v>
      </c>
      <c r="G188" t="s">
        <v>84</v>
      </c>
      <c r="H188" t="s">
        <v>185</v>
      </c>
      <c r="I188" t="s">
        <v>366</v>
      </c>
      <c r="J188" t="s">
        <v>397</v>
      </c>
      <c r="K188" t="s">
        <v>82</v>
      </c>
      <c r="L188">
        <v>19693.75</v>
      </c>
      <c r="M188" t="s">
        <v>83</v>
      </c>
      <c r="T188">
        <v>1</v>
      </c>
      <c r="U188">
        <v>0</v>
      </c>
      <c r="V188">
        <v>0</v>
      </c>
      <c r="W188">
        <v>15807.516666666666</v>
      </c>
    </row>
    <row r="189" spans="1:23" x14ac:dyDescent="0.25">
      <c r="A189" t="s">
        <v>366</v>
      </c>
      <c r="B189">
        <v>1</v>
      </c>
      <c r="C189" t="s">
        <v>258</v>
      </c>
      <c r="D189" t="s">
        <v>297</v>
      </c>
      <c r="E189" t="s">
        <v>260</v>
      </c>
      <c r="F189" t="s">
        <v>367</v>
      </c>
      <c r="G189" t="s">
        <v>188</v>
      </c>
      <c r="H189" t="s">
        <v>185</v>
      </c>
      <c r="I189" t="s">
        <v>366</v>
      </c>
      <c r="J189" t="s">
        <v>398</v>
      </c>
      <c r="K189" t="s">
        <v>82</v>
      </c>
      <c r="L189">
        <v>13155.424999999999</v>
      </c>
      <c r="M189" t="s">
        <v>83</v>
      </c>
      <c r="N189">
        <v>15807.516670000001</v>
      </c>
      <c r="P189">
        <v>1</v>
      </c>
      <c r="T189">
        <v>1</v>
      </c>
      <c r="U189">
        <v>0</v>
      </c>
      <c r="V189">
        <v>0</v>
      </c>
      <c r="W189">
        <v>15807.516666666666</v>
      </c>
    </row>
    <row r="190" spans="1:23" x14ac:dyDescent="0.25">
      <c r="A190" t="s">
        <v>366</v>
      </c>
      <c r="B190">
        <v>0</v>
      </c>
      <c r="C190" t="s">
        <v>258</v>
      </c>
      <c r="D190" t="s">
        <v>297</v>
      </c>
      <c r="E190" t="s">
        <v>260</v>
      </c>
      <c r="F190" t="s">
        <v>367</v>
      </c>
      <c r="G190" t="s">
        <v>84</v>
      </c>
      <c r="H190" t="s">
        <v>185</v>
      </c>
      <c r="I190" t="s">
        <v>366</v>
      </c>
      <c r="J190" t="s">
        <v>399</v>
      </c>
      <c r="K190" t="s">
        <v>82</v>
      </c>
      <c r="L190">
        <v>14573.375</v>
      </c>
      <c r="M190" t="s">
        <v>83</v>
      </c>
      <c r="U190">
        <v>0</v>
      </c>
      <c r="V190">
        <v>0</v>
      </c>
      <c r="W190">
        <v>15807.516666666666</v>
      </c>
    </row>
    <row r="191" spans="1:23" x14ac:dyDescent="0.25">
      <c r="A191" t="s">
        <v>400</v>
      </c>
      <c r="B191">
        <v>0</v>
      </c>
      <c r="C191" t="s">
        <v>258</v>
      </c>
      <c r="D191" t="s">
        <v>297</v>
      </c>
      <c r="E191" t="s">
        <v>260</v>
      </c>
      <c r="F191" t="s">
        <v>367</v>
      </c>
      <c r="G191" t="s">
        <v>84</v>
      </c>
      <c r="H191" t="s">
        <v>92</v>
      </c>
      <c r="I191" t="s">
        <v>221</v>
      </c>
      <c r="J191" t="s">
        <v>401</v>
      </c>
      <c r="K191" t="s">
        <v>82</v>
      </c>
      <c r="L191">
        <v>68240</v>
      </c>
      <c r="M191" t="s">
        <v>83</v>
      </c>
      <c r="U191">
        <v>0</v>
      </c>
      <c r="V191">
        <v>0</v>
      </c>
      <c r="W191">
        <v>42320</v>
      </c>
    </row>
    <row r="192" spans="1:23" x14ac:dyDescent="0.25">
      <c r="A192" t="s">
        <v>400</v>
      </c>
      <c r="B192">
        <v>1</v>
      </c>
      <c r="C192" t="s">
        <v>258</v>
      </c>
      <c r="D192" t="s">
        <v>297</v>
      </c>
      <c r="E192" t="s">
        <v>260</v>
      </c>
      <c r="F192" t="s">
        <v>367</v>
      </c>
      <c r="G192" t="s">
        <v>94</v>
      </c>
      <c r="H192" t="s">
        <v>92</v>
      </c>
      <c r="I192" t="s">
        <v>402</v>
      </c>
      <c r="J192" t="s">
        <v>343</v>
      </c>
      <c r="K192" t="s">
        <v>82</v>
      </c>
      <c r="L192">
        <v>28520</v>
      </c>
      <c r="M192" t="s">
        <v>83</v>
      </c>
      <c r="N192">
        <v>42320</v>
      </c>
      <c r="U192">
        <v>0</v>
      </c>
      <c r="V192">
        <v>0</v>
      </c>
      <c r="W192">
        <v>42320</v>
      </c>
    </row>
    <row r="193" spans="1:23" x14ac:dyDescent="0.25">
      <c r="A193" t="s">
        <v>400</v>
      </c>
      <c r="B193">
        <v>0</v>
      </c>
      <c r="C193" t="s">
        <v>258</v>
      </c>
      <c r="D193" t="s">
        <v>297</v>
      </c>
      <c r="E193" t="s">
        <v>260</v>
      </c>
      <c r="F193" t="s">
        <v>367</v>
      </c>
      <c r="G193" t="s">
        <v>84</v>
      </c>
      <c r="H193" t="s">
        <v>92</v>
      </c>
      <c r="I193" t="s">
        <v>403</v>
      </c>
      <c r="J193" t="s">
        <v>404</v>
      </c>
      <c r="K193" t="s">
        <v>82</v>
      </c>
      <c r="L193">
        <v>30200</v>
      </c>
      <c r="M193" t="s">
        <v>83</v>
      </c>
      <c r="U193">
        <v>0</v>
      </c>
      <c r="V193">
        <v>0</v>
      </c>
      <c r="W193">
        <v>42320</v>
      </c>
    </row>
    <row r="194" spans="1:23" x14ac:dyDescent="0.25">
      <c r="A194" t="s">
        <v>400</v>
      </c>
      <c r="B194">
        <v>0</v>
      </c>
      <c r="C194" t="s">
        <v>258</v>
      </c>
      <c r="D194" t="s">
        <v>297</v>
      </c>
      <c r="E194" t="s">
        <v>260</v>
      </c>
      <c r="F194" t="s">
        <v>367</v>
      </c>
      <c r="G194" t="s">
        <v>84</v>
      </c>
      <c r="H194" t="s">
        <v>80</v>
      </c>
      <c r="I194" t="s">
        <v>400</v>
      </c>
      <c r="J194" t="s">
        <v>405</v>
      </c>
      <c r="K194" t="s">
        <v>82</v>
      </c>
      <c r="L194">
        <v>828919.11840000004</v>
      </c>
      <c r="M194" t="s">
        <v>83</v>
      </c>
      <c r="U194">
        <v>0</v>
      </c>
      <c r="V194">
        <v>0</v>
      </c>
      <c r="W194">
        <v>786422.47120000003</v>
      </c>
    </row>
    <row r="195" spans="1:23" x14ac:dyDescent="0.25">
      <c r="A195" t="s">
        <v>400</v>
      </c>
      <c r="B195">
        <v>1</v>
      </c>
      <c r="C195" t="s">
        <v>258</v>
      </c>
      <c r="D195" t="s">
        <v>297</v>
      </c>
      <c r="E195" t="s">
        <v>260</v>
      </c>
      <c r="F195" t="s">
        <v>367</v>
      </c>
      <c r="G195" t="s">
        <v>326</v>
      </c>
      <c r="H195" t="s">
        <v>80</v>
      </c>
      <c r="I195" t="s">
        <v>406</v>
      </c>
      <c r="J195" t="s">
        <v>407</v>
      </c>
      <c r="K195" t="s">
        <v>82</v>
      </c>
      <c r="L195">
        <v>743925.82400000002</v>
      </c>
      <c r="M195" t="s">
        <v>83</v>
      </c>
      <c r="N195">
        <v>786422.47120000003</v>
      </c>
      <c r="T195">
        <v>1</v>
      </c>
      <c r="U195">
        <v>0</v>
      </c>
      <c r="V195">
        <v>0</v>
      </c>
      <c r="W195">
        <v>786422.47120000003</v>
      </c>
    </row>
    <row r="196" spans="1:23" x14ac:dyDescent="0.25">
      <c r="A196" t="s">
        <v>400</v>
      </c>
      <c r="B196">
        <v>0</v>
      </c>
      <c r="C196" t="s">
        <v>258</v>
      </c>
      <c r="D196" t="s">
        <v>297</v>
      </c>
      <c r="E196" t="s">
        <v>260</v>
      </c>
      <c r="F196" t="s">
        <v>367</v>
      </c>
      <c r="G196" t="s">
        <v>84</v>
      </c>
      <c r="H196" t="s">
        <v>106</v>
      </c>
      <c r="I196" t="s">
        <v>400</v>
      </c>
      <c r="J196" t="s">
        <v>408</v>
      </c>
      <c r="K196" t="s">
        <v>82</v>
      </c>
      <c r="L196">
        <v>12273.145</v>
      </c>
      <c r="M196" t="s">
        <v>83</v>
      </c>
      <c r="U196">
        <v>0</v>
      </c>
      <c r="V196">
        <v>0</v>
      </c>
      <c r="W196">
        <v>8015.3562500000007</v>
      </c>
    </row>
    <row r="197" spans="1:23" x14ac:dyDescent="0.25">
      <c r="A197" t="s">
        <v>400</v>
      </c>
      <c r="B197">
        <v>1</v>
      </c>
      <c r="C197" t="s">
        <v>258</v>
      </c>
      <c r="D197" t="s">
        <v>297</v>
      </c>
      <c r="E197" t="s">
        <v>260</v>
      </c>
      <c r="F197" t="s">
        <v>367</v>
      </c>
      <c r="G197" t="s">
        <v>326</v>
      </c>
      <c r="H197" t="s">
        <v>106</v>
      </c>
      <c r="I197" t="s">
        <v>406</v>
      </c>
      <c r="J197" t="s">
        <v>409</v>
      </c>
      <c r="K197" t="s">
        <v>82</v>
      </c>
      <c r="L197">
        <v>3757.5675000000001</v>
      </c>
      <c r="M197" t="s">
        <v>83</v>
      </c>
      <c r="N197">
        <v>8015.3562499999998</v>
      </c>
      <c r="T197">
        <v>1</v>
      </c>
      <c r="U197">
        <v>0</v>
      </c>
      <c r="V197">
        <v>0</v>
      </c>
      <c r="W197">
        <v>8015.3562500000007</v>
      </c>
    </row>
    <row r="198" spans="1:23" x14ac:dyDescent="0.25">
      <c r="A198" t="s">
        <v>400</v>
      </c>
      <c r="B198">
        <v>0</v>
      </c>
      <c r="C198" t="s">
        <v>258</v>
      </c>
      <c r="D198" t="s">
        <v>297</v>
      </c>
      <c r="E198" t="s">
        <v>260</v>
      </c>
      <c r="F198" t="s">
        <v>367</v>
      </c>
      <c r="G198" t="s">
        <v>84</v>
      </c>
      <c r="H198" t="s">
        <v>110</v>
      </c>
      <c r="I198" t="s">
        <v>400</v>
      </c>
      <c r="J198" t="s">
        <v>410</v>
      </c>
      <c r="K198" t="s">
        <v>82</v>
      </c>
      <c r="L198">
        <v>17766</v>
      </c>
      <c r="M198" t="s">
        <v>83</v>
      </c>
      <c r="U198">
        <v>0</v>
      </c>
      <c r="V198">
        <v>0</v>
      </c>
      <c r="W198">
        <v>15561</v>
      </c>
    </row>
    <row r="199" spans="1:23" x14ac:dyDescent="0.25">
      <c r="A199" t="s">
        <v>400</v>
      </c>
      <c r="B199">
        <v>1</v>
      </c>
      <c r="C199" t="s">
        <v>258</v>
      </c>
      <c r="D199" t="s">
        <v>297</v>
      </c>
      <c r="E199" t="s">
        <v>260</v>
      </c>
      <c r="F199" t="s">
        <v>367</v>
      </c>
      <c r="G199" t="s">
        <v>326</v>
      </c>
      <c r="H199" t="s">
        <v>110</v>
      </c>
      <c r="I199" t="s">
        <v>406</v>
      </c>
      <c r="J199" t="s">
        <v>411</v>
      </c>
      <c r="K199" t="s">
        <v>82</v>
      </c>
      <c r="L199">
        <v>13356</v>
      </c>
      <c r="M199" t="s">
        <v>83</v>
      </c>
      <c r="N199">
        <v>15561</v>
      </c>
      <c r="T199">
        <v>1</v>
      </c>
      <c r="U199">
        <v>0</v>
      </c>
      <c r="V199">
        <v>0</v>
      </c>
      <c r="W199">
        <v>15561</v>
      </c>
    </row>
    <row r="200" spans="1:23" x14ac:dyDescent="0.25">
      <c r="A200" t="s">
        <v>400</v>
      </c>
      <c r="B200">
        <v>0</v>
      </c>
      <c r="C200" t="s">
        <v>258</v>
      </c>
      <c r="D200" t="s">
        <v>297</v>
      </c>
      <c r="E200" t="s">
        <v>260</v>
      </c>
      <c r="F200" t="s">
        <v>367</v>
      </c>
      <c r="G200" t="s">
        <v>84</v>
      </c>
      <c r="H200" t="s">
        <v>87</v>
      </c>
      <c r="I200" t="s">
        <v>400</v>
      </c>
      <c r="J200" t="s">
        <v>412</v>
      </c>
      <c r="K200" t="s">
        <v>82</v>
      </c>
      <c r="L200">
        <v>111646.15</v>
      </c>
      <c r="M200" t="s">
        <v>83</v>
      </c>
      <c r="U200">
        <v>0</v>
      </c>
      <c r="V200">
        <v>0</v>
      </c>
      <c r="W200">
        <v>131253.17914999998</v>
      </c>
    </row>
    <row r="201" spans="1:23" x14ac:dyDescent="0.25">
      <c r="A201" t="s">
        <v>400</v>
      </c>
      <c r="B201">
        <v>1</v>
      </c>
      <c r="C201" t="s">
        <v>258</v>
      </c>
      <c r="D201" t="s">
        <v>297</v>
      </c>
      <c r="E201" t="s">
        <v>260</v>
      </c>
      <c r="F201" t="s">
        <v>367</v>
      </c>
      <c r="G201" t="s">
        <v>413</v>
      </c>
      <c r="H201" t="s">
        <v>87</v>
      </c>
      <c r="I201" t="s">
        <v>414</v>
      </c>
      <c r="J201" t="s">
        <v>415</v>
      </c>
      <c r="K201" t="s">
        <v>82</v>
      </c>
      <c r="L201">
        <v>150860.2083</v>
      </c>
      <c r="M201" t="s">
        <v>83</v>
      </c>
      <c r="N201">
        <v>131253.17920000001</v>
      </c>
      <c r="U201">
        <v>0</v>
      </c>
      <c r="V201">
        <v>0</v>
      </c>
      <c r="W201">
        <v>131253.17914999998</v>
      </c>
    </row>
    <row r="202" spans="1:23" x14ac:dyDescent="0.25">
      <c r="A202" t="s">
        <v>400</v>
      </c>
      <c r="B202">
        <v>0</v>
      </c>
      <c r="C202" t="s">
        <v>258</v>
      </c>
      <c r="D202" t="s">
        <v>297</v>
      </c>
      <c r="E202" t="s">
        <v>260</v>
      </c>
      <c r="F202" t="s">
        <v>367</v>
      </c>
      <c r="G202" t="s">
        <v>84</v>
      </c>
      <c r="H202" t="s">
        <v>98</v>
      </c>
      <c r="I202" t="s">
        <v>416</v>
      </c>
      <c r="J202" t="s">
        <v>417</v>
      </c>
      <c r="K202" t="s">
        <v>82</v>
      </c>
      <c r="L202">
        <v>37350</v>
      </c>
      <c r="M202" t="s">
        <v>83</v>
      </c>
      <c r="R202">
        <v>1</v>
      </c>
      <c r="U202">
        <v>0</v>
      </c>
      <c r="V202">
        <v>0</v>
      </c>
      <c r="W202">
        <v>36783.333333333336</v>
      </c>
    </row>
    <row r="203" spans="1:23" x14ac:dyDescent="0.25">
      <c r="A203" t="s">
        <v>400</v>
      </c>
      <c r="B203">
        <v>1</v>
      </c>
      <c r="C203" t="s">
        <v>258</v>
      </c>
      <c r="D203" t="s">
        <v>297</v>
      </c>
      <c r="E203" t="s">
        <v>260</v>
      </c>
      <c r="F203" t="s">
        <v>367</v>
      </c>
      <c r="G203" t="s">
        <v>238</v>
      </c>
      <c r="H203" t="s">
        <v>98</v>
      </c>
      <c r="I203" t="s">
        <v>418</v>
      </c>
      <c r="J203" t="s">
        <v>419</v>
      </c>
      <c r="K203" t="s">
        <v>82</v>
      </c>
      <c r="L203">
        <v>47650</v>
      </c>
      <c r="M203" t="s">
        <v>83</v>
      </c>
      <c r="N203">
        <v>36783.333330000001</v>
      </c>
      <c r="Q203">
        <v>1</v>
      </c>
      <c r="R203">
        <v>1</v>
      </c>
      <c r="U203">
        <v>0</v>
      </c>
      <c r="V203">
        <v>0</v>
      </c>
      <c r="W203">
        <v>36783.333333333336</v>
      </c>
    </row>
    <row r="204" spans="1:23" x14ac:dyDescent="0.25">
      <c r="A204" t="s">
        <v>400</v>
      </c>
      <c r="B204">
        <v>0</v>
      </c>
      <c r="C204" t="s">
        <v>258</v>
      </c>
      <c r="D204" t="s">
        <v>297</v>
      </c>
      <c r="E204" t="s">
        <v>260</v>
      </c>
      <c r="F204" t="s">
        <v>367</v>
      </c>
      <c r="G204" t="s">
        <v>84</v>
      </c>
      <c r="H204" t="s">
        <v>98</v>
      </c>
      <c r="I204" t="s">
        <v>420</v>
      </c>
      <c r="J204" t="s">
        <v>421</v>
      </c>
      <c r="K204" t="s">
        <v>82</v>
      </c>
      <c r="L204">
        <v>25350</v>
      </c>
      <c r="M204" t="s">
        <v>83</v>
      </c>
      <c r="Q204">
        <v>1</v>
      </c>
      <c r="S204">
        <v>1</v>
      </c>
      <c r="U204">
        <v>0</v>
      </c>
      <c r="V204">
        <v>0</v>
      </c>
      <c r="W204">
        <v>36783.333333333336</v>
      </c>
    </row>
    <row r="205" spans="1:23" x14ac:dyDescent="0.25">
      <c r="A205" t="s">
        <v>422</v>
      </c>
      <c r="B205">
        <v>0</v>
      </c>
      <c r="C205" t="s">
        <v>258</v>
      </c>
      <c r="D205" t="s">
        <v>423</v>
      </c>
      <c r="E205" t="s">
        <v>260</v>
      </c>
      <c r="F205" t="s">
        <v>261</v>
      </c>
      <c r="G205" t="s">
        <v>84</v>
      </c>
      <c r="H205" t="s">
        <v>92</v>
      </c>
      <c r="I205" t="s">
        <v>424</v>
      </c>
      <c r="J205" t="s">
        <v>425</v>
      </c>
      <c r="K205" t="s">
        <v>82</v>
      </c>
      <c r="L205">
        <v>25640</v>
      </c>
      <c r="M205" t="s">
        <v>83</v>
      </c>
      <c r="P205">
        <v>1</v>
      </c>
      <c r="Q205">
        <v>1</v>
      </c>
      <c r="T205">
        <v>1</v>
      </c>
      <c r="U205">
        <v>0</v>
      </c>
      <c r="V205">
        <v>0</v>
      </c>
      <c r="W205">
        <v>26493.333333333332</v>
      </c>
    </row>
    <row r="206" spans="1:23" x14ac:dyDescent="0.25">
      <c r="A206" t="s">
        <v>422</v>
      </c>
      <c r="B206">
        <v>0</v>
      </c>
      <c r="C206" t="s">
        <v>258</v>
      </c>
      <c r="D206" t="s">
        <v>423</v>
      </c>
      <c r="E206" t="s">
        <v>260</v>
      </c>
      <c r="F206" t="s">
        <v>261</v>
      </c>
      <c r="G206" t="s">
        <v>84</v>
      </c>
      <c r="H206" t="s">
        <v>92</v>
      </c>
      <c r="I206" t="s">
        <v>426</v>
      </c>
      <c r="J206" t="s">
        <v>303</v>
      </c>
      <c r="K206" t="s">
        <v>82</v>
      </c>
      <c r="L206">
        <v>31420</v>
      </c>
      <c r="M206" t="s">
        <v>83</v>
      </c>
      <c r="U206">
        <v>0</v>
      </c>
      <c r="V206">
        <v>0</v>
      </c>
      <c r="W206">
        <v>26493.333333333332</v>
      </c>
    </row>
    <row r="207" spans="1:23" x14ac:dyDescent="0.25">
      <c r="A207" t="s">
        <v>422</v>
      </c>
      <c r="B207">
        <v>1</v>
      </c>
      <c r="C207" t="s">
        <v>258</v>
      </c>
      <c r="D207" t="s">
        <v>423</v>
      </c>
      <c r="E207" t="s">
        <v>260</v>
      </c>
      <c r="F207" t="s">
        <v>261</v>
      </c>
      <c r="G207" t="s">
        <v>94</v>
      </c>
      <c r="H207" t="s">
        <v>92</v>
      </c>
      <c r="I207" t="s">
        <v>427</v>
      </c>
      <c r="J207" t="s">
        <v>343</v>
      </c>
      <c r="K207" t="s">
        <v>82</v>
      </c>
      <c r="L207">
        <v>22420</v>
      </c>
      <c r="M207" t="s">
        <v>83</v>
      </c>
      <c r="N207">
        <v>26493.333330000001</v>
      </c>
      <c r="U207">
        <v>0</v>
      </c>
      <c r="V207">
        <v>0</v>
      </c>
      <c r="W207">
        <v>26493.333333333332</v>
      </c>
    </row>
    <row r="208" spans="1:23" x14ac:dyDescent="0.25">
      <c r="A208" t="s">
        <v>422</v>
      </c>
      <c r="B208">
        <v>0</v>
      </c>
      <c r="C208" t="s">
        <v>258</v>
      </c>
      <c r="D208" t="s">
        <v>423</v>
      </c>
      <c r="E208" t="s">
        <v>260</v>
      </c>
      <c r="F208" t="s">
        <v>261</v>
      </c>
      <c r="G208" t="s">
        <v>84</v>
      </c>
      <c r="H208" t="s">
        <v>125</v>
      </c>
      <c r="I208" t="s">
        <v>428</v>
      </c>
      <c r="J208" t="s">
        <v>429</v>
      </c>
      <c r="K208" t="s">
        <v>82</v>
      </c>
      <c r="L208">
        <v>41950</v>
      </c>
      <c r="M208" t="s">
        <v>83</v>
      </c>
      <c r="U208">
        <v>0</v>
      </c>
      <c r="V208">
        <v>0</v>
      </c>
      <c r="W208">
        <v>33925</v>
      </c>
    </row>
    <row r="209" spans="1:23" x14ac:dyDescent="0.25">
      <c r="A209" t="s">
        <v>422</v>
      </c>
      <c r="B209">
        <v>1</v>
      </c>
      <c r="C209" t="s">
        <v>258</v>
      </c>
      <c r="D209" t="s">
        <v>423</v>
      </c>
      <c r="E209" t="s">
        <v>260</v>
      </c>
      <c r="F209" t="s">
        <v>261</v>
      </c>
      <c r="G209" t="s">
        <v>140</v>
      </c>
      <c r="H209" t="s">
        <v>125</v>
      </c>
      <c r="I209" t="s">
        <v>430</v>
      </c>
      <c r="J209" t="s">
        <v>431</v>
      </c>
      <c r="K209" t="s">
        <v>82</v>
      </c>
      <c r="L209">
        <v>25900</v>
      </c>
      <c r="M209" t="s">
        <v>83</v>
      </c>
      <c r="N209">
        <v>33925</v>
      </c>
      <c r="T209">
        <v>1</v>
      </c>
      <c r="U209">
        <v>0</v>
      </c>
      <c r="V209">
        <v>0</v>
      </c>
      <c r="W209">
        <v>33925</v>
      </c>
    </row>
    <row r="210" spans="1:23" x14ac:dyDescent="0.25">
      <c r="A210" t="s">
        <v>422</v>
      </c>
      <c r="B210">
        <v>0</v>
      </c>
      <c r="C210" t="s">
        <v>258</v>
      </c>
      <c r="D210" t="s">
        <v>423</v>
      </c>
      <c r="E210" t="s">
        <v>260</v>
      </c>
      <c r="F210" t="s">
        <v>261</v>
      </c>
      <c r="G210" t="s">
        <v>84</v>
      </c>
      <c r="H210" t="s">
        <v>121</v>
      </c>
      <c r="I210" t="s">
        <v>432</v>
      </c>
      <c r="J210" t="s">
        <v>433</v>
      </c>
      <c r="K210" t="s">
        <v>82</v>
      </c>
      <c r="L210">
        <v>175300.40669999999</v>
      </c>
      <c r="M210" t="s">
        <v>83</v>
      </c>
      <c r="U210">
        <v>0</v>
      </c>
      <c r="V210">
        <v>0</v>
      </c>
      <c r="W210">
        <v>169276.77456666666</v>
      </c>
    </row>
    <row r="211" spans="1:23" x14ac:dyDescent="0.25">
      <c r="A211" t="s">
        <v>422</v>
      </c>
      <c r="B211">
        <v>0</v>
      </c>
      <c r="C211" t="s">
        <v>258</v>
      </c>
      <c r="D211" t="s">
        <v>423</v>
      </c>
      <c r="E211" t="s">
        <v>260</v>
      </c>
      <c r="F211" t="s">
        <v>261</v>
      </c>
      <c r="G211" t="s">
        <v>84</v>
      </c>
      <c r="H211" t="s">
        <v>121</v>
      </c>
      <c r="I211" t="s">
        <v>434</v>
      </c>
      <c r="J211" t="s">
        <v>435</v>
      </c>
      <c r="K211" t="s">
        <v>82</v>
      </c>
      <c r="L211">
        <v>147033.4357</v>
      </c>
      <c r="M211" t="s">
        <v>83</v>
      </c>
      <c r="U211">
        <v>0</v>
      </c>
      <c r="V211">
        <v>0</v>
      </c>
      <c r="W211">
        <v>169276.77456666666</v>
      </c>
    </row>
    <row r="212" spans="1:23" x14ac:dyDescent="0.25">
      <c r="A212" t="s">
        <v>422</v>
      </c>
      <c r="B212">
        <v>1</v>
      </c>
      <c r="C212" t="s">
        <v>258</v>
      </c>
      <c r="D212" t="s">
        <v>423</v>
      </c>
      <c r="E212" t="s">
        <v>260</v>
      </c>
      <c r="F212" t="s">
        <v>261</v>
      </c>
      <c r="G212" t="s">
        <v>436</v>
      </c>
      <c r="H212" t="s">
        <v>121</v>
      </c>
      <c r="I212" t="s">
        <v>437</v>
      </c>
      <c r="J212" t="s">
        <v>438</v>
      </c>
      <c r="K212" t="s">
        <v>82</v>
      </c>
      <c r="L212">
        <v>185496.48130000001</v>
      </c>
      <c r="M212" t="s">
        <v>83</v>
      </c>
      <c r="N212">
        <v>169276.7746</v>
      </c>
      <c r="P212">
        <v>1</v>
      </c>
      <c r="U212">
        <v>0</v>
      </c>
      <c r="V212">
        <v>0</v>
      </c>
      <c r="W212">
        <v>169276.77456666666</v>
      </c>
    </row>
    <row r="213" spans="1:23" x14ac:dyDescent="0.25">
      <c r="A213" t="s">
        <v>422</v>
      </c>
      <c r="B213">
        <v>0</v>
      </c>
      <c r="C213" t="s">
        <v>258</v>
      </c>
      <c r="D213" t="s">
        <v>423</v>
      </c>
      <c r="E213" t="s">
        <v>260</v>
      </c>
      <c r="F213" t="s">
        <v>261</v>
      </c>
      <c r="G213" t="s">
        <v>84</v>
      </c>
      <c r="H213" t="s">
        <v>151</v>
      </c>
      <c r="I213" t="s">
        <v>439</v>
      </c>
      <c r="J213" t="s">
        <v>440</v>
      </c>
      <c r="K213" t="s">
        <v>82</v>
      </c>
      <c r="L213">
        <v>131202.5</v>
      </c>
      <c r="M213" t="s">
        <v>83</v>
      </c>
      <c r="U213">
        <v>0</v>
      </c>
      <c r="V213">
        <v>0</v>
      </c>
      <c r="W213">
        <v>116983.75</v>
      </c>
    </row>
    <row r="214" spans="1:23" x14ac:dyDescent="0.25">
      <c r="A214" t="s">
        <v>422</v>
      </c>
      <c r="B214">
        <v>1</v>
      </c>
      <c r="C214" t="s">
        <v>258</v>
      </c>
      <c r="D214" t="s">
        <v>423</v>
      </c>
      <c r="E214" t="s">
        <v>260</v>
      </c>
      <c r="F214" t="s">
        <v>261</v>
      </c>
      <c r="G214" t="s">
        <v>441</v>
      </c>
      <c r="H214" t="s">
        <v>151</v>
      </c>
      <c r="I214" t="s">
        <v>422</v>
      </c>
      <c r="J214" t="s">
        <v>442</v>
      </c>
      <c r="K214" t="s">
        <v>82</v>
      </c>
      <c r="L214">
        <v>102765</v>
      </c>
      <c r="M214" t="s">
        <v>83</v>
      </c>
      <c r="N214">
        <v>116983.75</v>
      </c>
      <c r="U214">
        <v>0</v>
      </c>
      <c r="V214">
        <v>0</v>
      </c>
      <c r="W214">
        <v>116983.75</v>
      </c>
    </row>
    <row r="215" spans="1:23" x14ac:dyDescent="0.25">
      <c r="A215" t="s">
        <v>422</v>
      </c>
      <c r="B215">
        <v>0</v>
      </c>
      <c r="C215" t="s">
        <v>258</v>
      </c>
      <c r="D215" t="s">
        <v>423</v>
      </c>
      <c r="E215" t="s">
        <v>260</v>
      </c>
      <c r="F215" t="s">
        <v>261</v>
      </c>
      <c r="G215" t="s">
        <v>84</v>
      </c>
      <c r="H215" t="s">
        <v>80</v>
      </c>
      <c r="I215" t="s">
        <v>422</v>
      </c>
      <c r="J215" t="s">
        <v>443</v>
      </c>
      <c r="K215" t="s">
        <v>82</v>
      </c>
      <c r="L215">
        <v>651508.09499999997</v>
      </c>
      <c r="M215" t="s">
        <v>83</v>
      </c>
      <c r="P215">
        <v>1</v>
      </c>
      <c r="T215">
        <v>1</v>
      </c>
      <c r="U215">
        <v>0</v>
      </c>
      <c r="V215">
        <v>0</v>
      </c>
      <c r="W215">
        <v>758314.41500000004</v>
      </c>
    </row>
    <row r="216" spans="1:23" x14ac:dyDescent="0.25">
      <c r="A216" t="s">
        <v>422</v>
      </c>
      <c r="B216">
        <v>1</v>
      </c>
      <c r="C216" t="s">
        <v>258</v>
      </c>
      <c r="D216" t="s">
        <v>423</v>
      </c>
      <c r="E216" t="s">
        <v>260</v>
      </c>
      <c r="F216" t="s">
        <v>261</v>
      </c>
      <c r="G216" t="s">
        <v>248</v>
      </c>
      <c r="H216" t="s">
        <v>80</v>
      </c>
      <c r="I216" t="s">
        <v>444</v>
      </c>
      <c r="J216" t="s">
        <v>445</v>
      </c>
      <c r="K216" t="s">
        <v>82</v>
      </c>
      <c r="L216">
        <v>746640.52500000002</v>
      </c>
      <c r="M216" t="s">
        <v>83</v>
      </c>
      <c r="N216">
        <v>758314.41500000004</v>
      </c>
      <c r="U216">
        <v>0</v>
      </c>
      <c r="V216">
        <v>0</v>
      </c>
      <c r="W216">
        <v>758314.41500000004</v>
      </c>
    </row>
    <row r="217" spans="1:23" x14ac:dyDescent="0.25">
      <c r="A217" t="s">
        <v>422</v>
      </c>
      <c r="B217">
        <v>0</v>
      </c>
      <c r="C217" t="s">
        <v>258</v>
      </c>
      <c r="D217" t="s">
        <v>423</v>
      </c>
      <c r="E217" t="s">
        <v>260</v>
      </c>
      <c r="F217" t="s">
        <v>261</v>
      </c>
      <c r="G217" t="s">
        <v>84</v>
      </c>
      <c r="H217" t="s">
        <v>80</v>
      </c>
      <c r="I217" t="s">
        <v>444</v>
      </c>
      <c r="J217" t="s">
        <v>446</v>
      </c>
      <c r="K217" t="s">
        <v>82</v>
      </c>
      <c r="L217">
        <v>876794.625</v>
      </c>
      <c r="M217" t="s">
        <v>83</v>
      </c>
      <c r="P217">
        <v>1</v>
      </c>
      <c r="T217">
        <v>1</v>
      </c>
      <c r="U217">
        <v>0</v>
      </c>
      <c r="V217">
        <v>0</v>
      </c>
      <c r="W217">
        <v>758314.41500000004</v>
      </c>
    </row>
    <row r="218" spans="1:23" x14ac:dyDescent="0.25">
      <c r="A218" t="s">
        <v>422</v>
      </c>
      <c r="B218">
        <v>0</v>
      </c>
      <c r="C218" t="s">
        <v>258</v>
      </c>
      <c r="D218" t="s">
        <v>423</v>
      </c>
      <c r="E218" t="s">
        <v>260</v>
      </c>
      <c r="F218" t="s">
        <v>261</v>
      </c>
      <c r="G218" t="s">
        <v>84</v>
      </c>
      <c r="H218" t="s">
        <v>106</v>
      </c>
      <c r="I218" t="s">
        <v>422</v>
      </c>
      <c r="J218" t="s">
        <v>447</v>
      </c>
      <c r="K218" t="s">
        <v>82</v>
      </c>
      <c r="L218">
        <v>6207.47</v>
      </c>
      <c r="M218" t="s">
        <v>83</v>
      </c>
      <c r="P218">
        <v>1</v>
      </c>
      <c r="T218">
        <v>1</v>
      </c>
      <c r="U218">
        <v>0</v>
      </c>
      <c r="V218">
        <v>0</v>
      </c>
      <c r="W218">
        <v>4912.9341666666669</v>
      </c>
    </row>
    <row r="219" spans="1:23" x14ac:dyDescent="0.25">
      <c r="A219" t="s">
        <v>422</v>
      </c>
      <c r="B219">
        <v>1</v>
      </c>
      <c r="C219" t="s">
        <v>258</v>
      </c>
      <c r="D219" t="s">
        <v>423</v>
      </c>
      <c r="E219" t="s">
        <v>260</v>
      </c>
      <c r="F219" t="s">
        <v>261</v>
      </c>
      <c r="G219" t="s">
        <v>248</v>
      </c>
      <c r="H219" t="s">
        <v>106</v>
      </c>
      <c r="I219" t="s">
        <v>444</v>
      </c>
      <c r="J219" t="s">
        <v>448</v>
      </c>
      <c r="K219" t="s">
        <v>82</v>
      </c>
      <c r="L219">
        <v>5356.7</v>
      </c>
      <c r="M219" t="s">
        <v>83</v>
      </c>
      <c r="N219">
        <v>4912.9341670000003</v>
      </c>
      <c r="U219">
        <v>0</v>
      </c>
      <c r="V219">
        <v>0</v>
      </c>
      <c r="W219">
        <v>4912.9341666666669</v>
      </c>
    </row>
    <row r="220" spans="1:23" x14ac:dyDescent="0.25">
      <c r="A220" t="s">
        <v>422</v>
      </c>
      <c r="B220">
        <v>0</v>
      </c>
      <c r="C220" t="s">
        <v>258</v>
      </c>
      <c r="D220" t="s">
        <v>423</v>
      </c>
      <c r="E220" t="s">
        <v>260</v>
      </c>
      <c r="F220" t="s">
        <v>261</v>
      </c>
      <c r="G220" t="s">
        <v>84</v>
      </c>
      <c r="H220" t="s">
        <v>106</v>
      </c>
      <c r="I220" t="s">
        <v>444</v>
      </c>
      <c r="J220" t="s">
        <v>449</v>
      </c>
      <c r="K220" t="s">
        <v>82</v>
      </c>
      <c r="L220">
        <v>3174.6325000000002</v>
      </c>
      <c r="M220" t="s">
        <v>83</v>
      </c>
      <c r="P220">
        <v>1</v>
      </c>
      <c r="T220">
        <v>1</v>
      </c>
      <c r="U220">
        <v>0</v>
      </c>
      <c r="V220">
        <v>0</v>
      </c>
      <c r="W220">
        <v>4912.9341666666669</v>
      </c>
    </row>
    <row r="221" spans="1:23" x14ac:dyDescent="0.25">
      <c r="A221" t="s">
        <v>422</v>
      </c>
      <c r="B221">
        <v>0</v>
      </c>
      <c r="C221" t="s">
        <v>258</v>
      </c>
      <c r="D221" t="s">
        <v>423</v>
      </c>
      <c r="E221" t="s">
        <v>260</v>
      </c>
      <c r="F221" t="s">
        <v>261</v>
      </c>
      <c r="G221" t="s">
        <v>84</v>
      </c>
      <c r="H221" t="s">
        <v>110</v>
      </c>
      <c r="I221" t="s">
        <v>422</v>
      </c>
      <c r="J221" t="s">
        <v>450</v>
      </c>
      <c r="K221" t="s">
        <v>82</v>
      </c>
      <c r="L221">
        <v>19592</v>
      </c>
      <c r="M221" t="s">
        <v>83</v>
      </c>
      <c r="P221">
        <v>1</v>
      </c>
      <c r="T221">
        <v>1</v>
      </c>
      <c r="U221">
        <v>0</v>
      </c>
      <c r="V221">
        <v>0</v>
      </c>
      <c r="W221">
        <v>14893</v>
      </c>
    </row>
    <row r="222" spans="1:23" x14ac:dyDescent="0.25">
      <c r="A222" t="s">
        <v>422</v>
      </c>
      <c r="B222">
        <v>1</v>
      </c>
      <c r="C222" t="s">
        <v>258</v>
      </c>
      <c r="D222" t="s">
        <v>423</v>
      </c>
      <c r="E222" t="s">
        <v>260</v>
      </c>
      <c r="F222" t="s">
        <v>261</v>
      </c>
      <c r="G222" t="s">
        <v>248</v>
      </c>
      <c r="H222" t="s">
        <v>110</v>
      </c>
      <c r="I222" t="s">
        <v>444</v>
      </c>
      <c r="J222" t="s">
        <v>451</v>
      </c>
      <c r="K222" t="s">
        <v>82</v>
      </c>
      <c r="L222">
        <v>8704</v>
      </c>
      <c r="M222" t="s">
        <v>83</v>
      </c>
      <c r="N222">
        <v>14893</v>
      </c>
      <c r="U222">
        <v>0</v>
      </c>
      <c r="V222">
        <v>0</v>
      </c>
      <c r="W222">
        <v>14893</v>
      </c>
    </row>
    <row r="223" spans="1:23" x14ac:dyDescent="0.25">
      <c r="A223" t="s">
        <v>422</v>
      </c>
      <c r="B223">
        <v>0</v>
      </c>
      <c r="C223" t="s">
        <v>258</v>
      </c>
      <c r="D223" t="s">
        <v>423</v>
      </c>
      <c r="E223" t="s">
        <v>260</v>
      </c>
      <c r="F223" t="s">
        <v>261</v>
      </c>
      <c r="G223" t="s">
        <v>84</v>
      </c>
      <c r="H223" t="s">
        <v>110</v>
      </c>
      <c r="I223" t="s">
        <v>444</v>
      </c>
      <c r="J223" t="s">
        <v>452</v>
      </c>
      <c r="K223" t="s">
        <v>82</v>
      </c>
      <c r="L223">
        <v>16383</v>
      </c>
      <c r="M223" t="s">
        <v>83</v>
      </c>
      <c r="P223">
        <v>1</v>
      </c>
      <c r="T223">
        <v>1</v>
      </c>
      <c r="U223">
        <v>0</v>
      </c>
      <c r="V223">
        <v>0</v>
      </c>
      <c r="W223">
        <v>14893</v>
      </c>
    </row>
    <row r="224" spans="1:23" x14ac:dyDescent="0.25">
      <c r="A224" t="s">
        <v>422</v>
      </c>
      <c r="B224">
        <v>0</v>
      </c>
      <c r="C224" t="s">
        <v>258</v>
      </c>
      <c r="D224" t="s">
        <v>423</v>
      </c>
      <c r="E224" t="s">
        <v>260</v>
      </c>
      <c r="F224" t="s">
        <v>261</v>
      </c>
      <c r="G224" t="s">
        <v>84</v>
      </c>
      <c r="H224" t="s">
        <v>114</v>
      </c>
      <c r="I224" t="s">
        <v>432</v>
      </c>
      <c r="J224" t="s">
        <v>453</v>
      </c>
      <c r="K224" t="s">
        <v>82</v>
      </c>
      <c r="L224">
        <v>38700</v>
      </c>
      <c r="M224" t="s">
        <v>83</v>
      </c>
      <c r="U224">
        <v>0</v>
      </c>
      <c r="V224">
        <v>0</v>
      </c>
      <c r="W224">
        <v>47966.666666666664</v>
      </c>
    </row>
    <row r="225" spans="1:23" x14ac:dyDescent="0.25">
      <c r="A225" t="s">
        <v>422</v>
      </c>
      <c r="B225">
        <v>0</v>
      </c>
      <c r="C225" t="s">
        <v>258</v>
      </c>
      <c r="D225" t="s">
        <v>423</v>
      </c>
      <c r="E225" t="s">
        <v>260</v>
      </c>
      <c r="F225" t="s">
        <v>261</v>
      </c>
      <c r="G225" t="s">
        <v>84</v>
      </c>
      <c r="H225" t="s">
        <v>114</v>
      </c>
      <c r="I225" t="s">
        <v>434</v>
      </c>
      <c r="J225" t="s">
        <v>454</v>
      </c>
      <c r="K225" t="s">
        <v>82</v>
      </c>
      <c r="L225">
        <v>50000</v>
      </c>
      <c r="M225" t="s">
        <v>83</v>
      </c>
      <c r="U225">
        <v>0</v>
      </c>
      <c r="V225">
        <v>0</v>
      </c>
      <c r="W225">
        <v>47966.666666666664</v>
      </c>
    </row>
    <row r="226" spans="1:23" x14ac:dyDescent="0.25">
      <c r="A226" t="s">
        <v>422</v>
      </c>
      <c r="B226">
        <v>1</v>
      </c>
      <c r="C226" t="s">
        <v>258</v>
      </c>
      <c r="D226" t="s">
        <v>423</v>
      </c>
      <c r="E226" t="s">
        <v>260</v>
      </c>
      <c r="F226" t="s">
        <v>261</v>
      </c>
      <c r="G226" t="s">
        <v>436</v>
      </c>
      <c r="H226" t="s">
        <v>114</v>
      </c>
      <c r="I226" t="s">
        <v>437</v>
      </c>
      <c r="J226" t="s">
        <v>455</v>
      </c>
      <c r="K226" t="s">
        <v>82</v>
      </c>
      <c r="L226">
        <v>55200</v>
      </c>
      <c r="M226" t="s">
        <v>83</v>
      </c>
      <c r="N226">
        <v>47966.666669999999</v>
      </c>
      <c r="P226">
        <v>1</v>
      </c>
      <c r="U226">
        <v>0</v>
      </c>
      <c r="V226">
        <v>0</v>
      </c>
      <c r="W226">
        <v>47966.666666666664</v>
      </c>
    </row>
    <row r="227" spans="1:23" x14ac:dyDescent="0.25">
      <c r="A227" t="s">
        <v>456</v>
      </c>
      <c r="B227">
        <v>0</v>
      </c>
      <c r="C227" t="s">
        <v>258</v>
      </c>
      <c r="D227" t="s">
        <v>423</v>
      </c>
      <c r="E227" t="s">
        <v>260</v>
      </c>
      <c r="F227" t="s">
        <v>261</v>
      </c>
      <c r="G227" t="s">
        <v>84</v>
      </c>
      <c r="H227" t="s">
        <v>92</v>
      </c>
      <c r="I227" t="s">
        <v>221</v>
      </c>
      <c r="J227" t="s">
        <v>457</v>
      </c>
      <c r="K227" t="s">
        <v>82</v>
      </c>
      <c r="L227">
        <v>24500</v>
      </c>
      <c r="M227" t="s">
        <v>83</v>
      </c>
      <c r="O227">
        <v>1</v>
      </c>
      <c r="P227">
        <v>1</v>
      </c>
      <c r="Q227">
        <v>1</v>
      </c>
      <c r="T227">
        <v>1</v>
      </c>
      <c r="U227">
        <v>24500</v>
      </c>
      <c r="V227">
        <v>0</v>
      </c>
      <c r="W227">
        <v>25766.666666666668</v>
      </c>
    </row>
    <row r="228" spans="1:23" x14ac:dyDescent="0.25">
      <c r="A228" t="s">
        <v>456</v>
      </c>
      <c r="B228">
        <v>1</v>
      </c>
      <c r="C228" t="s">
        <v>258</v>
      </c>
      <c r="D228" t="s">
        <v>423</v>
      </c>
      <c r="E228" t="s">
        <v>260</v>
      </c>
      <c r="F228" t="s">
        <v>261</v>
      </c>
      <c r="G228" t="s">
        <v>181</v>
      </c>
      <c r="H228" t="s">
        <v>92</v>
      </c>
      <c r="I228" t="s">
        <v>458</v>
      </c>
      <c r="J228" t="s">
        <v>181</v>
      </c>
      <c r="K228" t="s">
        <v>82</v>
      </c>
      <c r="L228">
        <v>20690</v>
      </c>
      <c r="M228" t="s">
        <v>83</v>
      </c>
      <c r="N228">
        <v>25766.666669999999</v>
      </c>
      <c r="O228">
        <v>1</v>
      </c>
      <c r="S228">
        <v>1</v>
      </c>
      <c r="T228">
        <v>1</v>
      </c>
      <c r="U228">
        <v>20690</v>
      </c>
      <c r="V228">
        <v>20690</v>
      </c>
      <c r="W228">
        <v>25766.666666666668</v>
      </c>
    </row>
    <row r="229" spans="1:23" x14ac:dyDescent="0.25">
      <c r="A229" t="s">
        <v>456</v>
      </c>
      <c r="B229">
        <v>0</v>
      </c>
      <c r="C229" t="s">
        <v>258</v>
      </c>
      <c r="D229" t="s">
        <v>423</v>
      </c>
      <c r="E229" t="s">
        <v>260</v>
      </c>
      <c r="F229" t="s">
        <v>261</v>
      </c>
      <c r="G229" t="s">
        <v>84</v>
      </c>
      <c r="H229" t="s">
        <v>92</v>
      </c>
      <c r="I229" t="s">
        <v>459</v>
      </c>
      <c r="J229" t="s">
        <v>460</v>
      </c>
      <c r="K229" t="s">
        <v>82</v>
      </c>
      <c r="L229">
        <v>32110</v>
      </c>
      <c r="M229" t="s">
        <v>83</v>
      </c>
      <c r="U229">
        <v>0</v>
      </c>
      <c r="V229">
        <v>0</v>
      </c>
      <c r="W229">
        <v>25766.666666666668</v>
      </c>
    </row>
    <row r="230" spans="1:23" x14ac:dyDescent="0.25">
      <c r="A230" t="s">
        <v>456</v>
      </c>
      <c r="B230">
        <v>0</v>
      </c>
      <c r="C230" t="s">
        <v>258</v>
      </c>
      <c r="D230" t="s">
        <v>423</v>
      </c>
      <c r="E230" t="s">
        <v>260</v>
      </c>
      <c r="F230" t="s">
        <v>261</v>
      </c>
      <c r="G230" t="s">
        <v>84</v>
      </c>
      <c r="H230" t="s">
        <v>80</v>
      </c>
      <c r="I230" t="s">
        <v>456</v>
      </c>
      <c r="J230" t="s">
        <v>461</v>
      </c>
      <c r="K230" t="s">
        <v>82</v>
      </c>
      <c r="L230">
        <v>783241.875</v>
      </c>
      <c r="M230" t="s">
        <v>83</v>
      </c>
      <c r="P230">
        <v>1</v>
      </c>
      <c r="T230">
        <v>1</v>
      </c>
      <c r="U230">
        <v>0</v>
      </c>
      <c r="V230">
        <v>0</v>
      </c>
      <c r="W230">
        <v>711043.51246666664</v>
      </c>
    </row>
    <row r="231" spans="1:23" x14ac:dyDescent="0.25">
      <c r="A231" t="s">
        <v>456</v>
      </c>
      <c r="B231">
        <v>1</v>
      </c>
      <c r="C231" t="s">
        <v>258</v>
      </c>
      <c r="D231" t="s">
        <v>423</v>
      </c>
      <c r="E231" t="s">
        <v>260</v>
      </c>
      <c r="F231" t="s">
        <v>261</v>
      </c>
      <c r="G231" t="s">
        <v>167</v>
      </c>
      <c r="H231" t="s">
        <v>80</v>
      </c>
      <c r="I231" t="s">
        <v>456</v>
      </c>
      <c r="J231" t="s">
        <v>462</v>
      </c>
      <c r="K231" t="s">
        <v>82</v>
      </c>
      <c r="L231">
        <v>613851.47239999997</v>
      </c>
      <c r="M231" t="s">
        <v>83</v>
      </c>
      <c r="N231">
        <v>711043.51249999995</v>
      </c>
      <c r="U231">
        <v>0</v>
      </c>
      <c r="V231">
        <v>0</v>
      </c>
      <c r="W231">
        <v>711043.51246666664</v>
      </c>
    </row>
    <row r="232" spans="1:23" x14ac:dyDescent="0.25">
      <c r="A232" t="s">
        <v>456</v>
      </c>
      <c r="B232">
        <v>0</v>
      </c>
      <c r="C232" t="s">
        <v>258</v>
      </c>
      <c r="D232" t="s">
        <v>423</v>
      </c>
      <c r="E232" t="s">
        <v>260</v>
      </c>
      <c r="F232" t="s">
        <v>261</v>
      </c>
      <c r="G232" t="s">
        <v>84</v>
      </c>
      <c r="H232" t="s">
        <v>80</v>
      </c>
      <c r="I232" t="s">
        <v>456</v>
      </c>
      <c r="J232" t="s">
        <v>463</v>
      </c>
      <c r="K232" t="s">
        <v>82</v>
      </c>
      <c r="L232">
        <v>736037.19</v>
      </c>
      <c r="M232" t="s">
        <v>83</v>
      </c>
      <c r="S232">
        <v>1</v>
      </c>
      <c r="U232">
        <v>0</v>
      </c>
      <c r="V232">
        <v>0</v>
      </c>
      <c r="W232">
        <v>711043.51246666664</v>
      </c>
    </row>
    <row r="233" spans="1:23" x14ac:dyDescent="0.25">
      <c r="A233" t="s">
        <v>456</v>
      </c>
      <c r="B233">
        <v>0</v>
      </c>
      <c r="C233" t="s">
        <v>258</v>
      </c>
      <c r="D233" t="s">
        <v>423</v>
      </c>
      <c r="E233" t="s">
        <v>260</v>
      </c>
      <c r="F233" t="s">
        <v>261</v>
      </c>
      <c r="G233" t="s">
        <v>84</v>
      </c>
      <c r="H233" t="s">
        <v>106</v>
      </c>
      <c r="I233" t="s">
        <v>456</v>
      </c>
      <c r="J233" t="s">
        <v>464</v>
      </c>
      <c r="K233" t="s">
        <v>82</v>
      </c>
      <c r="L233">
        <v>3883.6075000000001</v>
      </c>
      <c r="M233" t="s">
        <v>83</v>
      </c>
      <c r="P233">
        <v>1</v>
      </c>
      <c r="T233">
        <v>1</v>
      </c>
      <c r="U233">
        <v>0</v>
      </c>
      <c r="V233">
        <v>0</v>
      </c>
      <c r="W233">
        <v>5621.9091666666673</v>
      </c>
    </row>
    <row r="234" spans="1:23" x14ac:dyDescent="0.25">
      <c r="A234" t="s">
        <v>456</v>
      </c>
      <c r="B234">
        <v>1</v>
      </c>
      <c r="C234" t="s">
        <v>258</v>
      </c>
      <c r="D234" t="s">
        <v>423</v>
      </c>
      <c r="E234" t="s">
        <v>260</v>
      </c>
      <c r="F234" t="s">
        <v>261</v>
      </c>
      <c r="G234" t="s">
        <v>167</v>
      </c>
      <c r="H234" t="s">
        <v>106</v>
      </c>
      <c r="I234" t="s">
        <v>456</v>
      </c>
      <c r="J234" t="s">
        <v>465</v>
      </c>
      <c r="K234" t="s">
        <v>82</v>
      </c>
      <c r="L234">
        <v>7207.9125000000004</v>
      </c>
      <c r="M234" t="s">
        <v>83</v>
      </c>
      <c r="N234">
        <v>5621.9091669999998</v>
      </c>
      <c r="U234">
        <v>0</v>
      </c>
      <c r="V234">
        <v>0</v>
      </c>
      <c r="W234">
        <v>5621.9091666666673</v>
      </c>
    </row>
    <row r="235" spans="1:23" x14ac:dyDescent="0.25">
      <c r="A235" t="s">
        <v>456</v>
      </c>
      <c r="B235">
        <v>0</v>
      </c>
      <c r="C235" t="s">
        <v>258</v>
      </c>
      <c r="D235" t="s">
        <v>423</v>
      </c>
      <c r="E235" t="s">
        <v>260</v>
      </c>
      <c r="F235" t="s">
        <v>261</v>
      </c>
      <c r="G235" t="s">
        <v>84</v>
      </c>
      <c r="H235" t="s">
        <v>106</v>
      </c>
      <c r="I235" t="s">
        <v>456</v>
      </c>
      <c r="J235" t="s">
        <v>466</v>
      </c>
      <c r="K235" t="s">
        <v>82</v>
      </c>
      <c r="L235">
        <v>5774.2075000000004</v>
      </c>
      <c r="M235" t="s">
        <v>83</v>
      </c>
      <c r="S235">
        <v>1</v>
      </c>
      <c r="U235">
        <v>0</v>
      </c>
      <c r="V235">
        <v>0</v>
      </c>
      <c r="W235">
        <v>5621.9091666666673</v>
      </c>
    </row>
    <row r="236" spans="1:23" x14ac:dyDescent="0.25">
      <c r="A236" t="s">
        <v>456</v>
      </c>
      <c r="B236">
        <v>0</v>
      </c>
      <c r="C236" t="s">
        <v>258</v>
      </c>
      <c r="D236" t="s">
        <v>423</v>
      </c>
      <c r="E236" t="s">
        <v>260</v>
      </c>
      <c r="F236" t="s">
        <v>261</v>
      </c>
      <c r="G236" t="s">
        <v>84</v>
      </c>
      <c r="H236" t="s">
        <v>110</v>
      </c>
      <c r="I236" t="s">
        <v>456</v>
      </c>
      <c r="J236" t="s">
        <v>467</v>
      </c>
      <c r="K236" t="s">
        <v>82</v>
      </c>
      <c r="L236">
        <v>9271</v>
      </c>
      <c r="M236" t="s">
        <v>83</v>
      </c>
      <c r="P236">
        <v>1</v>
      </c>
      <c r="T236">
        <v>1</v>
      </c>
      <c r="U236">
        <v>0</v>
      </c>
      <c r="V236">
        <v>0</v>
      </c>
      <c r="W236">
        <v>16903.666666666668</v>
      </c>
    </row>
    <row r="237" spans="1:23" x14ac:dyDescent="0.25">
      <c r="A237" t="s">
        <v>456</v>
      </c>
      <c r="B237">
        <v>1</v>
      </c>
      <c r="C237" t="s">
        <v>258</v>
      </c>
      <c r="D237" t="s">
        <v>423</v>
      </c>
      <c r="E237" t="s">
        <v>260</v>
      </c>
      <c r="F237" t="s">
        <v>261</v>
      </c>
      <c r="G237" t="s">
        <v>167</v>
      </c>
      <c r="H237" t="s">
        <v>110</v>
      </c>
      <c r="I237" t="s">
        <v>456</v>
      </c>
      <c r="J237" t="s">
        <v>468</v>
      </c>
      <c r="K237" t="s">
        <v>82</v>
      </c>
      <c r="L237">
        <v>20320</v>
      </c>
      <c r="M237" t="s">
        <v>83</v>
      </c>
      <c r="N237">
        <v>16903.666669999999</v>
      </c>
      <c r="U237">
        <v>0</v>
      </c>
      <c r="V237">
        <v>0</v>
      </c>
      <c r="W237">
        <v>16903.666666666668</v>
      </c>
    </row>
    <row r="238" spans="1:23" x14ac:dyDescent="0.25">
      <c r="A238" t="s">
        <v>456</v>
      </c>
      <c r="B238">
        <v>0</v>
      </c>
      <c r="C238" t="s">
        <v>258</v>
      </c>
      <c r="D238" t="s">
        <v>423</v>
      </c>
      <c r="E238" t="s">
        <v>260</v>
      </c>
      <c r="F238" t="s">
        <v>261</v>
      </c>
      <c r="G238" t="s">
        <v>84</v>
      </c>
      <c r="H238" t="s">
        <v>110</v>
      </c>
      <c r="I238" t="s">
        <v>456</v>
      </c>
      <c r="J238" t="s">
        <v>469</v>
      </c>
      <c r="K238" t="s">
        <v>82</v>
      </c>
      <c r="L238">
        <v>21120</v>
      </c>
      <c r="M238" t="s">
        <v>83</v>
      </c>
      <c r="S238">
        <v>1</v>
      </c>
      <c r="U238">
        <v>0</v>
      </c>
      <c r="V238">
        <v>0</v>
      </c>
      <c r="W238">
        <v>16903.666666666668</v>
      </c>
    </row>
    <row r="239" spans="1:23" x14ac:dyDescent="0.25">
      <c r="A239" t="s">
        <v>456</v>
      </c>
      <c r="B239">
        <v>0</v>
      </c>
      <c r="C239" t="s">
        <v>258</v>
      </c>
      <c r="D239" t="s">
        <v>423</v>
      </c>
      <c r="E239" t="s">
        <v>260</v>
      </c>
      <c r="F239" t="s">
        <v>261</v>
      </c>
      <c r="G239" t="s">
        <v>84</v>
      </c>
      <c r="H239" t="s">
        <v>87</v>
      </c>
      <c r="I239" t="s">
        <v>456</v>
      </c>
      <c r="J239" t="s">
        <v>470</v>
      </c>
      <c r="K239" t="s">
        <v>82</v>
      </c>
      <c r="L239">
        <v>115561.25</v>
      </c>
      <c r="M239" t="s">
        <v>83</v>
      </c>
      <c r="T239">
        <v>1</v>
      </c>
      <c r="U239">
        <v>0</v>
      </c>
      <c r="V239">
        <v>0</v>
      </c>
      <c r="W239">
        <v>147026.44443333332</v>
      </c>
    </row>
    <row r="240" spans="1:23" x14ac:dyDescent="0.25">
      <c r="A240" t="s">
        <v>456</v>
      </c>
      <c r="B240">
        <v>1</v>
      </c>
      <c r="C240" t="s">
        <v>258</v>
      </c>
      <c r="D240" t="s">
        <v>423</v>
      </c>
      <c r="E240" t="s">
        <v>260</v>
      </c>
      <c r="F240" t="s">
        <v>261</v>
      </c>
      <c r="G240" t="s">
        <v>316</v>
      </c>
      <c r="H240" t="s">
        <v>87</v>
      </c>
      <c r="I240" t="s">
        <v>456</v>
      </c>
      <c r="J240" t="s">
        <v>471</v>
      </c>
      <c r="K240" t="s">
        <v>82</v>
      </c>
      <c r="L240">
        <v>173646.2</v>
      </c>
      <c r="M240" t="s">
        <v>83</v>
      </c>
      <c r="N240">
        <v>147026.44440000001</v>
      </c>
      <c r="Q240">
        <v>1</v>
      </c>
      <c r="U240">
        <v>0</v>
      </c>
      <c r="V240">
        <v>0</v>
      </c>
      <c r="W240">
        <v>147026.44443333332</v>
      </c>
    </row>
    <row r="241" spans="1:23" x14ac:dyDescent="0.25">
      <c r="A241" t="s">
        <v>456</v>
      </c>
      <c r="B241">
        <v>0</v>
      </c>
      <c r="C241" t="s">
        <v>258</v>
      </c>
      <c r="D241" t="s">
        <v>423</v>
      </c>
      <c r="E241" t="s">
        <v>472</v>
      </c>
      <c r="F241" t="s">
        <v>261</v>
      </c>
      <c r="G241" t="s">
        <v>84</v>
      </c>
      <c r="H241" t="s">
        <v>87</v>
      </c>
      <c r="I241" t="s">
        <v>473</v>
      </c>
      <c r="J241" t="s">
        <v>474</v>
      </c>
      <c r="K241" t="s">
        <v>82</v>
      </c>
      <c r="L241">
        <v>151871.88329999999</v>
      </c>
      <c r="M241" t="s">
        <v>83</v>
      </c>
      <c r="U241">
        <v>0</v>
      </c>
      <c r="V241">
        <v>0</v>
      </c>
      <c r="W241">
        <v>147026.44443333332</v>
      </c>
    </row>
    <row r="242" spans="1:23" x14ac:dyDescent="0.25">
      <c r="A242" t="s">
        <v>456</v>
      </c>
      <c r="B242">
        <v>1</v>
      </c>
      <c r="C242" t="s">
        <v>258</v>
      </c>
      <c r="D242" t="s">
        <v>423</v>
      </c>
      <c r="E242" t="s">
        <v>472</v>
      </c>
      <c r="F242" t="s">
        <v>261</v>
      </c>
      <c r="G242" t="s">
        <v>289</v>
      </c>
      <c r="H242" t="s">
        <v>98</v>
      </c>
      <c r="I242" t="s">
        <v>475</v>
      </c>
      <c r="J242" t="s">
        <v>476</v>
      </c>
      <c r="K242" t="s">
        <v>82</v>
      </c>
      <c r="L242">
        <v>56650</v>
      </c>
      <c r="M242" t="s">
        <v>83</v>
      </c>
      <c r="N242">
        <v>36483.333330000001</v>
      </c>
      <c r="U242">
        <v>0</v>
      </c>
      <c r="V242">
        <v>0</v>
      </c>
      <c r="W242">
        <v>36483.333333333328</v>
      </c>
    </row>
    <row r="243" spans="1:23" x14ac:dyDescent="0.25">
      <c r="A243" t="s">
        <v>456</v>
      </c>
      <c r="B243">
        <v>0</v>
      </c>
      <c r="C243" t="s">
        <v>258</v>
      </c>
      <c r="D243" t="s">
        <v>423</v>
      </c>
      <c r="E243" t="s">
        <v>472</v>
      </c>
      <c r="F243" t="s">
        <v>261</v>
      </c>
      <c r="G243" t="s">
        <v>84</v>
      </c>
      <c r="H243" t="s">
        <v>98</v>
      </c>
      <c r="I243" t="s">
        <v>477</v>
      </c>
      <c r="J243" t="s">
        <v>478</v>
      </c>
      <c r="K243" t="s">
        <v>82</v>
      </c>
      <c r="L243">
        <v>21950</v>
      </c>
      <c r="M243" t="s">
        <v>83</v>
      </c>
      <c r="U243">
        <v>0</v>
      </c>
      <c r="V243">
        <v>0</v>
      </c>
      <c r="W243">
        <v>36483.333333333328</v>
      </c>
    </row>
    <row r="244" spans="1:23" x14ac:dyDescent="0.25">
      <c r="A244" t="s">
        <v>456</v>
      </c>
      <c r="B244">
        <v>0</v>
      </c>
      <c r="C244" t="s">
        <v>258</v>
      </c>
      <c r="D244" t="s">
        <v>423</v>
      </c>
      <c r="E244" t="s">
        <v>472</v>
      </c>
      <c r="F244" t="s">
        <v>261</v>
      </c>
      <c r="G244" t="s">
        <v>84</v>
      </c>
      <c r="H244" t="s">
        <v>98</v>
      </c>
      <c r="I244" t="s">
        <v>479</v>
      </c>
      <c r="J244" t="s">
        <v>480</v>
      </c>
      <c r="K244" t="s">
        <v>82</v>
      </c>
      <c r="L244">
        <v>30850</v>
      </c>
      <c r="M244" t="s">
        <v>83</v>
      </c>
      <c r="S244">
        <v>1</v>
      </c>
      <c r="U244">
        <v>0</v>
      </c>
      <c r="V244">
        <v>0</v>
      </c>
      <c r="W244">
        <v>36483.333333333328</v>
      </c>
    </row>
    <row r="245" spans="1:23" x14ac:dyDescent="0.25">
      <c r="A245" t="s">
        <v>481</v>
      </c>
      <c r="B245">
        <v>1</v>
      </c>
      <c r="C245" t="s">
        <v>258</v>
      </c>
      <c r="D245" t="s">
        <v>423</v>
      </c>
      <c r="E245" t="s">
        <v>472</v>
      </c>
      <c r="F245" t="s">
        <v>261</v>
      </c>
      <c r="G245" t="s">
        <v>248</v>
      </c>
      <c r="H245" t="s">
        <v>80</v>
      </c>
      <c r="I245" t="s">
        <v>481</v>
      </c>
      <c r="J245" t="s">
        <v>482</v>
      </c>
      <c r="K245" t="s">
        <v>82</v>
      </c>
      <c r="L245">
        <v>1025091.738</v>
      </c>
      <c r="M245" t="s">
        <v>83</v>
      </c>
      <c r="N245">
        <v>791032.91899999999</v>
      </c>
      <c r="U245">
        <v>0</v>
      </c>
      <c r="V245">
        <v>0</v>
      </c>
      <c r="W245">
        <v>791032.91916666669</v>
      </c>
    </row>
    <row r="246" spans="1:23" x14ac:dyDescent="0.25">
      <c r="A246" t="s">
        <v>481</v>
      </c>
      <c r="B246">
        <v>0</v>
      </c>
      <c r="C246" t="s">
        <v>258</v>
      </c>
      <c r="D246" t="s">
        <v>423</v>
      </c>
      <c r="E246" t="s">
        <v>472</v>
      </c>
      <c r="F246" t="s">
        <v>261</v>
      </c>
      <c r="G246" t="s">
        <v>84</v>
      </c>
      <c r="H246" t="s">
        <v>80</v>
      </c>
      <c r="I246" t="s">
        <v>481</v>
      </c>
      <c r="J246" t="s">
        <v>483</v>
      </c>
      <c r="K246" t="s">
        <v>82</v>
      </c>
      <c r="L246">
        <v>726861.22089999996</v>
      </c>
      <c r="M246" t="s">
        <v>83</v>
      </c>
      <c r="U246">
        <v>0</v>
      </c>
      <c r="V246">
        <v>0</v>
      </c>
      <c r="W246">
        <v>791032.91916666669</v>
      </c>
    </row>
    <row r="247" spans="1:23" x14ac:dyDescent="0.25">
      <c r="A247" t="s">
        <v>481</v>
      </c>
      <c r="B247">
        <v>0</v>
      </c>
      <c r="C247" t="s">
        <v>258</v>
      </c>
      <c r="D247" t="s">
        <v>423</v>
      </c>
      <c r="E247" t="s">
        <v>472</v>
      </c>
      <c r="F247" t="s">
        <v>261</v>
      </c>
      <c r="G247" t="s">
        <v>84</v>
      </c>
      <c r="H247" t="s">
        <v>80</v>
      </c>
      <c r="I247" t="s">
        <v>484</v>
      </c>
      <c r="J247" t="s">
        <v>485</v>
      </c>
      <c r="K247" t="s">
        <v>82</v>
      </c>
      <c r="L247">
        <v>621145.79859999998</v>
      </c>
      <c r="M247" t="s">
        <v>83</v>
      </c>
      <c r="U247">
        <v>0</v>
      </c>
      <c r="V247">
        <v>0</v>
      </c>
      <c r="W247">
        <v>791032.91916666669</v>
      </c>
    </row>
    <row r="248" spans="1:23" x14ac:dyDescent="0.25">
      <c r="A248" t="s">
        <v>481</v>
      </c>
      <c r="B248">
        <v>1</v>
      </c>
      <c r="C248" t="s">
        <v>258</v>
      </c>
      <c r="D248" t="s">
        <v>423</v>
      </c>
      <c r="E248" t="s">
        <v>472</v>
      </c>
      <c r="F248" t="s">
        <v>261</v>
      </c>
      <c r="G248" t="s">
        <v>182</v>
      </c>
      <c r="H248" t="s">
        <v>92</v>
      </c>
      <c r="I248" t="s">
        <v>486</v>
      </c>
      <c r="J248" t="s">
        <v>487</v>
      </c>
      <c r="K248" t="s">
        <v>82</v>
      </c>
      <c r="L248">
        <v>27850</v>
      </c>
      <c r="M248" t="s">
        <v>83</v>
      </c>
      <c r="N248">
        <v>38780</v>
      </c>
      <c r="R248">
        <v>1</v>
      </c>
      <c r="T248">
        <v>1</v>
      </c>
      <c r="U248">
        <v>0</v>
      </c>
      <c r="V248">
        <v>0</v>
      </c>
      <c r="W248">
        <v>38780</v>
      </c>
    </row>
    <row r="249" spans="1:23" x14ac:dyDescent="0.25">
      <c r="A249" t="s">
        <v>481</v>
      </c>
      <c r="B249">
        <v>0</v>
      </c>
      <c r="C249" t="s">
        <v>258</v>
      </c>
      <c r="D249" t="s">
        <v>423</v>
      </c>
      <c r="E249" t="s">
        <v>472</v>
      </c>
      <c r="F249" t="s">
        <v>261</v>
      </c>
      <c r="G249" t="s">
        <v>84</v>
      </c>
      <c r="H249" t="s">
        <v>92</v>
      </c>
      <c r="I249" t="s">
        <v>488</v>
      </c>
      <c r="J249" t="s">
        <v>303</v>
      </c>
      <c r="K249" t="s">
        <v>82</v>
      </c>
      <c r="L249">
        <v>49710</v>
      </c>
      <c r="M249" t="s">
        <v>83</v>
      </c>
      <c r="Q249">
        <v>1</v>
      </c>
      <c r="R249">
        <v>1</v>
      </c>
      <c r="U249">
        <v>0</v>
      </c>
      <c r="V249">
        <v>0</v>
      </c>
      <c r="W249">
        <v>38780</v>
      </c>
    </row>
    <row r="250" spans="1:23" x14ac:dyDescent="0.25">
      <c r="A250" t="s">
        <v>481</v>
      </c>
      <c r="B250">
        <v>1</v>
      </c>
      <c r="C250" t="s">
        <v>258</v>
      </c>
      <c r="D250" t="s">
        <v>423</v>
      </c>
      <c r="E250" t="s">
        <v>472</v>
      </c>
      <c r="F250" t="s">
        <v>261</v>
      </c>
      <c r="G250" t="s">
        <v>248</v>
      </c>
      <c r="H250" t="s">
        <v>106</v>
      </c>
      <c r="I250" t="s">
        <v>481</v>
      </c>
      <c r="J250" t="s">
        <v>489</v>
      </c>
      <c r="K250" t="s">
        <v>82</v>
      </c>
      <c r="L250">
        <v>10327.4025</v>
      </c>
      <c r="M250" t="s">
        <v>83</v>
      </c>
      <c r="N250">
        <v>10028.057500000001</v>
      </c>
      <c r="U250">
        <v>0</v>
      </c>
      <c r="V250">
        <v>0</v>
      </c>
      <c r="W250">
        <v>10028.057500000001</v>
      </c>
    </row>
    <row r="251" spans="1:23" x14ac:dyDescent="0.25">
      <c r="A251" t="s">
        <v>481</v>
      </c>
      <c r="B251">
        <v>0</v>
      </c>
      <c r="C251" t="s">
        <v>258</v>
      </c>
      <c r="D251" t="s">
        <v>423</v>
      </c>
      <c r="E251" t="s">
        <v>472</v>
      </c>
      <c r="F251" t="s">
        <v>261</v>
      </c>
      <c r="G251" t="s">
        <v>84</v>
      </c>
      <c r="H251" t="s">
        <v>106</v>
      </c>
      <c r="I251" t="s">
        <v>481</v>
      </c>
      <c r="J251" t="s">
        <v>490</v>
      </c>
      <c r="K251" t="s">
        <v>82</v>
      </c>
      <c r="L251">
        <v>6168.0825000000004</v>
      </c>
      <c r="M251" t="s">
        <v>83</v>
      </c>
      <c r="U251">
        <v>0</v>
      </c>
      <c r="V251">
        <v>0</v>
      </c>
      <c r="W251">
        <v>10028.057500000001</v>
      </c>
    </row>
    <row r="252" spans="1:23" x14ac:dyDescent="0.25">
      <c r="A252" t="s">
        <v>481</v>
      </c>
      <c r="B252">
        <v>0</v>
      </c>
      <c r="C252" t="s">
        <v>258</v>
      </c>
      <c r="D252" t="s">
        <v>423</v>
      </c>
      <c r="E252" t="s">
        <v>338</v>
      </c>
      <c r="F252" t="s">
        <v>261</v>
      </c>
      <c r="G252" t="s">
        <v>84</v>
      </c>
      <c r="H252" t="s">
        <v>106</v>
      </c>
      <c r="I252" t="s">
        <v>484</v>
      </c>
      <c r="J252" t="s">
        <v>491</v>
      </c>
      <c r="K252" t="s">
        <v>82</v>
      </c>
      <c r="L252">
        <v>13588.6875</v>
      </c>
      <c r="M252" t="s">
        <v>83</v>
      </c>
      <c r="U252">
        <v>0</v>
      </c>
      <c r="V252">
        <v>0</v>
      </c>
      <c r="W252">
        <v>10028.057500000001</v>
      </c>
    </row>
    <row r="253" spans="1:23" x14ac:dyDescent="0.25">
      <c r="A253" t="s">
        <v>481</v>
      </c>
      <c r="B253">
        <v>1</v>
      </c>
      <c r="C253" t="s">
        <v>258</v>
      </c>
      <c r="D253" t="s">
        <v>423</v>
      </c>
      <c r="E253" t="s">
        <v>338</v>
      </c>
      <c r="F253" t="s">
        <v>261</v>
      </c>
      <c r="G253" t="s">
        <v>248</v>
      </c>
      <c r="H253" t="s">
        <v>110</v>
      </c>
      <c r="I253" t="s">
        <v>481</v>
      </c>
      <c r="J253" t="s">
        <v>492</v>
      </c>
      <c r="K253" t="s">
        <v>82</v>
      </c>
      <c r="L253">
        <v>18576</v>
      </c>
      <c r="M253" t="s">
        <v>83</v>
      </c>
      <c r="N253">
        <v>16579.333330000001</v>
      </c>
      <c r="U253">
        <v>0</v>
      </c>
      <c r="V253">
        <v>0</v>
      </c>
      <c r="W253">
        <v>16579.333333333332</v>
      </c>
    </row>
    <row r="254" spans="1:23" x14ac:dyDescent="0.25">
      <c r="A254" t="s">
        <v>481</v>
      </c>
      <c r="B254">
        <v>0</v>
      </c>
      <c r="C254" t="s">
        <v>258</v>
      </c>
      <c r="D254" t="s">
        <v>423</v>
      </c>
      <c r="E254" t="s">
        <v>338</v>
      </c>
      <c r="F254" t="s">
        <v>261</v>
      </c>
      <c r="G254" t="s">
        <v>84</v>
      </c>
      <c r="H254" t="s">
        <v>110</v>
      </c>
      <c r="I254" t="s">
        <v>481</v>
      </c>
      <c r="J254" t="s">
        <v>493</v>
      </c>
      <c r="K254" t="s">
        <v>82</v>
      </c>
      <c r="L254">
        <v>12474</v>
      </c>
      <c r="M254" t="s">
        <v>83</v>
      </c>
      <c r="U254">
        <v>0</v>
      </c>
      <c r="V254">
        <v>0</v>
      </c>
      <c r="W254">
        <v>16579.333333333332</v>
      </c>
    </row>
    <row r="255" spans="1:23" x14ac:dyDescent="0.25">
      <c r="A255" t="s">
        <v>481</v>
      </c>
      <c r="B255">
        <v>0</v>
      </c>
      <c r="C255" t="s">
        <v>258</v>
      </c>
      <c r="D255" t="s">
        <v>423</v>
      </c>
      <c r="E255" t="s">
        <v>338</v>
      </c>
      <c r="F255" t="s">
        <v>261</v>
      </c>
      <c r="G255" t="s">
        <v>84</v>
      </c>
      <c r="H255" t="s">
        <v>110</v>
      </c>
      <c r="I255" t="s">
        <v>484</v>
      </c>
      <c r="J255" t="s">
        <v>494</v>
      </c>
      <c r="K255" t="s">
        <v>82</v>
      </c>
      <c r="L255">
        <v>18688</v>
      </c>
      <c r="M255" t="s">
        <v>83</v>
      </c>
      <c r="U255">
        <v>0</v>
      </c>
      <c r="V255">
        <v>0</v>
      </c>
      <c r="W255">
        <v>16579.333333333332</v>
      </c>
    </row>
    <row r="256" spans="1:23" x14ac:dyDescent="0.25">
      <c r="A256" t="s">
        <v>481</v>
      </c>
      <c r="B256">
        <v>1</v>
      </c>
      <c r="C256" t="s">
        <v>258</v>
      </c>
      <c r="D256" t="s">
        <v>423</v>
      </c>
      <c r="E256" t="s">
        <v>338</v>
      </c>
      <c r="F256" t="s">
        <v>261</v>
      </c>
      <c r="G256" t="s">
        <v>495</v>
      </c>
      <c r="H256" t="s">
        <v>87</v>
      </c>
      <c r="I256" t="s">
        <v>481</v>
      </c>
      <c r="J256" t="s">
        <v>496</v>
      </c>
      <c r="K256" t="s">
        <v>82</v>
      </c>
      <c r="L256">
        <v>86910.833329999994</v>
      </c>
      <c r="M256" t="s">
        <v>83</v>
      </c>
      <c r="N256">
        <v>91396.2</v>
      </c>
      <c r="U256">
        <v>0</v>
      </c>
      <c r="V256">
        <v>0</v>
      </c>
      <c r="W256">
        <v>91396.2</v>
      </c>
    </row>
    <row r="257" spans="1:23" x14ac:dyDescent="0.25">
      <c r="A257" t="s">
        <v>481</v>
      </c>
      <c r="B257">
        <v>0</v>
      </c>
      <c r="C257" t="s">
        <v>258</v>
      </c>
      <c r="D257" t="s">
        <v>423</v>
      </c>
      <c r="E257" t="s">
        <v>338</v>
      </c>
      <c r="F257" t="s">
        <v>261</v>
      </c>
      <c r="G257" t="s">
        <v>84</v>
      </c>
      <c r="H257" t="s">
        <v>87</v>
      </c>
      <c r="I257" t="s">
        <v>497</v>
      </c>
      <c r="J257" t="s">
        <v>498</v>
      </c>
      <c r="K257" t="s">
        <v>82</v>
      </c>
      <c r="L257">
        <v>95881.56667</v>
      </c>
      <c r="M257" t="s">
        <v>83</v>
      </c>
      <c r="U257">
        <v>0</v>
      </c>
      <c r="V257">
        <v>0</v>
      </c>
      <c r="W257">
        <v>91396.2</v>
      </c>
    </row>
    <row r="258" spans="1:23" x14ac:dyDescent="0.25">
      <c r="A258" t="s">
        <v>481</v>
      </c>
      <c r="B258">
        <v>0</v>
      </c>
      <c r="C258" t="s">
        <v>258</v>
      </c>
      <c r="D258" t="s">
        <v>423</v>
      </c>
      <c r="E258" t="s">
        <v>338</v>
      </c>
      <c r="F258" t="s">
        <v>261</v>
      </c>
      <c r="G258" t="s">
        <v>84</v>
      </c>
      <c r="H258" t="s">
        <v>98</v>
      </c>
      <c r="I258" t="s">
        <v>499</v>
      </c>
      <c r="J258" t="s">
        <v>500</v>
      </c>
      <c r="K258" t="s">
        <v>82</v>
      </c>
      <c r="L258">
        <v>36850</v>
      </c>
      <c r="M258" t="s">
        <v>83</v>
      </c>
      <c r="U258">
        <v>0</v>
      </c>
      <c r="V258">
        <v>0</v>
      </c>
      <c r="W258">
        <v>28966.666666666668</v>
      </c>
    </row>
    <row r="259" spans="1:23" x14ac:dyDescent="0.25">
      <c r="A259" t="s">
        <v>481</v>
      </c>
      <c r="B259">
        <v>1</v>
      </c>
      <c r="C259" t="s">
        <v>258</v>
      </c>
      <c r="D259" t="s">
        <v>423</v>
      </c>
      <c r="E259" t="s">
        <v>338</v>
      </c>
      <c r="F259" t="s">
        <v>261</v>
      </c>
      <c r="G259" t="s">
        <v>158</v>
      </c>
      <c r="H259" t="s">
        <v>98</v>
      </c>
      <c r="I259" t="s">
        <v>501</v>
      </c>
      <c r="J259" t="s">
        <v>502</v>
      </c>
      <c r="K259" t="s">
        <v>82</v>
      </c>
      <c r="L259">
        <v>29550</v>
      </c>
      <c r="M259" t="s">
        <v>83</v>
      </c>
      <c r="N259">
        <v>28966.666669999999</v>
      </c>
      <c r="Q259">
        <v>1</v>
      </c>
      <c r="S259">
        <v>1</v>
      </c>
      <c r="U259">
        <v>0</v>
      </c>
      <c r="V259">
        <v>0</v>
      </c>
      <c r="W259">
        <v>28966.666666666668</v>
      </c>
    </row>
    <row r="260" spans="1:23" x14ac:dyDescent="0.25">
      <c r="A260" t="s">
        <v>481</v>
      </c>
      <c r="B260">
        <v>0</v>
      </c>
      <c r="C260" t="s">
        <v>258</v>
      </c>
      <c r="D260" t="s">
        <v>423</v>
      </c>
      <c r="E260" t="s">
        <v>338</v>
      </c>
      <c r="F260" t="s">
        <v>261</v>
      </c>
      <c r="G260" t="s">
        <v>84</v>
      </c>
      <c r="H260" t="s">
        <v>98</v>
      </c>
      <c r="I260" t="s">
        <v>503</v>
      </c>
      <c r="J260" t="s">
        <v>504</v>
      </c>
      <c r="K260" t="s">
        <v>82</v>
      </c>
      <c r="L260">
        <v>20500</v>
      </c>
      <c r="M260" t="s">
        <v>83</v>
      </c>
      <c r="R260">
        <v>1</v>
      </c>
      <c r="T260">
        <v>1</v>
      </c>
      <c r="U260">
        <v>0</v>
      </c>
      <c r="V260">
        <v>0</v>
      </c>
      <c r="W260">
        <v>28966.666666666668</v>
      </c>
    </row>
    <row r="261" spans="1:23" x14ac:dyDescent="0.25">
      <c r="A261" t="s">
        <v>505</v>
      </c>
      <c r="B261">
        <v>0</v>
      </c>
      <c r="C261" t="s">
        <v>507</v>
      </c>
      <c r="D261" t="s">
        <v>508</v>
      </c>
      <c r="E261" t="s">
        <v>338</v>
      </c>
      <c r="F261" t="s">
        <v>509</v>
      </c>
      <c r="G261" t="s">
        <v>84</v>
      </c>
      <c r="H261" t="s">
        <v>87</v>
      </c>
      <c r="I261" t="s">
        <v>505</v>
      </c>
      <c r="J261" t="s">
        <v>510</v>
      </c>
      <c r="K261" t="s">
        <v>82</v>
      </c>
      <c r="L261">
        <v>153774.6</v>
      </c>
      <c r="M261" t="s">
        <v>83</v>
      </c>
      <c r="U261">
        <v>0</v>
      </c>
      <c r="V261">
        <v>0</v>
      </c>
      <c r="W261">
        <v>143791.27776666667</v>
      </c>
    </row>
    <row r="262" spans="1:23" x14ac:dyDescent="0.25">
      <c r="A262" t="s">
        <v>505</v>
      </c>
      <c r="B262">
        <v>0</v>
      </c>
      <c r="C262" t="s">
        <v>507</v>
      </c>
      <c r="D262" t="s">
        <v>508</v>
      </c>
      <c r="E262" t="s">
        <v>338</v>
      </c>
      <c r="F262" t="s">
        <v>509</v>
      </c>
      <c r="G262" t="s">
        <v>84</v>
      </c>
      <c r="H262" t="s">
        <v>87</v>
      </c>
      <c r="I262" t="s">
        <v>505</v>
      </c>
      <c r="J262" t="s">
        <v>511</v>
      </c>
      <c r="K262" t="s">
        <v>82</v>
      </c>
      <c r="L262">
        <v>145154.79999999999</v>
      </c>
      <c r="M262" t="s">
        <v>83</v>
      </c>
      <c r="U262">
        <v>0</v>
      </c>
      <c r="V262">
        <v>0</v>
      </c>
      <c r="W262">
        <v>143791.27776666667</v>
      </c>
    </row>
    <row r="263" spans="1:23" x14ac:dyDescent="0.25">
      <c r="A263" t="s">
        <v>505</v>
      </c>
      <c r="B263">
        <v>1</v>
      </c>
      <c r="C263" t="s">
        <v>507</v>
      </c>
      <c r="D263" t="s">
        <v>508</v>
      </c>
      <c r="E263" t="s">
        <v>338</v>
      </c>
      <c r="F263" t="s">
        <v>509</v>
      </c>
      <c r="G263" t="s">
        <v>512</v>
      </c>
      <c r="H263" t="s">
        <v>87</v>
      </c>
      <c r="I263" t="s">
        <v>505</v>
      </c>
      <c r="J263" t="s">
        <v>513</v>
      </c>
      <c r="K263" t="s">
        <v>82</v>
      </c>
      <c r="L263">
        <v>132444.4333</v>
      </c>
      <c r="M263" t="s">
        <v>83</v>
      </c>
      <c r="N263">
        <v>143791.27780000001</v>
      </c>
      <c r="U263">
        <v>0</v>
      </c>
      <c r="V263">
        <v>0</v>
      </c>
      <c r="W263">
        <v>143791.27776666667</v>
      </c>
    </row>
    <row r="264" spans="1:23" x14ac:dyDescent="0.25">
      <c r="A264" t="s">
        <v>514</v>
      </c>
      <c r="B264">
        <v>0</v>
      </c>
      <c r="C264" t="s">
        <v>507</v>
      </c>
      <c r="D264" t="s">
        <v>508</v>
      </c>
      <c r="E264" t="s">
        <v>338</v>
      </c>
      <c r="F264" t="s">
        <v>509</v>
      </c>
      <c r="G264" t="s">
        <v>84</v>
      </c>
      <c r="H264" t="s">
        <v>92</v>
      </c>
      <c r="I264" t="s">
        <v>515</v>
      </c>
      <c r="J264" t="s">
        <v>303</v>
      </c>
      <c r="K264" t="s">
        <v>82</v>
      </c>
      <c r="L264">
        <v>50780</v>
      </c>
      <c r="M264" t="s">
        <v>83</v>
      </c>
      <c r="U264">
        <v>0</v>
      </c>
      <c r="V264">
        <v>0</v>
      </c>
      <c r="W264">
        <v>52585</v>
      </c>
    </row>
    <row r="265" spans="1:23" x14ac:dyDescent="0.25">
      <c r="A265" t="s">
        <v>514</v>
      </c>
      <c r="B265">
        <v>1</v>
      </c>
      <c r="C265" t="s">
        <v>507</v>
      </c>
      <c r="D265" t="s">
        <v>508</v>
      </c>
      <c r="E265" t="s">
        <v>338</v>
      </c>
      <c r="F265" t="s">
        <v>509</v>
      </c>
      <c r="G265" t="s">
        <v>141</v>
      </c>
      <c r="H265" t="s">
        <v>92</v>
      </c>
      <c r="I265" t="s">
        <v>516</v>
      </c>
      <c r="J265" t="s">
        <v>517</v>
      </c>
      <c r="K265" t="s">
        <v>82</v>
      </c>
      <c r="L265">
        <v>54390</v>
      </c>
      <c r="M265" t="s">
        <v>83</v>
      </c>
      <c r="N265">
        <v>52585</v>
      </c>
      <c r="U265">
        <v>0</v>
      </c>
      <c r="V265">
        <v>0</v>
      </c>
      <c r="W265">
        <v>52585</v>
      </c>
    </row>
    <row r="266" spans="1:23" x14ac:dyDescent="0.25">
      <c r="A266" t="s">
        <v>514</v>
      </c>
      <c r="B266">
        <v>0</v>
      </c>
      <c r="C266" t="s">
        <v>507</v>
      </c>
      <c r="D266" t="s">
        <v>508</v>
      </c>
      <c r="E266" t="s">
        <v>338</v>
      </c>
      <c r="F266" t="s">
        <v>509</v>
      </c>
      <c r="G266" t="s">
        <v>84</v>
      </c>
      <c r="H266" t="s">
        <v>80</v>
      </c>
      <c r="I266" t="s">
        <v>514</v>
      </c>
      <c r="J266" t="s">
        <v>518</v>
      </c>
      <c r="K266" t="s">
        <v>82</v>
      </c>
      <c r="L266">
        <v>766626.6825</v>
      </c>
      <c r="M266" t="s">
        <v>83</v>
      </c>
      <c r="P266">
        <v>1</v>
      </c>
      <c r="T266">
        <v>1</v>
      </c>
      <c r="U266">
        <v>0</v>
      </c>
      <c r="V266">
        <v>0</v>
      </c>
      <c r="W266">
        <v>825872.91529999999</v>
      </c>
    </row>
    <row r="267" spans="1:23" x14ac:dyDescent="0.25">
      <c r="A267" t="s">
        <v>514</v>
      </c>
      <c r="B267">
        <v>0</v>
      </c>
      <c r="C267" t="s">
        <v>507</v>
      </c>
      <c r="D267" t="s">
        <v>508</v>
      </c>
      <c r="E267" t="s">
        <v>338</v>
      </c>
      <c r="F267" t="s">
        <v>509</v>
      </c>
      <c r="G267" t="s">
        <v>84</v>
      </c>
      <c r="H267" t="s">
        <v>80</v>
      </c>
      <c r="I267" t="s">
        <v>514</v>
      </c>
      <c r="J267" t="s">
        <v>519</v>
      </c>
      <c r="K267" t="s">
        <v>82</v>
      </c>
      <c r="L267">
        <v>942912.96</v>
      </c>
      <c r="M267" t="s">
        <v>83</v>
      </c>
      <c r="U267">
        <v>0</v>
      </c>
      <c r="V267">
        <v>0</v>
      </c>
      <c r="W267">
        <v>825872.91529999999</v>
      </c>
    </row>
    <row r="268" spans="1:23" x14ac:dyDescent="0.25">
      <c r="A268" t="s">
        <v>514</v>
      </c>
      <c r="B268">
        <v>1</v>
      </c>
      <c r="C268" t="s">
        <v>507</v>
      </c>
      <c r="D268" t="s">
        <v>508</v>
      </c>
      <c r="E268" t="s">
        <v>338</v>
      </c>
      <c r="F268" t="s">
        <v>509</v>
      </c>
      <c r="G268" t="s">
        <v>326</v>
      </c>
      <c r="H268" t="s">
        <v>80</v>
      </c>
      <c r="I268" t="s">
        <v>514</v>
      </c>
      <c r="J268" t="s">
        <v>520</v>
      </c>
      <c r="K268" t="s">
        <v>82</v>
      </c>
      <c r="L268">
        <v>768079.10340000002</v>
      </c>
      <c r="M268" t="s">
        <v>83</v>
      </c>
      <c r="N268">
        <v>825872.91529999999</v>
      </c>
      <c r="P268">
        <v>1</v>
      </c>
      <c r="T268">
        <v>1</v>
      </c>
      <c r="U268">
        <v>0</v>
      </c>
      <c r="V268">
        <v>0</v>
      </c>
      <c r="W268">
        <v>825872.91529999999</v>
      </c>
    </row>
    <row r="269" spans="1:23" x14ac:dyDescent="0.25">
      <c r="A269" t="s">
        <v>514</v>
      </c>
      <c r="B269">
        <v>0</v>
      </c>
      <c r="C269" t="s">
        <v>507</v>
      </c>
      <c r="D269" t="s">
        <v>508</v>
      </c>
      <c r="E269" t="s">
        <v>338</v>
      </c>
      <c r="F269" t="s">
        <v>509</v>
      </c>
      <c r="G269" t="s">
        <v>84</v>
      </c>
      <c r="H269" t="s">
        <v>106</v>
      </c>
      <c r="I269" t="s">
        <v>514</v>
      </c>
      <c r="J269" t="s">
        <v>521</v>
      </c>
      <c r="K269" t="s">
        <v>82</v>
      </c>
      <c r="L269">
        <v>11107.275</v>
      </c>
      <c r="M269" t="s">
        <v>83</v>
      </c>
      <c r="P269">
        <v>1</v>
      </c>
      <c r="T269">
        <v>1</v>
      </c>
      <c r="U269">
        <v>0</v>
      </c>
      <c r="V269">
        <v>0</v>
      </c>
      <c r="W269">
        <v>7738.3308333333334</v>
      </c>
    </row>
    <row r="270" spans="1:23" x14ac:dyDescent="0.25">
      <c r="A270" t="s">
        <v>514</v>
      </c>
      <c r="B270">
        <v>0</v>
      </c>
      <c r="C270" t="s">
        <v>507</v>
      </c>
      <c r="D270" t="s">
        <v>508</v>
      </c>
      <c r="E270" t="s">
        <v>338</v>
      </c>
      <c r="F270" t="s">
        <v>509</v>
      </c>
      <c r="G270" t="s">
        <v>84</v>
      </c>
      <c r="H270" t="s">
        <v>106</v>
      </c>
      <c r="I270" t="s">
        <v>514</v>
      </c>
      <c r="J270" t="s">
        <v>522</v>
      </c>
      <c r="K270" t="s">
        <v>82</v>
      </c>
      <c r="L270">
        <v>4852.54</v>
      </c>
      <c r="M270" t="s">
        <v>83</v>
      </c>
      <c r="U270">
        <v>0</v>
      </c>
      <c r="V270">
        <v>0</v>
      </c>
      <c r="W270">
        <v>7738.3308333333334</v>
      </c>
    </row>
    <row r="271" spans="1:23" x14ac:dyDescent="0.25">
      <c r="A271" t="s">
        <v>514</v>
      </c>
      <c r="B271">
        <v>1</v>
      </c>
      <c r="C271" t="s">
        <v>507</v>
      </c>
      <c r="D271" t="s">
        <v>508</v>
      </c>
      <c r="E271" t="s">
        <v>338</v>
      </c>
      <c r="F271" t="s">
        <v>509</v>
      </c>
      <c r="G271" t="s">
        <v>326</v>
      </c>
      <c r="H271" t="s">
        <v>106</v>
      </c>
      <c r="I271" t="s">
        <v>514</v>
      </c>
      <c r="J271" t="s">
        <v>523</v>
      </c>
      <c r="K271" t="s">
        <v>82</v>
      </c>
      <c r="L271">
        <v>7255.1774999999998</v>
      </c>
      <c r="M271" t="s">
        <v>83</v>
      </c>
      <c r="N271">
        <v>7738.330833</v>
      </c>
      <c r="P271">
        <v>1</v>
      </c>
      <c r="T271">
        <v>1</v>
      </c>
      <c r="U271">
        <v>0</v>
      </c>
      <c r="V271">
        <v>0</v>
      </c>
      <c r="W271">
        <v>7738.3308333333334</v>
      </c>
    </row>
    <row r="272" spans="1:23" x14ac:dyDescent="0.25">
      <c r="A272" t="s">
        <v>514</v>
      </c>
      <c r="B272">
        <v>0</v>
      </c>
      <c r="C272" t="s">
        <v>507</v>
      </c>
      <c r="D272" t="s">
        <v>508</v>
      </c>
      <c r="E272" t="s">
        <v>338</v>
      </c>
      <c r="F272" t="s">
        <v>509</v>
      </c>
      <c r="G272" t="s">
        <v>84</v>
      </c>
      <c r="H272" t="s">
        <v>87</v>
      </c>
      <c r="I272" t="s">
        <v>524</v>
      </c>
      <c r="J272" t="s">
        <v>525</v>
      </c>
      <c r="K272" t="s">
        <v>82</v>
      </c>
      <c r="L272">
        <v>122741.675</v>
      </c>
      <c r="M272" t="s">
        <v>83</v>
      </c>
      <c r="R272">
        <v>1</v>
      </c>
      <c r="T272">
        <v>1</v>
      </c>
      <c r="U272">
        <v>0</v>
      </c>
      <c r="V272">
        <v>0</v>
      </c>
      <c r="W272">
        <v>133351.01110999999</v>
      </c>
    </row>
    <row r="273" spans="1:23" x14ac:dyDescent="0.25">
      <c r="A273" t="s">
        <v>514</v>
      </c>
      <c r="B273">
        <v>1</v>
      </c>
      <c r="C273" t="s">
        <v>507</v>
      </c>
      <c r="D273" t="s">
        <v>508</v>
      </c>
      <c r="E273" t="s">
        <v>338</v>
      </c>
      <c r="F273" t="s">
        <v>509</v>
      </c>
      <c r="G273" t="s">
        <v>207</v>
      </c>
      <c r="H273" t="s">
        <v>87</v>
      </c>
      <c r="I273" t="s">
        <v>514</v>
      </c>
      <c r="J273" t="s">
        <v>526</v>
      </c>
      <c r="K273" t="s">
        <v>82</v>
      </c>
      <c r="L273">
        <v>95547.083329999994</v>
      </c>
      <c r="M273" t="s">
        <v>83</v>
      </c>
      <c r="N273">
        <v>133351.0111</v>
      </c>
      <c r="S273">
        <v>1</v>
      </c>
      <c r="T273">
        <v>1</v>
      </c>
      <c r="U273">
        <v>0</v>
      </c>
      <c r="V273">
        <v>0</v>
      </c>
      <c r="W273">
        <v>133351.01110999999</v>
      </c>
    </row>
    <row r="274" spans="1:23" x14ac:dyDescent="0.25">
      <c r="A274" t="s">
        <v>514</v>
      </c>
      <c r="B274">
        <v>0</v>
      </c>
      <c r="C274" t="s">
        <v>507</v>
      </c>
      <c r="D274" t="s">
        <v>508</v>
      </c>
      <c r="E274" t="s">
        <v>338</v>
      </c>
      <c r="F274" t="s">
        <v>509</v>
      </c>
      <c r="G274" t="s">
        <v>84</v>
      </c>
      <c r="H274" t="s">
        <v>87</v>
      </c>
      <c r="I274" t="s">
        <v>514</v>
      </c>
      <c r="J274" t="s">
        <v>527</v>
      </c>
      <c r="K274" t="s">
        <v>82</v>
      </c>
      <c r="L274">
        <v>181764.27499999999</v>
      </c>
      <c r="M274" t="s">
        <v>83</v>
      </c>
      <c r="U274">
        <v>0</v>
      </c>
      <c r="V274">
        <v>0</v>
      </c>
      <c r="W274">
        <v>133351.01110999999</v>
      </c>
    </row>
    <row r="275" spans="1:23" x14ac:dyDescent="0.25">
      <c r="A275" t="s">
        <v>514</v>
      </c>
      <c r="B275">
        <v>1</v>
      </c>
      <c r="C275" t="s">
        <v>507</v>
      </c>
      <c r="D275" t="s">
        <v>508</v>
      </c>
      <c r="E275" t="s">
        <v>338</v>
      </c>
      <c r="F275" t="s">
        <v>509</v>
      </c>
      <c r="G275" t="s">
        <v>528</v>
      </c>
      <c r="H275" t="s">
        <v>98</v>
      </c>
      <c r="I275" t="s">
        <v>529</v>
      </c>
      <c r="J275" t="s">
        <v>530</v>
      </c>
      <c r="K275" t="s">
        <v>82</v>
      </c>
      <c r="L275">
        <v>32300</v>
      </c>
      <c r="M275" t="s">
        <v>83</v>
      </c>
      <c r="N275">
        <v>30325</v>
      </c>
      <c r="Q275">
        <v>1</v>
      </c>
      <c r="U275">
        <v>0</v>
      </c>
      <c r="V275">
        <v>0</v>
      </c>
      <c r="W275">
        <v>30325</v>
      </c>
    </row>
    <row r="276" spans="1:23" x14ac:dyDescent="0.25">
      <c r="A276" t="s">
        <v>514</v>
      </c>
      <c r="B276">
        <v>0</v>
      </c>
      <c r="C276" t="s">
        <v>507</v>
      </c>
      <c r="D276" t="s">
        <v>508</v>
      </c>
      <c r="E276" t="s">
        <v>338</v>
      </c>
      <c r="F276" t="s">
        <v>509</v>
      </c>
      <c r="G276" t="s">
        <v>84</v>
      </c>
      <c r="H276" t="s">
        <v>98</v>
      </c>
      <c r="I276" t="s">
        <v>531</v>
      </c>
      <c r="J276" t="s">
        <v>532</v>
      </c>
      <c r="K276" t="s">
        <v>82</v>
      </c>
      <c r="L276">
        <v>28350</v>
      </c>
      <c r="M276" t="s">
        <v>83</v>
      </c>
      <c r="R276">
        <v>1</v>
      </c>
      <c r="T276">
        <v>1</v>
      </c>
      <c r="U276">
        <v>0</v>
      </c>
      <c r="V276">
        <v>0</v>
      </c>
      <c r="W276">
        <v>30325</v>
      </c>
    </row>
    <row r="277" spans="1:23" x14ac:dyDescent="0.25">
      <c r="A277" t="s">
        <v>533</v>
      </c>
      <c r="B277">
        <v>0</v>
      </c>
      <c r="C277" t="s">
        <v>507</v>
      </c>
      <c r="D277" t="s">
        <v>508</v>
      </c>
      <c r="E277" t="s">
        <v>338</v>
      </c>
      <c r="F277" t="s">
        <v>509</v>
      </c>
      <c r="G277" t="s">
        <v>84</v>
      </c>
      <c r="H277" t="s">
        <v>87</v>
      </c>
      <c r="I277" t="s">
        <v>533</v>
      </c>
      <c r="J277" t="s">
        <v>534</v>
      </c>
      <c r="K277" t="s">
        <v>82</v>
      </c>
      <c r="L277">
        <v>144247.3083</v>
      </c>
      <c r="M277" t="s">
        <v>83</v>
      </c>
      <c r="U277">
        <v>0</v>
      </c>
      <c r="V277">
        <v>0</v>
      </c>
      <c r="W277">
        <v>138920.25</v>
      </c>
    </row>
    <row r="278" spans="1:23" x14ac:dyDescent="0.25">
      <c r="A278" t="s">
        <v>533</v>
      </c>
      <c r="B278">
        <v>1</v>
      </c>
      <c r="C278" t="s">
        <v>507</v>
      </c>
      <c r="D278" t="s">
        <v>508</v>
      </c>
      <c r="E278" t="s">
        <v>338</v>
      </c>
      <c r="F278" t="s">
        <v>509</v>
      </c>
      <c r="G278" t="s">
        <v>413</v>
      </c>
      <c r="H278" t="s">
        <v>87</v>
      </c>
      <c r="I278" t="s">
        <v>535</v>
      </c>
      <c r="J278" t="s">
        <v>536</v>
      </c>
      <c r="K278" t="s">
        <v>82</v>
      </c>
      <c r="L278">
        <v>161621.25</v>
      </c>
      <c r="M278" t="s">
        <v>83</v>
      </c>
      <c r="N278">
        <v>138920.25</v>
      </c>
      <c r="U278">
        <v>0</v>
      </c>
      <c r="V278">
        <v>0</v>
      </c>
      <c r="W278">
        <v>138920.25</v>
      </c>
    </row>
    <row r="279" spans="1:23" x14ac:dyDescent="0.25">
      <c r="A279" t="s">
        <v>533</v>
      </c>
      <c r="B279">
        <v>0</v>
      </c>
      <c r="C279" t="s">
        <v>507</v>
      </c>
      <c r="D279" t="s">
        <v>508</v>
      </c>
      <c r="E279" t="s">
        <v>338</v>
      </c>
      <c r="F279" t="s">
        <v>509</v>
      </c>
      <c r="G279" t="s">
        <v>84</v>
      </c>
      <c r="H279" t="s">
        <v>87</v>
      </c>
      <c r="I279" t="s">
        <v>533</v>
      </c>
      <c r="J279" t="s">
        <v>537</v>
      </c>
      <c r="K279" t="s">
        <v>82</v>
      </c>
      <c r="L279">
        <v>110892.1917</v>
      </c>
      <c r="M279" t="s">
        <v>83</v>
      </c>
      <c r="U279">
        <v>0</v>
      </c>
      <c r="V279">
        <v>0</v>
      </c>
      <c r="W279">
        <v>138920.25</v>
      </c>
    </row>
    <row r="280" spans="1:23" x14ac:dyDescent="0.25">
      <c r="A280" t="s">
        <v>538</v>
      </c>
      <c r="B280">
        <v>0</v>
      </c>
      <c r="C280" t="s">
        <v>507</v>
      </c>
      <c r="D280" t="s">
        <v>539</v>
      </c>
      <c r="E280" t="s">
        <v>338</v>
      </c>
      <c r="F280" t="s">
        <v>509</v>
      </c>
      <c r="G280" t="s">
        <v>84</v>
      </c>
      <c r="H280" t="s">
        <v>92</v>
      </c>
      <c r="I280" t="s">
        <v>540</v>
      </c>
      <c r="J280" t="s">
        <v>541</v>
      </c>
      <c r="K280" t="s">
        <v>82</v>
      </c>
      <c r="L280">
        <v>13050</v>
      </c>
      <c r="M280" t="s">
        <v>83</v>
      </c>
      <c r="U280">
        <v>0</v>
      </c>
      <c r="V280">
        <v>0</v>
      </c>
      <c r="W280">
        <v>28613.333333333336</v>
      </c>
    </row>
    <row r="281" spans="1:23" x14ac:dyDescent="0.25">
      <c r="A281" t="s">
        <v>538</v>
      </c>
      <c r="B281">
        <v>1</v>
      </c>
      <c r="C281" t="s">
        <v>507</v>
      </c>
      <c r="D281" t="s">
        <v>539</v>
      </c>
      <c r="E281" t="s">
        <v>338</v>
      </c>
      <c r="F281" t="s">
        <v>509</v>
      </c>
      <c r="G281" t="s">
        <v>264</v>
      </c>
      <c r="H281" t="s">
        <v>92</v>
      </c>
      <c r="I281" t="s">
        <v>542</v>
      </c>
      <c r="J281" t="s">
        <v>543</v>
      </c>
      <c r="K281" t="s">
        <v>82</v>
      </c>
      <c r="L281">
        <v>27240</v>
      </c>
      <c r="M281" t="s">
        <v>83</v>
      </c>
      <c r="N281">
        <v>28613.333330000001</v>
      </c>
      <c r="U281">
        <v>0</v>
      </c>
      <c r="V281">
        <v>0</v>
      </c>
      <c r="W281">
        <v>28613.333333333336</v>
      </c>
    </row>
    <row r="282" spans="1:23" x14ac:dyDescent="0.25">
      <c r="A282" t="s">
        <v>538</v>
      </c>
      <c r="B282">
        <v>0</v>
      </c>
      <c r="C282" t="s">
        <v>507</v>
      </c>
      <c r="D282" t="s">
        <v>539</v>
      </c>
      <c r="E282" t="s">
        <v>338</v>
      </c>
      <c r="F282" t="s">
        <v>509</v>
      </c>
      <c r="G282" t="s">
        <v>84</v>
      </c>
      <c r="H282" t="s">
        <v>92</v>
      </c>
      <c r="I282" t="s">
        <v>544</v>
      </c>
      <c r="J282" t="s">
        <v>181</v>
      </c>
      <c r="K282" t="s">
        <v>82</v>
      </c>
      <c r="L282">
        <v>45550</v>
      </c>
      <c r="M282" t="s">
        <v>83</v>
      </c>
      <c r="S282">
        <v>1</v>
      </c>
      <c r="U282">
        <v>0</v>
      </c>
      <c r="V282">
        <v>0</v>
      </c>
      <c r="W282">
        <v>28613.333333333336</v>
      </c>
    </row>
    <row r="283" spans="1:23" x14ac:dyDescent="0.25">
      <c r="A283" t="s">
        <v>538</v>
      </c>
      <c r="B283">
        <v>1</v>
      </c>
      <c r="C283" t="s">
        <v>507</v>
      </c>
      <c r="D283" t="s">
        <v>539</v>
      </c>
      <c r="E283" t="s">
        <v>338</v>
      </c>
      <c r="F283" t="s">
        <v>509</v>
      </c>
      <c r="G283" t="s">
        <v>289</v>
      </c>
      <c r="H283" t="s">
        <v>98</v>
      </c>
      <c r="I283" t="s">
        <v>545</v>
      </c>
      <c r="J283" t="s">
        <v>546</v>
      </c>
      <c r="K283" t="s">
        <v>82</v>
      </c>
      <c r="L283">
        <v>14200</v>
      </c>
      <c r="M283" t="s">
        <v>83</v>
      </c>
      <c r="N283">
        <v>23825</v>
      </c>
      <c r="Q283">
        <v>1</v>
      </c>
      <c r="R283">
        <v>1</v>
      </c>
      <c r="U283">
        <v>0</v>
      </c>
      <c r="V283">
        <v>0</v>
      </c>
      <c r="W283">
        <v>23825</v>
      </c>
    </row>
    <row r="284" spans="1:23" x14ac:dyDescent="0.25">
      <c r="A284" t="s">
        <v>538</v>
      </c>
      <c r="B284">
        <v>0</v>
      </c>
      <c r="C284" t="s">
        <v>507</v>
      </c>
      <c r="D284" t="s">
        <v>539</v>
      </c>
      <c r="E284" t="s">
        <v>338</v>
      </c>
      <c r="F284" t="s">
        <v>509</v>
      </c>
      <c r="G284" t="s">
        <v>84</v>
      </c>
      <c r="H284" t="s">
        <v>98</v>
      </c>
      <c r="I284" t="s">
        <v>547</v>
      </c>
      <c r="J284" t="s">
        <v>548</v>
      </c>
      <c r="K284" t="s">
        <v>82</v>
      </c>
      <c r="L284">
        <v>33450</v>
      </c>
      <c r="M284" t="s">
        <v>83</v>
      </c>
      <c r="U284">
        <v>0</v>
      </c>
      <c r="V284">
        <v>0</v>
      </c>
      <c r="W284">
        <v>23825</v>
      </c>
    </row>
    <row r="285" spans="1:23" x14ac:dyDescent="0.25">
      <c r="A285" t="s">
        <v>538</v>
      </c>
      <c r="B285">
        <v>1</v>
      </c>
      <c r="C285" t="s">
        <v>507</v>
      </c>
      <c r="D285" t="s">
        <v>539</v>
      </c>
      <c r="E285" t="s">
        <v>338</v>
      </c>
      <c r="F285" t="s">
        <v>509</v>
      </c>
      <c r="G285" t="s">
        <v>495</v>
      </c>
      <c r="H285" t="s">
        <v>87</v>
      </c>
      <c r="I285" t="s">
        <v>538</v>
      </c>
      <c r="J285" t="s">
        <v>549</v>
      </c>
      <c r="K285" t="s">
        <v>82</v>
      </c>
      <c r="L285">
        <v>145993.75</v>
      </c>
      <c r="M285" t="s">
        <v>83</v>
      </c>
      <c r="N285">
        <v>127258.5708</v>
      </c>
      <c r="Q285">
        <v>1</v>
      </c>
      <c r="U285">
        <v>0</v>
      </c>
      <c r="V285">
        <v>0</v>
      </c>
      <c r="W285">
        <v>127258.57084999999</v>
      </c>
    </row>
    <row r="286" spans="1:23" x14ac:dyDescent="0.25">
      <c r="A286" t="s">
        <v>538</v>
      </c>
      <c r="B286">
        <v>0</v>
      </c>
      <c r="C286" t="s">
        <v>507</v>
      </c>
      <c r="D286" t="s">
        <v>539</v>
      </c>
      <c r="E286" t="s">
        <v>338</v>
      </c>
      <c r="F286" t="s">
        <v>509</v>
      </c>
      <c r="G286" t="s">
        <v>84</v>
      </c>
      <c r="H286" t="s">
        <v>87</v>
      </c>
      <c r="I286" t="s">
        <v>538</v>
      </c>
      <c r="J286" t="s">
        <v>550</v>
      </c>
      <c r="K286" t="s">
        <v>82</v>
      </c>
      <c r="L286">
        <v>108523.39169999999</v>
      </c>
      <c r="M286" t="s">
        <v>83</v>
      </c>
      <c r="T286">
        <v>1</v>
      </c>
      <c r="U286">
        <v>0</v>
      </c>
      <c r="V286">
        <v>0</v>
      </c>
      <c r="W286">
        <v>127258.57084999999</v>
      </c>
    </row>
    <row r="287" spans="1:23" x14ac:dyDescent="0.25">
      <c r="A287" t="s">
        <v>538</v>
      </c>
      <c r="B287">
        <v>1</v>
      </c>
      <c r="C287" t="s">
        <v>507</v>
      </c>
      <c r="D287" t="s">
        <v>539</v>
      </c>
      <c r="E287" t="s">
        <v>338</v>
      </c>
      <c r="F287" t="s">
        <v>509</v>
      </c>
      <c r="G287" t="s">
        <v>79</v>
      </c>
      <c r="H287" t="s">
        <v>106</v>
      </c>
      <c r="I287" t="s">
        <v>538</v>
      </c>
      <c r="J287" t="s">
        <v>551</v>
      </c>
      <c r="K287" t="s">
        <v>82</v>
      </c>
      <c r="L287">
        <v>9350.5925000000007</v>
      </c>
      <c r="M287" t="s">
        <v>83</v>
      </c>
      <c r="N287">
        <v>8098.07</v>
      </c>
      <c r="U287">
        <v>0</v>
      </c>
      <c r="V287">
        <v>0</v>
      </c>
      <c r="W287">
        <v>8098.07</v>
      </c>
    </row>
    <row r="288" spans="1:23" x14ac:dyDescent="0.25">
      <c r="A288" t="s">
        <v>538</v>
      </c>
      <c r="B288">
        <v>0</v>
      </c>
      <c r="C288" t="s">
        <v>507</v>
      </c>
      <c r="D288" t="s">
        <v>539</v>
      </c>
      <c r="E288" t="s">
        <v>552</v>
      </c>
      <c r="F288" t="s">
        <v>509</v>
      </c>
      <c r="G288" t="s">
        <v>84</v>
      </c>
      <c r="H288" t="s">
        <v>106</v>
      </c>
      <c r="I288" t="s">
        <v>538</v>
      </c>
      <c r="J288" t="s">
        <v>553</v>
      </c>
      <c r="K288" t="s">
        <v>82</v>
      </c>
      <c r="L288">
        <v>6845.5474999999997</v>
      </c>
      <c r="M288" t="s">
        <v>83</v>
      </c>
      <c r="S288">
        <v>1</v>
      </c>
      <c r="U288">
        <v>0</v>
      </c>
      <c r="V288">
        <v>0</v>
      </c>
      <c r="W288">
        <v>8098.07</v>
      </c>
    </row>
    <row r="289" spans="1:23" x14ac:dyDescent="0.25">
      <c r="A289" t="s">
        <v>538</v>
      </c>
      <c r="B289">
        <v>1</v>
      </c>
      <c r="C289" t="s">
        <v>507</v>
      </c>
      <c r="D289" t="s">
        <v>539</v>
      </c>
      <c r="E289" t="s">
        <v>552</v>
      </c>
      <c r="F289" t="s">
        <v>509</v>
      </c>
      <c r="G289" t="s">
        <v>79</v>
      </c>
      <c r="H289" t="s">
        <v>80</v>
      </c>
      <c r="I289" t="s">
        <v>538</v>
      </c>
      <c r="J289" t="s">
        <v>554</v>
      </c>
      <c r="K289" t="s">
        <v>82</v>
      </c>
      <c r="L289">
        <v>895921.25</v>
      </c>
      <c r="M289" t="s">
        <v>83</v>
      </c>
      <c r="N289">
        <v>775087.81499999994</v>
      </c>
      <c r="U289">
        <v>0</v>
      </c>
      <c r="V289">
        <v>0</v>
      </c>
      <c r="W289">
        <v>775087.81499999994</v>
      </c>
    </row>
    <row r="290" spans="1:23" x14ac:dyDescent="0.25">
      <c r="A290" t="s">
        <v>538</v>
      </c>
      <c r="B290">
        <v>0</v>
      </c>
      <c r="C290" t="s">
        <v>507</v>
      </c>
      <c r="D290" t="s">
        <v>539</v>
      </c>
      <c r="E290" t="s">
        <v>552</v>
      </c>
      <c r="F290" t="s">
        <v>509</v>
      </c>
      <c r="G290" t="s">
        <v>84</v>
      </c>
      <c r="H290" t="s">
        <v>80</v>
      </c>
      <c r="I290" t="s">
        <v>538</v>
      </c>
      <c r="J290" t="s">
        <v>555</v>
      </c>
      <c r="K290" t="s">
        <v>82</v>
      </c>
      <c r="L290">
        <v>654254.38</v>
      </c>
      <c r="M290" t="s">
        <v>83</v>
      </c>
      <c r="S290">
        <v>1</v>
      </c>
      <c r="U290">
        <v>0</v>
      </c>
      <c r="V290">
        <v>0</v>
      </c>
      <c r="W290">
        <v>775087.81499999994</v>
      </c>
    </row>
    <row r="291" spans="1:23" x14ac:dyDescent="0.25">
      <c r="A291" t="s">
        <v>556</v>
      </c>
      <c r="B291">
        <v>0</v>
      </c>
      <c r="C291" t="s">
        <v>557</v>
      </c>
      <c r="D291" t="s">
        <v>558</v>
      </c>
      <c r="E291" t="s">
        <v>552</v>
      </c>
      <c r="F291" t="s">
        <v>559</v>
      </c>
      <c r="G291" t="s">
        <v>84</v>
      </c>
      <c r="H291" t="s">
        <v>92</v>
      </c>
      <c r="I291" t="s">
        <v>560</v>
      </c>
      <c r="J291" t="s">
        <v>543</v>
      </c>
      <c r="K291" t="s">
        <v>82</v>
      </c>
      <c r="L291">
        <v>34420</v>
      </c>
      <c r="M291" t="s">
        <v>83</v>
      </c>
      <c r="Q291">
        <v>1</v>
      </c>
      <c r="U291">
        <v>0</v>
      </c>
      <c r="V291">
        <v>0</v>
      </c>
      <c r="W291">
        <v>32550</v>
      </c>
    </row>
    <row r="292" spans="1:23" x14ac:dyDescent="0.25">
      <c r="A292" t="s">
        <v>556</v>
      </c>
      <c r="B292">
        <v>0</v>
      </c>
      <c r="C292" t="s">
        <v>557</v>
      </c>
      <c r="D292" t="s">
        <v>558</v>
      </c>
      <c r="E292" t="s">
        <v>552</v>
      </c>
      <c r="F292" t="s">
        <v>559</v>
      </c>
      <c r="G292" t="s">
        <v>84</v>
      </c>
      <c r="H292" t="s">
        <v>92</v>
      </c>
      <c r="I292" t="s">
        <v>561</v>
      </c>
      <c r="J292" t="s">
        <v>562</v>
      </c>
      <c r="K292" t="s">
        <v>82</v>
      </c>
      <c r="L292">
        <v>34780</v>
      </c>
      <c r="M292" t="s">
        <v>83</v>
      </c>
      <c r="P292">
        <v>1</v>
      </c>
      <c r="R292">
        <v>1</v>
      </c>
      <c r="U292">
        <v>0</v>
      </c>
      <c r="V292">
        <v>0</v>
      </c>
      <c r="W292">
        <v>32550</v>
      </c>
    </row>
    <row r="293" spans="1:23" x14ac:dyDescent="0.25">
      <c r="A293" t="s">
        <v>556</v>
      </c>
      <c r="B293">
        <v>1</v>
      </c>
      <c r="C293" t="s">
        <v>557</v>
      </c>
      <c r="D293" t="s">
        <v>558</v>
      </c>
      <c r="E293" t="s">
        <v>552</v>
      </c>
      <c r="F293" t="s">
        <v>559</v>
      </c>
      <c r="G293" t="s">
        <v>301</v>
      </c>
      <c r="H293" t="s">
        <v>92</v>
      </c>
      <c r="I293" t="s">
        <v>563</v>
      </c>
      <c r="J293" t="s">
        <v>303</v>
      </c>
      <c r="K293" t="s">
        <v>82</v>
      </c>
      <c r="L293">
        <v>28450</v>
      </c>
      <c r="M293" t="s">
        <v>83</v>
      </c>
      <c r="N293">
        <v>32550</v>
      </c>
      <c r="S293">
        <v>1</v>
      </c>
      <c r="U293">
        <v>0</v>
      </c>
      <c r="V293">
        <v>0</v>
      </c>
      <c r="W293">
        <v>32550</v>
      </c>
    </row>
    <row r="294" spans="1:23" x14ac:dyDescent="0.25">
      <c r="A294" t="s">
        <v>556</v>
      </c>
      <c r="B294">
        <v>0</v>
      </c>
      <c r="C294" t="s">
        <v>557</v>
      </c>
      <c r="D294" t="s">
        <v>558</v>
      </c>
      <c r="E294" t="s">
        <v>552</v>
      </c>
      <c r="F294" t="s">
        <v>559</v>
      </c>
      <c r="G294" t="s">
        <v>84</v>
      </c>
      <c r="H294" t="s">
        <v>185</v>
      </c>
      <c r="I294" t="s">
        <v>556</v>
      </c>
      <c r="J294" t="s">
        <v>564</v>
      </c>
      <c r="K294" t="s">
        <v>82</v>
      </c>
      <c r="L294">
        <v>15439.9</v>
      </c>
      <c r="M294" t="s">
        <v>83</v>
      </c>
      <c r="U294">
        <v>0</v>
      </c>
      <c r="V294">
        <v>0</v>
      </c>
      <c r="W294">
        <v>16175.133333333333</v>
      </c>
    </row>
    <row r="295" spans="1:23" x14ac:dyDescent="0.25">
      <c r="A295" t="s">
        <v>556</v>
      </c>
      <c r="B295">
        <v>1</v>
      </c>
      <c r="C295" t="s">
        <v>557</v>
      </c>
      <c r="D295" t="s">
        <v>558</v>
      </c>
      <c r="E295" t="s">
        <v>552</v>
      </c>
      <c r="F295" t="s">
        <v>559</v>
      </c>
      <c r="G295" t="s">
        <v>79</v>
      </c>
      <c r="H295" t="s">
        <v>185</v>
      </c>
      <c r="I295" t="s">
        <v>556</v>
      </c>
      <c r="J295" t="s">
        <v>565</v>
      </c>
      <c r="K295" t="s">
        <v>82</v>
      </c>
      <c r="L295">
        <v>13549.3</v>
      </c>
      <c r="M295" t="s">
        <v>83</v>
      </c>
      <c r="N295">
        <v>16175.133330000001</v>
      </c>
      <c r="U295">
        <v>0</v>
      </c>
      <c r="V295">
        <v>0</v>
      </c>
      <c r="W295">
        <v>16175.133333333333</v>
      </c>
    </row>
    <row r="296" spans="1:23" x14ac:dyDescent="0.25">
      <c r="A296" t="s">
        <v>556</v>
      </c>
      <c r="B296">
        <v>0</v>
      </c>
      <c r="C296" t="s">
        <v>557</v>
      </c>
      <c r="D296" t="s">
        <v>558</v>
      </c>
      <c r="E296" t="s">
        <v>552</v>
      </c>
      <c r="F296" t="s">
        <v>559</v>
      </c>
      <c r="G296" t="s">
        <v>84</v>
      </c>
      <c r="H296" t="s">
        <v>185</v>
      </c>
      <c r="I296" t="s">
        <v>556</v>
      </c>
      <c r="J296" t="s">
        <v>566</v>
      </c>
      <c r="K296" t="s">
        <v>82</v>
      </c>
      <c r="L296">
        <v>19536.2</v>
      </c>
      <c r="M296" t="s">
        <v>83</v>
      </c>
      <c r="U296">
        <v>0</v>
      </c>
      <c r="V296">
        <v>0</v>
      </c>
      <c r="W296">
        <v>16175.133333333333</v>
      </c>
    </row>
    <row r="297" spans="1:23" x14ac:dyDescent="0.25">
      <c r="A297" t="s">
        <v>556</v>
      </c>
      <c r="B297">
        <v>1</v>
      </c>
      <c r="C297" t="s">
        <v>557</v>
      </c>
      <c r="D297" t="s">
        <v>558</v>
      </c>
      <c r="E297" t="s">
        <v>552</v>
      </c>
      <c r="F297" t="s">
        <v>559</v>
      </c>
      <c r="G297" t="s">
        <v>203</v>
      </c>
      <c r="H297" t="s">
        <v>98</v>
      </c>
      <c r="I297" t="s">
        <v>567</v>
      </c>
      <c r="J297" t="s">
        <v>568</v>
      </c>
      <c r="K297" t="s">
        <v>82</v>
      </c>
      <c r="L297">
        <v>34400</v>
      </c>
      <c r="M297" t="s">
        <v>83</v>
      </c>
      <c r="N297">
        <v>30133.333330000001</v>
      </c>
      <c r="U297">
        <v>0</v>
      </c>
      <c r="V297">
        <v>0</v>
      </c>
      <c r="W297">
        <v>30133.333333333332</v>
      </c>
    </row>
    <row r="298" spans="1:23" x14ac:dyDescent="0.25">
      <c r="A298" t="s">
        <v>556</v>
      </c>
      <c r="B298">
        <v>0</v>
      </c>
      <c r="C298" t="s">
        <v>557</v>
      </c>
      <c r="D298" t="s">
        <v>558</v>
      </c>
      <c r="E298" t="s">
        <v>552</v>
      </c>
      <c r="F298" t="s">
        <v>559</v>
      </c>
      <c r="G298" t="s">
        <v>84</v>
      </c>
      <c r="H298" t="s">
        <v>98</v>
      </c>
      <c r="I298" t="s">
        <v>569</v>
      </c>
      <c r="J298" t="s">
        <v>570</v>
      </c>
      <c r="K298" t="s">
        <v>82</v>
      </c>
      <c r="L298">
        <v>23350</v>
      </c>
      <c r="M298" t="s">
        <v>83</v>
      </c>
      <c r="S298">
        <v>1</v>
      </c>
      <c r="U298">
        <v>0</v>
      </c>
      <c r="V298">
        <v>0</v>
      </c>
      <c r="W298">
        <v>30133.333333333332</v>
      </c>
    </row>
    <row r="299" spans="1:23" x14ac:dyDescent="0.25">
      <c r="A299" t="s">
        <v>556</v>
      </c>
      <c r="B299">
        <v>0</v>
      </c>
      <c r="C299" t="s">
        <v>557</v>
      </c>
      <c r="D299" t="s">
        <v>558</v>
      </c>
      <c r="E299" t="s">
        <v>552</v>
      </c>
      <c r="F299" t="s">
        <v>559</v>
      </c>
      <c r="G299" t="s">
        <v>84</v>
      </c>
      <c r="H299" t="s">
        <v>98</v>
      </c>
      <c r="I299" t="s">
        <v>571</v>
      </c>
      <c r="J299" t="s">
        <v>572</v>
      </c>
      <c r="K299" t="s">
        <v>82</v>
      </c>
      <c r="L299">
        <v>32650</v>
      </c>
      <c r="M299" t="s">
        <v>83</v>
      </c>
      <c r="Q299">
        <v>1</v>
      </c>
      <c r="S299">
        <v>1</v>
      </c>
      <c r="U299">
        <v>0</v>
      </c>
      <c r="V299">
        <v>0</v>
      </c>
      <c r="W299">
        <v>30133.333333333332</v>
      </c>
    </row>
    <row r="300" spans="1:23" x14ac:dyDescent="0.25">
      <c r="A300" t="s">
        <v>556</v>
      </c>
      <c r="B300">
        <v>1</v>
      </c>
      <c r="C300" t="s">
        <v>557</v>
      </c>
      <c r="D300" t="s">
        <v>558</v>
      </c>
      <c r="E300" t="s">
        <v>552</v>
      </c>
      <c r="F300" t="s">
        <v>559</v>
      </c>
      <c r="G300" t="s">
        <v>384</v>
      </c>
      <c r="H300" t="s">
        <v>87</v>
      </c>
      <c r="I300" t="s">
        <v>556</v>
      </c>
      <c r="J300" t="s">
        <v>573</v>
      </c>
      <c r="K300" t="s">
        <v>82</v>
      </c>
      <c r="L300">
        <v>76794.083329999994</v>
      </c>
      <c r="M300" t="s">
        <v>83</v>
      </c>
      <c r="N300">
        <v>87986.9375</v>
      </c>
      <c r="R300">
        <v>1</v>
      </c>
      <c r="U300">
        <v>0</v>
      </c>
      <c r="V300">
        <v>0</v>
      </c>
      <c r="W300">
        <v>87986.9375</v>
      </c>
    </row>
    <row r="301" spans="1:23" x14ac:dyDescent="0.25">
      <c r="A301" t="s">
        <v>556</v>
      </c>
      <c r="B301">
        <v>0</v>
      </c>
      <c r="C301" t="s">
        <v>557</v>
      </c>
      <c r="D301" t="s">
        <v>558</v>
      </c>
      <c r="E301" t="s">
        <v>552</v>
      </c>
      <c r="F301" t="s">
        <v>559</v>
      </c>
      <c r="G301" t="s">
        <v>84</v>
      </c>
      <c r="H301" t="s">
        <v>87</v>
      </c>
      <c r="I301" t="s">
        <v>556</v>
      </c>
      <c r="J301" t="s">
        <v>574</v>
      </c>
      <c r="K301" t="s">
        <v>82</v>
      </c>
      <c r="L301">
        <v>99179.791670000006</v>
      </c>
      <c r="M301" t="s">
        <v>83</v>
      </c>
      <c r="U301">
        <v>0</v>
      </c>
      <c r="V301">
        <v>0</v>
      </c>
      <c r="W301">
        <v>87986.9375</v>
      </c>
    </row>
    <row r="302" spans="1:23" x14ac:dyDescent="0.25">
      <c r="A302" t="s">
        <v>556</v>
      </c>
      <c r="B302">
        <v>0</v>
      </c>
      <c r="C302" t="s">
        <v>557</v>
      </c>
      <c r="D302" t="s">
        <v>558</v>
      </c>
      <c r="E302" t="s">
        <v>552</v>
      </c>
      <c r="F302" t="s">
        <v>559</v>
      </c>
      <c r="G302" t="s">
        <v>84</v>
      </c>
      <c r="H302" t="s">
        <v>110</v>
      </c>
      <c r="I302" t="s">
        <v>556</v>
      </c>
      <c r="J302" t="s">
        <v>575</v>
      </c>
      <c r="K302" t="s">
        <v>82</v>
      </c>
      <c r="L302">
        <v>12065</v>
      </c>
      <c r="M302" t="s">
        <v>83</v>
      </c>
      <c r="U302">
        <v>0</v>
      </c>
      <c r="V302">
        <v>0</v>
      </c>
      <c r="W302">
        <v>14816.666666666666</v>
      </c>
    </row>
    <row r="303" spans="1:23" x14ac:dyDescent="0.25">
      <c r="A303" t="s">
        <v>556</v>
      </c>
      <c r="B303">
        <v>1</v>
      </c>
      <c r="C303" t="s">
        <v>557</v>
      </c>
      <c r="D303" t="s">
        <v>558</v>
      </c>
      <c r="E303" t="s">
        <v>552</v>
      </c>
      <c r="F303" t="s">
        <v>559</v>
      </c>
      <c r="G303" t="s">
        <v>79</v>
      </c>
      <c r="H303" t="s">
        <v>110</v>
      </c>
      <c r="I303" t="s">
        <v>556</v>
      </c>
      <c r="J303" t="s">
        <v>576</v>
      </c>
      <c r="K303" t="s">
        <v>82</v>
      </c>
      <c r="L303">
        <v>18288</v>
      </c>
      <c r="M303" t="s">
        <v>83</v>
      </c>
      <c r="N303">
        <v>14816.666670000001</v>
      </c>
      <c r="U303">
        <v>0</v>
      </c>
      <c r="V303">
        <v>0</v>
      </c>
      <c r="W303">
        <v>14816.666666666666</v>
      </c>
    </row>
    <row r="304" spans="1:23" x14ac:dyDescent="0.25">
      <c r="A304" t="s">
        <v>556</v>
      </c>
      <c r="B304">
        <v>0</v>
      </c>
      <c r="C304" t="s">
        <v>557</v>
      </c>
      <c r="D304" t="s">
        <v>558</v>
      </c>
      <c r="E304" t="s">
        <v>552</v>
      </c>
      <c r="F304" t="s">
        <v>559</v>
      </c>
      <c r="G304" t="s">
        <v>84</v>
      </c>
      <c r="H304" t="s">
        <v>110</v>
      </c>
      <c r="I304" t="s">
        <v>556</v>
      </c>
      <c r="J304" t="s">
        <v>577</v>
      </c>
      <c r="K304" t="s">
        <v>82</v>
      </c>
      <c r="L304">
        <v>14097</v>
      </c>
      <c r="M304" t="s">
        <v>83</v>
      </c>
      <c r="U304">
        <v>0</v>
      </c>
      <c r="V304">
        <v>0</v>
      </c>
      <c r="W304">
        <v>14816.666666666666</v>
      </c>
    </row>
    <row r="305" spans="1:23" x14ac:dyDescent="0.25">
      <c r="A305" t="s">
        <v>556</v>
      </c>
      <c r="B305">
        <v>0</v>
      </c>
      <c r="C305" t="s">
        <v>557</v>
      </c>
      <c r="D305" t="s">
        <v>558</v>
      </c>
      <c r="E305" t="s">
        <v>552</v>
      </c>
      <c r="F305" t="s">
        <v>559</v>
      </c>
      <c r="G305" t="s">
        <v>84</v>
      </c>
      <c r="H305" t="s">
        <v>106</v>
      </c>
      <c r="I305" t="s">
        <v>556</v>
      </c>
      <c r="J305" t="s">
        <v>578</v>
      </c>
      <c r="K305" t="s">
        <v>82</v>
      </c>
      <c r="L305">
        <v>10083.200000000001</v>
      </c>
      <c r="M305" t="s">
        <v>83</v>
      </c>
      <c r="U305">
        <v>0</v>
      </c>
      <c r="V305">
        <v>0</v>
      </c>
      <c r="W305">
        <v>7780.3441666666668</v>
      </c>
    </row>
    <row r="306" spans="1:23" x14ac:dyDescent="0.25">
      <c r="A306" t="s">
        <v>556</v>
      </c>
      <c r="B306">
        <v>1</v>
      </c>
      <c r="C306" t="s">
        <v>557</v>
      </c>
      <c r="D306" t="s">
        <v>558</v>
      </c>
      <c r="E306" t="s">
        <v>552</v>
      </c>
      <c r="F306" t="s">
        <v>559</v>
      </c>
      <c r="G306" t="s">
        <v>79</v>
      </c>
      <c r="H306" t="s">
        <v>106</v>
      </c>
      <c r="I306" t="s">
        <v>556</v>
      </c>
      <c r="J306" t="s">
        <v>579</v>
      </c>
      <c r="K306" t="s">
        <v>82</v>
      </c>
      <c r="L306">
        <v>8736.1474999999991</v>
      </c>
      <c r="M306" t="s">
        <v>83</v>
      </c>
      <c r="N306">
        <v>7780.3441670000002</v>
      </c>
      <c r="U306">
        <v>0</v>
      </c>
      <c r="V306">
        <v>0</v>
      </c>
      <c r="W306">
        <v>7780.3441666666668</v>
      </c>
    </row>
    <row r="307" spans="1:23" x14ac:dyDescent="0.25">
      <c r="A307" t="s">
        <v>556</v>
      </c>
      <c r="B307">
        <v>0</v>
      </c>
      <c r="C307" t="s">
        <v>557</v>
      </c>
      <c r="D307" t="s">
        <v>558</v>
      </c>
      <c r="E307" t="s">
        <v>552</v>
      </c>
      <c r="F307" t="s">
        <v>559</v>
      </c>
      <c r="G307" t="s">
        <v>84</v>
      </c>
      <c r="H307" t="s">
        <v>106</v>
      </c>
      <c r="I307" t="s">
        <v>556</v>
      </c>
      <c r="J307" t="s">
        <v>580</v>
      </c>
      <c r="K307" t="s">
        <v>82</v>
      </c>
      <c r="L307">
        <v>4521.6850000000004</v>
      </c>
      <c r="M307" t="s">
        <v>83</v>
      </c>
      <c r="U307">
        <v>0</v>
      </c>
      <c r="V307">
        <v>0</v>
      </c>
      <c r="W307">
        <v>7780.3441666666668</v>
      </c>
    </row>
    <row r="308" spans="1:23" x14ac:dyDescent="0.25">
      <c r="A308" t="s">
        <v>556</v>
      </c>
      <c r="B308">
        <v>0</v>
      </c>
      <c r="C308" t="s">
        <v>557</v>
      </c>
      <c r="D308" t="s">
        <v>558</v>
      </c>
      <c r="E308" t="s">
        <v>552</v>
      </c>
      <c r="F308" t="s">
        <v>559</v>
      </c>
      <c r="G308" t="s">
        <v>84</v>
      </c>
      <c r="H308" t="s">
        <v>80</v>
      </c>
      <c r="I308" t="s">
        <v>556</v>
      </c>
      <c r="J308" t="s">
        <v>581</v>
      </c>
      <c r="K308" t="s">
        <v>82</v>
      </c>
      <c r="L308">
        <v>891654.0625</v>
      </c>
      <c r="M308" t="s">
        <v>83</v>
      </c>
      <c r="U308">
        <v>0</v>
      </c>
      <c r="V308">
        <v>0</v>
      </c>
      <c r="W308">
        <v>834064.01939999999</v>
      </c>
    </row>
    <row r="309" spans="1:23" x14ac:dyDescent="0.25">
      <c r="A309" t="s">
        <v>556</v>
      </c>
      <c r="B309">
        <v>1</v>
      </c>
      <c r="C309" t="s">
        <v>557</v>
      </c>
      <c r="D309" t="s">
        <v>558</v>
      </c>
      <c r="E309" t="s">
        <v>552</v>
      </c>
      <c r="F309" t="s">
        <v>559</v>
      </c>
      <c r="G309" t="s">
        <v>79</v>
      </c>
      <c r="H309" t="s">
        <v>80</v>
      </c>
      <c r="I309" t="s">
        <v>556</v>
      </c>
      <c r="J309" t="s">
        <v>582</v>
      </c>
      <c r="K309" t="s">
        <v>82</v>
      </c>
      <c r="L309">
        <v>805591.46250000002</v>
      </c>
      <c r="M309" t="s">
        <v>83</v>
      </c>
      <c r="N309">
        <v>834064.01939999999</v>
      </c>
      <c r="U309">
        <v>0</v>
      </c>
      <c r="V309">
        <v>0</v>
      </c>
      <c r="W309">
        <v>834064.01939999999</v>
      </c>
    </row>
    <row r="310" spans="1:23" x14ac:dyDescent="0.25">
      <c r="A310" t="s">
        <v>556</v>
      </c>
      <c r="B310">
        <v>0</v>
      </c>
      <c r="C310" t="s">
        <v>557</v>
      </c>
      <c r="D310" t="s">
        <v>558</v>
      </c>
      <c r="E310" t="s">
        <v>552</v>
      </c>
      <c r="F310" t="s">
        <v>559</v>
      </c>
      <c r="G310" t="s">
        <v>84</v>
      </c>
      <c r="H310" t="s">
        <v>80</v>
      </c>
      <c r="I310" t="s">
        <v>556</v>
      </c>
      <c r="J310" t="s">
        <v>583</v>
      </c>
      <c r="K310" t="s">
        <v>82</v>
      </c>
      <c r="L310">
        <v>804946.53319999995</v>
      </c>
      <c r="M310" t="s">
        <v>83</v>
      </c>
      <c r="U310">
        <v>0</v>
      </c>
      <c r="V310">
        <v>0</v>
      </c>
      <c r="W310">
        <v>834064.01939999999</v>
      </c>
    </row>
    <row r="311" spans="1:23" x14ac:dyDescent="0.25">
      <c r="A311" t="s">
        <v>584</v>
      </c>
      <c r="B311">
        <v>1</v>
      </c>
      <c r="C311" t="s">
        <v>557</v>
      </c>
      <c r="D311" t="s">
        <v>585</v>
      </c>
      <c r="E311" t="s">
        <v>552</v>
      </c>
      <c r="F311" t="s">
        <v>559</v>
      </c>
      <c r="G311" t="s">
        <v>141</v>
      </c>
      <c r="H311" t="s">
        <v>92</v>
      </c>
      <c r="I311" t="s">
        <v>586</v>
      </c>
      <c r="J311" t="s">
        <v>587</v>
      </c>
      <c r="K311" t="s">
        <v>82</v>
      </c>
      <c r="L311">
        <v>30170</v>
      </c>
      <c r="M311" t="s">
        <v>83</v>
      </c>
      <c r="N311">
        <v>38485</v>
      </c>
      <c r="O311">
        <v>1</v>
      </c>
      <c r="U311">
        <v>30170</v>
      </c>
      <c r="V311">
        <v>30170</v>
      </c>
      <c r="W311">
        <v>38485</v>
      </c>
    </row>
    <row r="312" spans="1:23" x14ac:dyDescent="0.25">
      <c r="A312" t="s">
        <v>584</v>
      </c>
      <c r="B312">
        <v>0</v>
      </c>
      <c r="C312" t="s">
        <v>557</v>
      </c>
      <c r="D312" t="s">
        <v>585</v>
      </c>
      <c r="E312" t="s">
        <v>552</v>
      </c>
      <c r="F312" t="s">
        <v>559</v>
      </c>
      <c r="G312" t="s">
        <v>84</v>
      </c>
      <c r="H312" t="s">
        <v>92</v>
      </c>
      <c r="I312" t="s">
        <v>543</v>
      </c>
      <c r="J312" t="s">
        <v>543</v>
      </c>
      <c r="K312" t="s">
        <v>82</v>
      </c>
      <c r="L312">
        <v>46800</v>
      </c>
      <c r="M312" t="s">
        <v>83</v>
      </c>
      <c r="U312">
        <v>0</v>
      </c>
      <c r="V312">
        <v>0</v>
      </c>
      <c r="W312">
        <v>38485</v>
      </c>
    </row>
    <row r="313" spans="1:23" x14ac:dyDescent="0.25">
      <c r="A313" t="s">
        <v>584</v>
      </c>
      <c r="B313">
        <v>0</v>
      </c>
      <c r="C313" t="s">
        <v>557</v>
      </c>
      <c r="D313" t="s">
        <v>585</v>
      </c>
      <c r="E313" t="s">
        <v>552</v>
      </c>
      <c r="F313" t="s">
        <v>559</v>
      </c>
      <c r="G313" t="s">
        <v>84</v>
      </c>
      <c r="H313" t="s">
        <v>80</v>
      </c>
      <c r="I313" t="s">
        <v>584</v>
      </c>
      <c r="J313" t="s">
        <v>588</v>
      </c>
      <c r="K313" t="s">
        <v>82</v>
      </c>
      <c r="L313">
        <v>767907.3125</v>
      </c>
      <c r="M313" t="s">
        <v>83</v>
      </c>
      <c r="P313">
        <v>1</v>
      </c>
      <c r="U313">
        <v>0</v>
      </c>
      <c r="V313">
        <v>0</v>
      </c>
      <c r="W313">
        <v>831311.73625000007</v>
      </c>
    </row>
    <row r="314" spans="1:23" x14ac:dyDescent="0.25">
      <c r="A314" t="s">
        <v>584</v>
      </c>
      <c r="B314">
        <v>1</v>
      </c>
      <c r="C314" t="s">
        <v>557</v>
      </c>
      <c r="D314" t="s">
        <v>585</v>
      </c>
      <c r="E314" t="s">
        <v>552</v>
      </c>
      <c r="F314" t="s">
        <v>559</v>
      </c>
      <c r="G314" t="s">
        <v>248</v>
      </c>
      <c r="H314" t="s">
        <v>80</v>
      </c>
      <c r="I314" t="s">
        <v>589</v>
      </c>
      <c r="J314" t="s">
        <v>590</v>
      </c>
      <c r="K314" t="s">
        <v>82</v>
      </c>
      <c r="L314">
        <v>894716.16</v>
      </c>
      <c r="M314" t="s">
        <v>83</v>
      </c>
      <c r="N314">
        <v>831311.73629999999</v>
      </c>
      <c r="U314">
        <v>0</v>
      </c>
      <c r="V314">
        <v>0</v>
      </c>
      <c r="W314">
        <v>831311.73625000007</v>
      </c>
    </row>
    <row r="315" spans="1:23" x14ac:dyDescent="0.25">
      <c r="A315" t="s">
        <v>584</v>
      </c>
      <c r="B315">
        <v>0</v>
      </c>
      <c r="C315" t="s">
        <v>557</v>
      </c>
      <c r="D315" t="s">
        <v>585</v>
      </c>
      <c r="E315" t="s">
        <v>552</v>
      </c>
      <c r="F315" t="s">
        <v>559</v>
      </c>
      <c r="G315" t="s">
        <v>84</v>
      </c>
      <c r="H315" t="s">
        <v>87</v>
      </c>
      <c r="I315" t="s">
        <v>584</v>
      </c>
      <c r="J315" t="s">
        <v>591</v>
      </c>
      <c r="K315" t="s">
        <v>82</v>
      </c>
      <c r="L315">
        <v>103909.1667</v>
      </c>
      <c r="M315" t="s">
        <v>83</v>
      </c>
      <c r="Q315">
        <v>1</v>
      </c>
      <c r="U315">
        <v>0</v>
      </c>
      <c r="V315">
        <v>0</v>
      </c>
      <c r="W315">
        <v>122096.46946666666</v>
      </c>
    </row>
    <row r="316" spans="1:23" x14ac:dyDescent="0.25">
      <c r="A316" t="s">
        <v>584</v>
      </c>
      <c r="B316">
        <v>1</v>
      </c>
      <c r="C316" t="s">
        <v>557</v>
      </c>
      <c r="D316" t="s">
        <v>585</v>
      </c>
      <c r="E316" t="s">
        <v>552</v>
      </c>
      <c r="F316" t="s">
        <v>559</v>
      </c>
      <c r="G316" t="s">
        <v>495</v>
      </c>
      <c r="H316" t="s">
        <v>87</v>
      </c>
      <c r="I316" t="s">
        <v>584</v>
      </c>
      <c r="J316" t="s">
        <v>592</v>
      </c>
      <c r="K316" t="s">
        <v>82</v>
      </c>
      <c r="L316">
        <v>109025.1167</v>
      </c>
      <c r="M316" t="s">
        <v>83</v>
      </c>
      <c r="N316">
        <v>122096.4694</v>
      </c>
      <c r="U316">
        <v>0</v>
      </c>
      <c r="V316">
        <v>0</v>
      </c>
      <c r="W316">
        <v>122096.46946666666</v>
      </c>
    </row>
    <row r="317" spans="1:23" x14ac:dyDescent="0.25">
      <c r="A317" t="s">
        <v>584</v>
      </c>
      <c r="B317">
        <v>0</v>
      </c>
      <c r="C317" t="s">
        <v>557</v>
      </c>
      <c r="D317" t="s">
        <v>585</v>
      </c>
      <c r="E317" t="s">
        <v>552</v>
      </c>
      <c r="F317" t="s">
        <v>559</v>
      </c>
      <c r="G317" t="s">
        <v>84</v>
      </c>
      <c r="H317" t="s">
        <v>87</v>
      </c>
      <c r="I317" t="s">
        <v>593</v>
      </c>
      <c r="J317" t="s">
        <v>594</v>
      </c>
      <c r="K317" t="s">
        <v>82</v>
      </c>
      <c r="L317">
        <v>153355.125</v>
      </c>
      <c r="M317" t="s">
        <v>83</v>
      </c>
      <c r="R317">
        <v>1</v>
      </c>
      <c r="T317">
        <v>1</v>
      </c>
      <c r="U317">
        <v>0</v>
      </c>
      <c r="V317">
        <v>0</v>
      </c>
      <c r="W317">
        <v>122096.46946666666</v>
      </c>
    </row>
    <row r="318" spans="1:23" x14ac:dyDescent="0.25">
      <c r="A318" t="s">
        <v>584</v>
      </c>
      <c r="B318">
        <v>0</v>
      </c>
      <c r="C318" t="s">
        <v>557</v>
      </c>
      <c r="D318" t="s">
        <v>585</v>
      </c>
      <c r="E318" t="s">
        <v>552</v>
      </c>
      <c r="F318" t="s">
        <v>559</v>
      </c>
      <c r="G318" t="s">
        <v>84</v>
      </c>
      <c r="H318" t="s">
        <v>98</v>
      </c>
      <c r="I318" t="s">
        <v>595</v>
      </c>
      <c r="J318" t="s">
        <v>596</v>
      </c>
      <c r="K318" t="s">
        <v>82</v>
      </c>
      <c r="L318">
        <v>16750</v>
      </c>
      <c r="M318" t="s">
        <v>83</v>
      </c>
      <c r="Q318">
        <v>1</v>
      </c>
      <c r="U318">
        <v>0</v>
      </c>
      <c r="V318">
        <v>0</v>
      </c>
      <c r="W318">
        <v>23066.666666666668</v>
      </c>
    </row>
    <row r="319" spans="1:23" x14ac:dyDescent="0.25">
      <c r="A319" t="s">
        <v>584</v>
      </c>
      <c r="B319">
        <v>1</v>
      </c>
      <c r="C319" t="s">
        <v>557</v>
      </c>
      <c r="D319" t="s">
        <v>585</v>
      </c>
      <c r="E319" t="s">
        <v>552</v>
      </c>
      <c r="F319" t="s">
        <v>559</v>
      </c>
      <c r="G319" t="s">
        <v>528</v>
      </c>
      <c r="H319" t="s">
        <v>98</v>
      </c>
      <c r="I319" t="s">
        <v>597</v>
      </c>
      <c r="J319" t="s">
        <v>598</v>
      </c>
      <c r="K319" t="s">
        <v>82</v>
      </c>
      <c r="L319">
        <v>30450</v>
      </c>
      <c r="M319" t="s">
        <v>83</v>
      </c>
      <c r="N319">
        <v>23066.666669999999</v>
      </c>
      <c r="U319">
        <v>0</v>
      </c>
      <c r="V319">
        <v>0</v>
      </c>
      <c r="W319">
        <v>23066.666666666668</v>
      </c>
    </row>
    <row r="320" spans="1:23" x14ac:dyDescent="0.25">
      <c r="A320" t="s">
        <v>584</v>
      </c>
      <c r="B320">
        <v>0</v>
      </c>
      <c r="C320" t="s">
        <v>557</v>
      </c>
      <c r="D320" t="s">
        <v>585</v>
      </c>
      <c r="E320" t="s">
        <v>552</v>
      </c>
      <c r="F320" t="s">
        <v>559</v>
      </c>
      <c r="G320" t="s">
        <v>84</v>
      </c>
      <c r="H320" t="s">
        <v>98</v>
      </c>
      <c r="I320" t="s">
        <v>599</v>
      </c>
      <c r="J320" t="s">
        <v>600</v>
      </c>
      <c r="K320" t="s">
        <v>82</v>
      </c>
      <c r="L320">
        <v>22000</v>
      </c>
      <c r="M320" t="s">
        <v>83</v>
      </c>
      <c r="S320">
        <v>1</v>
      </c>
      <c r="U320">
        <v>0</v>
      </c>
      <c r="V320">
        <v>0</v>
      </c>
      <c r="W320">
        <v>23066.666666666668</v>
      </c>
    </row>
    <row r="321" spans="1:23" x14ac:dyDescent="0.25">
      <c r="A321" t="s">
        <v>584</v>
      </c>
      <c r="B321">
        <v>0</v>
      </c>
      <c r="C321" t="s">
        <v>557</v>
      </c>
      <c r="D321" t="s">
        <v>585</v>
      </c>
      <c r="E321" t="s">
        <v>552</v>
      </c>
      <c r="F321" t="s">
        <v>559</v>
      </c>
      <c r="G321" t="s">
        <v>84</v>
      </c>
      <c r="H321" t="s">
        <v>106</v>
      </c>
      <c r="I321" t="s">
        <v>584</v>
      </c>
      <c r="J321" t="s">
        <v>601</v>
      </c>
      <c r="K321" t="s">
        <v>82</v>
      </c>
      <c r="L321">
        <v>13147.547500000001</v>
      </c>
      <c r="M321" t="s">
        <v>83</v>
      </c>
      <c r="P321">
        <v>1</v>
      </c>
      <c r="U321">
        <v>0</v>
      </c>
      <c r="V321">
        <v>0</v>
      </c>
      <c r="W321">
        <v>9449.0612500000007</v>
      </c>
    </row>
    <row r="322" spans="1:23" x14ac:dyDescent="0.25">
      <c r="A322" t="s">
        <v>584</v>
      </c>
      <c r="B322">
        <v>1</v>
      </c>
      <c r="C322" t="s">
        <v>557</v>
      </c>
      <c r="D322" t="s">
        <v>585</v>
      </c>
      <c r="E322" t="s">
        <v>552</v>
      </c>
      <c r="F322" t="s">
        <v>559</v>
      </c>
      <c r="G322" t="s">
        <v>248</v>
      </c>
      <c r="H322" t="s">
        <v>106</v>
      </c>
      <c r="I322" t="s">
        <v>589</v>
      </c>
      <c r="J322" t="s">
        <v>602</v>
      </c>
      <c r="K322" t="s">
        <v>82</v>
      </c>
      <c r="L322">
        <v>5750.5749999999998</v>
      </c>
      <c r="M322" t="s">
        <v>83</v>
      </c>
      <c r="N322">
        <v>9449.0612500000007</v>
      </c>
      <c r="U322">
        <v>0</v>
      </c>
      <c r="V322">
        <v>0</v>
      </c>
      <c r="W322">
        <v>9449.0612500000007</v>
      </c>
    </row>
    <row r="323" spans="1:23" x14ac:dyDescent="0.25">
      <c r="A323" t="s">
        <v>584</v>
      </c>
      <c r="B323">
        <v>0</v>
      </c>
      <c r="C323" t="s">
        <v>557</v>
      </c>
      <c r="D323" t="s">
        <v>585</v>
      </c>
      <c r="E323" t="s">
        <v>552</v>
      </c>
      <c r="F323" t="s">
        <v>559</v>
      </c>
      <c r="G323" t="s">
        <v>84</v>
      </c>
      <c r="H323" t="s">
        <v>110</v>
      </c>
      <c r="I323" t="s">
        <v>584</v>
      </c>
      <c r="J323" t="s">
        <v>603</v>
      </c>
      <c r="K323" t="s">
        <v>82</v>
      </c>
      <c r="L323">
        <v>7680</v>
      </c>
      <c r="M323" t="s">
        <v>83</v>
      </c>
      <c r="P323">
        <v>1</v>
      </c>
      <c r="U323">
        <v>0</v>
      </c>
      <c r="V323">
        <v>0</v>
      </c>
      <c r="W323">
        <v>13794</v>
      </c>
    </row>
    <row r="324" spans="1:23" x14ac:dyDescent="0.25">
      <c r="A324" t="s">
        <v>584</v>
      </c>
      <c r="B324">
        <v>1</v>
      </c>
      <c r="C324" t="s">
        <v>557</v>
      </c>
      <c r="D324" t="s">
        <v>585</v>
      </c>
      <c r="E324" t="s">
        <v>552</v>
      </c>
      <c r="F324" t="s">
        <v>559</v>
      </c>
      <c r="G324" t="s">
        <v>248</v>
      </c>
      <c r="H324" t="s">
        <v>110</v>
      </c>
      <c r="I324" t="s">
        <v>589</v>
      </c>
      <c r="J324" t="s">
        <v>604</v>
      </c>
      <c r="K324" t="s">
        <v>82</v>
      </c>
      <c r="L324">
        <v>19908</v>
      </c>
      <c r="M324" t="s">
        <v>83</v>
      </c>
      <c r="N324">
        <v>13794</v>
      </c>
      <c r="U324">
        <v>0</v>
      </c>
      <c r="V324">
        <v>0</v>
      </c>
      <c r="W324">
        <v>13794</v>
      </c>
    </row>
    <row r="325" spans="1:23" x14ac:dyDescent="0.25">
      <c r="A325" t="s">
        <v>584</v>
      </c>
      <c r="B325">
        <v>0</v>
      </c>
      <c r="C325" t="s">
        <v>557</v>
      </c>
      <c r="D325" t="s">
        <v>585</v>
      </c>
      <c r="E325" t="s">
        <v>552</v>
      </c>
      <c r="F325" t="s">
        <v>559</v>
      </c>
      <c r="G325" t="s">
        <v>84</v>
      </c>
      <c r="H325" t="s">
        <v>185</v>
      </c>
      <c r="I325" t="s">
        <v>584</v>
      </c>
      <c r="J325" t="s">
        <v>605</v>
      </c>
      <c r="K325" t="s">
        <v>82</v>
      </c>
      <c r="L325">
        <v>19299.875</v>
      </c>
      <c r="M325" t="s">
        <v>83</v>
      </c>
      <c r="P325">
        <v>1</v>
      </c>
      <c r="U325">
        <v>0</v>
      </c>
      <c r="V325">
        <v>0</v>
      </c>
      <c r="W325">
        <v>20323.95</v>
      </c>
    </row>
    <row r="326" spans="1:23" x14ac:dyDescent="0.25">
      <c r="A326" t="s">
        <v>584</v>
      </c>
      <c r="B326">
        <v>1</v>
      </c>
      <c r="C326" t="s">
        <v>557</v>
      </c>
      <c r="D326" t="s">
        <v>585</v>
      </c>
      <c r="E326" t="s">
        <v>552</v>
      </c>
      <c r="F326" t="s">
        <v>559</v>
      </c>
      <c r="G326" t="s">
        <v>248</v>
      </c>
      <c r="H326" t="s">
        <v>185</v>
      </c>
      <c r="I326" t="s">
        <v>589</v>
      </c>
      <c r="J326" t="s">
        <v>606</v>
      </c>
      <c r="K326" t="s">
        <v>82</v>
      </c>
      <c r="L326">
        <v>21348.025000000001</v>
      </c>
      <c r="M326" t="s">
        <v>83</v>
      </c>
      <c r="N326">
        <v>20323.95</v>
      </c>
      <c r="U326">
        <v>0</v>
      </c>
      <c r="V326">
        <v>0</v>
      </c>
      <c r="W326">
        <v>20323.95</v>
      </c>
    </row>
    <row r="327" spans="1:23" x14ac:dyDescent="0.25">
      <c r="A327" t="s">
        <v>607</v>
      </c>
      <c r="B327">
        <v>0</v>
      </c>
      <c r="C327" t="s">
        <v>608</v>
      </c>
      <c r="D327" t="s">
        <v>609</v>
      </c>
      <c r="E327" t="s">
        <v>552</v>
      </c>
      <c r="F327" t="s">
        <v>610</v>
      </c>
      <c r="G327" t="s">
        <v>84</v>
      </c>
      <c r="H327" t="s">
        <v>92</v>
      </c>
      <c r="I327" t="s">
        <v>611</v>
      </c>
      <c r="J327" t="s">
        <v>612</v>
      </c>
      <c r="K327" t="s">
        <v>82</v>
      </c>
      <c r="L327">
        <v>77780</v>
      </c>
      <c r="M327" t="s">
        <v>83</v>
      </c>
      <c r="Q327">
        <v>1</v>
      </c>
      <c r="T327">
        <v>1</v>
      </c>
      <c r="U327">
        <v>0</v>
      </c>
      <c r="V327">
        <v>0</v>
      </c>
      <c r="W327">
        <v>65180</v>
      </c>
    </row>
    <row r="328" spans="1:23" x14ac:dyDescent="0.25">
      <c r="A328" t="s">
        <v>607</v>
      </c>
      <c r="B328">
        <v>1</v>
      </c>
      <c r="C328" t="s">
        <v>608</v>
      </c>
      <c r="D328" t="s">
        <v>609</v>
      </c>
      <c r="E328" t="s">
        <v>552</v>
      </c>
      <c r="F328" t="s">
        <v>610</v>
      </c>
      <c r="G328" t="s">
        <v>221</v>
      </c>
      <c r="H328" t="s">
        <v>92</v>
      </c>
      <c r="I328" t="s">
        <v>613</v>
      </c>
      <c r="J328" t="s">
        <v>221</v>
      </c>
      <c r="K328" t="s">
        <v>82</v>
      </c>
      <c r="L328">
        <v>52580</v>
      </c>
      <c r="M328" t="s">
        <v>83</v>
      </c>
      <c r="N328">
        <v>65180</v>
      </c>
      <c r="U328">
        <v>0</v>
      </c>
      <c r="V328">
        <v>0</v>
      </c>
      <c r="W328">
        <v>65180</v>
      </c>
    </row>
    <row r="329" spans="1:23" x14ac:dyDescent="0.25">
      <c r="A329" t="s">
        <v>607</v>
      </c>
      <c r="B329">
        <v>0</v>
      </c>
      <c r="C329" t="s">
        <v>608</v>
      </c>
      <c r="D329" t="s">
        <v>609</v>
      </c>
      <c r="E329" t="s">
        <v>552</v>
      </c>
      <c r="F329" t="s">
        <v>610</v>
      </c>
      <c r="G329" t="s">
        <v>84</v>
      </c>
      <c r="H329" t="s">
        <v>98</v>
      </c>
      <c r="I329" t="s">
        <v>614</v>
      </c>
      <c r="J329" t="s">
        <v>615</v>
      </c>
      <c r="K329" t="s">
        <v>82</v>
      </c>
      <c r="L329">
        <v>29750</v>
      </c>
      <c r="M329" t="s">
        <v>83</v>
      </c>
      <c r="U329">
        <v>0</v>
      </c>
      <c r="V329">
        <v>0</v>
      </c>
      <c r="W329">
        <v>36666.666666666664</v>
      </c>
    </row>
    <row r="330" spans="1:23" x14ac:dyDescent="0.25">
      <c r="A330" t="s">
        <v>607</v>
      </c>
      <c r="B330">
        <v>0</v>
      </c>
      <c r="C330" t="s">
        <v>608</v>
      </c>
      <c r="D330" t="s">
        <v>609</v>
      </c>
      <c r="E330" t="s">
        <v>552</v>
      </c>
      <c r="F330" t="s">
        <v>610</v>
      </c>
      <c r="G330" t="s">
        <v>84</v>
      </c>
      <c r="H330" t="s">
        <v>98</v>
      </c>
      <c r="I330" t="s">
        <v>616</v>
      </c>
      <c r="J330" t="s">
        <v>617</v>
      </c>
      <c r="K330" t="s">
        <v>82</v>
      </c>
      <c r="L330">
        <v>16600</v>
      </c>
      <c r="M330" t="s">
        <v>83</v>
      </c>
      <c r="S330">
        <v>1</v>
      </c>
      <c r="U330">
        <v>0</v>
      </c>
      <c r="V330">
        <v>0</v>
      </c>
      <c r="W330">
        <v>36666.666666666664</v>
      </c>
    </row>
    <row r="331" spans="1:23" x14ac:dyDescent="0.25">
      <c r="A331" t="s">
        <v>607</v>
      </c>
      <c r="B331">
        <v>1</v>
      </c>
      <c r="C331" t="s">
        <v>608</v>
      </c>
      <c r="D331" t="s">
        <v>609</v>
      </c>
      <c r="E331" t="s">
        <v>552</v>
      </c>
      <c r="F331" t="s">
        <v>610</v>
      </c>
      <c r="G331" t="s">
        <v>103</v>
      </c>
      <c r="H331" t="s">
        <v>98</v>
      </c>
      <c r="I331" t="s">
        <v>618</v>
      </c>
      <c r="J331" t="s">
        <v>619</v>
      </c>
      <c r="K331" t="s">
        <v>82</v>
      </c>
      <c r="L331">
        <v>63650</v>
      </c>
      <c r="M331" t="s">
        <v>83</v>
      </c>
      <c r="N331">
        <v>36666.666669999999</v>
      </c>
      <c r="R331">
        <v>1</v>
      </c>
      <c r="T331">
        <v>1</v>
      </c>
      <c r="U331">
        <v>0</v>
      </c>
      <c r="V331">
        <v>0</v>
      </c>
      <c r="W331">
        <v>36666.666666666664</v>
      </c>
    </row>
    <row r="332" spans="1:23" x14ac:dyDescent="0.25">
      <c r="A332" t="s">
        <v>607</v>
      </c>
      <c r="B332">
        <v>0</v>
      </c>
      <c r="C332" t="s">
        <v>608</v>
      </c>
      <c r="D332" t="s">
        <v>609</v>
      </c>
      <c r="E332" t="s">
        <v>552</v>
      </c>
      <c r="F332" t="s">
        <v>610</v>
      </c>
      <c r="G332" t="s">
        <v>84</v>
      </c>
      <c r="H332" t="s">
        <v>87</v>
      </c>
      <c r="I332" t="s">
        <v>620</v>
      </c>
      <c r="J332" t="s">
        <v>621</v>
      </c>
      <c r="K332" t="s">
        <v>82</v>
      </c>
      <c r="L332">
        <v>110045.01669999999</v>
      </c>
      <c r="M332" t="s">
        <v>83</v>
      </c>
      <c r="U332">
        <v>0</v>
      </c>
      <c r="V332">
        <v>0</v>
      </c>
      <c r="W332">
        <v>116541.85279999999</v>
      </c>
    </row>
    <row r="333" spans="1:23" x14ac:dyDescent="0.25">
      <c r="A333" t="s">
        <v>607</v>
      </c>
      <c r="B333">
        <v>1</v>
      </c>
      <c r="C333" t="s">
        <v>608</v>
      </c>
      <c r="D333" t="s">
        <v>609</v>
      </c>
      <c r="E333" t="s">
        <v>552</v>
      </c>
      <c r="F333" t="s">
        <v>610</v>
      </c>
      <c r="G333" t="s">
        <v>413</v>
      </c>
      <c r="H333" t="s">
        <v>87</v>
      </c>
      <c r="I333" t="s">
        <v>622</v>
      </c>
      <c r="J333" t="s">
        <v>623</v>
      </c>
      <c r="K333" t="s">
        <v>82</v>
      </c>
      <c r="L333">
        <v>112271.25</v>
      </c>
      <c r="M333" t="s">
        <v>83</v>
      </c>
      <c r="N333">
        <v>116541.85279999999</v>
      </c>
      <c r="U333">
        <v>0</v>
      </c>
      <c r="V333">
        <v>0</v>
      </c>
      <c r="W333">
        <v>116541.85279999999</v>
      </c>
    </row>
    <row r="334" spans="1:23" x14ac:dyDescent="0.25">
      <c r="A334" t="s">
        <v>607</v>
      </c>
      <c r="B334">
        <v>0</v>
      </c>
      <c r="C334" t="s">
        <v>608</v>
      </c>
      <c r="D334" t="s">
        <v>609</v>
      </c>
      <c r="E334" t="s">
        <v>552</v>
      </c>
      <c r="F334" t="s">
        <v>610</v>
      </c>
      <c r="G334" t="s">
        <v>84</v>
      </c>
      <c r="H334" t="s">
        <v>87</v>
      </c>
      <c r="I334" t="s">
        <v>624</v>
      </c>
      <c r="J334" t="s">
        <v>625</v>
      </c>
      <c r="K334" t="s">
        <v>82</v>
      </c>
      <c r="L334">
        <v>127309.2917</v>
      </c>
      <c r="M334" t="s">
        <v>83</v>
      </c>
      <c r="Q334">
        <v>1</v>
      </c>
      <c r="R334">
        <v>1</v>
      </c>
      <c r="U334">
        <v>0</v>
      </c>
      <c r="V334">
        <v>0</v>
      </c>
      <c r="W334">
        <v>116541.85279999999</v>
      </c>
    </row>
    <row r="335" spans="1:23" x14ac:dyDescent="0.25">
      <c r="A335" t="s">
        <v>607</v>
      </c>
      <c r="B335">
        <v>1</v>
      </c>
      <c r="C335" t="s">
        <v>608</v>
      </c>
      <c r="D335" t="s">
        <v>609</v>
      </c>
      <c r="E335" t="s">
        <v>552</v>
      </c>
      <c r="F335" t="s">
        <v>610</v>
      </c>
      <c r="G335" t="s">
        <v>626</v>
      </c>
      <c r="H335" t="s">
        <v>80</v>
      </c>
      <c r="I335" t="s">
        <v>607</v>
      </c>
      <c r="J335" t="s">
        <v>627</v>
      </c>
      <c r="K335" t="s">
        <v>82</v>
      </c>
      <c r="L335">
        <v>696940.44</v>
      </c>
      <c r="M335" t="s">
        <v>83</v>
      </c>
      <c r="N335">
        <v>729332.05169999995</v>
      </c>
      <c r="U335">
        <v>0</v>
      </c>
      <c r="V335">
        <v>0</v>
      </c>
      <c r="W335">
        <v>729332.05169999995</v>
      </c>
    </row>
    <row r="336" spans="1:23" x14ac:dyDescent="0.25">
      <c r="A336" t="s">
        <v>607</v>
      </c>
      <c r="B336">
        <v>0</v>
      </c>
      <c r="C336" t="s">
        <v>608</v>
      </c>
      <c r="D336" t="s">
        <v>609</v>
      </c>
      <c r="E336" t="s">
        <v>552</v>
      </c>
      <c r="F336" t="s">
        <v>610</v>
      </c>
      <c r="G336" t="s">
        <v>84</v>
      </c>
      <c r="H336" t="s">
        <v>80</v>
      </c>
      <c r="I336" t="s">
        <v>628</v>
      </c>
      <c r="J336" t="s">
        <v>629</v>
      </c>
      <c r="K336" t="s">
        <v>82</v>
      </c>
      <c r="L336">
        <v>761723.66339999996</v>
      </c>
      <c r="M336" t="s">
        <v>83</v>
      </c>
      <c r="U336">
        <v>0</v>
      </c>
      <c r="V336">
        <v>0</v>
      </c>
      <c r="W336">
        <v>729332.05169999995</v>
      </c>
    </row>
    <row r="337" spans="1:23" x14ac:dyDescent="0.25">
      <c r="A337" t="s">
        <v>630</v>
      </c>
      <c r="B337">
        <v>1</v>
      </c>
      <c r="C337" t="s">
        <v>608</v>
      </c>
      <c r="D337" t="s">
        <v>609</v>
      </c>
      <c r="E337" t="s">
        <v>552</v>
      </c>
      <c r="F337" t="s">
        <v>610</v>
      </c>
      <c r="G337" t="s">
        <v>181</v>
      </c>
      <c r="H337" t="s">
        <v>92</v>
      </c>
      <c r="I337" t="s">
        <v>631</v>
      </c>
      <c r="J337" t="s">
        <v>181</v>
      </c>
      <c r="K337" t="s">
        <v>82</v>
      </c>
      <c r="L337">
        <v>31110</v>
      </c>
      <c r="M337" t="s">
        <v>83</v>
      </c>
      <c r="N337">
        <v>29100</v>
      </c>
      <c r="U337">
        <v>0</v>
      </c>
      <c r="V337">
        <v>0</v>
      </c>
      <c r="W337">
        <v>29100</v>
      </c>
    </row>
    <row r="338" spans="1:23" x14ac:dyDescent="0.25">
      <c r="A338" t="s">
        <v>630</v>
      </c>
      <c r="B338">
        <v>0</v>
      </c>
      <c r="C338" t="s">
        <v>608</v>
      </c>
      <c r="D338" t="s">
        <v>609</v>
      </c>
      <c r="E338" t="s">
        <v>552</v>
      </c>
      <c r="F338" t="s">
        <v>610</v>
      </c>
      <c r="G338" t="s">
        <v>84</v>
      </c>
      <c r="H338" t="s">
        <v>92</v>
      </c>
      <c r="I338" t="s">
        <v>632</v>
      </c>
      <c r="J338" t="s">
        <v>633</v>
      </c>
      <c r="K338" t="s">
        <v>82</v>
      </c>
      <c r="L338">
        <v>27090</v>
      </c>
      <c r="M338" t="s">
        <v>83</v>
      </c>
      <c r="U338">
        <v>0</v>
      </c>
      <c r="V338">
        <v>0</v>
      </c>
      <c r="W338">
        <v>29100</v>
      </c>
    </row>
    <row r="339" spans="1:23" x14ac:dyDescent="0.25">
      <c r="A339" t="s">
        <v>630</v>
      </c>
      <c r="B339">
        <v>0</v>
      </c>
      <c r="C339" t="s">
        <v>608</v>
      </c>
      <c r="D339" t="s">
        <v>609</v>
      </c>
      <c r="E339" t="s">
        <v>552</v>
      </c>
      <c r="F339" t="s">
        <v>610</v>
      </c>
      <c r="G339" t="s">
        <v>84</v>
      </c>
      <c r="H339" t="s">
        <v>98</v>
      </c>
      <c r="I339" t="s">
        <v>634</v>
      </c>
      <c r="J339" t="s">
        <v>635</v>
      </c>
      <c r="K339" t="s">
        <v>82</v>
      </c>
      <c r="L339">
        <v>34400</v>
      </c>
      <c r="M339" t="s">
        <v>83</v>
      </c>
      <c r="S339">
        <v>1</v>
      </c>
      <c r="U339">
        <v>0</v>
      </c>
      <c r="V339">
        <v>0</v>
      </c>
      <c r="W339">
        <v>30216.666666666668</v>
      </c>
    </row>
    <row r="340" spans="1:23" x14ac:dyDescent="0.25">
      <c r="A340" t="s">
        <v>630</v>
      </c>
      <c r="B340">
        <v>1</v>
      </c>
      <c r="C340" t="s">
        <v>608</v>
      </c>
      <c r="D340" t="s">
        <v>609</v>
      </c>
      <c r="E340" t="s">
        <v>552</v>
      </c>
      <c r="F340" t="s">
        <v>610</v>
      </c>
      <c r="G340" t="s">
        <v>289</v>
      </c>
      <c r="H340" t="s">
        <v>98</v>
      </c>
      <c r="I340" t="s">
        <v>636</v>
      </c>
      <c r="J340" t="s">
        <v>637</v>
      </c>
      <c r="K340" t="s">
        <v>82</v>
      </c>
      <c r="L340">
        <v>35000</v>
      </c>
      <c r="M340" t="s">
        <v>83</v>
      </c>
      <c r="N340">
        <v>30216.666669999999</v>
      </c>
      <c r="U340">
        <v>0</v>
      </c>
      <c r="V340">
        <v>0</v>
      </c>
      <c r="W340">
        <v>30216.666666666668</v>
      </c>
    </row>
    <row r="341" spans="1:23" x14ac:dyDescent="0.25">
      <c r="A341" t="s">
        <v>630</v>
      </c>
      <c r="B341">
        <v>0</v>
      </c>
      <c r="C341" t="s">
        <v>608</v>
      </c>
      <c r="D341" t="s">
        <v>609</v>
      </c>
      <c r="E341" t="s">
        <v>552</v>
      </c>
      <c r="F341" t="s">
        <v>610</v>
      </c>
      <c r="G341" t="s">
        <v>84</v>
      </c>
      <c r="H341" t="s">
        <v>98</v>
      </c>
      <c r="I341" t="s">
        <v>638</v>
      </c>
      <c r="J341" t="s">
        <v>639</v>
      </c>
      <c r="K341" t="s">
        <v>82</v>
      </c>
      <c r="L341">
        <v>21250</v>
      </c>
      <c r="M341" t="s">
        <v>83</v>
      </c>
      <c r="U341">
        <v>0</v>
      </c>
      <c r="V341">
        <v>0</v>
      </c>
      <c r="W341">
        <v>30216.666666666668</v>
      </c>
    </row>
    <row r="342" spans="1:23" x14ac:dyDescent="0.25">
      <c r="A342" t="s">
        <v>630</v>
      </c>
      <c r="B342">
        <v>0</v>
      </c>
      <c r="C342" t="s">
        <v>608</v>
      </c>
      <c r="D342" t="s">
        <v>609</v>
      </c>
      <c r="E342" t="s">
        <v>552</v>
      </c>
      <c r="F342" t="s">
        <v>610</v>
      </c>
      <c r="G342" t="s">
        <v>84</v>
      </c>
      <c r="H342" t="s">
        <v>87</v>
      </c>
      <c r="I342" t="s">
        <v>630</v>
      </c>
      <c r="J342" t="s">
        <v>640</v>
      </c>
      <c r="K342" t="s">
        <v>82</v>
      </c>
      <c r="L342">
        <v>101570.52499999999</v>
      </c>
      <c r="M342" t="s">
        <v>83</v>
      </c>
      <c r="S342">
        <v>1</v>
      </c>
      <c r="T342">
        <v>1</v>
      </c>
      <c r="U342">
        <v>0</v>
      </c>
      <c r="V342">
        <v>0</v>
      </c>
      <c r="W342">
        <v>109087.2611</v>
      </c>
    </row>
    <row r="343" spans="1:23" x14ac:dyDescent="0.25">
      <c r="A343" t="s">
        <v>630</v>
      </c>
      <c r="B343">
        <v>1</v>
      </c>
      <c r="C343" t="s">
        <v>608</v>
      </c>
      <c r="D343" t="s">
        <v>609</v>
      </c>
      <c r="E343" t="s">
        <v>552</v>
      </c>
      <c r="F343" t="s">
        <v>610</v>
      </c>
      <c r="G343" t="s">
        <v>495</v>
      </c>
      <c r="H343" t="s">
        <v>87</v>
      </c>
      <c r="I343" t="s">
        <v>630</v>
      </c>
      <c r="J343" t="s">
        <v>641</v>
      </c>
      <c r="K343" t="s">
        <v>82</v>
      </c>
      <c r="L343">
        <v>109992.925</v>
      </c>
      <c r="M343" t="s">
        <v>83</v>
      </c>
      <c r="N343">
        <v>109087.2611</v>
      </c>
      <c r="U343">
        <v>0</v>
      </c>
      <c r="V343">
        <v>0</v>
      </c>
      <c r="W343">
        <v>109087.2611</v>
      </c>
    </row>
    <row r="344" spans="1:23" x14ac:dyDescent="0.25">
      <c r="A344" t="s">
        <v>630</v>
      </c>
      <c r="B344">
        <v>0</v>
      </c>
      <c r="C344" t="s">
        <v>608</v>
      </c>
      <c r="D344" t="s">
        <v>609</v>
      </c>
      <c r="E344" t="s">
        <v>552</v>
      </c>
      <c r="F344" t="s">
        <v>610</v>
      </c>
      <c r="G344" t="s">
        <v>84</v>
      </c>
      <c r="H344" t="s">
        <v>87</v>
      </c>
      <c r="I344" t="s">
        <v>642</v>
      </c>
      <c r="J344" t="s">
        <v>643</v>
      </c>
      <c r="K344" t="s">
        <v>82</v>
      </c>
      <c r="L344">
        <v>115698.3333</v>
      </c>
      <c r="M344" t="s">
        <v>83</v>
      </c>
      <c r="T344">
        <v>1</v>
      </c>
      <c r="U344">
        <v>0</v>
      </c>
      <c r="V344">
        <v>0</v>
      </c>
      <c r="W344">
        <v>109087.2611</v>
      </c>
    </row>
    <row r="345" spans="1:23" x14ac:dyDescent="0.25">
      <c r="A345" t="s">
        <v>630</v>
      </c>
      <c r="B345">
        <v>0</v>
      </c>
      <c r="C345" t="s">
        <v>608</v>
      </c>
      <c r="D345" t="s">
        <v>609</v>
      </c>
      <c r="E345" t="s">
        <v>552</v>
      </c>
      <c r="F345" t="s">
        <v>610</v>
      </c>
      <c r="G345" t="s">
        <v>84</v>
      </c>
      <c r="H345" t="s">
        <v>80</v>
      </c>
      <c r="I345" t="s">
        <v>630</v>
      </c>
      <c r="J345" t="s">
        <v>644</v>
      </c>
      <c r="K345" t="s">
        <v>82</v>
      </c>
      <c r="L345">
        <v>797565.82929999998</v>
      </c>
      <c r="M345" t="s">
        <v>83</v>
      </c>
      <c r="U345">
        <v>0</v>
      </c>
      <c r="V345">
        <v>0</v>
      </c>
      <c r="W345">
        <v>801505.2209666667</v>
      </c>
    </row>
    <row r="346" spans="1:23" x14ac:dyDescent="0.25">
      <c r="A346" t="s">
        <v>630</v>
      </c>
      <c r="B346">
        <v>0</v>
      </c>
      <c r="C346" t="s">
        <v>608</v>
      </c>
      <c r="D346" t="s">
        <v>609</v>
      </c>
      <c r="E346" t="s">
        <v>552</v>
      </c>
      <c r="F346" t="s">
        <v>610</v>
      </c>
      <c r="G346" t="s">
        <v>84</v>
      </c>
      <c r="H346" t="s">
        <v>80</v>
      </c>
      <c r="I346" t="s">
        <v>630</v>
      </c>
      <c r="J346" t="s">
        <v>645</v>
      </c>
      <c r="K346" t="s">
        <v>82</v>
      </c>
      <c r="L346">
        <v>808227.59360000002</v>
      </c>
      <c r="M346" t="s">
        <v>83</v>
      </c>
      <c r="U346">
        <v>0</v>
      </c>
      <c r="V346">
        <v>0</v>
      </c>
      <c r="W346">
        <v>801505.2209666667</v>
      </c>
    </row>
    <row r="347" spans="1:23" x14ac:dyDescent="0.25">
      <c r="A347" t="s">
        <v>630</v>
      </c>
      <c r="B347">
        <v>1</v>
      </c>
      <c r="C347" t="s">
        <v>608</v>
      </c>
      <c r="D347" t="s">
        <v>609</v>
      </c>
      <c r="E347" t="s">
        <v>552</v>
      </c>
      <c r="F347" t="s">
        <v>610</v>
      </c>
      <c r="G347" t="s">
        <v>167</v>
      </c>
      <c r="H347" t="s">
        <v>80</v>
      </c>
      <c r="I347" t="s">
        <v>630</v>
      </c>
      <c r="J347" t="s">
        <v>646</v>
      </c>
      <c r="K347" t="s">
        <v>82</v>
      </c>
      <c r="L347">
        <v>798722.24</v>
      </c>
      <c r="M347" t="s">
        <v>83</v>
      </c>
      <c r="N347">
        <v>801505.22100000002</v>
      </c>
      <c r="U347">
        <v>0</v>
      </c>
      <c r="V347">
        <v>0</v>
      </c>
      <c r="W347">
        <v>801505.2209666667</v>
      </c>
    </row>
    <row r="348" spans="1:23" x14ac:dyDescent="0.25">
      <c r="A348" t="s">
        <v>647</v>
      </c>
      <c r="B348">
        <v>0</v>
      </c>
      <c r="C348" t="s">
        <v>608</v>
      </c>
      <c r="D348" t="s">
        <v>648</v>
      </c>
      <c r="E348" t="s">
        <v>552</v>
      </c>
      <c r="F348" t="s">
        <v>610</v>
      </c>
      <c r="G348" t="s">
        <v>84</v>
      </c>
      <c r="H348" t="s">
        <v>92</v>
      </c>
      <c r="I348" t="s">
        <v>649</v>
      </c>
      <c r="J348" t="s">
        <v>181</v>
      </c>
      <c r="K348" t="s">
        <v>82</v>
      </c>
      <c r="L348">
        <v>38480</v>
      </c>
      <c r="M348" t="s">
        <v>83</v>
      </c>
      <c r="P348">
        <v>1</v>
      </c>
      <c r="U348">
        <v>0</v>
      </c>
      <c r="V348">
        <v>0</v>
      </c>
      <c r="W348">
        <v>48485</v>
      </c>
    </row>
    <row r="349" spans="1:23" x14ac:dyDescent="0.25">
      <c r="A349" t="s">
        <v>647</v>
      </c>
      <c r="B349">
        <v>1</v>
      </c>
      <c r="C349" t="s">
        <v>608</v>
      </c>
      <c r="D349" t="s">
        <v>648</v>
      </c>
      <c r="E349" t="s">
        <v>552</v>
      </c>
      <c r="F349" t="s">
        <v>610</v>
      </c>
      <c r="G349" t="s">
        <v>301</v>
      </c>
      <c r="H349" t="s">
        <v>92</v>
      </c>
      <c r="I349" t="s">
        <v>650</v>
      </c>
      <c r="J349" t="s">
        <v>303</v>
      </c>
      <c r="K349" t="s">
        <v>82</v>
      </c>
      <c r="L349">
        <v>58490</v>
      </c>
      <c r="M349" t="s">
        <v>83</v>
      </c>
      <c r="N349">
        <v>48485</v>
      </c>
      <c r="O349">
        <v>1</v>
      </c>
      <c r="R349">
        <v>1</v>
      </c>
      <c r="S349">
        <v>1</v>
      </c>
      <c r="U349">
        <v>58490</v>
      </c>
      <c r="V349">
        <v>58490</v>
      </c>
      <c r="W349">
        <v>48485</v>
      </c>
    </row>
    <row r="350" spans="1:23" x14ac:dyDescent="0.25">
      <c r="A350" t="s">
        <v>647</v>
      </c>
      <c r="B350">
        <v>1</v>
      </c>
      <c r="C350" t="s">
        <v>608</v>
      </c>
      <c r="D350" t="s">
        <v>648</v>
      </c>
      <c r="E350" t="s">
        <v>552</v>
      </c>
      <c r="F350" t="s">
        <v>610</v>
      </c>
      <c r="G350" t="s">
        <v>238</v>
      </c>
      <c r="H350" t="s">
        <v>98</v>
      </c>
      <c r="I350" t="s">
        <v>651</v>
      </c>
      <c r="J350" t="s">
        <v>652</v>
      </c>
      <c r="K350" t="s">
        <v>82</v>
      </c>
      <c r="L350">
        <v>47100</v>
      </c>
      <c r="M350" t="s">
        <v>83</v>
      </c>
      <c r="N350">
        <v>29333.333330000001</v>
      </c>
      <c r="U350">
        <v>0</v>
      </c>
      <c r="V350">
        <v>0</v>
      </c>
      <c r="W350">
        <v>29333.333333333332</v>
      </c>
    </row>
    <row r="351" spans="1:23" x14ac:dyDescent="0.25">
      <c r="A351" t="s">
        <v>647</v>
      </c>
      <c r="B351">
        <v>0</v>
      </c>
      <c r="C351" t="s">
        <v>608</v>
      </c>
      <c r="D351" t="s">
        <v>648</v>
      </c>
      <c r="E351" t="s">
        <v>552</v>
      </c>
      <c r="F351" t="s">
        <v>610</v>
      </c>
      <c r="G351" t="s">
        <v>84</v>
      </c>
      <c r="H351" t="s">
        <v>98</v>
      </c>
      <c r="I351" t="s">
        <v>653</v>
      </c>
      <c r="J351" t="s">
        <v>654</v>
      </c>
      <c r="K351" t="s">
        <v>82</v>
      </c>
      <c r="L351">
        <v>22650</v>
      </c>
      <c r="M351" t="s">
        <v>83</v>
      </c>
      <c r="S351">
        <v>1</v>
      </c>
      <c r="U351">
        <v>0</v>
      </c>
      <c r="V351">
        <v>0</v>
      </c>
      <c r="W351">
        <v>29333.333333333332</v>
      </c>
    </row>
    <row r="352" spans="1:23" x14ac:dyDescent="0.25">
      <c r="A352" t="s">
        <v>647</v>
      </c>
      <c r="B352">
        <v>0</v>
      </c>
      <c r="C352" t="s">
        <v>608</v>
      </c>
      <c r="D352" t="s">
        <v>648</v>
      </c>
      <c r="E352" t="s">
        <v>552</v>
      </c>
      <c r="F352" t="s">
        <v>610</v>
      </c>
      <c r="G352" t="s">
        <v>84</v>
      </c>
      <c r="H352" t="s">
        <v>98</v>
      </c>
      <c r="I352" t="s">
        <v>655</v>
      </c>
      <c r="J352" t="s">
        <v>656</v>
      </c>
      <c r="K352" t="s">
        <v>82</v>
      </c>
      <c r="L352">
        <v>18250</v>
      </c>
      <c r="M352" t="s">
        <v>83</v>
      </c>
      <c r="R352">
        <v>1</v>
      </c>
      <c r="U352">
        <v>0</v>
      </c>
      <c r="V352">
        <v>0</v>
      </c>
      <c r="W352">
        <v>29333.333333333332</v>
      </c>
    </row>
    <row r="353" spans="1:23" x14ac:dyDescent="0.25">
      <c r="A353" t="s">
        <v>647</v>
      </c>
      <c r="B353">
        <v>1</v>
      </c>
      <c r="C353" t="s">
        <v>608</v>
      </c>
      <c r="D353" t="s">
        <v>648</v>
      </c>
      <c r="E353" t="s">
        <v>552</v>
      </c>
      <c r="F353" t="s">
        <v>610</v>
      </c>
      <c r="G353" t="s">
        <v>413</v>
      </c>
      <c r="H353" t="s">
        <v>87</v>
      </c>
      <c r="I353" t="s">
        <v>657</v>
      </c>
      <c r="J353" t="s">
        <v>658</v>
      </c>
      <c r="K353" t="s">
        <v>82</v>
      </c>
      <c r="L353">
        <v>128682.8667</v>
      </c>
      <c r="M353" t="s">
        <v>83</v>
      </c>
      <c r="N353">
        <v>128325.07919999999</v>
      </c>
      <c r="U353">
        <v>0</v>
      </c>
      <c r="V353">
        <v>0</v>
      </c>
      <c r="W353">
        <v>128325.07920000001</v>
      </c>
    </row>
    <row r="354" spans="1:23" x14ac:dyDescent="0.25">
      <c r="A354" t="s">
        <v>647</v>
      </c>
      <c r="B354">
        <v>0</v>
      </c>
      <c r="C354" t="s">
        <v>608</v>
      </c>
      <c r="D354" t="s">
        <v>648</v>
      </c>
      <c r="E354" t="s">
        <v>552</v>
      </c>
      <c r="F354" t="s">
        <v>610</v>
      </c>
      <c r="G354" t="s">
        <v>84</v>
      </c>
      <c r="H354" t="s">
        <v>87</v>
      </c>
      <c r="I354" t="s">
        <v>647</v>
      </c>
      <c r="J354" t="s">
        <v>659</v>
      </c>
      <c r="K354" t="s">
        <v>82</v>
      </c>
      <c r="L354">
        <v>127967.2917</v>
      </c>
      <c r="M354" t="s">
        <v>83</v>
      </c>
      <c r="U354">
        <v>0</v>
      </c>
      <c r="V354">
        <v>0</v>
      </c>
      <c r="W354">
        <v>128325.07920000001</v>
      </c>
    </row>
    <row r="355" spans="1:23" x14ac:dyDescent="0.25">
      <c r="A355" t="s">
        <v>647</v>
      </c>
      <c r="B355">
        <v>0</v>
      </c>
      <c r="C355" t="s">
        <v>608</v>
      </c>
      <c r="D355" t="s">
        <v>648</v>
      </c>
      <c r="E355" t="s">
        <v>552</v>
      </c>
      <c r="F355" t="s">
        <v>610</v>
      </c>
      <c r="G355" t="s">
        <v>84</v>
      </c>
      <c r="H355" t="s">
        <v>80</v>
      </c>
      <c r="I355" t="s">
        <v>660</v>
      </c>
      <c r="J355" t="s">
        <v>661</v>
      </c>
      <c r="K355" t="s">
        <v>82</v>
      </c>
      <c r="L355">
        <v>921879.46180000005</v>
      </c>
      <c r="M355" t="s">
        <v>83</v>
      </c>
      <c r="U355">
        <v>0</v>
      </c>
      <c r="V355">
        <v>0</v>
      </c>
      <c r="W355">
        <v>752620.27560000005</v>
      </c>
    </row>
    <row r="356" spans="1:23" x14ac:dyDescent="0.25">
      <c r="A356" t="s">
        <v>647</v>
      </c>
      <c r="B356">
        <v>0</v>
      </c>
      <c r="C356" t="s">
        <v>608</v>
      </c>
      <c r="D356" t="s">
        <v>648</v>
      </c>
      <c r="E356" t="s">
        <v>552</v>
      </c>
      <c r="F356" t="s">
        <v>610</v>
      </c>
      <c r="G356" t="s">
        <v>84</v>
      </c>
      <c r="H356" t="s">
        <v>80</v>
      </c>
      <c r="I356" t="s">
        <v>662</v>
      </c>
      <c r="J356" t="s">
        <v>663</v>
      </c>
      <c r="K356" t="s">
        <v>82</v>
      </c>
      <c r="L356">
        <v>664739.125</v>
      </c>
      <c r="M356" t="s">
        <v>83</v>
      </c>
      <c r="S356">
        <v>1</v>
      </c>
      <c r="U356">
        <v>0</v>
      </c>
      <c r="V356">
        <v>0</v>
      </c>
      <c r="W356">
        <v>752620.27560000005</v>
      </c>
    </row>
    <row r="357" spans="1:23" x14ac:dyDescent="0.25">
      <c r="A357" t="s">
        <v>647</v>
      </c>
      <c r="B357">
        <v>1</v>
      </c>
      <c r="C357" t="s">
        <v>608</v>
      </c>
      <c r="D357" t="s">
        <v>648</v>
      </c>
      <c r="E357" t="s">
        <v>552</v>
      </c>
      <c r="F357" t="s">
        <v>610</v>
      </c>
      <c r="G357" t="s">
        <v>326</v>
      </c>
      <c r="H357" t="s">
        <v>80</v>
      </c>
      <c r="I357" t="s">
        <v>664</v>
      </c>
      <c r="J357" t="s">
        <v>665</v>
      </c>
      <c r="K357" t="s">
        <v>82</v>
      </c>
      <c r="L357">
        <v>671242.23999999999</v>
      </c>
      <c r="M357" t="s">
        <v>83</v>
      </c>
      <c r="N357">
        <v>752620.27560000005</v>
      </c>
      <c r="P357">
        <v>1</v>
      </c>
      <c r="T357">
        <v>1</v>
      </c>
      <c r="U357">
        <v>0</v>
      </c>
      <c r="V357">
        <v>0</v>
      </c>
      <c r="W357">
        <v>752620.27560000005</v>
      </c>
    </row>
    <row r="358" spans="1:23" x14ac:dyDescent="0.25">
      <c r="A358" t="s">
        <v>666</v>
      </c>
      <c r="B358">
        <v>0</v>
      </c>
      <c r="C358" t="s">
        <v>608</v>
      </c>
      <c r="D358" t="s">
        <v>648</v>
      </c>
      <c r="E358" t="s">
        <v>552</v>
      </c>
      <c r="F358" t="s">
        <v>610</v>
      </c>
      <c r="G358" t="s">
        <v>84</v>
      </c>
      <c r="H358" t="s">
        <v>92</v>
      </c>
      <c r="I358" t="s">
        <v>667</v>
      </c>
      <c r="J358" t="s">
        <v>543</v>
      </c>
      <c r="K358" t="s">
        <v>82</v>
      </c>
      <c r="L358">
        <v>38410</v>
      </c>
      <c r="M358" t="s">
        <v>83</v>
      </c>
      <c r="R358">
        <v>1</v>
      </c>
      <c r="S358">
        <v>1</v>
      </c>
      <c r="U358">
        <v>0</v>
      </c>
      <c r="V358">
        <v>0</v>
      </c>
      <c r="W358">
        <v>40866.666666666664</v>
      </c>
    </row>
    <row r="359" spans="1:23" x14ac:dyDescent="0.25">
      <c r="A359" t="s">
        <v>666</v>
      </c>
      <c r="B359">
        <v>1</v>
      </c>
      <c r="C359" t="s">
        <v>608</v>
      </c>
      <c r="D359" t="s">
        <v>648</v>
      </c>
      <c r="E359" t="s">
        <v>552</v>
      </c>
      <c r="F359" t="s">
        <v>610</v>
      </c>
      <c r="G359" t="s">
        <v>221</v>
      </c>
      <c r="H359" t="s">
        <v>92</v>
      </c>
      <c r="I359" t="s">
        <v>221</v>
      </c>
      <c r="J359" t="s">
        <v>221</v>
      </c>
      <c r="K359" t="s">
        <v>82</v>
      </c>
      <c r="L359">
        <v>55620</v>
      </c>
      <c r="M359" t="s">
        <v>83</v>
      </c>
      <c r="N359">
        <v>40866.666669999999</v>
      </c>
      <c r="O359">
        <v>1</v>
      </c>
      <c r="R359">
        <v>1</v>
      </c>
      <c r="U359">
        <v>55620</v>
      </c>
      <c r="V359">
        <v>55620</v>
      </c>
      <c r="W359">
        <v>40866.666666666664</v>
      </c>
    </row>
    <row r="360" spans="1:23" x14ac:dyDescent="0.25">
      <c r="A360" t="s">
        <v>666</v>
      </c>
      <c r="B360">
        <v>0</v>
      </c>
      <c r="C360" t="s">
        <v>608</v>
      </c>
      <c r="D360" t="s">
        <v>648</v>
      </c>
      <c r="E360" t="s">
        <v>552</v>
      </c>
      <c r="F360" t="s">
        <v>610</v>
      </c>
      <c r="G360" t="s">
        <v>84</v>
      </c>
      <c r="H360" t="s">
        <v>92</v>
      </c>
      <c r="I360" t="s">
        <v>668</v>
      </c>
      <c r="J360" t="s">
        <v>343</v>
      </c>
      <c r="K360" t="s">
        <v>82</v>
      </c>
      <c r="L360">
        <v>28570</v>
      </c>
      <c r="M360" t="s">
        <v>83</v>
      </c>
      <c r="P360">
        <v>1</v>
      </c>
      <c r="R360">
        <v>1</v>
      </c>
      <c r="T360">
        <v>1</v>
      </c>
      <c r="U360">
        <v>0</v>
      </c>
      <c r="V360">
        <v>0</v>
      </c>
      <c r="W360">
        <v>40866.666666666664</v>
      </c>
    </row>
    <row r="361" spans="1:23" x14ac:dyDescent="0.25">
      <c r="A361" t="s">
        <v>666</v>
      </c>
      <c r="B361">
        <v>0</v>
      </c>
      <c r="C361" t="s">
        <v>608</v>
      </c>
      <c r="D361" t="s">
        <v>648</v>
      </c>
      <c r="E361" t="s">
        <v>552</v>
      </c>
      <c r="F361" t="s">
        <v>610</v>
      </c>
      <c r="G361" t="s">
        <v>84</v>
      </c>
      <c r="H361" t="s">
        <v>98</v>
      </c>
      <c r="I361" t="s">
        <v>669</v>
      </c>
      <c r="J361" t="s">
        <v>670</v>
      </c>
      <c r="K361" t="s">
        <v>82</v>
      </c>
      <c r="L361">
        <v>20550</v>
      </c>
      <c r="M361" t="s">
        <v>83</v>
      </c>
      <c r="R361">
        <v>1</v>
      </c>
      <c r="T361">
        <v>1</v>
      </c>
      <c r="U361">
        <v>0</v>
      </c>
      <c r="V361">
        <v>0</v>
      </c>
      <c r="W361">
        <v>27483.333333333332</v>
      </c>
    </row>
    <row r="362" spans="1:23" x14ac:dyDescent="0.25">
      <c r="A362" t="s">
        <v>666</v>
      </c>
      <c r="B362">
        <v>1</v>
      </c>
      <c r="C362" t="s">
        <v>608</v>
      </c>
      <c r="D362" t="s">
        <v>648</v>
      </c>
      <c r="E362" t="s">
        <v>552</v>
      </c>
      <c r="F362" t="s">
        <v>610</v>
      </c>
      <c r="G362" t="s">
        <v>289</v>
      </c>
      <c r="H362" t="s">
        <v>98</v>
      </c>
      <c r="I362" t="s">
        <v>671</v>
      </c>
      <c r="J362" t="s">
        <v>672</v>
      </c>
      <c r="K362" t="s">
        <v>82</v>
      </c>
      <c r="L362">
        <v>28950</v>
      </c>
      <c r="M362" t="s">
        <v>83</v>
      </c>
      <c r="N362">
        <v>27483.333330000001</v>
      </c>
      <c r="U362">
        <v>0</v>
      </c>
      <c r="V362">
        <v>0</v>
      </c>
      <c r="W362">
        <v>27483.333333333332</v>
      </c>
    </row>
    <row r="363" spans="1:23" x14ac:dyDescent="0.25">
      <c r="A363" t="s">
        <v>666</v>
      </c>
      <c r="B363">
        <v>0</v>
      </c>
      <c r="C363" t="s">
        <v>608</v>
      </c>
      <c r="D363" t="s">
        <v>648</v>
      </c>
      <c r="E363" t="s">
        <v>552</v>
      </c>
      <c r="F363" t="s">
        <v>610</v>
      </c>
      <c r="G363" t="s">
        <v>84</v>
      </c>
      <c r="H363" t="s">
        <v>98</v>
      </c>
      <c r="I363" t="s">
        <v>673</v>
      </c>
      <c r="J363" t="s">
        <v>674</v>
      </c>
      <c r="K363" t="s">
        <v>82</v>
      </c>
      <c r="L363">
        <v>32950</v>
      </c>
      <c r="M363" t="s">
        <v>83</v>
      </c>
      <c r="U363">
        <v>0</v>
      </c>
      <c r="V363">
        <v>0</v>
      </c>
      <c r="W363">
        <v>27483.333333333332</v>
      </c>
    </row>
    <row r="364" spans="1:23" x14ac:dyDescent="0.25">
      <c r="A364" t="s">
        <v>666</v>
      </c>
      <c r="B364">
        <v>0</v>
      </c>
      <c r="C364" t="s">
        <v>608</v>
      </c>
      <c r="D364" t="s">
        <v>648</v>
      </c>
      <c r="E364" t="s">
        <v>552</v>
      </c>
      <c r="F364" t="s">
        <v>610</v>
      </c>
      <c r="G364" t="s">
        <v>84</v>
      </c>
      <c r="H364" t="s">
        <v>87</v>
      </c>
      <c r="I364" t="s">
        <v>666</v>
      </c>
      <c r="J364" t="s">
        <v>675</v>
      </c>
      <c r="K364" t="s">
        <v>82</v>
      </c>
      <c r="L364">
        <v>96361.358330000003</v>
      </c>
      <c r="M364" t="s">
        <v>83</v>
      </c>
      <c r="Q364">
        <v>1</v>
      </c>
      <c r="U364">
        <v>0</v>
      </c>
      <c r="V364">
        <v>0</v>
      </c>
      <c r="W364">
        <v>112854.31111</v>
      </c>
    </row>
    <row r="365" spans="1:23" x14ac:dyDescent="0.25">
      <c r="A365" t="s">
        <v>666</v>
      </c>
      <c r="B365">
        <v>0</v>
      </c>
      <c r="C365" t="s">
        <v>608</v>
      </c>
      <c r="D365" t="s">
        <v>648</v>
      </c>
      <c r="E365" t="s">
        <v>552</v>
      </c>
      <c r="F365" t="s">
        <v>610</v>
      </c>
      <c r="G365" t="s">
        <v>84</v>
      </c>
      <c r="H365" t="s">
        <v>87</v>
      </c>
      <c r="I365" t="s">
        <v>676</v>
      </c>
      <c r="J365" t="s">
        <v>677</v>
      </c>
      <c r="K365" t="s">
        <v>82</v>
      </c>
      <c r="L365">
        <v>169632.4</v>
      </c>
      <c r="M365" t="s">
        <v>83</v>
      </c>
      <c r="Q365">
        <v>1</v>
      </c>
      <c r="U365">
        <v>0</v>
      </c>
      <c r="V365">
        <v>0</v>
      </c>
      <c r="W365">
        <v>112854.31111</v>
      </c>
    </row>
    <row r="366" spans="1:23" x14ac:dyDescent="0.25">
      <c r="A366" t="s">
        <v>666</v>
      </c>
      <c r="B366">
        <v>1</v>
      </c>
      <c r="C366" t="s">
        <v>608</v>
      </c>
      <c r="D366" t="s">
        <v>648</v>
      </c>
      <c r="E366" t="s">
        <v>552</v>
      </c>
      <c r="F366" t="s">
        <v>610</v>
      </c>
      <c r="G366" t="s">
        <v>163</v>
      </c>
      <c r="H366" t="s">
        <v>87</v>
      </c>
      <c r="I366" t="s">
        <v>666</v>
      </c>
      <c r="J366" t="s">
        <v>678</v>
      </c>
      <c r="K366" t="s">
        <v>82</v>
      </c>
      <c r="L366">
        <v>72569.175000000003</v>
      </c>
      <c r="M366" t="s">
        <v>83</v>
      </c>
      <c r="N366">
        <v>112854.31110000001</v>
      </c>
      <c r="T366">
        <v>1</v>
      </c>
      <c r="U366">
        <v>0</v>
      </c>
      <c r="V366">
        <v>0</v>
      </c>
      <c r="W366">
        <v>112854.31111</v>
      </c>
    </row>
    <row r="367" spans="1:23" x14ac:dyDescent="0.25">
      <c r="A367" t="s">
        <v>666</v>
      </c>
      <c r="B367">
        <v>0</v>
      </c>
      <c r="C367" t="s">
        <v>608</v>
      </c>
      <c r="D367" t="s">
        <v>648</v>
      </c>
      <c r="E367" t="s">
        <v>552</v>
      </c>
      <c r="F367" t="s">
        <v>610</v>
      </c>
      <c r="G367" t="s">
        <v>84</v>
      </c>
      <c r="H367" t="s">
        <v>80</v>
      </c>
      <c r="I367" t="s">
        <v>666</v>
      </c>
      <c r="J367" t="s">
        <v>679</v>
      </c>
      <c r="K367" t="s">
        <v>82</v>
      </c>
      <c r="L367">
        <v>718279.31240000005</v>
      </c>
      <c r="M367" t="s">
        <v>83</v>
      </c>
      <c r="U367">
        <v>0</v>
      </c>
      <c r="V367">
        <v>0</v>
      </c>
      <c r="W367">
        <v>815339.00746666675</v>
      </c>
    </row>
    <row r="368" spans="1:23" x14ac:dyDescent="0.25">
      <c r="A368" t="s">
        <v>666</v>
      </c>
      <c r="B368">
        <v>1</v>
      </c>
      <c r="C368" t="s">
        <v>608</v>
      </c>
      <c r="D368" t="s">
        <v>648</v>
      </c>
      <c r="E368" t="s">
        <v>552</v>
      </c>
      <c r="F368" t="s">
        <v>610</v>
      </c>
      <c r="G368" t="s">
        <v>680</v>
      </c>
      <c r="H368" t="s">
        <v>80</v>
      </c>
      <c r="I368" t="s">
        <v>681</v>
      </c>
      <c r="J368" t="s">
        <v>682</v>
      </c>
      <c r="K368" t="s">
        <v>82</v>
      </c>
      <c r="L368">
        <v>787930.41</v>
      </c>
      <c r="M368" t="s">
        <v>83</v>
      </c>
      <c r="N368">
        <v>815339.00749999995</v>
      </c>
      <c r="P368">
        <v>1</v>
      </c>
      <c r="U368">
        <v>0</v>
      </c>
      <c r="V368">
        <v>0</v>
      </c>
      <c r="W368">
        <v>815339.00746666675</v>
      </c>
    </row>
    <row r="369" spans="1:23" x14ac:dyDescent="0.25">
      <c r="A369" t="s">
        <v>666</v>
      </c>
      <c r="B369">
        <v>0</v>
      </c>
      <c r="C369" t="s">
        <v>608</v>
      </c>
      <c r="D369" t="s">
        <v>648</v>
      </c>
      <c r="E369" t="s">
        <v>552</v>
      </c>
      <c r="F369" t="s">
        <v>610</v>
      </c>
      <c r="G369" t="s">
        <v>84</v>
      </c>
      <c r="H369" t="s">
        <v>80</v>
      </c>
      <c r="I369" t="s">
        <v>683</v>
      </c>
      <c r="J369" t="s">
        <v>684</v>
      </c>
      <c r="K369" t="s">
        <v>82</v>
      </c>
      <c r="L369">
        <v>939807.3</v>
      </c>
      <c r="M369" t="s">
        <v>83</v>
      </c>
      <c r="U369">
        <v>0</v>
      </c>
      <c r="V369">
        <v>0</v>
      </c>
      <c r="W369">
        <v>815339.00746666675</v>
      </c>
    </row>
    <row r="370" spans="1:23" x14ac:dyDescent="0.25">
      <c r="A370" t="s">
        <v>685</v>
      </c>
      <c r="B370">
        <v>1</v>
      </c>
      <c r="C370" t="s">
        <v>608</v>
      </c>
      <c r="D370" t="s">
        <v>686</v>
      </c>
      <c r="E370" t="s">
        <v>552</v>
      </c>
      <c r="F370" t="s">
        <v>610</v>
      </c>
      <c r="G370" t="s">
        <v>140</v>
      </c>
      <c r="H370" t="s">
        <v>92</v>
      </c>
      <c r="I370" t="s">
        <v>140</v>
      </c>
      <c r="J370" t="s">
        <v>140</v>
      </c>
      <c r="K370" t="s">
        <v>82</v>
      </c>
      <c r="L370">
        <v>39180</v>
      </c>
      <c r="M370" t="s">
        <v>83</v>
      </c>
      <c r="N370">
        <v>39333.333330000001</v>
      </c>
      <c r="O370">
        <v>1</v>
      </c>
      <c r="U370">
        <v>39180</v>
      </c>
      <c r="V370">
        <v>39180</v>
      </c>
      <c r="W370">
        <v>39333.333333333336</v>
      </c>
    </row>
    <row r="371" spans="1:23" x14ac:dyDescent="0.25">
      <c r="A371" t="s">
        <v>685</v>
      </c>
      <c r="B371">
        <v>0</v>
      </c>
      <c r="C371" t="s">
        <v>608</v>
      </c>
      <c r="D371" t="s">
        <v>686</v>
      </c>
      <c r="E371" t="s">
        <v>552</v>
      </c>
      <c r="F371" t="s">
        <v>610</v>
      </c>
      <c r="G371" t="s">
        <v>84</v>
      </c>
      <c r="H371" t="s">
        <v>92</v>
      </c>
      <c r="I371" t="s">
        <v>687</v>
      </c>
      <c r="J371" t="s">
        <v>303</v>
      </c>
      <c r="K371" t="s">
        <v>82</v>
      </c>
      <c r="L371">
        <v>41010</v>
      </c>
      <c r="M371" t="s">
        <v>83</v>
      </c>
      <c r="O371">
        <v>1</v>
      </c>
      <c r="P371">
        <v>1</v>
      </c>
      <c r="Q371">
        <v>1</v>
      </c>
      <c r="R371">
        <v>1</v>
      </c>
      <c r="S371">
        <v>1</v>
      </c>
      <c r="T371">
        <v>1</v>
      </c>
      <c r="U371">
        <v>41010</v>
      </c>
      <c r="V371">
        <v>0</v>
      </c>
      <c r="W371">
        <v>39333.333333333336</v>
      </c>
    </row>
    <row r="372" spans="1:23" x14ac:dyDescent="0.25">
      <c r="A372" t="s">
        <v>685</v>
      </c>
      <c r="B372">
        <v>0</v>
      </c>
      <c r="C372" t="s">
        <v>608</v>
      </c>
      <c r="D372" t="s">
        <v>686</v>
      </c>
      <c r="E372" t="s">
        <v>552</v>
      </c>
      <c r="F372" t="s">
        <v>610</v>
      </c>
      <c r="G372" t="s">
        <v>84</v>
      </c>
      <c r="H372" t="s">
        <v>92</v>
      </c>
      <c r="I372" t="s">
        <v>688</v>
      </c>
      <c r="J372" t="s">
        <v>181</v>
      </c>
      <c r="K372" t="s">
        <v>82</v>
      </c>
      <c r="L372">
        <v>37810</v>
      </c>
      <c r="M372" t="s">
        <v>83</v>
      </c>
      <c r="U372">
        <v>0</v>
      </c>
      <c r="V372">
        <v>0</v>
      </c>
      <c r="W372">
        <v>39333.333333333336</v>
      </c>
    </row>
    <row r="373" spans="1:23" x14ac:dyDescent="0.25">
      <c r="A373" t="s">
        <v>685</v>
      </c>
      <c r="B373">
        <v>0</v>
      </c>
      <c r="C373" t="s">
        <v>608</v>
      </c>
      <c r="D373" t="s">
        <v>686</v>
      </c>
      <c r="E373" t="s">
        <v>552</v>
      </c>
      <c r="F373" t="s">
        <v>610</v>
      </c>
      <c r="G373" t="s">
        <v>84</v>
      </c>
      <c r="H373" t="s">
        <v>98</v>
      </c>
      <c r="I373" t="s">
        <v>689</v>
      </c>
      <c r="J373" t="s">
        <v>690</v>
      </c>
      <c r="K373" t="s">
        <v>82</v>
      </c>
      <c r="L373">
        <v>21400</v>
      </c>
      <c r="M373" t="s">
        <v>83</v>
      </c>
      <c r="S373">
        <v>1</v>
      </c>
      <c r="U373">
        <v>0</v>
      </c>
      <c r="V373">
        <v>0</v>
      </c>
      <c r="W373">
        <v>34116.666666666664</v>
      </c>
    </row>
    <row r="374" spans="1:23" x14ac:dyDescent="0.25">
      <c r="A374" t="s">
        <v>685</v>
      </c>
      <c r="B374">
        <v>0</v>
      </c>
      <c r="C374" t="s">
        <v>608</v>
      </c>
      <c r="D374" t="s">
        <v>686</v>
      </c>
      <c r="E374" t="s">
        <v>552</v>
      </c>
      <c r="F374" t="s">
        <v>610</v>
      </c>
      <c r="G374" t="s">
        <v>84</v>
      </c>
      <c r="H374" t="s">
        <v>98</v>
      </c>
      <c r="I374" t="s">
        <v>691</v>
      </c>
      <c r="J374" t="s">
        <v>692</v>
      </c>
      <c r="K374" t="s">
        <v>82</v>
      </c>
      <c r="L374">
        <v>30950</v>
      </c>
      <c r="M374" t="s">
        <v>83</v>
      </c>
      <c r="Q374">
        <v>1</v>
      </c>
      <c r="R374">
        <v>1</v>
      </c>
      <c r="U374">
        <v>0</v>
      </c>
      <c r="V374">
        <v>0</v>
      </c>
      <c r="W374">
        <v>34116.666666666664</v>
      </c>
    </row>
    <row r="375" spans="1:23" x14ac:dyDescent="0.25">
      <c r="A375" t="s">
        <v>685</v>
      </c>
      <c r="B375">
        <v>1</v>
      </c>
      <c r="C375" t="s">
        <v>608</v>
      </c>
      <c r="D375" t="s">
        <v>686</v>
      </c>
      <c r="E375" t="s">
        <v>552</v>
      </c>
      <c r="F375" t="s">
        <v>610</v>
      </c>
      <c r="G375" t="s">
        <v>693</v>
      </c>
      <c r="H375" t="s">
        <v>98</v>
      </c>
      <c r="I375" t="s">
        <v>694</v>
      </c>
      <c r="J375" t="s">
        <v>695</v>
      </c>
      <c r="K375" t="s">
        <v>82</v>
      </c>
      <c r="L375">
        <v>50000</v>
      </c>
      <c r="M375" t="s">
        <v>83</v>
      </c>
      <c r="N375">
        <v>34116.666669999999</v>
      </c>
      <c r="S375">
        <v>1</v>
      </c>
      <c r="U375">
        <v>0</v>
      </c>
      <c r="V375">
        <v>0</v>
      </c>
      <c r="W375">
        <v>34116.666666666664</v>
      </c>
    </row>
    <row r="376" spans="1:23" x14ac:dyDescent="0.25">
      <c r="A376" t="s">
        <v>685</v>
      </c>
      <c r="B376">
        <v>0</v>
      </c>
      <c r="C376" t="s">
        <v>608</v>
      </c>
      <c r="D376" t="s">
        <v>686</v>
      </c>
      <c r="E376" t="s">
        <v>552</v>
      </c>
      <c r="F376" t="s">
        <v>610</v>
      </c>
      <c r="G376" t="s">
        <v>84</v>
      </c>
      <c r="H376" t="s">
        <v>87</v>
      </c>
      <c r="I376" t="s">
        <v>685</v>
      </c>
      <c r="J376" t="s">
        <v>696</v>
      </c>
      <c r="K376" t="s">
        <v>82</v>
      </c>
      <c r="L376">
        <v>114637.3083</v>
      </c>
      <c r="M376" t="s">
        <v>83</v>
      </c>
      <c r="U376">
        <v>0</v>
      </c>
      <c r="V376">
        <v>0</v>
      </c>
      <c r="W376">
        <v>100280.11387666667</v>
      </c>
    </row>
    <row r="377" spans="1:23" x14ac:dyDescent="0.25">
      <c r="A377" t="s">
        <v>685</v>
      </c>
      <c r="B377">
        <v>0</v>
      </c>
      <c r="C377" t="s">
        <v>608</v>
      </c>
      <c r="D377" t="s">
        <v>686</v>
      </c>
      <c r="E377" t="s">
        <v>552</v>
      </c>
      <c r="F377" t="s">
        <v>610</v>
      </c>
      <c r="G377" t="s">
        <v>84</v>
      </c>
      <c r="H377" t="s">
        <v>87</v>
      </c>
      <c r="I377" t="s">
        <v>697</v>
      </c>
      <c r="J377" t="s">
        <v>698</v>
      </c>
      <c r="K377" t="s">
        <v>82</v>
      </c>
      <c r="L377">
        <v>101759.7</v>
      </c>
      <c r="M377" t="s">
        <v>83</v>
      </c>
      <c r="U377">
        <v>0</v>
      </c>
      <c r="V377">
        <v>0</v>
      </c>
      <c r="W377">
        <v>100280.11387666667</v>
      </c>
    </row>
    <row r="378" spans="1:23" x14ac:dyDescent="0.25">
      <c r="A378" t="s">
        <v>685</v>
      </c>
      <c r="B378">
        <v>1</v>
      </c>
      <c r="C378" t="s">
        <v>608</v>
      </c>
      <c r="D378" t="s">
        <v>686</v>
      </c>
      <c r="E378" t="s">
        <v>552</v>
      </c>
      <c r="F378" t="s">
        <v>610</v>
      </c>
      <c r="G378" t="s">
        <v>316</v>
      </c>
      <c r="H378" t="s">
        <v>87</v>
      </c>
      <c r="I378" t="s">
        <v>685</v>
      </c>
      <c r="J378" t="s">
        <v>699</v>
      </c>
      <c r="K378" t="s">
        <v>82</v>
      </c>
      <c r="L378">
        <v>84443.333329999994</v>
      </c>
      <c r="M378" t="s">
        <v>83</v>
      </c>
      <c r="N378">
        <v>100280.1139</v>
      </c>
      <c r="U378">
        <v>0</v>
      </c>
      <c r="V378">
        <v>0</v>
      </c>
      <c r="W378">
        <v>100280.11387666667</v>
      </c>
    </row>
    <row r="379" spans="1:23" x14ac:dyDescent="0.25">
      <c r="A379" t="s">
        <v>685</v>
      </c>
      <c r="B379">
        <v>1</v>
      </c>
      <c r="C379" t="s">
        <v>608</v>
      </c>
      <c r="D379" t="s">
        <v>686</v>
      </c>
      <c r="E379" t="s">
        <v>552</v>
      </c>
      <c r="F379" t="s">
        <v>610</v>
      </c>
      <c r="G379" t="s">
        <v>700</v>
      </c>
      <c r="H379" t="s">
        <v>80</v>
      </c>
      <c r="I379" t="s">
        <v>685</v>
      </c>
      <c r="J379" t="s">
        <v>701</v>
      </c>
      <c r="K379" t="s">
        <v>82</v>
      </c>
      <c r="L379">
        <v>695741.97759999998</v>
      </c>
      <c r="M379" t="s">
        <v>83</v>
      </c>
      <c r="N379">
        <v>747040.61529999995</v>
      </c>
      <c r="S379">
        <v>1</v>
      </c>
      <c r="U379">
        <v>0</v>
      </c>
      <c r="V379">
        <v>0</v>
      </c>
      <c r="W379">
        <v>747040.61526666663</v>
      </c>
    </row>
    <row r="380" spans="1:23" x14ac:dyDescent="0.25">
      <c r="A380" t="s">
        <v>685</v>
      </c>
      <c r="B380">
        <v>0</v>
      </c>
      <c r="C380" t="s">
        <v>608</v>
      </c>
      <c r="D380" t="s">
        <v>686</v>
      </c>
      <c r="E380" t="s">
        <v>552</v>
      </c>
      <c r="F380" t="s">
        <v>610</v>
      </c>
      <c r="G380" t="s">
        <v>84</v>
      </c>
      <c r="H380" t="s">
        <v>80</v>
      </c>
      <c r="I380" t="s">
        <v>685</v>
      </c>
      <c r="J380" t="s">
        <v>702</v>
      </c>
      <c r="K380" t="s">
        <v>82</v>
      </c>
      <c r="L380">
        <v>873108.54399999999</v>
      </c>
      <c r="M380" t="s">
        <v>83</v>
      </c>
      <c r="P380">
        <v>1</v>
      </c>
      <c r="U380">
        <v>0</v>
      </c>
      <c r="V380">
        <v>0</v>
      </c>
      <c r="W380">
        <v>747040.61526666663</v>
      </c>
    </row>
    <row r="381" spans="1:23" x14ac:dyDescent="0.25">
      <c r="A381" t="s">
        <v>685</v>
      </c>
      <c r="B381">
        <v>0</v>
      </c>
      <c r="C381" t="s">
        <v>608</v>
      </c>
      <c r="D381" t="s">
        <v>686</v>
      </c>
      <c r="E381" t="s">
        <v>552</v>
      </c>
      <c r="F381" t="s">
        <v>610</v>
      </c>
      <c r="G381" t="s">
        <v>84</v>
      </c>
      <c r="H381" t="s">
        <v>80</v>
      </c>
      <c r="I381" t="s">
        <v>685</v>
      </c>
      <c r="J381" t="s">
        <v>703</v>
      </c>
      <c r="K381" t="s">
        <v>82</v>
      </c>
      <c r="L381">
        <v>672271.32420000003</v>
      </c>
      <c r="M381" t="s">
        <v>83</v>
      </c>
      <c r="O381">
        <v>1</v>
      </c>
      <c r="U381">
        <v>672271.32420000003</v>
      </c>
      <c r="V381">
        <v>0</v>
      </c>
      <c r="W381">
        <v>747040.61526666663</v>
      </c>
    </row>
    <row r="382" spans="1:23" x14ac:dyDescent="0.25">
      <c r="A382" t="s">
        <v>685</v>
      </c>
      <c r="B382">
        <v>1</v>
      </c>
      <c r="C382" t="s">
        <v>608</v>
      </c>
      <c r="D382" t="s">
        <v>686</v>
      </c>
      <c r="E382" t="s">
        <v>552</v>
      </c>
      <c r="F382" t="s">
        <v>610</v>
      </c>
      <c r="G382" t="s">
        <v>700</v>
      </c>
      <c r="H382" t="s">
        <v>106</v>
      </c>
      <c r="I382" t="s">
        <v>685</v>
      </c>
      <c r="J382" t="s">
        <v>704</v>
      </c>
      <c r="K382" t="s">
        <v>82</v>
      </c>
      <c r="L382">
        <v>13817.135</v>
      </c>
      <c r="M382" t="s">
        <v>83</v>
      </c>
      <c r="N382">
        <v>10621.49583</v>
      </c>
      <c r="S382">
        <v>1</v>
      </c>
      <c r="U382">
        <v>0</v>
      </c>
      <c r="V382">
        <v>0</v>
      </c>
      <c r="W382">
        <v>10621.495833333334</v>
      </c>
    </row>
    <row r="383" spans="1:23" x14ac:dyDescent="0.25">
      <c r="A383" t="s">
        <v>685</v>
      </c>
      <c r="B383">
        <v>0</v>
      </c>
      <c r="C383" t="s">
        <v>608</v>
      </c>
      <c r="D383" t="s">
        <v>686</v>
      </c>
      <c r="E383" t="s">
        <v>552</v>
      </c>
      <c r="F383" t="s">
        <v>610</v>
      </c>
      <c r="G383" t="s">
        <v>84</v>
      </c>
      <c r="H383" t="s">
        <v>106</v>
      </c>
      <c r="I383" t="s">
        <v>685</v>
      </c>
      <c r="J383" t="s">
        <v>705</v>
      </c>
      <c r="K383" t="s">
        <v>82</v>
      </c>
      <c r="L383">
        <v>9098.5125000000007</v>
      </c>
      <c r="M383" t="s">
        <v>83</v>
      </c>
      <c r="P383">
        <v>1</v>
      </c>
      <c r="U383">
        <v>0</v>
      </c>
      <c r="V383">
        <v>0</v>
      </c>
      <c r="W383">
        <v>10621.495833333334</v>
      </c>
    </row>
    <row r="384" spans="1:23" x14ac:dyDescent="0.25">
      <c r="A384" t="s">
        <v>685</v>
      </c>
      <c r="B384">
        <v>0</v>
      </c>
      <c r="C384" t="s">
        <v>608</v>
      </c>
      <c r="D384" t="s">
        <v>686</v>
      </c>
      <c r="E384" t="s">
        <v>552</v>
      </c>
      <c r="F384" t="s">
        <v>610</v>
      </c>
      <c r="G384" t="s">
        <v>84</v>
      </c>
      <c r="H384" t="s">
        <v>106</v>
      </c>
      <c r="I384" t="s">
        <v>685</v>
      </c>
      <c r="J384" t="s">
        <v>706</v>
      </c>
      <c r="K384" t="s">
        <v>82</v>
      </c>
      <c r="L384">
        <v>8948.84</v>
      </c>
      <c r="M384" t="s">
        <v>83</v>
      </c>
      <c r="O384">
        <v>1</v>
      </c>
      <c r="U384">
        <v>8948.84</v>
      </c>
      <c r="V384">
        <v>0</v>
      </c>
      <c r="W384">
        <v>10621.495833333334</v>
      </c>
    </row>
    <row r="385" spans="1:23" x14ac:dyDescent="0.25">
      <c r="A385" t="s">
        <v>685</v>
      </c>
      <c r="B385">
        <v>1</v>
      </c>
      <c r="C385" t="s">
        <v>608</v>
      </c>
      <c r="D385" t="s">
        <v>686</v>
      </c>
      <c r="E385" t="s">
        <v>552</v>
      </c>
      <c r="F385" t="s">
        <v>610</v>
      </c>
      <c r="G385" t="s">
        <v>700</v>
      </c>
      <c r="H385" t="s">
        <v>110</v>
      </c>
      <c r="I385" t="s">
        <v>685</v>
      </c>
      <c r="J385" t="s">
        <v>707</v>
      </c>
      <c r="K385" t="s">
        <v>82</v>
      </c>
      <c r="L385">
        <v>9300</v>
      </c>
      <c r="M385" t="s">
        <v>83</v>
      </c>
      <c r="N385">
        <v>11143.333329999999</v>
      </c>
      <c r="S385">
        <v>1</v>
      </c>
      <c r="U385">
        <v>0</v>
      </c>
      <c r="V385">
        <v>0</v>
      </c>
      <c r="W385">
        <v>11143.333333333334</v>
      </c>
    </row>
    <row r="386" spans="1:23" x14ac:dyDescent="0.25">
      <c r="A386" t="s">
        <v>685</v>
      </c>
      <c r="B386">
        <v>0</v>
      </c>
      <c r="C386" t="s">
        <v>608</v>
      </c>
      <c r="D386" t="s">
        <v>686</v>
      </c>
      <c r="E386" t="s">
        <v>552</v>
      </c>
      <c r="F386" t="s">
        <v>610</v>
      </c>
      <c r="G386" t="s">
        <v>84</v>
      </c>
      <c r="H386" t="s">
        <v>110</v>
      </c>
      <c r="I386" t="s">
        <v>685</v>
      </c>
      <c r="J386" t="s">
        <v>708</v>
      </c>
      <c r="K386" t="s">
        <v>82</v>
      </c>
      <c r="L386">
        <v>9250</v>
      </c>
      <c r="M386" t="s">
        <v>83</v>
      </c>
      <c r="P386">
        <v>1</v>
      </c>
      <c r="U386">
        <v>0</v>
      </c>
      <c r="V386">
        <v>0</v>
      </c>
      <c r="W386">
        <v>11143.333333333334</v>
      </c>
    </row>
    <row r="387" spans="1:23" x14ac:dyDescent="0.25">
      <c r="A387" t="s">
        <v>685</v>
      </c>
      <c r="B387">
        <v>0</v>
      </c>
      <c r="C387" t="s">
        <v>608</v>
      </c>
      <c r="D387" t="s">
        <v>686</v>
      </c>
      <c r="E387" t="s">
        <v>552</v>
      </c>
      <c r="F387" t="s">
        <v>610</v>
      </c>
      <c r="G387" t="s">
        <v>84</v>
      </c>
      <c r="H387" t="s">
        <v>110</v>
      </c>
      <c r="I387" t="s">
        <v>685</v>
      </c>
      <c r="J387" t="s">
        <v>709</v>
      </c>
      <c r="K387" t="s">
        <v>82</v>
      </c>
      <c r="L387">
        <v>14880</v>
      </c>
      <c r="M387" t="s">
        <v>83</v>
      </c>
      <c r="O387">
        <v>1</v>
      </c>
      <c r="U387">
        <v>14880</v>
      </c>
      <c r="V387">
        <v>0</v>
      </c>
      <c r="W387">
        <v>11143.333333333334</v>
      </c>
    </row>
    <row r="388" spans="1:23" x14ac:dyDescent="0.25">
      <c r="A388" t="s">
        <v>710</v>
      </c>
      <c r="B388">
        <v>1</v>
      </c>
      <c r="C388" t="s">
        <v>608</v>
      </c>
      <c r="D388" t="s">
        <v>686</v>
      </c>
      <c r="E388" t="s">
        <v>552</v>
      </c>
      <c r="F388" t="s">
        <v>610</v>
      </c>
      <c r="G388" t="s">
        <v>140</v>
      </c>
      <c r="H388" t="s">
        <v>92</v>
      </c>
      <c r="I388" t="s">
        <v>711</v>
      </c>
      <c r="J388" t="s">
        <v>140</v>
      </c>
      <c r="K388" t="s">
        <v>82</v>
      </c>
      <c r="L388">
        <v>28890</v>
      </c>
      <c r="M388" t="s">
        <v>83</v>
      </c>
      <c r="N388">
        <v>37863.333330000001</v>
      </c>
      <c r="R388">
        <v>1</v>
      </c>
      <c r="U388">
        <v>0</v>
      </c>
      <c r="V388">
        <v>0</v>
      </c>
      <c r="W388">
        <v>37863.333333333336</v>
      </c>
    </row>
    <row r="389" spans="1:23" x14ac:dyDescent="0.25">
      <c r="A389" t="s">
        <v>710</v>
      </c>
      <c r="B389">
        <v>0</v>
      </c>
      <c r="C389" t="s">
        <v>608</v>
      </c>
      <c r="D389" t="s">
        <v>686</v>
      </c>
      <c r="E389" t="s">
        <v>552</v>
      </c>
      <c r="F389" t="s">
        <v>610</v>
      </c>
      <c r="G389" t="s">
        <v>84</v>
      </c>
      <c r="H389" t="s">
        <v>92</v>
      </c>
      <c r="I389" t="s">
        <v>712</v>
      </c>
      <c r="J389" t="s">
        <v>713</v>
      </c>
      <c r="K389" t="s">
        <v>82</v>
      </c>
      <c r="L389">
        <v>43020</v>
      </c>
      <c r="M389" t="s">
        <v>83</v>
      </c>
      <c r="Q389">
        <v>1</v>
      </c>
      <c r="U389">
        <v>0</v>
      </c>
      <c r="V389">
        <v>0</v>
      </c>
      <c r="W389">
        <v>37863.333333333336</v>
      </c>
    </row>
    <row r="390" spans="1:23" x14ac:dyDescent="0.25">
      <c r="A390" t="s">
        <v>710</v>
      </c>
      <c r="B390">
        <v>0</v>
      </c>
      <c r="C390" t="s">
        <v>608</v>
      </c>
      <c r="D390" t="s">
        <v>686</v>
      </c>
      <c r="E390" t="s">
        <v>552</v>
      </c>
      <c r="F390" t="s">
        <v>610</v>
      </c>
      <c r="G390" t="s">
        <v>84</v>
      </c>
      <c r="H390" t="s">
        <v>92</v>
      </c>
      <c r="I390" t="s">
        <v>714</v>
      </c>
      <c r="J390" t="s">
        <v>221</v>
      </c>
      <c r="K390" t="s">
        <v>82</v>
      </c>
      <c r="L390">
        <v>41680</v>
      </c>
      <c r="M390" t="s">
        <v>83</v>
      </c>
      <c r="U390">
        <v>0</v>
      </c>
      <c r="V390">
        <v>0</v>
      </c>
      <c r="W390">
        <v>37863.333333333336</v>
      </c>
    </row>
    <row r="391" spans="1:23" x14ac:dyDescent="0.25">
      <c r="A391" t="s">
        <v>710</v>
      </c>
      <c r="B391">
        <v>0</v>
      </c>
      <c r="C391" t="s">
        <v>608</v>
      </c>
      <c r="D391" t="s">
        <v>686</v>
      </c>
      <c r="E391" t="s">
        <v>552</v>
      </c>
      <c r="F391" t="s">
        <v>610</v>
      </c>
      <c r="G391" t="s">
        <v>84</v>
      </c>
      <c r="H391" t="s">
        <v>98</v>
      </c>
      <c r="I391" t="s">
        <v>715</v>
      </c>
      <c r="J391" t="s">
        <v>716</v>
      </c>
      <c r="K391" t="s">
        <v>82</v>
      </c>
      <c r="L391">
        <v>26750</v>
      </c>
      <c r="M391" t="s">
        <v>83</v>
      </c>
      <c r="S391">
        <v>1</v>
      </c>
      <c r="U391">
        <v>0</v>
      </c>
      <c r="V391">
        <v>0</v>
      </c>
      <c r="W391">
        <v>31400</v>
      </c>
    </row>
    <row r="392" spans="1:23" x14ac:dyDescent="0.25">
      <c r="A392" t="s">
        <v>710</v>
      </c>
      <c r="B392">
        <v>1</v>
      </c>
      <c r="C392" t="s">
        <v>608</v>
      </c>
      <c r="D392" t="s">
        <v>686</v>
      </c>
      <c r="E392" t="s">
        <v>552</v>
      </c>
      <c r="F392" t="s">
        <v>610</v>
      </c>
      <c r="G392" t="s">
        <v>238</v>
      </c>
      <c r="H392" t="s">
        <v>98</v>
      </c>
      <c r="I392" t="s">
        <v>717</v>
      </c>
      <c r="J392" t="s">
        <v>718</v>
      </c>
      <c r="K392" t="s">
        <v>82</v>
      </c>
      <c r="L392">
        <v>36050</v>
      </c>
      <c r="M392" t="s">
        <v>83</v>
      </c>
      <c r="N392">
        <v>31400</v>
      </c>
      <c r="U392">
        <v>0</v>
      </c>
      <c r="V392">
        <v>0</v>
      </c>
      <c r="W392">
        <v>31400</v>
      </c>
    </row>
    <row r="393" spans="1:23" x14ac:dyDescent="0.25">
      <c r="A393" t="s">
        <v>710</v>
      </c>
      <c r="B393">
        <v>0</v>
      </c>
      <c r="C393" t="s">
        <v>608</v>
      </c>
      <c r="D393" t="s">
        <v>686</v>
      </c>
      <c r="E393" t="s">
        <v>552</v>
      </c>
      <c r="F393" t="s">
        <v>610</v>
      </c>
      <c r="G393" t="s">
        <v>84</v>
      </c>
      <c r="H393" t="s">
        <v>87</v>
      </c>
      <c r="I393" t="s">
        <v>719</v>
      </c>
      <c r="J393" t="s">
        <v>720</v>
      </c>
      <c r="K393" t="s">
        <v>82</v>
      </c>
      <c r="L393">
        <v>154630</v>
      </c>
      <c r="M393" t="s">
        <v>83</v>
      </c>
      <c r="Q393">
        <v>1</v>
      </c>
      <c r="T393">
        <v>1</v>
      </c>
      <c r="U393">
        <v>0</v>
      </c>
      <c r="V393">
        <v>0</v>
      </c>
      <c r="W393">
        <v>154258.96113333333</v>
      </c>
    </row>
    <row r="394" spans="1:23" x14ac:dyDescent="0.25">
      <c r="A394" t="s">
        <v>710</v>
      </c>
      <c r="B394">
        <v>1</v>
      </c>
      <c r="C394" t="s">
        <v>608</v>
      </c>
      <c r="D394" t="s">
        <v>686</v>
      </c>
      <c r="E394" t="s">
        <v>552</v>
      </c>
      <c r="F394" t="s">
        <v>610</v>
      </c>
      <c r="G394" t="s">
        <v>413</v>
      </c>
      <c r="H394" t="s">
        <v>87</v>
      </c>
      <c r="I394" t="s">
        <v>721</v>
      </c>
      <c r="J394" t="s">
        <v>722</v>
      </c>
      <c r="K394" t="s">
        <v>82</v>
      </c>
      <c r="L394">
        <v>135575.4167</v>
      </c>
      <c r="M394" t="s">
        <v>83</v>
      </c>
      <c r="N394">
        <v>154258.96109999999</v>
      </c>
      <c r="U394">
        <v>0</v>
      </c>
      <c r="V394">
        <v>0</v>
      </c>
      <c r="W394">
        <v>154258.96113333333</v>
      </c>
    </row>
    <row r="395" spans="1:23" x14ac:dyDescent="0.25">
      <c r="A395" t="s">
        <v>710</v>
      </c>
      <c r="B395">
        <v>0</v>
      </c>
      <c r="C395" t="s">
        <v>608</v>
      </c>
      <c r="D395" t="s">
        <v>686</v>
      </c>
      <c r="E395" t="s">
        <v>552</v>
      </c>
      <c r="F395" t="s">
        <v>610</v>
      </c>
      <c r="G395" t="s">
        <v>84</v>
      </c>
      <c r="H395" t="s">
        <v>87</v>
      </c>
      <c r="I395" t="s">
        <v>710</v>
      </c>
      <c r="J395" t="s">
        <v>723</v>
      </c>
      <c r="K395" t="s">
        <v>82</v>
      </c>
      <c r="L395">
        <v>172571.46669999999</v>
      </c>
      <c r="M395" t="s">
        <v>83</v>
      </c>
      <c r="S395">
        <v>1</v>
      </c>
      <c r="T395">
        <v>1</v>
      </c>
      <c r="U395">
        <v>0</v>
      </c>
      <c r="V395">
        <v>0</v>
      </c>
      <c r="W395">
        <v>154258.96113333333</v>
      </c>
    </row>
    <row r="396" spans="1:23" x14ac:dyDescent="0.25">
      <c r="A396" t="s">
        <v>710</v>
      </c>
      <c r="B396">
        <v>0</v>
      </c>
      <c r="C396" t="s">
        <v>608</v>
      </c>
      <c r="D396" t="s">
        <v>686</v>
      </c>
      <c r="E396" t="s">
        <v>552</v>
      </c>
      <c r="F396" t="s">
        <v>610</v>
      </c>
      <c r="G396" t="s">
        <v>84</v>
      </c>
      <c r="H396" t="s">
        <v>110</v>
      </c>
      <c r="I396" t="s">
        <v>724</v>
      </c>
      <c r="J396" t="s">
        <v>725</v>
      </c>
      <c r="K396" t="s">
        <v>82</v>
      </c>
      <c r="L396">
        <v>12750</v>
      </c>
      <c r="M396" t="s">
        <v>83</v>
      </c>
      <c r="P396">
        <v>1</v>
      </c>
      <c r="T396">
        <v>1</v>
      </c>
      <c r="U396">
        <v>0</v>
      </c>
      <c r="V396">
        <v>0</v>
      </c>
      <c r="W396">
        <v>15299.666666666666</v>
      </c>
    </row>
    <row r="397" spans="1:23" x14ac:dyDescent="0.25">
      <c r="A397" t="s">
        <v>710</v>
      </c>
      <c r="B397">
        <v>1</v>
      </c>
      <c r="C397" t="s">
        <v>608</v>
      </c>
      <c r="D397" t="s">
        <v>686</v>
      </c>
      <c r="E397" t="s">
        <v>552</v>
      </c>
      <c r="F397" t="s">
        <v>610</v>
      </c>
      <c r="G397" t="s">
        <v>188</v>
      </c>
      <c r="H397" t="s">
        <v>110</v>
      </c>
      <c r="I397" t="s">
        <v>710</v>
      </c>
      <c r="J397" t="s">
        <v>726</v>
      </c>
      <c r="K397" t="s">
        <v>82</v>
      </c>
      <c r="L397">
        <v>14375</v>
      </c>
      <c r="M397" t="s">
        <v>83</v>
      </c>
      <c r="N397">
        <v>15299.666670000001</v>
      </c>
      <c r="P397">
        <v>1</v>
      </c>
      <c r="T397">
        <v>1</v>
      </c>
      <c r="U397">
        <v>0</v>
      </c>
      <c r="V397">
        <v>0</v>
      </c>
      <c r="W397">
        <v>15299.666666666666</v>
      </c>
    </row>
    <row r="398" spans="1:23" x14ac:dyDescent="0.25">
      <c r="A398" t="s">
        <v>710</v>
      </c>
      <c r="B398">
        <v>0</v>
      </c>
      <c r="C398" t="s">
        <v>608</v>
      </c>
      <c r="D398" t="s">
        <v>686</v>
      </c>
      <c r="E398" t="s">
        <v>552</v>
      </c>
      <c r="F398" t="s">
        <v>610</v>
      </c>
      <c r="G398" t="s">
        <v>84</v>
      </c>
      <c r="H398" t="s">
        <v>110</v>
      </c>
      <c r="I398" t="s">
        <v>710</v>
      </c>
      <c r="J398" t="s">
        <v>84</v>
      </c>
      <c r="K398" t="s">
        <v>82</v>
      </c>
      <c r="L398">
        <v>18774</v>
      </c>
      <c r="M398" t="s">
        <v>83</v>
      </c>
      <c r="S398">
        <v>1</v>
      </c>
      <c r="U398">
        <v>0</v>
      </c>
      <c r="V398">
        <v>0</v>
      </c>
      <c r="W398">
        <v>15299.666666666666</v>
      </c>
    </row>
    <row r="399" spans="1:23" x14ac:dyDescent="0.25">
      <c r="A399" t="s">
        <v>710</v>
      </c>
      <c r="B399">
        <v>0</v>
      </c>
      <c r="C399" t="s">
        <v>608</v>
      </c>
      <c r="D399" t="s">
        <v>686</v>
      </c>
      <c r="E399" t="s">
        <v>552</v>
      </c>
      <c r="F399" t="s">
        <v>610</v>
      </c>
      <c r="G399" t="s">
        <v>84</v>
      </c>
      <c r="H399" t="s">
        <v>106</v>
      </c>
      <c r="I399" t="s">
        <v>724</v>
      </c>
      <c r="J399" t="s">
        <v>727</v>
      </c>
      <c r="K399" t="s">
        <v>82</v>
      </c>
      <c r="L399">
        <v>10839.44</v>
      </c>
      <c r="M399" t="s">
        <v>83</v>
      </c>
      <c r="P399">
        <v>1</v>
      </c>
      <c r="T399">
        <v>1</v>
      </c>
      <c r="U399">
        <v>0</v>
      </c>
      <c r="V399">
        <v>0</v>
      </c>
      <c r="W399">
        <v>10064.819166666666</v>
      </c>
    </row>
    <row r="400" spans="1:23" x14ac:dyDescent="0.25">
      <c r="A400" t="s">
        <v>710</v>
      </c>
      <c r="B400">
        <v>1</v>
      </c>
      <c r="C400" t="s">
        <v>608</v>
      </c>
      <c r="D400" t="s">
        <v>686</v>
      </c>
      <c r="E400" t="s">
        <v>552</v>
      </c>
      <c r="F400" t="s">
        <v>610</v>
      </c>
      <c r="G400" t="s">
        <v>188</v>
      </c>
      <c r="H400" t="s">
        <v>106</v>
      </c>
      <c r="I400" t="s">
        <v>710</v>
      </c>
      <c r="J400" t="s">
        <v>728</v>
      </c>
      <c r="K400" t="s">
        <v>82</v>
      </c>
      <c r="L400">
        <v>10926.092500000001</v>
      </c>
      <c r="M400" t="s">
        <v>83</v>
      </c>
      <c r="N400">
        <v>10064.819170000001</v>
      </c>
      <c r="P400">
        <v>1</v>
      </c>
      <c r="T400">
        <v>1</v>
      </c>
      <c r="U400">
        <v>0</v>
      </c>
      <c r="V400">
        <v>0</v>
      </c>
      <c r="W400">
        <v>10064.819166666666</v>
      </c>
    </row>
    <row r="401" spans="1:23" x14ac:dyDescent="0.25">
      <c r="A401" t="s">
        <v>710</v>
      </c>
      <c r="B401">
        <v>0</v>
      </c>
      <c r="C401" t="s">
        <v>608</v>
      </c>
      <c r="D401" t="s">
        <v>686</v>
      </c>
      <c r="E401" t="s">
        <v>552</v>
      </c>
      <c r="F401" t="s">
        <v>610</v>
      </c>
      <c r="G401" t="s">
        <v>84</v>
      </c>
      <c r="H401" t="s">
        <v>106</v>
      </c>
      <c r="I401" t="s">
        <v>710</v>
      </c>
      <c r="J401" t="s">
        <v>729</v>
      </c>
      <c r="K401" t="s">
        <v>82</v>
      </c>
      <c r="L401">
        <v>8428.9249999999993</v>
      </c>
      <c r="M401" t="s">
        <v>83</v>
      </c>
      <c r="S401">
        <v>1</v>
      </c>
      <c r="U401">
        <v>0</v>
      </c>
      <c r="V401">
        <v>0</v>
      </c>
      <c r="W401">
        <v>10064.819166666666</v>
      </c>
    </row>
    <row r="402" spans="1:23" x14ac:dyDescent="0.25">
      <c r="A402" t="s">
        <v>710</v>
      </c>
      <c r="B402">
        <v>0</v>
      </c>
      <c r="C402" t="s">
        <v>608</v>
      </c>
      <c r="D402" t="s">
        <v>686</v>
      </c>
      <c r="E402" t="s">
        <v>552</v>
      </c>
      <c r="F402" t="s">
        <v>610</v>
      </c>
      <c r="G402" t="s">
        <v>84</v>
      </c>
      <c r="H402" t="s">
        <v>80</v>
      </c>
      <c r="I402" t="s">
        <v>724</v>
      </c>
      <c r="J402" t="s">
        <v>730</v>
      </c>
      <c r="K402" t="s">
        <v>82</v>
      </c>
      <c r="L402">
        <v>654508.57499999995</v>
      </c>
      <c r="M402" t="s">
        <v>83</v>
      </c>
      <c r="P402">
        <v>1</v>
      </c>
      <c r="T402">
        <v>1</v>
      </c>
      <c r="U402">
        <v>0</v>
      </c>
      <c r="V402">
        <v>0</v>
      </c>
      <c r="W402">
        <v>706387.15280000004</v>
      </c>
    </row>
    <row r="403" spans="1:23" x14ac:dyDescent="0.25">
      <c r="A403" t="s">
        <v>710</v>
      </c>
      <c r="B403">
        <v>1</v>
      </c>
      <c r="C403" t="s">
        <v>608</v>
      </c>
      <c r="D403" t="s">
        <v>686</v>
      </c>
      <c r="E403" t="s">
        <v>552</v>
      </c>
      <c r="F403" t="s">
        <v>610</v>
      </c>
      <c r="G403" t="s">
        <v>188</v>
      </c>
      <c r="H403" t="s">
        <v>80</v>
      </c>
      <c r="I403" t="s">
        <v>710</v>
      </c>
      <c r="J403" t="s">
        <v>731</v>
      </c>
      <c r="K403" t="s">
        <v>82</v>
      </c>
      <c r="L403">
        <v>831998.99340000004</v>
      </c>
      <c r="M403" t="s">
        <v>83</v>
      </c>
      <c r="N403">
        <v>706387.15280000004</v>
      </c>
      <c r="P403">
        <v>1</v>
      </c>
      <c r="T403">
        <v>1</v>
      </c>
      <c r="U403">
        <v>0</v>
      </c>
      <c r="V403">
        <v>0</v>
      </c>
      <c r="W403">
        <v>706387.15280000004</v>
      </c>
    </row>
    <row r="404" spans="1:23" x14ac:dyDescent="0.25">
      <c r="A404" t="s">
        <v>710</v>
      </c>
      <c r="B404">
        <v>0</v>
      </c>
      <c r="C404" t="s">
        <v>608</v>
      </c>
      <c r="D404" t="s">
        <v>686</v>
      </c>
      <c r="E404" t="s">
        <v>552</v>
      </c>
      <c r="F404" t="s">
        <v>610</v>
      </c>
      <c r="G404" t="s">
        <v>84</v>
      </c>
      <c r="H404" t="s">
        <v>80</v>
      </c>
      <c r="I404" t="s">
        <v>710</v>
      </c>
      <c r="J404" t="s">
        <v>732</v>
      </c>
      <c r="K404" t="s">
        <v>82</v>
      </c>
      <c r="L404">
        <v>632653.89</v>
      </c>
      <c r="M404" t="s">
        <v>83</v>
      </c>
      <c r="S404">
        <v>1</v>
      </c>
      <c r="U404">
        <v>0</v>
      </c>
      <c r="V404">
        <v>0</v>
      </c>
      <c r="W404">
        <v>706387.15280000004</v>
      </c>
    </row>
    <row r="405" spans="1:23" x14ac:dyDescent="0.25">
      <c r="A405" t="s">
        <v>733</v>
      </c>
      <c r="B405">
        <v>0</v>
      </c>
      <c r="C405" t="s">
        <v>735</v>
      </c>
      <c r="D405" t="s">
        <v>736</v>
      </c>
      <c r="E405" t="s">
        <v>179</v>
      </c>
      <c r="F405" t="s">
        <v>737</v>
      </c>
      <c r="G405" t="s">
        <v>84</v>
      </c>
      <c r="H405" t="s">
        <v>92</v>
      </c>
      <c r="I405" t="s">
        <v>738</v>
      </c>
      <c r="J405" t="s">
        <v>181</v>
      </c>
      <c r="K405" t="s">
        <v>82</v>
      </c>
      <c r="L405">
        <v>26570</v>
      </c>
      <c r="M405" t="s">
        <v>83</v>
      </c>
      <c r="U405">
        <v>0</v>
      </c>
      <c r="V405">
        <v>0</v>
      </c>
      <c r="W405">
        <v>46565</v>
      </c>
    </row>
    <row r="406" spans="1:23" x14ac:dyDescent="0.25">
      <c r="A406" t="s">
        <v>733</v>
      </c>
      <c r="B406">
        <v>1</v>
      </c>
      <c r="C406" t="s">
        <v>735</v>
      </c>
      <c r="D406" t="s">
        <v>736</v>
      </c>
      <c r="E406" t="s">
        <v>179</v>
      </c>
      <c r="F406" t="s">
        <v>737</v>
      </c>
      <c r="G406" t="s">
        <v>221</v>
      </c>
      <c r="H406" t="s">
        <v>92</v>
      </c>
      <c r="I406" t="s">
        <v>739</v>
      </c>
      <c r="J406" t="s">
        <v>221</v>
      </c>
      <c r="K406" t="s">
        <v>82</v>
      </c>
      <c r="L406">
        <v>66560</v>
      </c>
      <c r="M406" t="s">
        <v>83</v>
      </c>
      <c r="N406">
        <v>46565</v>
      </c>
      <c r="U406">
        <v>0</v>
      </c>
      <c r="V406">
        <v>0</v>
      </c>
      <c r="W406">
        <v>46565</v>
      </c>
    </row>
    <row r="407" spans="1:23" x14ac:dyDescent="0.25">
      <c r="A407" t="s">
        <v>733</v>
      </c>
      <c r="B407">
        <v>1</v>
      </c>
      <c r="C407" t="s">
        <v>735</v>
      </c>
      <c r="D407" t="s">
        <v>736</v>
      </c>
      <c r="E407" t="s">
        <v>179</v>
      </c>
      <c r="F407" t="s">
        <v>737</v>
      </c>
      <c r="G407" t="s">
        <v>700</v>
      </c>
      <c r="H407" t="s">
        <v>114</v>
      </c>
      <c r="I407" t="s">
        <v>733</v>
      </c>
      <c r="J407" t="s">
        <v>740</v>
      </c>
      <c r="K407" t="s">
        <v>82</v>
      </c>
      <c r="L407">
        <v>42850</v>
      </c>
      <c r="M407" t="s">
        <v>83</v>
      </c>
      <c r="N407">
        <v>31316.666669999999</v>
      </c>
      <c r="S407">
        <v>1</v>
      </c>
      <c r="U407">
        <v>0</v>
      </c>
      <c r="V407">
        <v>0</v>
      </c>
      <c r="W407">
        <v>31316.666666666664</v>
      </c>
    </row>
    <row r="408" spans="1:23" x14ac:dyDescent="0.25">
      <c r="A408" t="s">
        <v>733</v>
      </c>
      <c r="B408">
        <v>0</v>
      </c>
      <c r="C408" t="s">
        <v>735</v>
      </c>
      <c r="D408" t="s">
        <v>736</v>
      </c>
      <c r="E408" t="s">
        <v>179</v>
      </c>
      <c r="F408" t="s">
        <v>737</v>
      </c>
      <c r="G408" t="s">
        <v>84</v>
      </c>
      <c r="H408" t="s">
        <v>114</v>
      </c>
      <c r="I408" t="s">
        <v>741</v>
      </c>
      <c r="J408" t="s">
        <v>742</v>
      </c>
      <c r="K408" t="s">
        <v>82</v>
      </c>
      <c r="L408">
        <v>23200</v>
      </c>
      <c r="M408" t="s">
        <v>83</v>
      </c>
      <c r="O408">
        <v>1</v>
      </c>
      <c r="U408">
        <v>23200</v>
      </c>
      <c r="V408">
        <v>0</v>
      </c>
      <c r="W408">
        <v>31316.666666666664</v>
      </c>
    </row>
    <row r="409" spans="1:23" x14ac:dyDescent="0.25">
      <c r="A409" t="s">
        <v>733</v>
      </c>
      <c r="B409">
        <v>0</v>
      </c>
      <c r="C409" t="s">
        <v>735</v>
      </c>
      <c r="D409" t="s">
        <v>736</v>
      </c>
      <c r="E409" t="s">
        <v>179</v>
      </c>
      <c r="F409" t="s">
        <v>737</v>
      </c>
      <c r="G409" t="s">
        <v>84</v>
      </c>
      <c r="H409" t="s">
        <v>114</v>
      </c>
      <c r="I409" t="s">
        <v>733</v>
      </c>
      <c r="J409" t="s">
        <v>743</v>
      </c>
      <c r="K409" t="s">
        <v>82</v>
      </c>
      <c r="L409">
        <v>27900</v>
      </c>
      <c r="M409" t="s">
        <v>83</v>
      </c>
      <c r="P409">
        <v>1</v>
      </c>
      <c r="T409">
        <v>1</v>
      </c>
      <c r="U409">
        <v>0</v>
      </c>
      <c r="V409">
        <v>0</v>
      </c>
      <c r="W409">
        <v>31316.666666666664</v>
      </c>
    </row>
    <row r="410" spans="1:23" x14ac:dyDescent="0.25">
      <c r="A410" t="s">
        <v>733</v>
      </c>
      <c r="B410">
        <v>1</v>
      </c>
      <c r="C410" t="s">
        <v>735</v>
      </c>
      <c r="D410" t="s">
        <v>736</v>
      </c>
      <c r="E410" t="s">
        <v>179</v>
      </c>
      <c r="F410" t="s">
        <v>737</v>
      </c>
      <c r="G410" t="s">
        <v>700</v>
      </c>
      <c r="H410" t="s">
        <v>121</v>
      </c>
      <c r="I410" t="s">
        <v>733</v>
      </c>
      <c r="J410" t="s">
        <v>744</v>
      </c>
      <c r="K410" t="s">
        <v>82</v>
      </c>
      <c r="L410">
        <v>193795.97099999999</v>
      </c>
      <c r="M410" t="s">
        <v>83</v>
      </c>
      <c r="N410">
        <v>182920.4215</v>
      </c>
      <c r="S410">
        <v>1</v>
      </c>
      <c r="U410">
        <v>0</v>
      </c>
      <c r="V410">
        <v>0</v>
      </c>
      <c r="W410">
        <v>182920.4215</v>
      </c>
    </row>
    <row r="411" spans="1:23" x14ac:dyDescent="0.25">
      <c r="A411" t="s">
        <v>733</v>
      </c>
      <c r="B411">
        <v>0</v>
      </c>
      <c r="C411" t="s">
        <v>735</v>
      </c>
      <c r="D411" t="s">
        <v>736</v>
      </c>
      <c r="E411" t="s">
        <v>179</v>
      </c>
      <c r="F411" t="s">
        <v>737</v>
      </c>
      <c r="G411" t="s">
        <v>84</v>
      </c>
      <c r="H411" t="s">
        <v>121</v>
      </c>
      <c r="I411" t="s">
        <v>741</v>
      </c>
      <c r="J411" t="s">
        <v>745</v>
      </c>
      <c r="K411" t="s">
        <v>82</v>
      </c>
      <c r="L411">
        <v>170725.97829999999</v>
      </c>
      <c r="M411" t="s">
        <v>83</v>
      </c>
      <c r="O411">
        <v>1</v>
      </c>
      <c r="U411">
        <v>170725.97829999999</v>
      </c>
      <c r="V411">
        <v>0</v>
      </c>
      <c r="W411">
        <v>182920.4215</v>
      </c>
    </row>
    <row r="412" spans="1:23" x14ac:dyDescent="0.25">
      <c r="A412" t="s">
        <v>733</v>
      </c>
      <c r="B412">
        <v>0</v>
      </c>
      <c r="C412" t="s">
        <v>735</v>
      </c>
      <c r="D412" t="s">
        <v>736</v>
      </c>
      <c r="E412" t="s">
        <v>179</v>
      </c>
      <c r="F412" t="s">
        <v>737</v>
      </c>
      <c r="G412" t="s">
        <v>84</v>
      </c>
      <c r="H412" t="s">
        <v>121</v>
      </c>
      <c r="I412" t="s">
        <v>733</v>
      </c>
      <c r="J412" t="s">
        <v>746</v>
      </c>
      <c r="K412" t="s">
        <v>82</v>
      </c>
      <c r="L412">
        <v>184239.31520000001</v>
      </c>
      <c r="M412" t="s">
        <v>83</v>
      </c>
      <c r="P412">
        <v>1</v>
      </c>
      <c r="T412">
        <v>1</v>
      </c>
      <c r="U412">
        <v>0</v>
      </c>
      <c r="V412">
        <v>0</v>
      </c>
      <c r="W412">
        <v>182920.4215</v>
      </c>
    </row>
    <row r="413" spans="1:23" x14ac:dyDescent="0.25">
      <c r="A413" t="s">
        <v>733</v>
      </c>
      <c r="B413">
        <v>0</v>
      </c>
      <c r="C413" t="s">
        <v>735</v>
      </c>
      <c r="D413" t="s">
        <v>736</v>
      </c>
      <c r="E413" t="s">
        <v>179</v>
      </c>
      <c r="F413" t="s">
        <v>737</v>
      </c>
      <c r="G413" t="s">
        <v>84</v>
      </c>
      <c r="H413" t="s">
        <v>151</v>
      </c>
      <c r="I413" t="s">
        <v>747</v>
      </c>
      <c r="J413" t="s">
        <v>748</v>
      </c>
      <c r="K413" t="s">
        <v>82</v>
      </c>
      <c r="L413">
        <v>108745</v>
      </c>
      <c r="M413" t="s">
        <v>83</v>
      </c>
      <c r="U413">
        <v>0</v>
      </c>
      <c r="V413">
        <v>0</v>
      </c>
      <c r="W413">
        <v>98085</v>
      </c>
    </row>
    <row r="414" spans="1:23" x14ac:dyDescent="0.25">
      <c r="A414" t="s">
        <v>733</v>
      </c>
      <c r="B414">
        <v>1</v>
      </c>
      <c r="C414" t="s">
        <v>735</v>
      </c>
      <c r="D414" t="s">
        <v>736</v>
      </c>
      <c r="E414" t="s">
        <v>179</v>
      </c>
      <c r="F414" t="s">
        <v>737</v>
      </c>
      <c r="G414" t="s">
        <v>229</v>
      </c>
      <c r="H414" t="s">
        <v>151</v>
      </c>
      <c r="I414" t="s">
        <v>749</v>
      </c>
      <c r="J414" t="s">
        <v>750</v>
      </c>
      <c r="K414" t="s">
        <v>82</v>
      </c>
      <c r="L414">
        <v>87425</v>
      </c>
      <c r="M414" t="s">
        <v>83</v>
      </c>
      <c r="N414">
        <v>98085</v>
      </c>
      <c r="U414">
        <v>0</v>
      </c>
      <c r="V414">
        <v>0</v>
      </c>
      <c r="W414">
        <v>98085</v>
      </c>
    </row>
    <row r="415" spans="1:23" x14ac:dyDescent="0.25">
      <c r="A415" t="s">
        <v>733</v>
      </c>
      <c r="B415">
        <v>1</v>
      </c>
      <c r="C415" t="s">
        <v>735</v>
      </c>
      <c r="D415" t="s">
        <v>736</v>
      </c>
      <c r="E415" t="s">
        <v>179</v>
      </c>
      <c r="F415" t="s">
        <v>737</v>
      </c>
      <c r="G415" t="s">
        <v>203</v>
      </c>
      <c r="H415" t="s">
        <v>98</v>
      </c>
      <c r="I415" t="s">
        <v>751</v>
      </c>
      <c r="J415" t="s">
        <v>752</v>
      </c>
      <c r="K415" t="s">
        <v>82</v>
      </c>
      <c r="L415">
        <v>51900</v>
      </c>
      <c r="M415" t="s">
        <v>83</v>
      </c>
      <c r="N415">
        <v>44125</v>
      </c>
      <c r="Q415">
        <v>1</v>
      </c>
      <c r="U415">
        <v>0</v>
      </c>
      <c r="V415">
        <v>0</v>
      </c>
      <c r="W415">
        <v>44125</v>
      </c>
    </row>
    <row r="416" spans="1:23" x14ac:dyDescent="0.25">
      <c r="A416" t="s">
        <v>733</v>
      </c>
      <c r="B416">
        <v>0</v>
      </c>
      <c r="C416" t="s">
        <v>735</v>
      </c>
      <c r="D416" t="s">
        <v>736</v>
      </c>
      <c r="E416" t="s">
        <v>179</v>
      </c>
      <c r="F416" t="s">
        <v>737</v>
      </c>
      <c r="G416" t="s">
        <v>84</v>
      </c>
      <c r="H416" t="s">
        <v>98</v>
      </c>
      <c r="I416" t="s">
        <v>753</v>
      </c>
      <c r="J416" t="s">
        <v>754</v>
      </c>
      <c r="K416" t="s">
        <v>82</v>
      </c>
      <c r="L416">
        <v>36350</v>
      </c>
      <c r="M416" t="s">
        <v>83</v>
      </c>
      <c r="U416">
        <v>0</v>
      </c>
      <c r="V416">
        <v>0</v>
      </c>
      <c r="W416">
        <v>44125</v>
      </c>
    </row>
    <row r="417" spans="1:23" x14ac:dyDescent="0.25">
      <c r="A417" t="s">
        <v>733</v>
      </c>
      <c r="B417">
        <v>0</v>
      </c>
      <c r="C417" t="s">
        <v>735</v>
      </c>
      <c r="D417" t="s">
        <v>736</v>
      </c>
      <c r="E417" t="s">
        <v>179</v>
      </c>
      <c r="F417" t="s">
        <v>737</v>
      </c>
      <c r="G417" t="s">
        <v>84</v>
      </c>
      <c r="H417" t="s">
        <v>87</v>
      </c>
      <c r="I417" t="s">
        <v>733</v>
      </c>
      <c r="J417" t="s">
        <v>755</v>
      </c>
      <c r="K417" t="s">
        <v>82</v>
      </c>
      <c r="L417">
        <v>125431.25</v>
      </c>
      <c r="M417" t="s">
        <v>83</v>
      </c>
      <c r="U417">
        <v>0</v>
      </c>
      <c r="V417">
        <v>0</v>
      </c>
      <c r="W417">
        <v>97059.569433333338</v>
      </c>
    </row>
    <row r="418" spans="1:23" x14ac:dyDescent="0.25">
      <c r="A418" t="s">
        <v>733</v>
      </c>
      <c r="B418">
        <v>0</v>
      </c>
      <c r="C418" t="s">
        <v>735</v>
      </c>
      <c r="D418" t="s">
        <v>736</v>
      </c>
      <c r="E418" t="s">
        <v>179</v>
      </c>
      <c r="F418" t="s">
        <v>737</v>
      </c>
      <c r="G418" t="s">
        <v>84</v>
      </c>
      <c r="H418" t="s">
        <v>87</v>
      </c>
      <c r="I418" t="s">
        <v>733</v>
      </c>
      <c r="J418" t="s">
        <v>756</v>
      </c>
      <c r="K418" t="s">
        <v>82</v>
      </c>
      <c r="L418">
        <v>65076.2</v>
      </c>
      <c r="M418" t="s">
        <v>83</v>
      </c>
      <c r="U418">
        <v>0</v>
      </c>
      <c r="V418">
        <v>0</v>
      </c>
      <c r="W418">
        <v>97059.569433333338</v>
      </c>
    </row>
    <row r="419" spans="1:23" x14ac:dyDescent="0.25">
      <c r="A419" t="s">
        <v>733</v>
      </c>
      <c r="B419">
        <v>1</v>
      </c>
      <c r="C419" t="s">
        <v>735</v>
      </c>
      <c r="D419" t="s">
        <v>736</v>
      </c>
      <c r="E419" t="s">
        <v>179</v>
      </c>
      <c r="F419" t="s">
        <v>737</v>
      </c>
      <c r="G419" t="s">
        <v>413</v>
      </c>
      <c r="H419" t="s">
        <v>87</v>
      </c>
      <c r="I419" t="s">
        <v>757</v>
      </c>
      <c r="J419" t="s">
        <v>758</v>
      </c>
      <c r="K419" t="s">
        <v>82</v>
      </c>
      <c r="L419">
        <v>100671.2583</v>
      </c>
      <c r="M419" t="s">
        <v>83</v>
      </c>
      <c r="N419">
        <v>97059.569440000007</v>
      </c>
      <c r="U419">
        <v>0</v>
      </c>
      <c r="V419">
        <v>0</v>
      </c>
      <c r="W419">
        <v>97059.569433333338</v>
      </c>
    </row>
    <row r="420" spans="1:23" x14ac:dyDescent="0.25">
      <c r="A420" t="s">
        <v>733</v>
      </c>
      <c r="B420">
        <v>0</v>
      </c>
      <c r="C420" t="s">
        <v>735</v>
      </c>
      <c r="D420" t="s">
        <v>736</v>
      </c>
      <c r="E420" t="s">
        <v>179</v>
      </c>
      <c r="F420" t="s">
        <v>737</v>
      </c>
      <c r="G420" t="s">
        <v>84</v>
      </c>
      <c r="H420" t="s">
        <v>110</v>
      </c>
      <c r="I420" t="s">
        <v>733</v>
      </c>
      <c r="J420" t="s">
        <v>759</v>
      </c>
      <c r="K420" t="s">
        <v>82</v>
      </c>
      <c r="L420">
        <v>11532</v>
      </c>
      <c r="M420" t="s">
        <v>83</v>
      </c>
      <c r="P420">
        <v>1</v>
      </c>
      <c r="T420">
        <v>1</v>
      </c>
      <c r="U420">
        <v>0</v>
      </c>
      <c r="V420">
        <v>0</v>
      </c>
      <c r="W420">
        <v>10374.666666666666</v>
      </c>
    </row>
    <row r="421" spans="1:23" x14ac:dyDescent="0.25">
      <c r="A421" t="s">
        <v>733</v>
      </c>
      <c r="B421">
        <v>1</v>
      </c>
      <c r="C421" t="s">
        <v>735</v>
      </c>
      <c r="D421" t="s">
        <v>736</v>
      </c>
      <c r="E421" t="s">
        <v>179</v>
      </c>
      <c r="F421" t="s">
        <v>737</v>
      </c>
      <c r="G421" t="s">
        <v>79</v>
      </c>
      <c r="H421" t="s">
        <v>110</v>
      </c>
      <c r="I421" t="s">
        <v>733</v>
      </c>
      <c r="J421" t="s">
        <v>760</v>
      </c>
      <c r="K421" t="s">
        <v>82</v>
      </c>
      <c r="L421">
        <v>12032</v>
      </c>
      <c r="M421" t="s">
        <v>83</v>
      </c>
      <c r="N421">
        <v>10374.666670000001</v>
      </c>
      <c r="P421">
        <v>1</v>
      </c>
      <c r="U421">
        <v>0</v>
      </c>
      <c r="V421">
        <v>0</v>
      </c>
      <c r="W421">
        <v>10374.666666666666</v>
      </c>
    </row>
    <row r="422" spans="1:23" x14ac:dyDescent="0.25">
      <c r="A422" t="s">
        <v>733</v>
      </c>
      <c r="B422">
        <v>0</v>
      </c>
      <c r="C422" t="s">
        <v>735</v>
      </c>
      <c r="D422" t="s">
        <v>736</v>
      </c>
      <c r="E422" t="s">
        <v>179</v>
      </c>
      <c r="F422" t="s">
        <v>737</v>
      </c>
      <c r="G422" t="s">
        <v>84</v>
      </c>
      <c r="H422" t="s">
        <v>110</v>
      </c>
      <c r="I422" t="s">
        <v>733</v>
      </c>
      <c r="J422" t="s">
        <v>761</v>
      </c>
      <c r="K422" t="s">
        <v>82</v>
      </c>
      <c r="L422">
        <v>7560</v>
      </c>
      <c r="M422" t="s">
        <v>83</v>
      </c>
      <c r="U422">
        <v>0</v>
      </c>
      <c r="V422">
        <v>0</v>
      </c>
      <c r="W422">
        <v>10374.666666666666</v>
      </c>
    </row>
    <row r="423" spans="1:23" x14ac:dyDescent="0.25">
      <c r="A423" t="s">
        <v>733</v>
      </c>
      <c r="B423">
        <v>0</v>
      </c>
      <c r="C423" t="s">
        <v>735</v>
      </c>
      <c r="D423" t="s">
        <v>736</v>
      </c>
      <c r="E423" t="s">
        <v>179</v>
      </c>
      <c r="F423" t="s">
        <v>737</v>
      </c>
      <c r="G423" t="s">
        <v>84</v>
      </c>
      <c r="H423" t="s">
        <v>106</v>
      </c>
      <c r="I423" t="s">
        <v>733</v>
      </c>
      <c r="J423" t="s">
        <v>762</v>
      </c>
      <c r="K423" t="s">
        <v>82</v>
      </c>
      <c r="L423">
        <v>5340.9449999999997</v>
      </c>
      <c r="M423" t="s">
        <v>83</v>
      </c>
      <c r="P423">
        <v>1</v>
      </c>
      <c r="T423">
        <v>1</v>
      </c>
      <c r="U423">
        <v>0</v>
      </c>
      <c r="V423">
        <v>0</v>
      </c>
      <c r="W423">
        <v>7102.8791666666666</v>
      </c>
    </row>
    <row r="424" spans="1:23" x14ac:dyDescent="0.25">
      <c r="A424" t="s">
        <v>733</v>
      </c>
      <c r="B424">
        <v>1</v>
      </c>
      <c r="C424" t="s">
        <v>735</v>
      </c>
      <c r="D424" t="s">
        <v>736</v>
      </c>
      <c r="E424" t="s">
        <v>179</v>
      </c>
      <c r="F424" t="s">
        <v>737</v>
      </c>
      <c r="G424" t="s">
        <v>79</v>
      </c>
      <c r="H424" t="s">
        <v>106</v>
      </c>
      <c r="I424" t="s">
        <v>733</v>
      </c>
      <c r="J424" t="s">
        <v>763</v>
      </c>
      <c r="K424" t="s">
        <v>82</v>
      </c>
      <c r="L424">
        <v>10996.99</v>
      </c>
      <c r="M424" t="s">
        <v>83</v>
      </c>
      <c r="N424">
        <v>7102.8791670000001</v>
      </c>
      <c r="P424">
        <v>1</v>
      </c>
      <c r="U424">
        <v>0</v>
      </c>
      <c r="V424">
        <v>0</v>
      </c>
      <c r="W424">
        <v>7102.8791666666666</v>
      </c>
    </row>
    <row r="425" spans="1:23" x14ac:dyDescent="0.25">
      <c r="A425" t="s">
        <v>733</v>
      </c>
      <c r="B425">
        <v>0</v>
      </c>
      <c r="C425" t="s">
        <v>735</v>
      </c>
      <c r="D425" t="s">
        <v>736</v>
      </c>
      <c r="E425" t="s">
        <v>179</v>
      </c>
      <c r="F425" t="s">
        <v>737</v>
      </c>
      <c r="G425" t="s">
        <v>84</v>
      </c>
      <c r="H425" t="s">
        <v>106</v>
      </c>
      <c r="I425" t="s">
        <v>733</v>
      </c>
      <c r="J425" t="s">
        <v>764</v>
      </c>
      <c r="K425" t="s">
        <v>82</v>
      </c>
      <c r="L425">
        <v>4970.7025000000003</v>
      </c>
      <c r="M425" t="s">
        <v>83</v>
      </c>
      <c r="U425">
        <v>0</v>
      </c>
      <c r="V425">
        <v>0</v>
      </c>
      <c r="W425">
        <v>7102.8791666666666</v>
      </c>
    </row>
    <row r="426" spans="1:23" x14ac:dyDescent="0.25">
      <c r="A426" t="s">
        <v>733</v>
      </c>
      <c r="B426">
        <v>0</v>
      </c>
      <c r="C426" t="s">
        <v>735</v>
      </c>
      <c r="D426" t="s">
        <v>736</v>
      </c>
      <c r="E426" t="s">
        <v>179</v>
      </c>
      <c r="F426" t="s">
        <v>737</v>
      </c>
      <c r="G426" t="s">
        <v>84</v>
      </c>
      <c r="H426" t="s">
        <v>80</v>
      </c>
      <c r="I426" t="s">
        <v>733</v>
      </c>
      <c r="J426" t="s">
        <v>765</v>
      </c>
      <c r="K426" t="s">
        <v>82</v>
      </c>
      <c r="L426">
        <v>804761.98400000005</v>
      </c>
      <c r="M426" t="s">
        <v>83</v>
      </c>
      <c r="P426">
        <v>1</v>
      </c>
      <c r="T426">
        <v>1</v>
      </c>
      <c r="U426">
        <v>0</v>
      </c>
      <c r="V426">
        <v>0</v>
      </c>
      <c r="W426">
        <v>823789.01633333333</v>
      </c>
    </row>
    <row r="427" spans="1:23" x14ac:dyDescent="0.25">
      <c r="A427" t="s">
        <v>733</v>
      </c>
      <c r="B427">
        <v>1</v>
      </c>
      <c r="C427" t="s">
        <v>735</v>
      </c>
      <c r="D427" t="s">
        <v>736</v>
      </c>
      <c r="E427" t="s">
        <v>179</v>
      </c>
      <c r="F427" t="s">
        <v>737</v>
      </c>
      <c r="G427" t="s">
        <v>79</v>
      </c>
      <c r="H427" t="s">
        <v>80</v>
      </c>
      <c r="I427" t="s">
        <v>733</v>
      </c>
      <c r="J427" t="s">
        <v>766</v>
      </c>
      <c r="K427" t="s">
        <v>82</v>
      </c>
      <c r="L427">
        <v>881024.64</v>
      </c>
      <c r="M427" t="s">
        <v>83</v>
      </c>
      <c r="N427">
        <v>823789.01630000002</v>
      </c>
      <c r="P427">
        <v>1</v>
      </c>
      <c r="U427">
        <v>0</v>
      </c>
      <c r="V427">
        <v>0</v>
      </c>
      <c r="W427">
        <v>823789.01633333333</v>
      </c>
    </row>
    <row r="428" spans="1:23" x14ac:dyDescent="0.25">
      <c r="A428" t="s">
        <v>733</v>
      </c>
      <c r="B428">
        <v>0</v>
      </c>
      <c r="C428" t="s">
        <v>735</v>
      </c>
      <c r="D428" t="s">
        <v>736</v>
      </c>
      <c r="E428" t="s">
        <v>179</v>
      </c>
      <c r="F428" t="s">
        <v>737</v>
      </c>
      <c r="G428" t="s">
        <v>84</v>
      </c>
      <c r="H428" t="s">
        <v>80</v>
      </c>
      <c r="I428" t="s">
        <v>733</v>
      </c>
      <c r="J428" t="s">
        <v>767</v>
      </c>
      <c r="K428" t="s">
        <v>82</v>
      </c>
      <c r="L428">
        <v>785580.42500000005</v>
      </c>
      <c r="M428" t="s">
        <v>83</v>
      </c>
      <c r="U428">
        <v>0</v>
      </c>
      <c r="V428">
        <v>0</v>
      </c>
      <c r="W428">
        <v>823789.01633333333</v>
      </c>
    </row>
    <row r="429" spans="1:23" x14ac:dyDescent="0.25">
      <c r="A429" t="s">
        <v>768</v>
      </c>
      <c r="B429">
        <v>0</v>
      </c>
      <c r="C429" t="s">
        <v>735</v>
      </c>
      <c r="D429" t="s">
        <v>736</v>
      </c>
      <c r="E429" t="s">
        <v>179</v>
      </c>
      <c r="F429" t="s">
        <v>737</v>
      </c>
      <c r="G429" t="s">
        <v>84</v>
      </c>
      <c r="H429" t="s">
        <v>92</v>
      </c>
      <c r="I429" t="s">
        <v>221</v>
      </c>
      <c r="J429" t="s">
        <v>221</v>
      </c>
      <c r="K429" t="s">
        <v>82</v>
      </c>
      <c r="L429">
        <v>32510</v>
      </c>
      <c r="M429" t="s">
        <v>83</v>
      </c>
      <c r="Q429">
        <v>1</v>
      </c>
      <c r="S429">
        <v>1</v>
      </c>
      <c r="U429">
        <v>0</v>
      </c>
      <c r="V429">
        <v>0</v>
      </c>
      <c r="W429">
        <v>26410</v>
      </c>
    </row>
    <row r="430" spans="1:23" x14ac:dyDescent="0.25">
      <c r="A430" t="s">
        <v>768</v>
      </c>
      <c r="B430">
        <v>1</v>
      </c>
      <c r="C430" t="s">
        <v>735</v>
      </c>
      <c r="D430" t="s">
        <v>736</v>
      </c>
      <c r="E430" t="s">
        <v>179</v>
      </c>
      <c r="F430" t="s">
        <v>737</v>
      </c>
      <c r="G430" t="s">
        <v>141</v>
      </c>
      <c r="H430" t="s">
        <v>92</v>
      </c>
      <c r="I430" t="s">
        <v>769</v>
      </c>
      <c r="J430" t="s">
        <v>770</v>
      </c>
      <c r="K430" t="s">
        <v>82</v>
      </c>
      <c r="L430">
        <v>20310</v>
      </c>
      <c r="M430" t="s">
        <v>83</v>
      </c>
      <c r="N430">
        <v>26410</v>
      </c>
      <c r="Q430">
        <v>1</v>
      </c>
      <c r="T430">
        <v>1</v>
      </c>
      <c r="U430">
        <v>0</v>
      </c>
      <c r="V430">
        <v>0</v>
      </c>
      <c r="W430">
        <v>26410</v>
      </c>
    </row>
    <row r="431" spans="1:23" x14ac:dyDescent="0.25">
      <c r="A431" t="s">
        <v>768</v>
      </c>
      <c r="B431">
        <v>0</v>
      </c>
      <c r="C431" t="s">
        <v>735</v>
      </c>
      <c r="D431" t="s">
        <v>736</v>
      </c>
      <c r="E431" t="s">
        <v>179</v>
      </c>
      <c r="F431" t="s">
        <v>737</v>
      </c>
      <c r="G431" t="s">
        <v>84</v>
      </c>
      <c r="H431" t="s">
        <v>185</v>
      </c>
      <c r="I431" t="s">
        <v>768</v>
      </c>
      <c r="J431" t="s">
        <v>771</v>
      </c>
      <c r="K431" t="s">
        <v>82</v>
      </c>
      <c r="L431">
        <v>17960.7</v>
      </c>
      <c r="M431" t="s">
        <v>83</v>
      </c>
      <c r="U431">
        <v>0</v>
      </c>
      <c r="V431">
        <v>0</v>
      </c>
      <c r="W431">
        <v>19142.325000000001</v>
      </c>
    </row>
    <row r="432" spans="1:23" x14ac:dyDescent="0.25">
      <c r="A432" t="s">
        <v>768</v>
      </c>
      <c r="B432">
        <v>1</v>
      </c>
      <c r="C432" t="s">
        <v>735</v>
      </c>
      <c r="D432" t="s">
        <v>736</v>
      </c>
      <c r="E432" t="s">
        <v>179</v>
      </c>
      <c r="F432" t="s">
        <v>737</v>
      </c>
      <c r="G432" t="s">
        <v>79</v>
      </c>
      <c r="H432" t="s">
        <v>185</v>
      </c>
      <c r="I432" t="s">
        <v>772</v>
      </c>
      <c r="J432" t="s">
        <v>773</v>
      </c>
      <c r="K432" t="s">
        <v>82</v>
      </c>
      <c r="L432">
        <v>20323.95</v>
      </c>
      <c r="M432" t="s">
        <v>83</v>
      </c>
      <c r="N432">
        <v>19142.325000000001</v>
      </c>
      <c r="P432">
        <v>1</v>
      </c>
      <c r="U432">
        <v>0</v>
      </c>
      <c r="V432">
        <v>0</v>
      </c>
      <c r="W432">
        <v>19142.325000000001</v>
      </c>
    </row>
    <row r="433" spans="1:23" x14ac:dyDescent="0.25">
      <c r="A433" t="s">
        <v>768</v>
      </c>
      <c r="B433">
        <v>1</v>
      </c>
      <c r="C433" t="s">
        <v>735</v>
      </c>
      <c r="D433" t="s">
        <v>736</v>
      </c>
      <c r="E433" t="s">
        <v>179</v>
      </c>
      <c r="F433" t="s">
        <v>737</v>
      </c>
      <c r="G433" t="s">
        <v>700</v>
      </c>
      <c r="H433" t="s">
        <v>121</v>
      </c>
      <c r="I433" t="s">
        <v>768</v>
      </c>
      <c r="J433" t="s">
        <v>774</v>
      </c>
      <c r="K433" t="s">
        <v>82</v>
      </c>
      <c r="L433">
        <v>145024.3322</v>
      </c>
      <c r="M433" t="s">
        <v>83</v>
      </c>
      <c r="N433">
        <v>151042.9981</v>
      </c>
      <c r="S433">
        <v>1</v>
      </c>
      <c r="U433">
        <v>0</v>
      </c>
      <c r="V433">
        <v>0</v>
      </c>
      <c r="W433">
        <v>151042.9981</v>
      </c>
    </row>
    <row r="434" spans="1:23" x14ac:dyDescent="0.25">
      <c r="A434" t="s">
        <v>768</v>
      </c>
      <c r="B434">
        <v>0</v>
      </c>
      <c r="C434" t="s">
        <v>735</v>
      </c>
      <c r="D434" t="s">
        <v>736</v>
      </c>
      <c r="E434" t="s">
        <v>179</v>
      </c>
      <c r="F434" t="s">
        <v>737</v>
      </c>
      <c r="G434" t="s">
        <v>84</v>
      </c>
      <c r="H434" t="s">
        <v>121</v>
      </c>
      <c r="I434" t="s">
        <v>775</v>
      </c>
      <c r="J434" t="s">
        <v>776</v>
      </c>
      <c r="K434" t="s">
        <v>82</v>
      </c>
      <c r="L434">
        <v>157061.66399999999</v>
      </c>
      <c r="M434" t="s">
        <v>83</v>
      </c>
      <c r="O434">
        <v>1</v>
      </c>
      <c r="U434">
        <v>157061.66399999999</v>
      </c>
      <c r="V434">
        <v>0</v>
      </c>
      <c r="W434">
        <v>151042.9981</v>
      </c>
    </row>
    <row r="435" spans="1:23" x14ac:dyDescent="0.25">
      <c r="A435" t="s">
        <v>768</v>
      </c>
      <c r="B435">
        <v>1</v>
      </c>
      <c r="C435" t="s">
        <v>735</v>
      </c>
      <c r="D435" t="s">
        <v>736</v>
      </c>
      <c r="E435" t="s">
        <v>179</v>
      </c>
      <c r="F435" t="s">
        <v>737</v>
      </c>
      <c r="G435" t="s">
        <v>441</v>
      </c>
      <c r="H435" t="s">
        <v>151</v>
      </c>
      <c r="I435" t="s">
        <v>768</v>
      </c>
      <c r="J435" t="s">
        <v>777</v>
      </c>
      <c r="K435" t="s">
        <v>82</v>
      </c>
      <c r="L435">
        <v>87009</v>
      </c>
      <c r="M435" t="s">
        <v>83</v>
      </c>
      <c r="N435">
        <v>127887.5</v>
      </c>
      <c r="U435">
        <v>0</v>
      </c>
      <c r="V435">
        <v>0</v>
      </c>
      <c r="W435">
        <v>127887.5</v>
      </c>
    </row>
    <row r="436" spans="1:23" x14ac:dyDescent="0.25">
      <c r="A436" t="s">
        <v>768</v>
      </c>
      <c r="B436">
        <v>0</v>
      </c>
      <c r="C436" t="s">
        <v>735</v>
      </c>
      <c r="D436" t="s">
        <v>736</v>
      </c>
      <c r="E436" t="s">
        <v>179</v>
      </c>
      <c r="F436" t="s">
        <v>737</v>
      </c>
      <c r="G436" t="s">
        <v>84</v>
      </c>
      <c r="H436" t="s">
        <v>151</v>
      </c>
      <c r="I436" t="s">
        <v>778</v>
      </c>
      <c r="J436" t="s">
        <v>779</v>
      </c>
      <c r="K436" t="s">
        <v>82</v>
      </c>
      <c r="L436">
        <v>168766</v>
      </c>
      <c r="M436" t="s">
        <v>83</v>
      </c>
      <c r="U436">
        <v>0</v>
      </c>
      <c r="V436">
        <v>0</v>
      </c>
      <c r="W436">
        <v>127887.5</v>
      </c>
    </row>
    <row r="437" spans="1:23" x14ac:dyDescent="0.25">
      <c r="A437" t="s">
        <v>768</v>
      </c>
      <c r="B437">
        <v>0</v>
      </c>
      <c r="C437" t="s">
        <v>735</v>
      </c>
      <c r="D437" t="s">
        <v>736</v>
      </c>
      <c r="E437" t="s">
        <v>179</v>
      </c>
      <c r="F437" t="s">
        <v>737</v>
      </c>
      <c r="G437" t="s">
        <v>84</v>
      </c>
      <c r="H437" t="s">
        <v>98</v>
      </c>
      <c r="I437" t="s">
        <v>780</v>
      </c>
      <c r="J437" t="s">
        <v>781</v>
      </c>
      <c r="K437" t="s">
        <v>82</v>
      </c>
      <c r="L437">
        <v>34500</v>
      </c>
      <c r="M437" t="s">
        <v>83</v>
      </c>
      <c r="Q437">
        <v>1</v>
      </c>
      <c r="R437">
        <v>1</v>
      </c>
      <c r="U437">
        <v>0</v>
      </c>
      <c r="V437">
        <v>0</v>
      </c>
      <c r="W437">
        <v>39187.5</v>
      </c>
    </row>
    <row r="438" spans="1:23" x14ac:dyDescent="0.25">
      <c r="A438" t="s">
        <v>768</v>
      </c>
      <c r="B438">
        <v>1</v>
      </c>
      <c r="C438" t="s">
        <v>735</v>
      </c>
      <c r="D438" t="s">
        <v>736</v>
      </c>
      <c r="E438" t="s">
        <v>179</v>
      </c>
      <c r="F438" t="s">
        <v>737</v>
      </c>
      <c r="G438" t="s">
        <v>158</v>
      </c>
      <c r="H438" t="s">
        <v>98</v>
      </c>
      <c r="I438" t="s">
        <v>782</v>
      </c>
      <c r="J438" t="s">
        <v>783</v>
      </c>
      <c r="K438" t="s">
        <v>82</v>
      </c>
      <c r="L438">
        <v>35150</v>
      </c>
      <c r="M438" t="s">
        <v>83</v>
      </c>
      <c r="N438">
        <v>39187.5</v>
      </c>
      <c r="Q438">
        <v>1</v>
      </c>
      <c r="S438">
        <v>1</v>
      </c>
      <c r="U438">
        <v>0</v>
      </c>
      <c r="V438">
        <v>0</v>
      </c>
      <c r="W438">
        <v>39187.5</v>
      </c>
    </row>
    <row r="439" spans="1:23" x14ac:dyDescent="0.25">
      <c r="A439" t="s">
        <v>768</v>
      </c>
      <c r="B439">
        <v>0</v>
      </c>
      <c r="C439" t="s">
        <v>735</v>
      </c>
      <c r="D439" t="s">
        <v>736</v>
      </c>
      <c r="E439" t="s">
        <v>179</v>
      </c>
      <c r="F439" t="s">
        <v>737</v>
      </c>
      <c r="G439" t="s">
        <v>84</v>
      </c>
      <c r="H439" t="s">
        <v>98</v>
      </c>
      <c r="I439" t="s">
        <v>784</v>
      </c>
      <c r="J439" t="s">
        <v>785</v>
      </c>
      <c r="K439" t="s">
        <v>82</v>
      </c>
      <c r="L439">
        <v>43550</v>
      </c>
      <c r="M439" t="s">
        <v>83</v>
      </c>
      <c r="U439">
        <v>0</v>
      </c>
      <c r="V439">
        <v>0</v>
      </c>
      <c r="W439">
        <v>39187.5</v>
      </c>
    </row>
    <row r="440" spans="1:23" x14ac:dyDescent="0.25">
      <c r="A440" t="s">
        <v>768</v>
      </c>
      <c r="B440">
        <v>0</v>
      </c>
      <c r="C440" t="s">
        <v>735</v>
      </c>
      <c r="D440" t="s">
        <v>736</v>
      </c>
      <c r="E440" t="s">
        <v>179</v>
      </c>
      <c r="F440" t="s">
        <v>737</v>
      </c>
      <c r="G440" t="s">
        <v>84</v>
      </c>
      <c r="H440" t="s">
        <v>98</v>
      </c>
      <c r="I440" t="s">
        <v>784</v>
      </c>
      <c r="J440" t="s">
        <v>785</v>
      </c>
      <c r="K440" t="s">
        <v>82</v>
      </c>
      <c r="L440">
        <v>43550</v>
      </c>
      <c r="M440" t="s">
        <v>83</v>
      </c>
      <c r="U440">
        <v>0</v>
      </c>
      <c r="V440">
        <v>0</v>
      </c>
      <c r="W440">
        <v>39187.5</v>
      </c>
    </row>
    <row r="441" spans="1:23" x14ac:dyDescent="0.25">
      <c r="A441" t="s">
        <v>768</v>
      </c>
      <c r="B441">
        <v>1</v>
      </c>
      <c r="C441" t="s">
        <v>735</v>
      </c>
      <c r="D441" t="s">
        <v>736</v>
      </c>
      <c r="E441" t="s">
        <v>179</v>
      </c>
      <c r="F441" t="s">
        <v>737</v>
      </c>
      <c r="G441" t="s">
        <v>163</v>
      </c>
      <c r="H441" t="s">
        <v>87</v>
      </c>
      <c r="I441" t="s">
        <v>768</v>
      </c>
      <c r="J441" t="s">
        <v>786</v>
      </c>
      <c r="K441" t="s">
        <v>82</v>
      </c>
      <c r="L441">
        <v>131994.79999999999</v>
      </c>
      <c r="M441" t="s">
        <v>83</v>
      </c>
      <c r="N441">
        <v>92026.783330000006</v>
      </c>
      <c r="T441">
        <v>1</v>
      </c>
      <c r="U441">
        <v>0</v>
      </c>
      <c r="V441">
        <v>0</v>
      </c>
      <c r="W441">
        <v>92026.783334999986</v>
      </c>
    </row>
    <row r="442" spans="1:23" x14ac:dyDescent="0.25">
      <c r="A442" t="s">
        <v>768</v>
      </c>
      <c r="B442">
        <v>0</v>
      </c>
      <c r="C442" t="s">
        <v>735</v>
      </c>
      <c r="D442" t="s">
        <v>736</v>
      </c>
      <c r="E442" t="s">
        <v>179</v>
      </c>
      <c r="F442" t="s">
        <v>737</v>
      </c>
      <c r="G442" t="s">
        <v>84</v>
      </c>
      <c r="H442" t="s">
        <v>87</v>
      </c>
      <c r="I442" t="s">
        <v>772</v>
      </c>
      <c r="J442" t="s">
        <v>787</v>
      </c>
      <c r="K442" t="s">
        <v>82</v>
      </c>
      <c r="L442">
        <v>52058.766669999997</v>
      </c>
      <c r="M442" t="s">
        <v>83</v>
      </c>
      <c r="S442">
        <v>1</v>
      </c>
      <c r="T442">
        <v>1</v>
      </c>
      <c r="U442">
        <v>0</v>
      </c>
      <c r="V442">
        <v>0</v>
      </c>
      <c r="W442">
        <v>92026.783334999986</v>
      </c>
    </row>
    <row r="443" spans="1:23" x14ac:dyDescent="0.25">
      <c r="A443" t="s">
        <v>768</v>
      </c>
      <c r="B443">
        <v>0</v>
      </c>
      <c r="C443" t="s">
        <v>735</v>
      </c>
      <c r="D443" t="s">
        <v>736</v>
      </c>
      <c r="E443" t="s">
        <v>179</v>
      </c>
      <c r="F443" t="s">
        <v>737</v>
      </c>
      <c r="G443" t="s">
        <v>84</v>
      </c>
      <c r="H443" t="s">
        <v>80</v>
      </c>
      <c r="I443" t="s">
        <v>768</v>
      </c>
      <c r="J443" t="s">
        <v>788</v>
      </c>
      <c r="K443" t="s">
        <v>82</v>
      </c>
      <c r="L443">
        <v>814542.45</v>
      </c>
      <c r="M443" t="s">
        <v>83</v>
      </c>
      <c r="U443">
        <v>0</v>
      </c>
      <c r="V443">
        <v>0</v>
      </c>
      <c r="W443">
        <v>865895.91999999993</v>
      </c>
    </row>
    <row r="444" spans="1:23" x14ac:dyDescent="0.25">
      <c r="A444" t="s">
        <v>768</v>
      </c>
      <c r="B444">
        <v>1</v>
      </c>
      <c r="C444" t="s">
        <v>735</v>
      </c>
      <c r="D444" t="s">
        <v>736</v>
      </c>
      <c r="E444" t="s">
        <v>179</v>
      </c>
      <c r="F444" t="s">
        <v>737</v>
      </c>
      <c r="G444" t="s">
        <v>79</v>
      </c>
      <c r="H444" t="s">
        <v>80</v>
      </c>
      <c r="I444" t="s">
        <v>772</v>
      </c>
      <c r="J444" t="s">
        <v>789</v>
      </c>
      <c r="K444" t="s">
        <v>82</v>
      </c>
      <c r="L444">
        <v>917249.39</v>
      </c>
      <c r="M444" t="s">
        <v>83</v>
      </c>
      <c r="N444">
        <v>865895.92</v>
      </c>
      <c r="P444">
        <v>1</v>
      </c>
      <c r="U444">
        <v>0</v>
      </c>
      <c r="V444">
        <v>0</v>
      </c>
      <c r="W444">
        <v>865895.91999999993</v>
      </c>
    </row>
    <row r="445" spans="1:23" x14ac:dyDescent="0.25">
      <c r="A445" t="s">
        <v>768</v>
      </c>
      <c r="B445">
        <v>0</v>
      </c>
      <c r="C445" t="s">
        <v>735</v>
      </c>
      <c r="D445" t="s">
        <v>736</v>
      </c>
      <c r="E445" t="s">
        <v>179</v>
      </c>
      <c r="F445" t="s">
        <v>737</v>
      </c>
      <c r="G445" t="s">
        <v>84</v>
      </c>
      <c r="H445" t="s">
        <v>106</v>
      </c>
      <c r="I445" t="s">
        <v>768</v>
      </c>
      <c r="J445" t="s">
        <v>790</v>
      </c>
      <c r="K445" t="s">
        <v>82</v>
      </c>
      <c r="L445">
        <v>9334.8374999999996</v>
      </c>
      <c r="M445" t="s">
        <v>83</v>
      </c>
      <c r="U445">
        <v>0</v>
      </c>
      <c r="V445">
        <v>0</v>
      </c>
      <c r="W445">
        <v>8224.11</v>
      </c>
    </row>
    <row r="446" spans="1:23" x14ac:dyDescent="0.25">
      <c r="A446" t="s">
        <v>768</v>
      </c>
      <c r="B446">
        <v>1</v>
      </c>
      <c r="C446" t="s">
        <v>735</v>
      </c>
      <c r="D446" t="s">
        <v>736</v>
      </c>
      <c r="E446" t="s">
        <v>179</v>
      </c>
      <c r="F446" t="s">
        <v>737</v>
      </c>
      <c r="G446" t="s">
        <v>79</v>
      </c>
      <c r="H446" t="s">
        <v>106</v>
      </c>
      <c r="I446" t="s">
        <v>772</v>
      </c>
      <c r="J446" t="s">
        <v>791</v>
      </c>
      <c r="K446" t="s">
        <v>82</v>
      </c>
      <c r="L446">
        <v>7113.3824999999997</v>
      </c>
      <c r="M446" t="s">
        <v>83</v>
      </c>
      <c r="N446">
        <v>8224.11</v>
      </c>
      <c r="P446">
        <v>1</v>
      </c>
      <c r="U446">
        <v>0</v>
      </c>
      <c r="V446">
        <v>0</v>
      </c>
      <c r="W446">
        <v>8224.11</v>
      </c>
    </row>
    <row r="447" spans="1:23" x14ac:dyDescent="0.25">
      <c r="A447" t="s">
        <v>768</v>
      </c>
      <c r="B447">
        <v>0</v>
      </c>
      <c r="C447" t="s">
        <v>735</v>
      </c>
      <c r="D447" t="s">
        <v>736</v>
      </c>
      <c r="E447" t="s">
        <v>179</v>
      </c>
      <c r="F447" t="s">
        <v>737</v>
      </c>
      <c r="G447" t="s">
        <v>84</v>
      </c>
      <c r="H447" t="s">
        <v>110</v>
      </c>
      <c r="I447" t="s">
        <v>768</v>
      </c>
      <c r="J447" t="s">
        <v>792</v>
      </c>
      <c r="K447" t="s">
        <v>82</v>
      </c>
      <c r="L447">
        <v>13335</v>
      </c>
      <c r="M447" t="s">
        <v>83</v>
      </c>
      <c r="U447">
        <v>0</v>
      </c>
      <c r="V447">
        <v>0</v>
      </c>
      <c r="W447">
        <v>17917.5</v>
      </c>
    </row>
    <row r="448" spans="1:23" x14ac:dyDescent="0.25">
      <c r="A448" t="s">
        <v>768</v>
      </c>
      <c r="B448">
        <v>1</v>
      </c>
      <c r="C448" t="s">
        <v>735</v>
      </c>
      <c r="D448" t="s">
        <v>736</v>
      </c>
      <c r="E448" t="s">
        <v>179</v>
      </c>
      <c r="F448" t="s">
        <v>737</v>
      </c>
      <c r="G448" t="s">
        <v>79</v>
      </c>
      <c r="H448" t="s">
        <v>110</v>
      </c>
      <c r="I448" t="s">
        <v>772</v>
      </c>
      <c r="J448" t="s">
        <v>793</v>
      </c>
      <c r="K448" t="s">
        <v>82</v>
      </c>
      <c r="L448">
        <v>22500</v>
      </c>
      <c r="M448" t="s">
        <v>83</v>
      </c>
      <c r="N448">
        <v>17917.5</v>
      </c>
      <c r="P448">
        <v>1</v>
      </c>
      <c r="U448">
        <v>0</v>
      </c>
      <c r="V448">
        <v>0</v>
      </c>
      <c r="W448">
        <v>17917.5</v>
      </c>
    </row>
    <row r="449" spans="1:23" x14ac:dyDescent="0.25">
      <c r="A449" t="s">
        <v>768</v>
      </c>
      <c r="B449">
        <v>1</v>
      </c>
      <c r="C449" t="s">
        <v>735</v>
      </c>
      <c r="D449" t="s">
        <v>736</v>
      </c>
      <c r="E449" t="s">
        <v>179</v>
      </c>
      <c r="F449" t="s">
        <v>737</v>
      </c>
      <c r="G449" t="s">
        <v>700</v>
      </c>
      <c r="H449" t="s">
        <v>114</v>
      </c>
      <c r="I449" t="s">
        <v>768</v>
      </c>
      <c r="J449" t="s">
        <v>794</v>
      </c>
      <c r="K449" t="s">
        <v>82</v>
      </c>
      <c r="L449">
        <v>46350</v>
      </c>
      <c r="M449" t="s">
        <v>83</v>
      </c>
      <c r="N449">
        <v>46475</v>
      </c>
      <c r="S449">
        <v>1</v>
      </c>
      <c r="U449">
        <v>0</v>
      </c>
      <c r="V449">
        <v>0</v>
      </c>
      <c r="W449">
        <v>46475</v>
      </c>
    </row>
    <row r="450" spans="1:23" x14ac:dyDescent="0.25">
      <c r="A450" t="s">
        <v>768</v>
      </c>
      <c r="B450">
        <v>0</v>
      </c>
      <c r="C450" t="s">
        <v>735</v>
      </c>
      <c r="D450" t="s">
        <v>736</v>
      </c>
      <c r="E450" t="s">
        <v>179</v>
      </c>
      <c r="F450" t="s">
        <v>737</v>
      </c>
      <c r="G450" t="s">
        <v>84</v>
      </c>
      <c r="H450" t="s">
        <v>114</v>
      </c>
      <c r="I450" t="s">
        <v>775</v>
      </c>
      <c r="J450" t="s">
        <v>795</v>
      </c>
      <c r="K450" t="s">
        <v>82</v>
      </c>
      <c r="L450">
        <v>46600</v>
      </c>
      <c r="M450" t="s">
        <v>83</v>
      </c>
      <c r="O450">
        <v>1</v>
      </c>
      <c r="U450">
        <v>46600</v>
      </c>
      <c r="V450">
        <v>0</v>
      </c>
      <c r="W450">
        <v>46475</v>
      </c>
    </row>
    <row r="451" spans="1:23" x14ac:dyDescent="0.25">
      <c r="A451" t="s">
        <v>796</v>
      </c>
      <c r="B451">
        <v>0</v>
      </c>
      <c r="C451" t="s">
        <v>797</v>
      </c>
      <c r="D451" t="s">
        <v>798</v>
      </c>
      <c r="E451" t="s">
        <v>260</v>
      </c>
      <c r="F451" t="s">
        <v>799</v>
      </c>
      <c r="G451" t="s">
        <v>84</v>
      </c>
      <c r="H451" t="s">
        <v>92</v>
      </c>
      <c r="I451" t="s">
        <v>800</v>
      </c>
      <c r="J451" t="s">
        <v>801</v>
      </c>
      <c r="K451" t="s">
        <v>82</v>
      </c>
      <c r="L451">
        <v>27510</v>
      </c>
      <c r="M451" t="s">
        <v>83</v>
      </c>
      <c r="U451">
        <v>0</v>
      </c>
      <c r="V451">
        <v>0</v>
      </c>
      <c r="W451">
        <v>28400</v>
      </c>
    </row>
    <row r="452" spans="1:23" x14ac:dyDescent="0.25">
      <c r="A452" t="s">
        <v>796</v>
      </c>
      <c r="B452">
        <v>1</v>
      </c>
      <c r="C452" t="s">
        <v>797</v>
      </c>
      <c r="D452" t="s">
        <v>798</v>
      </c>
      <c r="E452" t="s">
        <v>260</v>
      </c>
      <c r="F452" t="s">
        <v>799</v>
      </c>
      <c r="G452" t="s">
        <v>181</v>
      </c>
      <c r="H452" t="s">
        <v>92</v>
      </c>
      <c r="I452" t="s">
        <v>181</v>
      </c>
      <c r="J452" t="s">
        <v>181</v>
      </c>
      <c r="K452" t="s">
        <v>82</v>
      </c>
      <c r="L452">
        <v>29290</v>
      </c>
      <c r="M452" t="s">
        <v>83</v>
      </c>
      <c r="N452">
        <v>28400</v>
      </c>
      <c r="U452">
        <v>0</v>
      </c>
      <c r="V452">
        <v>0</v>
      </c>
      <c r="W452">
        <v>28400</v>
      </c>
    </row>
    <row r="453" spans="1:23" x14ac:dyDescent="0.25">
      <c r="A453" t="s">
        <v>796</v>
      </c>
      <c r="B453">
        <v>0</v>
      </c>
      <c r="C453" t="s">
        <v>797</v>
      </c>
      <c r="D453" t="s">
        <v>798</v>
      </c>
      <c r="E453" t="s">
        <v>260</v>
      </c>
      <c r="F453" t="s">
        <v>799</v>
      </c>
      <c r="G453" t="s">
        <v>84</v>
      </c>
      <c r="H453" t="s">
        <v>151</v>
      </c>
      <c r="I453" t="s">
        <v>802</v>
      </c>
      <c r="J453" t="s">
        <v>803</v>
      </c>
      <c r="K453" t="s">
        <v>82</v>
      </c>
      <c r="L453">
        <v>118137.5</v>
      </c>
      <c r="M453" t="s">
        <v>83</v>
      </c>
      <c r="S453">
        <v>1</v>
      </c>
      <c r="U453">
        <v>0</v>
      </c>
      <c r="V453">
        <v>0</v>
      </c>
      <c r="W453">
        <v>98628.833333333328</v>
      </c>
    </row>
    <row r="454" spans="1:23" x14ac:dyDescent="0.25">
      <c r="A454" t="s">
        <v>796</v>
      </c>
      <c r="B454">
        <v>0</v>
      </c>
      <c r="C454" t="s">
        <v>797</v>
      </c>
      <c r="D454" t="s">
        <v>798</v>
      </c>
      <c r="E454" t="s">
        <v>260</v>
      </c>
      <c r="F454" t="s">
        <v>799</v>
      </c>
      <c r="G454" t="s">
        <v>84</v>
      </c>
      <c r="H454" t="s">
        <v>151</v>
      </c>
      <c r="I454" t="s">
        <v>796</v>
      </c>
      <c r="J454" t="s">
        <v>804</v>
      </c>
      <c r="K454" t="s">
        <v>82</v>
      </c>
      <c r="L454">
        <v>75952.5</v>
      </c>
      <c r="M454" t="s">
        <v>83</v>
      </c>
      <c r="U454">
        <v>0</v>
      </c>
      <c r="V454">
        <v>0</v>
      </c>
      <c r="W454">
        <v>98628.833333333328</v>
      </c>
    </row>
    <row r="455" spans="1:23" x14ac:dyDescent="0.25">
      <c r="A455" t="s">
        <v>796</v>
      </c>
      <c r="B455">
        <v>1</v>
      </c>
      <c r="C455" t="s">
        <v>797</v>
      </c>
      <c r="D455" t="s">
        <v>798</v>
      </c>
      <c r="E455" t="s">
        <v>260</v>
      </c>
      <c r="F455" t="s">
        <v>799</v>
      </c>
      <c r="G455" t="s">
        <v>805</v>
      </c>
      <c r="H455" t="s">
        <v>151</v>
      </c>
      <c r="I455" t="s">
        <v>806</v>
      </c>
      <c r="J455" t="s">
        <v>807</v>
      </c>
      <c r="K455" t="s">
        <v>82</v>
      </c>
      <c r="L455">
        <v>101796.5</v>
      </c>
      <c r="M455" t="s">
        <v>83</v>
      </c>
      <c r="N455">
        <v>98628.833329999994</v>
      </c>
      <c r="U455">
        <v>0</v>
      </c>
      <c r="V455">
        <v>0</v>
      </c>
      <c r="W455">
        <v>98628.833333333328</v>
      </c>
    </row>
    <row r="456" spans="1:23" x14ac:dyDescent="0.25">
      <c r="A456" t="s">
        <v>796</v>
      </c>
      <c r="B456">
        <v>0</v>
      </c>
      <c r="C456" t="s">
        <v>797</v>
      </c>
      <c r="D456" t="s">
        <v>798</v>
      </c>
      <c r="E456" t="s">
        <v>260</v>
      </c>
      <c r="F456" t="s">
        <v>799</v>
      </c>
      <c r="G456" t="s">
        <v>84</v>
      </c>
      <c r="H456" t="s">
        <v>98</v>
      </c>
      <c r="I456" t="s">
        <v>808</v>
      </c>
      <c r="J456" t="s">
        <v>809</v>
      </c>
      <c r="K456" t="s">
        <v>82</v>
      </c>
      <c r="L456">
        <v>31800</v>
      </c>
      <c r="M456" t="s">
        <v>83</v>
      </c>
      <c r="U456">
        <v>0</v>
      </c>
      <c r="V456">
        <v>0</v>
      </c>
      <c r="W456">
        <v>38150</v>
      </c>
    </row>
    <row r="457" spans="1:23" x14ac:dyDescent="0.25">
      <c r="A457" t="s">
        <v>796</v>
      </c>
      <c r="B457">
        <v>0</v>
      </c>
      <c r="C457" t="s">
        <v>797</v>
      </c>
      <c r="D457" t="s">
        <v>798</v>
      </c>
      <c r="E457" t="s">
        <v>260</v>
      </c>
      <c r="F457" t="s">
        <v>799</v>
      </c>
      <c r="G457" t="s">
        <v>84</v>
      </c>
      <c r="H457" t="s">
        <v>98</v>
      </c>
      <c r="I457" t="s">
        <v>810</v>
      </c>
      <c r="J457" t="s">
        <v>811</v>
      </c>
      <c r="K457" t="s">
        <v>82</v>
      </c>
      <c r="L457">
        <v>17250</v>
      </c>
      <c r="M457" t="s">
        <v>83</v>
      </c>
      <c r="S457">
        <v>1</v>
      </c>
      <c r="U457">
        <v>0</v>
      </c>
      <c r="V457">
        <v>0</v>
      </c>
      <c r="W457">
        <v>38150</v>
      </c>
    </row>
    <row r="458" spans="1:23" x14ac:dyDescent="0.25">
      <c r="A458" t="s">
        <v>796</v>
      </c>
      <c r="B458">
        <v>1</v>
      </c>
      <c r="C458" t="s">
        <v>797</v>
      </c>
      <c r="D458" t="s">
        <v>798</v>
      </c>
      <c r="E458" t="s">
        <v>260</v>
      </c>
      <c r="F458" t="s">
        <v>799</v>
      </c>
      <c r="G458" t="s">
        <v>103</v>
      </c>
      <c r="H458" t="s">
        <v>98</v>
      </c>
      <c r="I458" t="s">
        <v>812</v>
      </c>
      <c r="J458" t="s">
        <v>813</v>
      </c>
      <c r="K458" t="s">
        <v>82</v>
      </c>
      <c r="L458">
        <v>65400</v>
      </c>
      <c r="M458" t="s">
        <v>83</v>
      </c>
      <c r="N458">
        <v>38150</v>
      </c>
      <c r="R458">
        <v>1</v>
      </c>
      <c r="T458">
        <v>1</v>
      </c>
      <c r="U458">
        <v>0</v>
      </c>
      <c r="V458">
        <v>0</v>
      </c>
      <c r="W458">
        <v>38150</v>
      </c>
    </row>
    <row r="459" spans="1:23" x14ac:dyDescent="0.25">
      <c r="A459" t="s">
        <v>796</v>
      </c>
      <c r="B459">
        <v>0</v>
      </c>
      <c r="C459" t="s">
        <v>797</v>
      </c>
      <c r="D459" t="s">
        <v>798</v>
      </c>
      <c r="E459" t="s">
        <v>260</v>
      </c>
      <c r="F459" t="s">
        <v>799</v>
      </c>
      <c r="G459" t="s">
        <v>84</v>
      </c>
      <c r="H459" t="s">
        <v>87</v>
      </c>
      <c r="I459" t="s">
        <v>796</v>
      </c>
      <c r="J459" t="s">
        <v>814</v>
      </c>
      <c r="K459" t="s">
        <v>82</v>
      </c>
      <c r="L459">
        <v>160661.6667</v>
      </c>
      <c r="M459" t="s">
        <v>83</v>
      </c>
      <c r="R459">
        <v>1</v>
      </c>
      <c r="U459">
        <v>0</v>
      </c>
      <c r="V459">
        <v>0</v>
      </c>
      <c r="W459">
        <v>127133.82501</v>
      </c>
    </row>
    <row r="460" spans="1:23" x14ac:dyDescent="0.25">
      <c r="A460" t="s">
        <v>796</v>
      </c>
      <c r="B460">
        <v>0</v>
      </c>
      <c r="C460" t="s">
        <v>797</v>
      </c>
      <c r="D460" t="s">
        <v>798</v>
      </c>
      <c r="E460" t="s">
        <v>260</v>
      </c>
      <c r="F460" t="s">
        <v>799</v>
      </c>
      <c r="G460" t="s">
        <v>84</v>
      </c>
      <c r="H460" t="s">
        <v>87</v>
      </c>
      <c r="I460" t="s">
        <v>796</v>
      </c>
      <c r="J460" t="s">
        <v>815</v>
      </c>
      <c r="K460" t="s">
        <v>82</v>
      </c>
      <c r="L460">
        <v>124164.6</v>
      </c>
      <c r="M460" t="s">
        <v>83</v>
      </c>
      <c r="T460">
        <v>1</v>
      </c>
      <c r="U460">
        <v>0</v>
      </c>
      <c r="V460">
        <v>0</v>
      </c>
      <c r="W460">
        <v>127133.82501</v>
      </c>
    </row>
    <row r="461" spans="1:23" x14ac:dyDescent="0.25">
      <c r="A461" t="s">
        <v>796</v>
      </c>
      <c r="B461">
        <v>1</v>
      </c>
      <c r="C461" t="s">
        <v>797</v>
      </c>
      <c r="D461" t="s">
        <v>798</v>
      </c>
      <c r="E461" t="s">
        <v>260</v>
      </c>
      <c r="F461" t="s">
        <v>799</v>
      </c>
      <c r="G461" t="s">
        <v>316</v>
      </c>
      <c r="H461" t="s">
        <v>87</v>
      </c>
      <c r="I461" t="s">
        <v>796</v>
      </c>
      <c r="J461" t="s">
        <v>816</v>
      </c>
      <c r="K461" t="s">
        <v>82</v>
      </c>
      <c r="L461">
        <v>96575.208329999994</v>
      </c>
      <c r="M461" t="s">
        <v>83</v>
      </c>
      <c r="N461">
        <v>127133.825</v>
      </c>
      <c r="U461">
        <v>0</v>
      </c>
      <c r="V461">
        <v>0</v>
      </c>
      <c r="W461">
        <v>127133.82501</v>
      </c>
    </row>
    <row r="462" spans="1:23" x14ac:dyDescent="0.25">
      <c r="A462" t="s">
        <v>796</v>
      </c>
      <c r="B462">
        <v>0</v>
      </c>
      <c r="C462" t="s">
        <v>797</v>
      </c>
      <c r="D462" t="s">
        <v>798</v>
      </c>
      <c r="E462" t="s">
        <v>260</v>
      </c>
      <c r="F462" t="s">
        <v>799</v>
      </c>
      <c r="G462" t="s">
        <v>84</v>
      </c>
      <c r="H462" t="s">
        <v>110</v>
      </c>
      <c r="I462" t="s">
        <v>796</v>
      </c>
      <c r="J462" t="s">
        <v>817</v>
      </c>
      <c r="K462" t="s">
        <v>82</v>
      </c>
      <c r="L462">
        <v>16380</v>
      </c>
      <c r="M462" t="s">
        <v>83</v>
      </c>
      <c r="P462">
        <v>1</v>
      </c>
      <c r="U462">
        <v>0</v>
      </c>
      <c r="V462">
        <v>0</v>
      </c>
      <c r="W462">
        <v>12223</v>
      </c>
    </row>
    <row r="463" spans="1:23" x14ac:dyDescent="0.25">
      <c r="A463" t="s">
        <v>796</v>
      </c>
      <c r="B463">
        <v>1</v>
      </c>
      <c r="C463" t="s">
        <v>797</v>
      </c>
      <c r="D463" t="s">
        <v>798</v>
      </c>
      <c r="E463" t="s">
        <v>260</v>
      </c>
      <c r="F463" t="s">
        <v>799</v>
      </c>
      <c r="G463" t="s">
        <v>680</v>
      </c>
      <c r="H463" t="s">
        <v>110</v>
      </c>
      <c r="I463" t="s">
        <v>796</v>
      </c>
      <c r="J463" t="s">
        <v>818</v>
      </c>
      <c r="K463" t="s">
        <v>82</v>
      </c>
      <c r="L463">
        <v>9625</v>
      </c>
      <c r="M463" t="s">
        <v>83</v>
      </c>
      <c r="N463">
        <v>12223</v>
      </c>
      <c r="U463">
        <v>0</v>
      </c>
      <c r="V463">
        <v>0</v>
      </c>
      <c r="W463">
        <v>12223</v>
      </c>
    </row>
    <row r="464" spans="1:23" x14ac:dyDescent="0.25">
      <c r="A464" t="s">
        <v>796</v>
      </c>
      <c r="B464">
        <v>0</v>
      </c>
      <c r="C464" t="s">
        <v>797</v>
      </c>
      <c r="D464" t="s">
        <v>798</v>
      </c>
      <c r="E464" t="s">
        <v>260</v>
      </c>
      <c r="F464" t="s">
        <v>799</v>
      </c>
      <c r="G464" t="s">
        <v>84</v>
      </c>
      <c r="H464" t="s">
        <v>110</v>
      </c>
      <c r="I464" t="s">
        <v>796</v>
      </c>
      <c r="J464" t="s">
        <v>819</v>
      </c>
      <c r="K464" t="s">
        <v>82</v>
      </c>
      <c r="L464">
        <v>10664</v>
      </c>
      <c r="M464" t="s">
        <v>83</v>
      </c>
      <c r="U464">
        <v>0</v>
      </c>
      <c r="V464">
        <v>0</v>
      </c>
      <c r="W464">
        <v>12223</v>
      </c>
    </row>
    <row r="465" spans="1:23" x14ac:dyDescent="0.25">
      <c r="A465" t="s">
        <v>796</v>
      </c>
      <c r="B465">
        <v>0</v>
      </c>
      <c r="C465" t="s">
        <v>797</v>
      </c>
      <c r="D465" t="s">
        <v>798</v>
      </c>
      <c r="E465" t="s">
        <v>260</v>
      </c>
      <c r="F465" t="s">
        <v>799</v>
      </c>
      <c r="G465" t="s">
        <v>84</v>
      </c>
      <c r="H465" t="s">
        <v>106</v>
      </c>
      <c r="I465" t="s">
        <v>796</v>
      </c>
      <c r="J465" t="s">
        <v>820</v>
      </c>
      <c r="K465" t="s">
        <v>82</v>
      </c>
      <c r="L465">
        <v>12036.82</v>
      </c>
      <c r="M465" t="s">
        <v>83</v>
      </c>
      <c r="P465">
        <v>1</v>
      </c>
      <c r="U465">
        <v>0</v>
      </c>
      <c r="V465">
        <v>0</v>
      </c>
      <c r="W465">
        <v>11025.874166666666</v>
      </c>
    </row>
    <row r="466" spans="1:23" x14ac:dyDescent="0.25">
      <c r="A466" t="s">
        <v>796</v>
      </c>
      <c r="B466">
        <v>1</v>
      </c>
      <c r="C466" t="s">
        <v>797</v>
      </c>
      <c r="D466" t="s">
        <v>798</v>
      </c>
      <c r="E466" t="s">
        <v>260</v>
      </c>
      <c r="F466" t="s">
        <v>799</v>
      </c>
      <c r="G466" t="s">
        <v>680</v>
      </c>
      <c r="H466" t="s">
        <v>106</v>
      </c>
      <c r="I466" t="s">
        <v>796</v>
      </c>
      <c r="J466" t="s">
        <v>821</v>
      </c>
      <c r="K466" t="s">
        <v>82</v>
      </c>
      <c r="L466">
        <v>11824.127500000001</v>
      </c>
      <c r="M466" t="s">
        <v>83</v>
      </c>
      <c r="N466">
        <v>11025.874169999999</v>
      </c>
      <c r="U466">
        <v>0</v>
      </c>
      <c r="V466">
        <v>0</v>
      </c>
      <c r="W466">
        <v>11025.874166666666</v>
      </c>
    </row>
    <row r="467" spans="1:23" x14ac:dyDescent="0.25">
      <c r="A467" t="s">
        <v>796</v>
      </c>
      <c r="B467">
        <v>0</v>
      </c>
      <c r="C467" t="s">
        <v>797</v>
      </c>
      <c r="D467" t="s">
        <v>798</v>
      </c>
      <c r="E467" t="s">
        <v>260</v>
      </c>
      <c r="F467" t="s">
        <v>799</v>
      </c>
      <c r="G467" t="s">
        <v>84</v>
      </c>
      <c r="H467" t="s">
        <v>106</v>
      </c>
      <c r="I467" t="s">
        <v>796</v>
      </c>
      <c r="J467" t="s">
        <v>822</v>
      </c>
      <c r="K467" t="s">
        <v>82</v>
      </c>
      <c r="L467">
        <v>9216.6749999999993</v>
      </c>
      <c r="M467" t="s">
        <v>83</v>
      </c>
      <c r="U467">
        <v>0</v>
      </c>
      <c r="V467">
        <v>0</v>
      </c>
      <c r="W467">
        <v>11025.874166666666</v>
      </c>
    </row>
    <row r="468" spans="1:23" x14ac:dyDescent="0.25">
      <c r="A468" t="s">
        <v>796</v>
      </c>
      <c r="B468">
        <v>0</v>
      </c>
      <c r="C468" t="s">
        <v>797</v>
      </c>
      <c r="D468" t="s">
        <v>798</v>
      </c>
      <c r="E468" t="s">
        <v>260</v>
      </c>
      <c r="F468" t="s">
        <v>799</v>
      </c>
      <c r="G468" t="s">
        <v>84</v>
      </c>
      <c r="H468" t="s">
        <v>80</v>
      </c>
      <c r="I468" t="s">
        <v>796</v>
      </c>
      <c r="J468" t="s">
        <v>823</v>
      </c>
      <c r="K468" t="s">
        <v>82</v>
      </c>
      <c r="L468">
        <v>727670.19180000003</v>
      </c>
      <c r="M468" t="s">
        <v>83</v>
      </c>
      <c r="P468">
        <v>1</v>
      </c>
      <c r="U468">
        <v>0</v>
      </c>
      <c r="V468">
        <v>0</v>
      </c>
      <c r="W468">
        <v>723920.4031</v>
      </c>
    </row>
    <row r="469" spans="1:23" x14ac:dyDescent="0.25">
      <c r="A469" t="s">
        <v>796</v>
      </c>
      <c r="B469">
        <v>1</v>
      </c>
      <c r="C469" t="s">
        <v>797</v>
      </c>
      <c r="D469" t="s">
        <v>798</v>
      </c>
      <c r="E469" t="s">
        <v>260</v>
      </c>
      <c r="F469" t="s">
        <v>799</v>
      </c>
      <c r="G469" t="s">
        <v>680</v>
      </c>
      <c r="H469" t="s">
        <v>80</v>
      </c>
      <c r="I469" t="s">
        <v>796</v>
      </c>
      <c r="J469" t="s">
        <v>824</v>
      </c>
      <c r="K469" t="s">
        <v>82</v>
      </c>
      <c r="L469">
        <v>798377.58</v>
      </c>
      <c r="M469" t="s">
        <v>83</v>
      </c>
      <c r="N469">
        <v>723920.4031</v>
      </c>
      <c r="U469">
        <v>0</v>
      </c>
      <c r="V469">
        <v>0</v>
      </c>
      <c r="W469">
        <v>723920.4031</v>
      </c>
    </row>
    <row r="470" spans="1:23" x14ac:dyDescent="0.25">
      <c r="A470" t="s">
        <v>796</v>
      </c>
      <c r="B470">
        <v>0</v>
      </c>
      <c r="C470" t="s">
        <v>797</v>
      </c>
      <c r="D470" t="s">
        <v>798</v>
      </c>
      <c r="E470" t="s">
        <v>260</v>
      </c>
      <c r="F470" t="s">
        <v>799</v>
      </c>
      <c r="G470" t="s">
        <v>84</v>
      </c>
      <c r="H470" t="s">
        <v>80</v>
      </c>
      <c r="I470" t="s">
        <v>796</v>
      </c>
      <c r="J470" t="s">
        <v>825</v>
      </c>
      <c r="K470" t="s">
        <v>82</v>
      </c>
      <c r="L470">
        <v>645713.4375</v>
      </c>
      <c r="M470" t="s">
        <v>83</v>
      </c>
      <c r="U470">
        <v>0</v>
      </c>
      <c r="V470">
        <v>0</v>
      </c>
      <c r="W470">
        <v>723920.4031</v>
      </c>
    </row>
    <row r="471" spans="1:23" x14ac:dyDescent="0.25">
      <c r="A471" t="s">
        <v>826</v>
      </c>
      <c r="B471">
        <v>0</v>
      </c>
      <c r="C471" t="s">
        <v>797</v>
      </c>
      <c r="D471" t="s">
        <v>827</v>
      </c>
      <c r="E471" t="s">
        <v>260</v>
      </c>
      <c r="F471" t="s">
        <v>828</v>
      </c>
      <c r="G471" t="s">
        <v>84</v>
      </c>
      <c r="H471" t="s">
        <v>92</v>
      </c>
      <c r="I471" t="s">
        <v>543</v>
      </c>
      <c r="J471" t="s">
        <v>543</v>
      </c>
      <c r="K471" t="s">
        <v>82</v>
      </c>
      <c r="L471">
        <v>44140</v>
      </c>
      <c r="M471" t="s">
        <v>83</v>
      </c>
      <c r="P471">
        <v>1</v>
      </c>
      <c r="Q471">
        <v>1</v>
      </c>
      <c r="R471">
        <v>1</v>
      </c>
      <c r="S471">
        <v>1</v>
      </c>
      <c r="U471">
        <v>0</v>
      </c>
      <c r="V471">
        <v>0</v>
      </c>
      <c r="W471">
        <v>33080</v>
      </c>
    </row>
    <row r="472" spans="1:23" x14ac:dyDescent="0.25">
      <c r="A472" t="s">
        <v>826</v>
      </c>
      <c r="B472">
        <v>1</v>
      </c>
      <c r="C472" t="s">
        <v>797</v>
      </c>
      <c r="D472" t="s">
        <v>827</v>
      </c>
      <c r="E472" t="s">
        <v>260</v>
      </c>
      <c r="F472" t="s">
        <v>828</v>
      </c>
      <c r="G472" t="s">
        <v>301</v>
      </c>
      <c r="H472" t="s">
        <v>92</v>
      </c>
      <c r="I472" t="s">
        <v>829</v>
      </c>
      <c r="J472" t="s">
        <v>303</v>
      </c>
      <c r="K472" t="s">
        <v>82</v>
      </c>
      <c r="L472">
        <v>36360</v>
      </c>
      <c r="M472" t="s">
        <v>83</v>
      </c>
      <c r="N472">
        <v>33080</v>
      </c>
      <c r="U472">
        <v>0</v>
      </c>
      <c r="V472">
        <v>0</v>
      </c>
      <c r="W472">
        <v>33080</v>
      </c>
    </row>
    <row r="473" spans="1:23" x14ac:dyDescent="0.25">
      <c r="A473" t="s">
        <v>826</v>
      </c>
      <c r="B473">
        <v>0</v>
      </c>
      <c r="C473" t="s">
        <v>797</v>
      </c>
      <c r="D473" t="s">
        <v>827</v>
      </c>
      <c r="E473" t="s">
        <v>260</v>
      </c>
      <c r="F473" t="s">
        <v>828</v>
      </c>
      <c r="G473" t="s">
        <v>84</v>
      </c>
      <c r="H473" t="s">
        <v>92</v>
      </c>
      <c r="I473" t="s">
        <v>830</v>
      </c>
      <c r="J473" t="s">
        <v>140</v>
      </c>
      <c r="K473" t="s">
        <v>82</v>
      </c>
      <c r="L473">
        <v>18740</v>
      </c>
      <c r="M473" t="s">
        <v>83</v>
      </c>
      <c r="O473">
        <v>1</v>
      </c>
      <c r="P473">
        <v>1</v>
      </c>
      <c r="R473">
        <v>1</v>
      </c>
      <c r="U473">
        <v>18740</v>
      </c>
      <c r="V473">
        <v>0</v>
      </c>
      <c r="W473">
        <v>33080</v>
      </c>
    </row>
    <row r="474" spans="1:23" x14ac:dyDescent="0.25">
      <c r="A474" t="s">
        <v>826</v>
      </c>
      <c r="B474">
        <v>0</v>
      </c>
      <c r="C474" t="s">
        <v>797</v>
      </c>
      <c r="D474" t="s">
        <v>827</v>
      </c>
      <c r="E474" t="s">
        <v>260</v>
      </c>
      <c r="F474" t="s">
        <v>828</v>
      </c>
      <c r="G474" t="s">
        <v>84</v>
      </c>
      <c r="H474" t="s">
        <v>80</v>
      </c>
      <c r="I474" t="s">
        <v>826</v>
      </c>
      <c r="J474" t="s">
        <v>831</v>
      </c>
      <c r="K474" t="s">
        <v>82</v>
      </c>
      <c r="L474">
        <v>923882.24</v>
      </c>
      <c r="M474" t="s">
        <v>83</v>
      </c>
      <c r="P474">
        <v>1</v>
      </c>
      <c r="T474">
        <v>1</v>
      </c>
      <c r="U474">
        <v>0</v>
      </c>
      <c r="V474">
        <v>0</v>
      </c>
      <c r="W474">
        <v>884250.9711666666</v>
      </c>
    </row>
    <row r="475" spans="1:23" x14ac:dyDescent="0.25">
      <c r="A475" t="s">
        <v>826</v>
      </c>
      <c r="B475">
        <v>1</v>
      </c>
      <c r="C475" t="s">
        <v>797</v>
      </c>
      <c r="D475" t="s">
        <v>827</v>
      </c>
      <c r="E475" t="s">
        <v>260</v>
      </c>
      <c r="F475" t="s">
        <v>828</v>
      </c>
      <c r="G475" t="s">
        <v>680</v>
      </c>
      <c r="H475" t="s">
        <v>80</v>
      </c>
      <c r="I475" t="s">
        <v>826</v>
      </c>
      <c r="J475" t="s">
        <v>832</v>
      </c>
      <c r="K475" t="s">
        <v>82</v>
      </c>
      <c r="L475">
        <v>955820.34</v>
      </c>
      <c r="M475" t="s">
        <v>83</v>
      </c>
      <c r="N475">
        <v>884250.97120000003</v>
      </c>
      <c r="U475">
        <v>0</v>
      </c>
      <c r="V475">
        <v>0</v>
      </c>
      <c r="W475">
        <v>884250.9711666666</v>
      </c>
    </row>
    <row r="476" spans="1:23" x14ac:dyDescent="0.25">
      <c r="A476" t="s">
        <v>826</v>
      </c>
      <c r="B476">
        <v>0</v>
      </c>
      <c r="C476" t="s">
        <v>797</v>
      </c>
      <c r="D476" t="s">
        <v>827</v>
      </c>
      <c r="E476" t="s">
        <v>260</v>
      </c>
      <c r="F476" t="s">
        <v>828</v>
      </c>
      <c r="G476" t="s">
        <v>84</v>
      </c>
      <c r="H476" t="s">
        <v>80</v>
      </c>
      <c r="I476" t="s">
        <v>826</v>
      </c>
      <c r="J476" t="s">
        <v>833</v>
      </c>
      <c r="K476" t="s">
        <v>82</v>
      </c>
      <c r="L476">
        <v>773050.33349999995</v>
      </c>
      <c r="M476" t="s">
        <v>83</v>
      </c>
      <c r="U476">
        <v>0</v>
      </c>
      <c r="V476">
        <v>0</v>
      </c>
      <c r="W476">
        <v>884250.9711666666</v>
      </c>
    </row>
    <row r="477" spans="1:23" x14ac:dyDescent="0.25">
      <c r="A477" t="s">
        <v>826</v>
      </c>
      <c r="B477">
        <v>0</v>
      </c>
      <c r="C477" t="s">
        <v>797</v>
      </c>
      <c r="D477" t="s">
        <v>827</v>
      </c>
      <c r="E477" t="s">
        <v>260</v>
      </c>
      <c r="F477" t="s">
        <v>828</v>
      </c>
      <c r="G477" t="s">
        <v>84</v>
      </c>
      <c r="H477" t="s">
        <v>106</v>
      </c>
      <c r="I477" t="s">
        <v>826</v>
      </c>
      <c r="J477" t="s">
        <v>834</v>
      </c>
      <c r="K477" t="s">
        <v>82</v>
      </c>
      <c r="L477">
        <v>8578.5974999999999</v>
      </c>
      <c r="M477" t="s">
        <v>83</v>
      </c>
      <c r="P477">
        <v>1</v>
      </c>
      <c r="T477">
        <v>1</v>
      </c>
      <c r="U477">
        <v>0</v>
      </c>
      <c r="V477">
        <v>0</v>
      </c>
      <c r="W477">
        <v>6467.4274999999998</v>
      </c>
    </row>
    <row r="478" spans="1:23" x14ac:dyDescent="0.25">
      <c r="A478" t="s">
        <v>826</v>
      </c>
      <c r="B478">
        <v>1</v>
      </c>
      <c r="C478" t="s">
        <v>797</v>
      </c>
      <c r="D478" t="s">
        <v>827</v>
      </c>
      <c r="E478" t="s">
        <v>260</v>
      </c>
      <c r="F478" t="s">
        <v>828</v>
      </c>
      <c r="G478" t="s">
        <v>680</v>
      </c>
      <c r="H478" t="s">
        <v>106</v>
      </c>
      <c r="I478" t="s">
        <v>826</v>
      </c>
      <c r="J478" t="s">
        <v>835</v>
      </c>
      <c r="K478" t="s">
        <v>82</v>
      </c>
      <c r="L478">
        <v>8255.6200000000008</v>
      </c>
      <c r="M478" t="s">
        <v>83</v>
      </c>
      <c r="N478">
        <v>6467.4274999999998</v>
      </c>
      <c r="U478">
        <v>0</v>
      </c>
      <c r="V478">
        <v>0</v>
      </c>
      <c r="W478">
        <v>6467.4274999999998</v>
      </c>
    </row>
    <row r="479" spans="1:23" x14ac:dyDescent="0.25">
      <c r="A479" t="s">
        <v>826</v>
      </c>
      <c r="B479">
        <v>0</v>
      </c>
      <c r="C479" t="s">
        <v>797</v>
      </c>
      <c r="D479" t="s">
        <v>827</v>
      </c>
      <c r="E479" t="s">
        <v>260</v>
      </c>
      <c r="F479" t="s">
        <v>828</v>
      </c>
      <c r="G479" t="s">
        <v>84</v>
      </c>
      <c r="H479" t="s">
        <v>106</v>
      </c>
      <c r="I479" t="s">
        <v>826</v>
      </c>
      <c r="J479" t="s">
        <v>836</v>
      </c>
      <c r="K479" t="s">
        <v>82</v>
      </c>
      <c r="L479">
        <v>2568.0650000000001</v>
      </c>
      <c r="M479" t="s">
        <v>83</v>
      </c>
      <c r="U479">
        <v>0</v>
      </c>
      <c r="V479">
        <v>0</v>
      </c>
      <c r="W479">
        <v>6467.4274999999998</v>
      </c>
    </row>
    <row r="480" spans="1:23" x14ac:dyDescent="0.25">
      <c r="A480" t="s">
        <v>826</v>
      </c>
      <c r="B480">
        <v>0</v>
      </c>
      <c r="C480" t="s">
        <v>797</v>
      </c>
      <c r="D480" t="s">
        <v>827</v>
      </c>
      <c r="E480" t="s">
        <v>260</v>
      </c>
      <c r="F480" t="s">
        <v>828</v>
      </c>
      <c r="G480" t="s">
        <v>84</v>
      </c>
      <c r="H480" t="s">
        <v>110</v>
      </c>
      <c r="I480" t="s">
        <v>826</v>
      </c>
      <c r="J480" t="s">
        <v>837</v>
      </c>
      <c r="K480" t="s">
        <v>82</v>
      </c>
      <c r="L480">
        <v>9198</v>
      </c>
      <c r="M480" t="s">
        <v>83</v>
      </c>
      <c r="P480">
        <v>1</v>
      </c>
      <c r="T480">
        <v>1</v>
      </c>
      <c r="U480">
        <v>0</v>
      </c>
      <c r="V480">
        <v>0</v>
      </c>
      <c r="W480">
        <v>9930</v>
      </c>
    </row>
    <row r="481" spans="1:23" x14ac:dyDescent="0.25">
      <c r="A481" t="s">
        <v>826</v>
      </c>
      <c r="B481">
        <v>1</v>
      </c>
      <c r="C481" t="s">
        <v>797</v>
      </c>
      <c r="D481" t="s">
        <v>827</v>
      </c>
      <c r="E481" t="s">
        <v>260</v>
      </c>
      <c r="F481" t="s">
        <v>828</v>
      </c>
      <c r="G481" t="s">
        <v>680</v>
      </c>
      <c r="H481" t="s">
        <v>110</v>
      </c>
      <c r="I481" t="s">
        <v>826</v>
      </c>
      <c r="J481" t="s">
        <v>838</v>
      </c>
      <c r="K481" t="s">
        <v>82</v>
      </c>
      <c r="L481">
        <v>11592</v>
      </c>
      <c r="M481" t="s">
        <v>83</v>
      </c>
      <c r="N481">
        <v>9930</v>
      </c>
      <c r="U481">
        <v>0</v>
      </c>
      <c r="V481">
        <v>0</v>
      </c>
      <c r="W481">
        <v>9930</v>
      </c>
    </row>
    <row r="482" spans="1:23" x14ac:dyDescent="0.25">
      <c r="A482" t="s">
        <v>826</v>
      </c>
      <c r="B482">
        <v>0</v>
      </c>
      <c r="C482" t="s">
        <v>797</v>
      </c>
      <c r="D482" t="s">
        <v>827</v>
      </c>
      <c r="E482" t="s">
        <v>260</v>
      </c>
      <c r="F482" t="s">
        <v>828</v>
      </c>
      <c r="G482" t="s">
        <v>84</v>
      </c>
      <c r="H482" t="s">
        <v>110</v>
      </c>
      <c r="I482" t="s">
        <v>826</v>
      </c>
      <c r="J482" t="s">
        <v>839</v>
      </c>
      <c r="K482" t="s">
        <v>82</v>
      </c>
      <c r="L482">
        <v>9000</v>
      </c>
      <c r="M482" t="s">
        <v>83</v>
      </c>
      <c r="U482">
        <v>0</v>
      </c>
      <c r="V482">
        <v>0</v>
      </c>
      <c r="W482">
        <v>9930</v>
      </c>
    </row>
    <row r="483" spans="1:23" x14ac:dyDescent="0.25">
      <c r="A483" t="s">
        <v>826</v>
      </c>
      <c r="B483">
        <v>1</v>
      </c>
      <c r="C483" t="s">
        <v>797</v>
      </c>
      <c r="D483" t="s">
        <v>827</v>
      </c>
      <c r="E483" t="s">
        <v>260</v>
      </c>
      <c r="F483" t="s">
        <v>828</v>
      </c>
      <c r="G483" t="s">
        <v>316</v>
      </c>
      <c r="H483" t="s">
        <v>87</v>
      </c>
      <c r="I483" t="s">
        <v>840</v>
      </c>
      <c r="J483" t="s">
        <v>841</v>
      </c>
      <c r="K483" t="s">
        <v>82</v>
      </c>
      <c r="L483">
        <v>120548.3417</v>
      </c>
      <c r="M483" t="s">
        <v>83</v>
      </c>
      <c r="N483">
        <v>135828.56390000001</v>
      </c>
      <c r="R483">
        <v>1</v>
      </c>
      <c r="U483">
        <v>0</v>
      </c>
      <c r="V483">
        <v>0</v>
      </c>
      <c r="W483">
        <v>135828.56390000001</v>
      </c>
    </row>
    <row r="484" spans="1:23" x14ac:dyDescent="0.25">
      <c r="A484" t="s">
        <v>826</v>
      </c>
      <c r="B484">
        <v>0</v>
      </c>
      <c r="C484" t="s">
        <v>797</v>
      </c>
      <c r="D484" t="s">
        <v>827</v>
      </c>
      <c r="E484" t="s">
        <v>260</v>
      </c>
      <c r="F484" t="s">
        <v>828</v>
      </c>
      <c r="G484" t="s">
        <v>84</v>
      </c>
      <c r="H484" t="s">
        <v>87</v>
      </c>
      <c r="I484" t="s">
        <v>826</v>
      </c>
      <c r="J484" t="s">
        <v>842</v>
      </c>
      <c r="K484" t="s">
        <v>82</v>
      </c>
      <c r="L484">
        <v>124425.0583</v>
      </c>
      <c r="M484" t="s">
        <v>83</v>
      </c>
      <c r="S484">
        <v>1</v>
      </c>
      <c r="T484">
        <v>1</v>
      </c>
      <c r="U484">
        <v>0</v>
      </c>
      <c r="V484">
        <v>0</v>
      </c>
      <c r="W484">
        <v>135828.56390000001</v>
      </c>
    </row>
    <row r="485" spans="1:23" x14ac:dyDescent="0.25">
      <c r="A485" t="s">
        <v>826</v>
      </c>
      <c r="B485">
        <v>0</v>
      </c>
      <c r="C485" t="s">
        <v>797</v>
      </c>
      <c r="D485" t="s">
        <v>827</v>
      </c>
      <c r="E485" t="s">
        <v>260</v>
      </c>
      <c r="F485" t="s">
        <v>828</v>
      </c>
      <c r="G485" t="s">
        <v>84</v>
      </c>
      <c r="H485" t="s">
        <v>87</v>
      </c>
      <c r="I485" t="s">
        <v>843</v>
      </c>
      <c r="J485" t="s">
        <v>844</v>
      </c>
      <c r="K485" t="s">
        <v>82</v>
      </c>
      <c r="L485">
        <v>162512.2917</v>
      </c>
      <c r="M485" t="s">
        <v>83</v>
      </c>
      <c r="T485">
        <v>1</v>
      </c>
      <c r="U485">
        <v>0</v>
      </c>
      <c r="V485">
        <v>0</v>
      </c>
      <c r="W485">
        <v>135828.56390000001</v>
      </c>
    </row>
    <row r="486" spans="1:23" x14ac:dyDescent="0.25">
      <c r="A486" t="s">
        <v>826</v>
      </c>
      <c r="B486">
        <v>1</v>
      </c>
      <c r="C486" t="s">
        <v>797</v>
      </c>
      <c r="D486" t="s">
        <v>827</v>
      </c>
      <c r="E486" t="s">
        <v>260</v>
      </c>
      <c r="F486" t="s">
        <v>828</v>
      </c>
      <c r="G486" t="s">
        <v>158</v>
      </c>
      <c r="H486" t="s">
        <v>98</v>
      </c>
      <c r="I486" t="s">
        <v>845</v>
      </c>
      <c r="J486" t="s">
        <v>846</v>
      </c>
      <c r="K486" t="s">
        <v>82</v>
      </c>
      <c r="L486">
        <v>22550</v>
      </c>
      <c r="M486" t="s">
        <v>83</v>
      </c>
      <c r="N486">
        <v>21600</v>
      </c>
      <c r="S486">
        <v>1</v>
      </c>
      <c r="U486">
        <v>0</v>
      </c>
      <c r="V486">
        <v>0</v>
      </c>
      <c r="W486">
        <v>21600</v>
      </c>
    </row>
    <row r="487" spans="1:23" x14ac:dyDescent="0.25">
      <c r="A487" t="s">
        <v>826</v>
      </c>
      <c r="B487">
        <v>0</v>
      </c>
      <c r="C487" t="s">
        <v>797</v>
      </c>
      <c r="D487" t="s">
        <v>827</v>
      </c>
      <c r="E487" t="s">
        <v>260</v>
      </c>
      <c r="F487" t="s">
        <v>828</v>
      </c>
      <c r="G487" t="s">
        <v>84</v>
      </c>
      <c r="H487" t="s">
        <v>98</v>
      </c>
      <c r="I487" t="s">
        <v>847</v>
      </c>
      <c r="J487" t="s">
        <v>848</v>
      </c>
      <c r="K487" t="s">
        <v>82</v>
      </c>
      <c r="L487">
        <v>20650</v>
      </c>
      <c r="M487" t="s">
        <v>83</v>
      </c>
      <c r="U487">
        <v>0</v>
      </c>
      <c r="V487">
        <v>0</v>
      </c>
      <c r="W487">
        <v>21600</v>
      </c>
    </row>
    <row r="488" spans="1:23" x14ac:dyDescent="0.25">
      <c r="A488" t="s">
        <v>826</v>
      </c>
      <c r="B488">
        <v>1</v>
      </c>
      <c r="C488" t="s">
        <v>797</v>
      </c>
      <c r="D488" t="s">
        <v>827</v>
      </c>
      <c r="E488" t="s">
        <v>260</v>
      </c>
      <c r="F488" t="s">
        <v>828</v>
      </c>
      <c r="G488" t="s">
        <v>267</v>
      </c>
      <c r="H488" t="s">
        <v>121</v>
      </c>
      <c r="I488" t="s">
        <v>849</v>
      </c>
      <c r="J488" t="s">
        <v>850</v>
      </c>
      <c r="K488" t="s">
        <v>82</v>
      </c>
      <c r="L488">
        <v>187823.6317</v>
      </c>
      <c r="M488" t="s">
        <v>83</v>
      </c>
      <c r="N488">
        <v>151739.2697</v>
      </c>
      <c r="O488">
        <v>1</v>
      </c>
      <c r="U488">
        <v>187823.6317</v>
      </c>
      <c r="V488">
        <v>187823.6317</v>
      </c>
      <c r="W488">
        <v>151739.2697</v>
      </c>
    </row>
    <row r="489" spans="1:23" x14ac:dyDescent="0.25">
      <c r="A489" t="s">
        <v>826</v>
      </c>
      <c r="B489">
        <v>0</v>
      </c>
      <c r="C489" t="s">
        <v>797</v>
      </c>
      <c r="D489" t="s">
        <v>827</v>
      </c>
      <c r="E489" t="s">
        <v>260</v>
      </c>
      <c r="F489" t="s">
        <v>828</v>
      </c>
      <c r="G489" t="s">
        <v>84</v>
      </c>
      <c r="H489" t="s">
        <v>121</v>
      </c>
      <c r="I489" t="s">
        <v>826</v>
      </c>
      <c r="J489" t="s">
        <v>851</v>
      </c>
      <c r="K489" t="s">
        <v>82</v>
      </c>
      <c r="L489">
        <v>115654.9077</v>
      </c>
      <c r="M489" t="s">
        <v>83</v>
      </c>
      <c r="S489">
        <v>1</v>
      </c>
      <c r="U489">
        <v>0</v>
      </c>
      <c r="V489">
        <v>0</v>
      </c>
      <c r="W489">
        <v>151739.2697</v>
      </c>
    </row>
    <row r="490" spans="1:23" x14ac:dyDescent="0.25">
      <c r="A490" t="s">
        <v>826</v>
      </c>
      <c r="B490">
        <v>1</v>
      </c>
      <c r="C490" t="s">
        <v>797</v>
      </c>
      <c r="D490" t="s">
        <v>827</v>
      </c>
      <c r="E490" t="s">
        <v>260</v>
      </c>
      <c r="F490" t="s">
        <v>828</v>
      </c>
      <c r="G490" t="s">
        <v>267</v>
      </c>
      <c r="H490" t="s">
        <v>114</v>
      </c>
      <c r="I490" t="s">
        <v>849</v>
      </c>
      <c r="J490" t="s">
        <v>852</v>
      </c>
      <c r="K490" t="s">
        <v>82</v>
      </c>
      <c r="L490">
        <v>12500</v>
      </c>
      <c r="M490" t="s">
        <v>83</v>
      </c>
      <c r="N490">
        <v>26250</v>
      </c>
      <c r="O490">
        <v>1</v>
      </c>
      <c r="U490">
        <v>12500</v>
      </c>
      <c r="V490">
        <v>12500</v>
      </c>
      <c r="W490">
        <v>26250</v>
      </c>
    </row>
    <row r="491" spans="1:23" x14ac:dyDescent="0.25">
      <c r="A491" t="s">
        <v>826</v>
      </c>
      <c r="B491">
        <v>0</v>
      </c>
      <c r="C491" t="s">
        <v>797</v>
      </c>
      <c r="D491" t="s">
        <v>827</v>
      </c>
      <c r="E491" t="s">
        <v>260</v>
      </c>
      <c r="F491" t="s">
        <v>828</v>
      </c>
      <c r="G491" t="s">
        <v>84</v>
      </c>
      <c r="H491" t="s">
        <v>114</v>
      </c>
      <c r="I491" t="s">
        <v>826</v>
      </c>
      <c r="J491" t="s">
        <v>853</v>
      </c>
      <c r="K491" t="s">
        <v>82</v>
      </c>
      <c r="L491">
        <v>40000</v>
      </c>
      <c r="M491" t="s">
        <v>83</v>
      </c>
      <c r="S491">
        <v>1</v>
      </c>
      <c r="U491">
        <v>0</v>
      </c>
      <c r="V491">
        <v>0</v>
      </c>
      <c r="W491">
        <v>26250</v>
      </c>
    </row>
    <row r="492" spans="1:23" x14ac:dyDescent="0.25">
      <c r="A492" t="s">
        <v>854</v>
      </c>
      <c r="B492">
        <v>0</v>
      </c>
      <c r="C492" t="s">
        <v>855</v>
      </c>
      <c r="D492" t="s">
        <v>856</v>
      </c>
      <c r="E492" t="s">
        <v>179</v>
      </c>
      <c r="F492" t="s">
        <v>857</v>
      </c>
      <c r="G492" t="s">
        <v>84</v>
      </c>
      <c r="H492" t="s">
        <v>92</v>
      </c>
      <c r="I492" t="s">
        <v>858</v>
      </c>
      <c r="J492" t="s">
        <v>303</v>
      </c>
      <c r="K492" t="s">
        <v>82</v>
      </c>
      <c r="L492">
        <v>21840</v>
      </c>
      <c r="M492" t="s">
        <v>83</v>
      </c>
      <c r="Q492">
        <v>1</v>
      </c>
      <c r="U492">
        <v>0</v>
      </c>
      <c r="V492">
        <v>0</v>
      </c>
      <c r="W492">
        <v>37666.666666666664</v>
      </c>
    </row>
    <row r="493" spans="1:23" x14ac:dyDescent="0.25">
      <c r="A493" t="s">
        <v>854</v>
      </c>
      <c r="B493">
        <v>0</v>
      </c>
      <c r="C493" t="s">
        <v>855</v>
      </c>
      <c r="D493" t="s">
        <v>856</v>
      </c>
      <c r="E493" t="s">
        <v>179</v>
      </c>
      <c r="F493" t="s">
        <v>857</v>
      </c>
      <c r="G493" t="s">
        <v>84</v>
      </c>
      <c r="H493" t="s">
        <v>92</v>
      </c>
      <c r="I493" t="s">
        <v>859</v>
      </c>
      <c r="J493" t="s">
        <v>140</v>
      </c>
      <c r="K493" t="s">
        <v>82</v>
      </c>
      <c r="L493">
        <v>23630</v>
      </c>
      <c r="M493" t="s">
        <v>83</v>
      </c>
      <c r="Q493">
        <v>1</v>
      </c>
      <c r="S493">
        <v>1</v>
      </c>
      <c r="T493">
        <v>1</v>
      </c>
      <c r="U493">
        <v>0</v>
      </c>
      <c r="V493">
        <v>0</v>
      </c>
      <c r="W493">
        <v>37666.666666666664</v>
      </c>
    </row>
    <row r="494" spans="1:23" x14ac:dyDescent="0.25">
      <c r="A494" t="s">
        <v>854</v>
      </c>
      <c r="B494">
        <v>1</v>
      </c>
      <c r="C494" t="s">
        <v>855</v>
      </c>
      <c r="D494" t="s">
        <v>856</v>
      </c>
      <c r="E494" t="s">
        <v>179</v>
      </c>
      <c r="F494" t="s">
        <v>857</v>
      </c>
      <c r="G494" t="s">
        <v>181</v>
      </c>
      <c r="H494" t="s">
        <v>92</v>
      </c>
      <c r="I494" t="s">
        <v>860</v>
      </c>
      <c r="J494" t="s">
        <v>181</v>
      </c>
      <c r="K494" t="s">
        <v>82</v>
      </c>
      <c r="L494">
        <v>67530</v>
      </c>
      <c r="M494" t="s">
        <v>83</v>
      </c>
      <c r="N494">
        <v>37666.666669999999</v>
      </c>
      <c r="U494">
        <v>0</v>
      </c>
      <c r="V494">
        <v>0</v>
      </c>
      <c r="W494">
        <v>37666.666666666664</v>
      </c>
    </row>
    <row r="495" spans="1:23" x14ac:dyDescent="0.25">
      <c r="A495" t="s">
        <v>854</v>
      </c>
      <c r="B495">
        <v>1</v>
      </c>
      <c r="C495" t="s">
        <v>855</v>
      </c>
      <c r="D495" t="s">
        <v>856</v>
      </c>
      <c r="E495" t="s">
        <v>179</v>
      </c>
      <c r="F495" t="s">
        <v>857</v>
      </c>
      <c r="G495" t="s">
        <v>326</v>
      </c>
      <c r="H495" t="s">
        <v>114</v>
      </c>
      <c r="I495" t="s">
        <v>861</v>
      </c>
      <c r="J495" t="s">
        <v>862</v>
      </c>
      <c r="K495" t="s">
        <v>82</v>
      </c>
      <c r="L495">
        <v>40100</v>
      </c>
      <c r="M495" t="s">
        <v>83</v>
      </c>
      <c r="N495">
        <v>39225</v>
      </c>
      <c r="T495">
        <v>1</v>
      </c>
      <c r="U495">
        <v>0</v>
      </c>
      <c r="V495">
        <v>0</v>
      </c>
      <c r="W495">
        <v>39225</v>
      </c>
    </row>
    <row r="496" spans="1:23" x14ac:dyDescent="0.25">
      <c r="A496" t="s">
        <v>854</v>
      </c>
      <c r="B496">
        <v>0</v>
      </c>
      <c r="C496" t="s">
        <v>855</v>
      </c>
      <c r="D496" t="s">
        <v>856</v>
      </c>
      <c r="E496" t="s">
        <v>179</v>
      </c>
      <c r="F496" t="s">
        <v>857</v>
      </c>
      <c r="G496" t="s">
        <v>84</v>
      </c>
      <c r="H496" t="s">
        <v>114</v>
      </c>
      <c r="I496" t="s">
        <v>854</v>
      </c>
      <c r="J496" t="s">
        <v>863</v>
      </c>
      <c r="K496" t="s">
        <v>82</v>
      </c>
      <c r="L496">
        <v>38350</v>
      </c>
      <c r="M496" t="s">
        <v>83</v>
      </c>
      <c r="S496">
        <v>1</v>
      </c>
      <c r="U496">
        <v>0</v>
      </c>
      <c r="V496">
        <v>0</v>
      </c>
      <c r="W496">
        <v>39225</v>
      </c>
    </row>
    <row r="497" spans="1:23" x14ac:dyDescent="0.25">
      <c r="A497" t="s">
        <v>854</v>
      </c>
      <c r="B497">
        <v>1</v>
      </c>
      <c r="C497" t="s">
        <v>855</v>
      </c>
      <c r="D497" t="s">
        <v>856</v>
      </c>
      <c r="E497" t="s">
        <v>179</v>
      </c>
      <c r="F497" t="s">
        <v>857</v>
      </c>
      <c r="G497" t="s">
        <v>326</v>
      </c>
      <c r="H497" t="s">
        <v>121</v>
      </c>
      <c r="I497" t="s">
        <v>861</v>
      </c>
      <c r="J497" t="s">
        <v>864</v>
      </c>
      <c r="K497" t="s">
        <v>82</v>
      </c>
      <c r="L497">
        <v>151817.5208</v>
      </c>
      <c r="M497" t="s">
        <v>83</v>
      </c>
      <c r="N497">
        <v>142410.3443</v>
      </c>
      <c r="T497">
        <v>1</v>
      </c>
      <c r="U497">
        <v>0</v>
      </c>
      <c r="V497">
        <v>0</v>
      </c>
      <c r="W497">
        <v>142410.3443</v>
      </c>
    </row>
    <row r="498" spans="1:23" x14ac:dyDescent="0.25">
      <c r="A498" t="s">
        <v>854</v>
      </c>
      <c r="B498">
        <v>0</v>
      </c>
      <c r="C498" t="s">
        <v>855</v>
      </c>
      <c r="D498" t="s">
        <v>856</v>
      </c>
      <c r="E498" t="s">
        <v>179</v>
      </c>
      <c r="F498" t="s">
        <v>857</v>
      </c>
      <c r="G498" t="s">
        <v>84</v>
      </c>
      <c r="H498" t="s">
        <v>121</v>
      </c>
      <c r="I498" t="s">
        <v>854</v>
      </c>
      <c r="J498" t="s">
        <v>865</v>
      </c>
      <c r="K498" t="s">
        <v>82</v>
      </c>
      <c r="L498">
        <v>133003.1678</v>
      </c>
      <c r="M498" t="s">
        <v>83</v>
      </c>
      <c r="S498">
        <v>1</v>
      </c>
      <c r="U498">
        <v>0</v>
      </c>
      <c r="V498">
        <v>0</v>
      </c>
      <c r="W498">
        <v>142410.3443</v>
      </c>
    </row>
    <row r="499" spans="1:23" x14ac:dyDescent="0.25">
      <c r="A499" t="s">
        <v>854</v>
      </c>
      <c r="B499">
        <v>1</v>
      </c>
      <c r="C499" t="s">
        <v>855</v>
      </c>
      <c r="D499" t="s">
        <v>856</v>
      </c>
      <c r="E499" t="s">
        <v>179</v>
      </c>
      <c r="F499" t="s">
        <v>857</v>
      </c>
      <c r="G499" t="s">
        <v>130</v>
      </c>
      <c r="H499" t="s">
        <v>125</v>
      </c>
      <c r="I499" t="s">
        <v>866</v>
      </c>
      <c r="J499" t="s">
        <v>867</v>
      </c>
      <c r="K499" t="s">
        <v>82</v>
      </c>
      <c r="L499">
        <v>40800</v>
      </c>
      <c r="M499" t="s">
        <v>83</v>
      </c>
      <c r="N499">
        <v>30116.666669999999</v>
      </c>
      <c r="T499">
        <v>1</v>
      </c>
      <c r="U499">
        <v>0</v>
      </c>
      <c r="V499">
        <v>0</v>
      </c>
      <c r="W499">
        <v>30116.666666666664</v>
      </c>
    </row>
    <row r="500" spans="1:23" x14ac:dyDescent="0.25">
      <c r="A500" t="s">
        <v>854</v>
      </c>
      <c r="B500">
        <v>0</v>
      </c>
      <c r="C500" t="s">
        <v>855</v>
      </c>
      <c r="D500" t="s">
        <v>856</v>
      </c>
      <c r="E500" t="s">
        <v>179</v>
      </c>
      <c r="F500" t="s">
        <v>857</v>
      </c>
      <c r="G500" t="s">
        <v>84</v>
      </c>
      <c r="H500" t="s">
        <v>125</v>
      </c>
      <c r="I500" t="s">
        <v>868</v>
      </c>
      <c r="J500" t="s">
        <v>869</v>
      </c>
      <c r="K500" t="s">
        <v>82</v>
      </c>
      <c r="L500">
        <v>22400</v>
      </c>
      <c r="M500" t="s">
        <v>83</v>
      </c>
      <c r="U500">
        <v>0</v>
      </c>
      <c r="V500">
        <v>0</v>
      </c>
      <c r="W500">
        <v>30116.666666666664</v>
      </c>
    </row>
    <row r="501" spans="1:23" x14ac:dyDescent="0.25">
      <c r="A501" t="s">
        <v>854</v>
      </c>
      <c r="B501">
        <v>0</v>
      </c>
      <c r="C501" t="s">
        <v>855</v>
      </c>
      <c r="D501" t="s">
        <v>856</v>
      </c>
      <c r="E501" t="s">
        <v>179</v>
      </c>
      <c r="F501" t="s">
        <v>857</v>
      </c>
      <c r="G501" t="s">
        <v>84</v>
      </c>
      <c r="H501" t="s">
        <v>125</v>
      </c>
      <c r="I501" t="s">
        <v>870</v>
      </c>
      <c r="J501" t="s">
        <v>871</v>
      </c>
      <c r="K501" t="s">
        <v>82</v>
      </c>
      <c r="L501">
        <v>27150</v>
      </c>
      <c r="M501" t="s">
        <v>83</v>
      </c>
      <c r="U501">
        <v>0</v>
      </c>
      <c r="V501">
        <v>0</v>
      </c>
      <c r="W501">
        <v>30116.666666666664</v>
      </c>
    </row>
    <row r="502" spans="1:23" x14ac:dyDescent="0.25">
      <c r="A502" t="s">
        <v>854</v>
      </c>
      <c r="B502">
        <v>0</v>
      </c>
      <c r="C502" t="s">
        <v>855</v>
      </c>
      <c r="D502" t="s">
        <v>856</v>
      </c>
      <c r="E502" t="s">
        <v>179</v>
      </c>
      <c r="F502" t="s">
        <v>857</v>
      </c>
      <c r="G502" t="s">
        <v>84</v>
      </c>
      <c r="H502" t="s">
        <v>98</v>
      </c>
      <c r="I502" t="s">
        <v>872</v>
      </c>
      <c r="J502" t="s">
        <v>873</v>
      </c>
      <c r="K502" t="s">
        <v>82</v>
      </c>
      <c r="L502">
        <v>27450</v>
      </c>
      <c r="M502" t="s">
        <v>83</v>
      </c>
      <c r="U502">
        <v>0</v>
      </c>
      <c r="V502">
        <v>0</v>
      </c>
      <c r="W502">
        <v>33800</v>
      </c>
    </row>
    <row r="503" spans="1:23" x14ac:dyDescent="0.25">
      <c r="A503" t="s">
        <v>854</v>
      </c>
      <c r="B503">
        <v>1</v>
      </c>
      <c r="C503" t="s">
        <v>855</v>
      </c>
      <c r="D503" t="s">
        <v>856</v>
      </c>
      <c r="E503" t="s">
        <v>179</v>
      </c>
      <c r="F503" t="s">
        <v>857</v>
      </c>
      <c r="G503" t="s">
        <v>693</v>
      </c>
      <c r="H503" t="s">
        <v>98</v>
      </c>
      <c r="I503" t="s">
        <v>874</v>
      </c>
      <c r="J503" t="s">
        <v>875</v>
      </c>
      <c r="K503" t="s">
        <v>82</v>
      </c>
      <c r="L503">
        <v>40150</v>
      </c>
      <c r="M503" t="s">
        <v>83</v>
      </c>
      <c r="N503">
        <v>33800</v>
      </c>
      <c r="S503">
        <v>1</v>
      </c>
      <c r="U503">
        <v>0</v>
      </c>
      <c r="V503">
        <v>0</v>
      </c>
      <c r="W503">
        <v>33800</v>
      </c>
    </row>
    <row r="504" spans="1:23" x14ac:dyDescent="0.25">
      <c r="A504" t="s">
        <v>854</v>
      </c>
      <c r="B504">
        <v>0</v>
      </c>
      <c r="C504" t="s">
        <v>855</v>
      </c>
      <c r="D504" t="s">
        <v>856</v>
      </c>
      <c r="E504" t="s">
        <v>179</v>
      </c>
      <c r="F504" t="s">
        <v>857</v>
      </c>
      <c r="G504" t="s">
        <v>84</v>
      </c>
      <c r="H504" t="s">
        <v>87</v>
      </c>
      <c r="I504" t="s">
        <v>854</v>
      </c>
      <c r="J504" t="s">
        <v>876</v>
      </c>
      <c r="K504" t="s">
        <v>82</v>
      </c>
      <c r="L504">
        <v>119010.26669999999</v>
      </c>
      <c r="M504" t="s">
        <v>83</v>
      </c>
      <c r="R504">
        <v>1</v>
      </c>
      <c r="U504">
        <v>0</v>
      </c>
      <c r="V504">
        <v>0</v>
      </c>
      <c r="W504">
        <v>112430.26669999999</v>
      </c>
    </row>
    <row r="505" spans="1:23" x14ac:dyDescent="0.25">
      <c r="A505" t="s">
        <v>854</v>
      </c>
      <c r="B505">
        <v>1</v>
      </c>
      <c r="C505" t="s">
        <v>855</v>
      </c>
      <c r="D505" t="s">
        <v>856</v>
      </c>
      <c r="E505" t="s">
        <v>179</v>
      </c>
      <c r="F505" t="s">
        <v>857</v>
      </c>
      <c r="G505" t="s">
        <v>163</v>
      </c>
      <c r="H505" t="s">
        <v>87</v>
      </c>
      <c r="I505" t="s">
        <v>854</v>
      </c>
      <c r="J505" t="s">
        <v>877</v>
      </c>
      <c r="K505" t="s">
        <v>82</v>
      </c>
      <c r="L505">
        <v>105850.26669999999</v>
      </c>
      <c r="M505" t="s">
        <v>83</v>
      </c>
      <c r="N505">
        <v>112430.26669999999</v>
      </c>
      <c r="T505">
        <v>1</v>
      </c>
      <c r="U505">
        <v>0</v>
      </c>
      <c r="V505">
        <v>0</v>
      </c>
      <c r="W505">
        <v>112430.26669999999</v>
      </c>
    </row>
    <row r="506" spans="1:23" x14ac:dyDescent="0.25">
      <c r="A506" t="s">
        <v>854</v>
      </c>
      <c r="B506">
        <v>0</v>
      </c>
      <c r="C506" t="s">
        <v>855</v>
      </c>
      <c r="D506" t="s">
        <v>856</v>
      </c>
      <c r="E506" t="s">
        <v>179</v>
      </c>
      <c r="F506" t="s">
        <v>857</v>
      </c>
      <c r="G506" t="s">
        <v>84</v>
      </c>
      <c r="H506" t="s">
        <v>110</v>
      </c>
      <c r="I506" t="s">
        <v>854</v>
      </c>
      <c r="J506" t="s">
        <v>878</v>
      </c>
      <c r="K506" t="s">
        <v>82</v>
      </c>
      <c r="L506">
        <v>13986</v>
      </c>
      <c r="M506" t="s">
        <v>83</v>
      </c>
      <c r="U506">
        <v>0</v>
      </c>
      <c r="V506">
        <v>0</v>
      </c>
      <c r="W506">
        <v>12233</v>
      </c>
    </row>
    <row r="507" spans="1:23" x14ac:dyDescent="0.25">
      <c r="A507" t="s">
        <v>854</v>
      </c>
      <c r="B507">
        <v>1</v>
      </c>
      <c r="C507" t="s">
        <v>855</v>
      </c>
      <c r="D507" t="s">
        <v>856</v>
      </c>
      <c r="E507" t="s">
        <v>179</v>
      </c>
      <c r="F507" t="s">
        <v>857</v>
      </c>
      <c r="G507" t="s">
        <v>188</v>
      </c>
      <c r="H507" t="s">
        <v>110</v>
      </c>
      <c r="I507" t="s">
        <v>854</v>
      </c>
      <c r="J507" t="s">
        <v>879</v>
      </c>
      <c r="K507" t="s">
        <v>82</v>
      </c>
      <c r="L507">
        <v>11088</v>
      </c>
      <c r="M507" t="s">
        <v>83</v>
      </c>
      <c r="N507">
        <v>12233</v>
      </c>
      <c r="P507">
        <v>1</v>
      </c>
      <c r="T507">
        <v>1</v>
      </c>
      <c r="U507">
        <v>0</v>
      </c>
      <c r="V507">
        <v>0</v>
      </c>
      <c r="W507">
        <v>12233</v>
      </c>
    </row>
    <row r="508" spans="1:23" x14ac:dyDescent="0.25">
      <c r="A508" t="s">
        <v>854</v>
      </c>
      <c r="B508">
        <v>0</v>
      </c>
      <c r="C508" t="s">
        <v>855</v>
      </c>
      <c r="D508" t="s">
        <v>856</v>
      </c>
      <c r="E508" t="s">
        <v>179</v>
      </c>
      <c r="F508" t="s">
        <v>857</v>
      </c>
      <c r="G508" t="s">
        <v>84</v>
      </c>
      <c r="H508" t="s">
        <v>110</v>
      </c>
      <c r="I508" t="s">
        <v>854</v>
      </c>
      <c r="J508" t="s">
        <v>880</v>
      </c>
      <c r="K508" t="s">
        <v>82</v>
      </c>
      <c r="L508">
        <v>11625</v>
      </c>
      <c r="M508" t="s">
        <v>83</v>
      </c>
      <c r="U508">
        <v>0</v>
      </c>
      <c r="V508">
        <v>0</v>
      </c>
      <c r="W508">
        <v>12233</v>
      </c>
    </row>
    <row r="509" spans="1:23" x14ac:dyDescent="0.25">
      <c r="A509" t="s">
        <v>854</v>
      </c>
      <c r="B509">
        <v>0</v>
      </c>
      <c r="C509" t="s">
        <v>855</v>
      </c>
      <c r="D509" t="s">
        <v>856</v>
      </c>
      <c r="E509" t="s">
        <v>179</v>
      </c>
      <c r="F509" t="s">
        <v>857</v>
      </c>
      <c r="G509" t="s">
        <v>84</v>
      </c>
      <c r="H509" t="s">
        <v>106</v>
      </c>
      <c r="I509" t="s">
        <v>854</v>
      </c>
      <c r="J509" t="s">
        <v>881</v>
      </c>
      <c r="K509" t="s">
        <v>82</v>
      </c>
      <c r="L509">
        <v>7010.9750000000004</v>
      </c>
      <c r="M509" t="s">
        <v>83</v>
      </c>
      <c r="U509">
        <v>0</v>
      </c>
      <c r="V509">
        <v>0</v>
      </c>
      <c r="W509">
        <v>7084.498333333333</v>
      </c>
    </row>
    <row r="510" spans="1:23" x14ac:dyDescent="0.25">
      <c r="A510" t="s">
        <v>854</v>
      </c>
      <c r="B510">
        <v>1</v>
      </c>
      <c r="C510" t="s">
        <v>855</v>
      </c>
      <c r="D510" t="s">
        <v>856</v>
      </c>
      <c r="E510" t="s">
        <v>179</v>
      </c>
      <c r="F510" t="s">
        <v>857</v>
      </c>
      <c r="G510" t="s">
        <v>188</v>
      </c>
      <c r="H510" t="s">
        <v>106</v>
      </c>
      <c r="I510" t="s">
        <v>854</v>
      </c>
      <c r="J510" t="s">
        <v>882</v>
      </c>
      <c r="K510" t="s">
        <v>82</v>
      </c>
      <c r="L510">
        <v>3552.7525000000001</v>
      </c>
      <c r="M510" t="s">
        <v>83</v>
      </c>
      <c r="N510">
        <v>7084.4983329999995</v>
      </c>
      <c r="P510">
        <v>1</v>
      </c>
      <c r="T510">
        <v>1</v>
      </c>
      <c r="U510">
        <v>0</v>
      </c>
      <c r="V510">
        <v>0</v>
      </c>
      <c r="W510">
        <v>7084.498333333333</v>
      </c>
    </row>
    <row r="511" spans="1:23" x14ac:dyDescent="0.25">
      <c r="A511" t="s">
        <v>854</v>
      </c>
      <c r="B511">
        <v>0</v>
      </c>
      <c r="C511" t="s">
        <v>855</v>
      </c>
      <c r="D511" t="s">
        <v>856</v>
      </c>
      <c r="E511" t="s">
        <v>179</v>
      </c>
      <c r="F511" t="s">
        <v>857</v>
      </c>
      <c r="G511" t="s">
        <v>84</v>
      </c>
      <c r="H511" t="s">
        <v>106</v>
      </c>
      <c r="I511" t="s">
        <v>854</v>
      </c>
      <c r="J511" t="s">
        <v>883</v>
      </c>
      <c r="K511" t="s">
        <v>82</v>
      </c>
      <c r="L511">
        <v>10689.7675</v>
      </c>
      <c r="M511" t="s">
        <v>83</v>
      </c>
      <c r="U511">
        <v>0</v>
      </c>
      <c r="V511">
        <v>0</v>
      </c>
      <c r="W511">
        <v>7084.498333333333</v>
      </c>
    </row>
    <row r="512" spans="1:23" x14ac:dyDescent="0.25">
      <c r="A512" t="s">
        <v>854</v>
      </c>
      <c r="B512">
        <v>0</v>
      </c>
      <c r="C512" t="s">
        <v>855</v>
      </c>
      <c r="D512" t="s">
        <v>856</v>
      </c>
      <c r="E512" t="s">
        <v>179</v>
      </c>
      <c r="F512" t="s">
        <v>857</v>
      </c>
      <c r="G512" t="s">
        <v>84</v>
      </c>
      <c r="H512" t="s">
        <v>80</v>
      </c>
      <c r="I512" t="s">
        <v>854</v>
      </c>
      <c r="J512" t="s">
        <v>884</v>
      </c>
      <c r="K512" t="s">
        <v>82</v>
      </c>
      <c r="L512">
        <v>609308.48</v>
      </c>
      <c r="M512" t="s">
        <v>83</v>
      </c>
      <c r="U512">
        <v>0</v>
      </c>
      <c r="V512">
        <v>0</v>
      </c>
      <c r="W512">
        <v>706071.20166666666</v>
      </c>
    </row>
    <row r="513" spans="1:23" x14ac:dyDescent="0.25">
      <c r="A513" t="s">
        <v>854</v>
      </c>
      <c r="B513">
        <v>1</v>
      </c>
      <c r="C513" t="s">
        <v>855</v>
      </c>
      <c r="D513" t="s">
        <v>856</v>
      </c>
      <c r="E513" t="s">
        <v>179</v>
      </c>
      <c r="F513" t="s">
        <v>857</v>
      </c>
      <c r="G513" t="s">
        <v>188</v>
      </c>
      <c r="H513" t="s">
        <v>80</v>
      </c>
      <c r="I513" t="s">
        <v>854</v>
      </c>
      <c r="J513" t="s">
        <v>885</v>
      </c>
      <c r="K513" t="s">
        <v>82</v>
      </c>
      <c r="L513">
        <v>650063.18000000005</v>
      </c>
      <c r="M513" t="s">
        <v>83</v>
      </c>
      <c r="N513">
        <v>706071.20169999998</v>
      </c>
      <c r="P513">
        <v>1</v>
      </c>
      <c r="T513">
        <v>1</v>
      </c>
      <c r="U513">
        <v>0</v>
      </c>
      <c r="V513">
        <v>0</v>
      </c>
      <c r="W513">
        <v>706071.20166666666</v>
      </c>
    </row>
    <row r="514" spans="1:23" x14ac:dyDescent="0.25">
      <c r="A514" t="s">
        <v>854</v>
      </c>
      <c r="B514">
        <v>0</v>
      </c>
      <c r="C514" t="s">
        <v>855</v>
      </c>
      <c r="D514" t="s">
        <v>856</v>
      </c>
      <c r="E514" t="s">
        <v>179</v>
      </c>
      <c r="F514" t="s">
        <v>857</v>
      </c>
      <c r="G514" t="s">
        <v>84</v>
      </c>
      <c r="H514" t="s">
        <v>80</v>
      </c>
      <c r="I514" t="s">
        <v>854</v>
      </c>
      <c r="J514" t="s">
        <v>886</v>
      </c>
      <c r="K514" t="s">
        <v>82</v>
      </c>
      <c r="L514">
        <v>858841.94499999995</v>
      </c>
      <c r="M514" t="s">
        <v>83</v>
      </c>
      <c r="U514">
        <v>0</v>
      </c>
      <c r="V514">
        <v>0</v>
      </c>
      <c r="W514">
        <v>706071.20166666666</v>
      </c>
    </row>
    <row r="515" spans="1:23" x14ac:dyDescent="0.25">
      <c r="A515" t="s">
        <v>887</v>
      </c>
      <c r="B515">
        <v>1</v>
      </c>
      <c r="C515" t="s">
        <v>855</v>
      </c>
      <c r="D515" t="s">
        <v>888</v>
      </c>
      <c r="E515" t="s">
        <v>179</v>
      </c>
      <c r="F515" t="s">
        <v>889</v>
      </c>
      <c r="G515" t="s">
        <v>182</v>
      </c>
      <c r="H515" t="s">
        <v>92</v>
      </c>
      <c r="I515" t="s">
        <v>890</v>
      </c>
      <c r="J515" t="s">
        <v>891</v>
      </c>
      <c r="K515" t="s">
        <v>82</v>
      </c>
      <c r="L515">
        <v>16840</v>
      </c>
      <c r="M515" t="s">
        <v>83</v>
      </c>
      <c r="N515">
        <v>39090</v>
      </c>
      <c r="P515">
        <v>1</v>
      </c>
      <c r="Q515">
        <v>1</v>
      </c>
      <c r="R515">
        <v>1</v>
      </c>
      <c r="T515">
        <v>1</v>
      </c>
      <c r="U515">
        <v>0</v>
      </c>
      <c r="V515">
        <v>0</v>
      </c>
      <c r="W515">
        <v>39090</v>
      </c>
    </row>
    <row r="516" spans="1:23" x14ac:dyDescent="0.25">
      <c r="A516" t="s">
        <v>887</v>
      </c>
      <c r="B516">
        <v>0</v>
      </c>
      <c r="C516" t="s">
        <v>855</v>
      </c>
      <c r="D516" t="s">
        <v>888</v>
      </c>
      <c r="E516" t="s">
        <v>179</v>
      </c>
      <c r="F516" t="s">
        <v>889</v>
      </c>
      <c r="G516" t="s">
        <v>84</v>
      </c>
      <c r="H516" t="s">
        <v>92</v>
      </c>
      <c r="I516" t="s">
        <v>892</v>
      </c>
      <c r="J516" t="s">
        <v>893</v>
      </c>
      <c r="K516" t="s">
        <v>82</v>
      </c>
      <c r="L516">
        <v>61340</v>
      </c>
      <c r="M516" t="s">
        <v>83</v>
      </c>
      <c r="O516">
        <v>1</v>
      </c>
      <c r="R516">
        <v>1</v>
      </c>
      <c r="U516">
        <v>61340</v>
      </c>
      <c r="V516">
        <v>0</v>
      </c>
      <c r="W516">
        <v>39090</v>
      </c>
    </row>
    <row r="517" spans="1:23" x14ac:dyDescent="0.25">
      <c r="A517" t="s">
        <v>887</v>
      </c>
      <c r="B517">
        <v>0</v>
      </c>
      <c r="C517" t="s">
        <v>855</v>
      </c>
      <c r="D517" t="s">
        <v>888</v>
      </c>
      <c r="E517" t="s">
        <v>179</v>
      </c>
      <c r="F517" t="s">
        <v>889</v>
      </c>
      <c r="G517" t="s">
        <v>84</v>
      </c>
      <c r="H517" t="s">
        <v>80</v>
      </c>
      <c r="I517" t="s">
        <v>887</v>
      </c>
      <c r="J517" t="s">
        <v>894</v>
      </c>
      <c r="K517" t="s">
        <v>82</v>
      </c>
      <c r="L517">
        <v>845325.12</v>
      </c>
      <c r="M517" t="s">
        <v>83</v>
      </c>
      <c r="U517">
        <v>0</v>
      </c>
      <c r="V517">
        <v>0</v>
      </c>
      <c r="W517">
        <v>887785.07706666668</v>
      </c>
    </row>
    <row r="518" spans="1:23" x14ac:dyDescent="0.25">
      <c r="A518" t="s">
        <v>887</v>
      </c>
      <c r="B518">
        <v>1</v>
      </c>
      <c r="C518" t="s">
        <v>855</v>
      </c>
      <c r="D518" t="s">
        <v>888</v>
      </c>
      <c r="E518" t="s">
        <v>179</v>
      </c>
      <c r="F518" t="s">
        <v>889</v>
      </c>
      <c r="G518" t="s">
        <v>79</v>
      </c>
      <c r="H518" t="s">
        <v>80</v>
      </c>
      <c r="I518" t="s">
        <v>887</v>
      </c>
      <c r="J518" t="s">
        <v>895</v>
      </c>
      <c r="K518" t="s">
        <v>82</v>
      </c>
      <c r="L518">
        <v>924169.75</v>
      </c>
      <c r="M518" t="s">
        <v>83</v>
      </c>
      <c r="N518">
        <v>887785.07709999999</v>
      </c>
      <c r="U518">
        <v>0</v>
      </c>
      <c r="V518">
        <v>0</v>
      </c>
      <c r="W518">
        <v>887785.07706666668</v>
      </c>
    </row>
    <row r="519" spans="1:23" x14ac:dyDescent="0.25">
      <c r="A519" t="s">
        <v>887</v>
      </c>
      <c r="B519">
        <v>0</v>
      </c>
      <c r="C519" t="s">
        <v>855</v>
      </c>
      <c r="D519" t="s">
        <v>888</v>
      </c>
      <c r="E519" t="s">
        <v>179</v>
      </c>
      <c r="F519" t="s">
        <v>889</v>
      </c>
      <c r="G519" t="s">
        <v>84</v>
      </c>
      <c r="H519" t="s">
        <v>80</v>
      </c>
      <c r="I519" t="s">
        <v>887</v>
      </c>
      <c r="J519" t="s">
        <v>896</v>
      </c>
      <c r="K519" t="s">
        <v>82</v>
      </c>
      <c r="L519">
        <v>893860.36120000004</v>
      </c>
      <c r="M519" t="s">
        <v>83</v>
      </c>
      <c r="U519">
        <v>0</v>
      </c>
      <c r="V519">
        <v>0</v>
      </c>
      <c r="W519">
        <v>887785.07706666668</v>
      </c>
    </row>
    <row r="520" spans="1:23" x14ac:dyDescent="0.25">
      <c r="A520" t="s">
        <v>887</v>
      </c>
      <c r="B520">
        <v>0</v>
      </c>
      <c r="C520" t="s">
        <v>855</v>
      </c>
      <c r="D520" t="s">
        <v>888</v>
      </c>
      <c r="E520" t="s">
        <v>179</v>
      </c>
      <c r="F520" t="s">
        <v>889</v>
      </c>
      <c r="G520" t="s">
        <v>84</v>
      </c>
      <c r="H520" t="s">
        <v>106</v>
      </c>
      <c r="I520" t="s">
        <v>887</v>
      </c>
      <c r="J520" t="s">
        <v>897</v>
      </c>
      <c r="K520" t="s">
        <v>82</v>
      </c>
      <c r="L520">
        <v>1339.175</v>
      </c>
      <c r="M520" t="s">
        <v>83</v>
      </c>
      <c r="U520">
        <v>0</v>
      </c>
      <c r="V520">
        <v>0</v>
      </c>
      <c r="W520">
        <v>7530.8900000000012</v>
      </c>
    </row>
    <row r="521" spans="1:23" x14ac:dyDescent="0.25">
      <c r="A521" t="s">
        <v>887</v>
      </c>
      <c r="B521">
        <v>1</v>
      </c>
      <c r="C521" t="s">
        <v>855</v>
      </c>
      <c r="D521" t="s">
        <v>888</v>
      </c>
      <c r="E521" t="s">
        <v>179</v>
      </c>
      <c r="F521" t="s">
        <v>889</v>
      </c>
      <c r="G521" t="s">
        <v>79</v>
      </c>
      <c r="H521" t="s">
        <v>106</v>
      </c>
      <c r="I521" t="s">
        <v>887</v>
      </c>
      <c r="J521" t="s">
        <v>898</v>
      </c>
      <c r="K521" t="s">
        <v>82</v>
      </c>
      <c r="L521">
        <v>9886.2625000000007</v>
      </c>
      <c r="M521" t="s">
        <v>83</v>
      </c>
      <c r="N521">
        <v>7530.89</v>
      </c>
      <c r="U521">
        <v>0</v>
      </c>
      <c r="V521">
        <v>0</v>
      </c>
      <c r="W521">
        <v>7530.8900000000012</v>
      </c>
    </row>
    <row r="522" spans="1:23" x14ac:dyDescent="0.25">
      <c r="A522" t="s">
        <v>887</v>
      </c>
      <c r="B522">
        <v>0</v>
      </c>
      <c r="C522" t="s">
        <v>855</v>
      </c>
      <c r="D522" t="s">
        <v>888</v>
      </c>
      <c r="E522" t="s">
        <v>179</v>
      </c>
      <c r="F522" t="s">
        <v>889</v>
      </c>
      <c r="G522" t="s">
        <v>84</v>
      </c>
      <c r="H522" t="s">
        <v>106</v>
      </c>
      <c r="I522" t="s">
        <v>887</v>
      </c>
      <c r="J522" t="s">
        <v>899</v>
      </c>
      <c r="K522" t="s">
        <v>82</v>
      </c>
      <c r="L522">
        <v>11367.2325</v>
      </c>
      <c r="M522" t="s">
        <v>83</v>
      </c>
      <c r="U522">
        <v>0</v>
      </c>
      <c r="V522">
        <v>0</v>
      </c>
      <c r="W522">
        <v>7530.8900000000012</v>
      </c>
    </row>
    <row r="523" spans="1:23" x14ac:dyDescent="0.25">
      <c r="A523" t="s">
        <v>887</v>
      </c>
      <c r="B523">
        <v>0</v>
      </c>
      <c r="C523" t="s">
        <v>855</v>
      </c>
      <c r="D523" t="s">
        <v>888</v>
      </c>
      <c r="E523" t="s">
        <v>179</v>
      </c>
      <c r="F523" t="s">
        <v>889</v>
      </c>
      <c r="G523" t="s">
        <v>84</v>
      </c>
      <c r="H523" t="s">
        <v>110</v>
      </c>
      <c r="I523" t="s">
        <v>887</v>
      </c>
      <c r="J523" t="s">
        <v>900</v>
      </c>
      <c r="K523" t="s">
        <v>82</v>
      </c>
      <c r="L523">
        <v>20736</v>
      </c>
      <c r="M523" t="s">
        <v>83</v>
      </c>
      <c r="U523">
        <v>0</v>
      </c>
      <c r="V523">
        <v>0</v>
      </c>
      <c r="W523">
        <v>12357</v>
      </c>
    </row>
    <row r="524" spans="1:23" x14ac:dyDescent="0.25">
      <c r="A524" t="s">
        <v>887</v>
      </c>
      <c r="B524">
        <v>1</v>
      </c>
      <c r="C524" t="s">
        <v>855</v>
      </c>
      <c r="D524" t="s">
        <v>888</v>
      </c>
      <c r="E524" t="s">
        <v>179</v>
      </c>
      <c r="F524" t="s">
        <v>889</v>
      </c>
      <c r="G524" t="s">
        <v>79</v>
      </c>
      <c r="H524" t="s">
        <v>110</v>
      </c>
      <c r="I524" t="s">
        <v>887</v>
      </c>
      <c r="J524" t="s">
        <v>901</v>
      </c>
      <c r="K524" t="s">
        <v>82</v>
      </c>
      <c r="L524">
        <v>7434</v>
      </c>
      <c r="M524" t="s">
        <v>83</v>
      </c>
      <c r="N524">
        <v>12357</v>
      </c>
      <c r="U524">
        <v>0</v>
      </c>
      <c r="V524">
        <v>0</v>
      </c>
      <c r="W524">
        <v>12357</v>
      </c>
    </row>
    <row r="525" spans="1:23" x14ac:dyDescent="0.25">
      <c r="A525" t="s">
        <v>887</v>
      </c>
      <c r="B525">
        <v>0</v>
      </c>
      <c r="C525" t="s">
        <v>855</v>
      </c>
      <c r="D525" t="s">
        <v>888</v>
      </c>
      <c r="E525" t="s">
        <v>179</v>
      </c>
      <c r="F525" t="s">
        <v>889</v>
      </c>
      <c r="G525" t="s">
        <v>84</v>
      </c>
      <c r="H525" t="s">
        <v>110</v>
      </c>
      <c r="I525" t="s">
        <v>887</v>
      </c>
      <c r="J525" t="s">
        <v>902</v>
      </c>
      <c r="K525" t="s">
        <v>82</v>
      </c>
      <c r="L525">
        <v>8901</v>
      </c>
      <c r="M525" t="s">
        <v>83</v>
      </c>
      <c r="U525">
        <v>0</v>
      </c>
      <c r="V525">
        <v>0</v>
      </c>
      <c r="W525">
        <v>12357</v>
      </c>
    </row>
    <row r="526" spans="1:23" x14ac:dyDescent="0.25">
      <c r="A526" t="s">
        <v>887</v>
      </c>
      <c r="B526">
        <v>0</v>
      </c>
      <c r="C526" t="s">
        <v>855</v>
      </c>
      <c r="D526" t="s">
        <v>888</v>
      </c>
      <c r="E526" t="s">
        <v>179</v>
      </c>
      <c r="F526" t="s">
        <v>889</v>
      </c>
      <c r="G526" t="s">
        <v>84</v>
      </c>
      <c r="H526" t="s">
        <v>87</v>
      </c>
      <c r="I526" t="s">
        <v>903</v>
      </c>
      <c r="J526" t="s">
        <v>904</v>
      </c>
      <c r="K526" t="s">
        <v>82</v>
      </c>
      <c r="L526">
        <v>113916.25</v>
      </c>
      <c r="M526" t="s">
        <v>83</v>
      </c>
      <c r="U526">
        <v>0</v>
      </c>
      <c r="V526">
        <v>0</v>
      </c>
      <c r="W526">
        <v>114682.08887666666</v>
      </c>
    </row>
    <row r="527" spans="1:23" x14ac:dyDescent="0.25">
      <c r="A527" t="s">
        <v>887</v>
      </c>
      <c r="B527">
        <v>0</v>
      </c>
      <c r="C527" t="s">
        <v>855</v>
      </c>
      <c r="D527" t="s">
        <v>888</v>
      </c>
      <c r="E527" t="s">
        <v>179</v>
      </c>
      <c r="F527" t="s">
        <v>889</v>
      </c>
      <c r="G527" t="s">
        <v>84</v>
      </c>
      <c r="H527" t="s">
        <v>87</v>
      </c>
      <c r="I527" t="s">
        <v>887</v>
      </c>
      <c r="J527" t="s">
        <v>905</v>
      </c>
      <c r="K527" t="s">
        <v>82</v>
      </c>
      <c r="L527">
        <v>42051.68333</v>
      </c>
      <c r="M527" t="s">
        <v>83</v>
      </c>
      <c r="U527">
        <v>0</v>
      </c>
      <c r="V527">
        <v>0</v>
      </c>
      <c r="W527">
        <v>114682.08887666666</v>
      </c>
    </row>
    <row r="528" spans="1:23" x14ac:dyDescent="0.25">
      <c r="A528" t="s">
        <v>887</v>
      </c>
      <c r="B528">
        <v>1</v>
      </c>
      <c r="C528" t="s">
        <v>855</v>
      </c>
      <c r="D528" t="s">
        <v>888</v>
      </c>
      <c r="E528" t="s">
        <v>179</v>
      </c>
      <c r="F528" t="s">
        <v>889</v>
      </c>
      <c r="G528" t="s">
        <v>316</v>
      </c>
      <c r="H528" t="s">
        <v>87</v>
      </c>
      <c r="I528" t="s">
        <v>887</v>
      </c>
      <c r="J528" t="s">
        <v>906</v>
      </c>
      <c r="K528" t="s">
        <v>82</v>
      </c>
      <c r="L528">
        <v>188078.3333</v>
      </c>
      <c r="M528" t="s">
        <v>83</v>
      </c>
      <c r="N528">
        <v>114682.0889</v>
      </c>
      <c r="R528">
        <v>1</v>
      </c>
      <c r="U528">
        <v>0</v>
      </c>
      <c r="V528">
        <v>0</v>
      </c>
      <c r="W528">
        <v>114682.08887666666</v>
      </c>
    </row>
    <row r="529" spans="1:23" x14ac:dyDescent="0.25">
      <c r="A529" t="s">
        <v>887</v>
      </c>
      <c r="B529">
        <v>0</v>
      </c>
      <c r="C529" t="s">
        <v>855</v>
      </c>
      <c r="D529" t="s">
        <v>888</v>
      </c>
      <c r="E529" t="s">
        <v>179</v>
      </c>
      <c r="F529" t="s">
        <v>889</v>
      </c>
      <c r="G529" t="s">
        <v>84</v>
      </c>
      <c r="H529" t="s">
        <v>98</v>
      </c>
      <c r="I529" t="s">
        <v>907</v>
      </c>
      <c r="J529" t="s">
        <v>908</v>
      </c>
      <c r="K529" t="s">
        <v>82</v>
      </c>
      <c r="L529">
        <v>50400</v>
      </c>
      <c r="M529" t="s">
        <v>83</v>
      </c>
      <c r="U529">
        <v>0</v>
      </c>
      <c r="V529">
        <v>0</v>
      </c>
      <c r="W529">
        <v>35100</v>
      </c>
    </row>
    <row r="530" spans="1:23" x14ac:dyDescent="0.25">
      <c r="A530" t="s">
        <v>887</v>
      </c>
      <c r="B530">
        <v>1</v>
      </c>
      <c r="C530" t="s">
        <v>855</v>
      </c>
      <c r="D530" t="s">
        <v>888</v>
      </c>
      <c r="E530" t="s">
        <v>179</v>
      </c>
      <c r="F530" t="s">
        <v>889</v>
      </c>
      <c r="G530" t="s">
        <v>909</v>
      </c>
      <c r="H530" t="s">
        <v>98</v>
      </c>
      <c r="I530" t="s">
        <v>910</v>
      </c>
      <c r="J530" t="s">
        <v>911</v>
      </c>
      <c r="K530" t="s">
        <v>82</v>
      </c>
      <c r="L530">
        <v>19800</v>
      </c>
      <c r="M530" t="s">
        <v>83</v>
      </c>
      <c r="N530">
        <v>35100</v>
      </c>
      <c r="U530">
        <v>0</v>
      </c>
      <c r="V530">
        <v>0</v>
      </c>
      <c r="W530">
        <v>35100</v>
      </c>
    </row>
    <row r="531" spans="1:23" x14ac:dyDescent="0.25">
      <c r="A531" t="s">
        <v>912</v>
      </c>
      <c r="B531">
        <v>1</v>
      </c>
      <c r="C531" t="s">
        <v>855</v>
      </c>
      <c r="D531" t="s">
        <v>913</v>
      </c>
      <c r="E531" t="s">
        <v>179</v>
      </c>
      <c r="F531" t="s">
        <v>914</v>
      </c>
      <c r="G531" t="s">
        <v>221</v>
      </c>
      <c r="H531" t="s">
        <v>92</v>
      </c>
      <c r="I531" t="s">
        <v>915</v>
      </c>
      <c r="J531" t="s">
        <v>221</v>
      </c>
      <c r="K531" t="s">
        <v>82</v>
      </c>
      <c r="L531">
        <v>26860</v>
      </c>
      <c r="M531" t="s">
        <v>83</v>
      </c>
      <c r="N531">
        <v>29703.333330000001</v>
      </c>
      <c r="U531">
        <v>0</v>
      </c>
      <c r="V531">
        <v>0</v>
      </c>
      <c r="W531">
        <v>29703.333333333332</v>
      </c>
    </row>
    <row r="532" spans="1:23" x14ac:dyDescent="0.25">
      <c r="A532" t="s">
        <v>912</v>
      </c>
      <c r="B532">
        <v>0</v>
      </c>
      <c r="C532" t="s">
        <v>855</v>
      </c>
      <c r="D532" t="s">
        <v>913</v>
      </c>
      <c r="E532" t="s">
        <v>179</v>
      </c>
      <c r="F532" t="s">
        <v>914</v>
      </c>
      <c r="G532" t="s">
        <v>84</v>
      </c>
      <c r="H532" t="s">
        <v>92</v>
      </c>
      <c r="I532" t="s">
        <v>181</v>
      </c>
      <c r="J532" t="s">
        <v>181</v>
      </c>
      <c r="K532" t="s">
        <v>82</v>
      </c>
      <c r="L532">
        <v>35140</v>
      </c>
      <c r="M532" t="s">
        <v>83</v>
      </c>
      <c r="U532">
        <v>0</v>
      </c>
      <c r="V532">
        <v>0</v>
      </c>
      <c r="W532">
        <v>29703.333333333332</v>
      </c>
    </row>
    <row r="533" spans="1:23" x14ac:dyDescent="0.25">
      <c r="A533" t="s">
        <v>912</v>
      </c>
      <c r="B533">
        <v>0</v>
      </c>
      <c r="C533" t="s">
        <v>855</v>
      </c>
      <c r="D533" t="s">
        <v>913</v>
      </c>
      <c r="E533" t="s">
        <v>179</v>
      </c>
      <c r="F533" t="s">
        <v>914</v>
      </c>
      <c r="G533" t="s">
        <v>84</v>
      </c>
      <c r="H533" t="s">
        <v>92</v>
      </c>
      <c r="I533" t="s">
        <v>916</v>
      </c>
      <c r="J533" t="s">
        <v>140</v>
      </c>
      <c r="K533" t="s">
        <v>82</v>
      </c>
      <c r="L533">
        <v>27110</v>
      </c>
      <c r="M533" t="s">
        <v>83</v>
      </c>
      <c r="S533">
        <v>1</v>
      </c>
      <c r="T533">
        <v>1</v>
      </c>
      <c r="U533">
        <v>0</v>
      </c>
      <c r="V533">
        <v>0</v>
      </c>
      <c r="W533">
        <v>29703.333333333332</v>
      </c>
    </row>
    <row r="534" spans="1:23" x14ac:dyDescent="0.25">
      <c r="A534" t="s">
        <v>912</v>
      </c>
      <c r="B534">
        <v>0</v>
      </c>
      <c r="C534" t="s">
        <v>855</v>
      </c>
      <c r="D534" t="s">
        <v>913</v>
      </c>
      <c r="E534" t="s">
        <v>179</v>
      </c>
      <c r="F534" t="s">
        <v>914</v>
      </c>
      <c r="G534" t="s">
        <v>84</v>
      </c>
      <c r="H534" t="s">
        <v>80</v>
      </c>
      <c r="I534" t="s">
        <v>912</v>
      </c>
      <c r="J534" t="s">
        <v>917</v>
      </c>
      <c r="K534" t="s">
        <v>82</v>
      </c>
      <c r="L534">
        <v>747478.50249999994</v>
      </c>
      <c r="M534" t="s">
        <v>83</v>
      </c>
      <c r="T534">
        <v>1</v>
      </c>
      <c r="U534">
        <v>0</v>
      </c>
      <c r="V534">
        <v>0</v>
      </c>
      <c r="W534">
        <v>874857.81183333334</v>
      </c>
    </row>
    <row r="535" spans="1:23" x14ac:dyDescent="0.25">
      <c r="A535" t="s">
        <v>912</v>
      </c>
      <c r="B535">
        <v>1</v>
      </c>
      <c r="C535" t="s">
        <v>855</v>
      </c>
      <c r="D535" t="s">
        <v>913</v>
      </c>
      <c r="E535" t="s">
        <v>179</v>
      </c>
      <c r="F535" t="s">
        <v>914</v>
      </c>
      <c r="G535" t="s">
        <v>167</v>
      </c>
      <c r="H535" t="s">
        <v>80</v>
      </c>
      <c r="I535" t="s">
        <v>912</v>
      </c>
      <c r="J535" t="s">
        <v>918</v>
      </c>
      <c r="K535" t="s">
        <v>82</v>
      </c>
      <c r="L535">
        <v>1004959.898</v>
      </c>
      <c r="M535" t="s">
        <v>83</v>
      </c>
      <c r="N535">
        <v>874857.81169999996</v>
      </c>
      <c r="U535">
        <v>0</v>
      </c>
      <c r="V535">
        <v>0</v>
      </c>
      <c r="W535">
        <v>874857.81183333334</v>
      </c>
    </row>
    <row r="536" spans="1:23" x14ac:dyDescent="0.25">
      <c r="A536" t="s">
        <v>912</v>
      </c>
      <c r="B536">
        <v>0</v>
      </c>
      <c r="C536" t="s">
        <v>855</v>
      </c>
      <c r="D536" t="s">
        <v>913</v>
      </c>
      <c r="E536" t="s">
        <v>179</v>
      </c>
      <c r="F536" t="s">
        <v>914</v>
      </c>
      <c r="G536" t="s">
        <v>84</v>
      </c>
      <c r="H536" t="s">
        <v>80</v>
      </c>
      <c r="I536" t="s">
        <v>912</v>
      </c>
      <c r="J536" t="s">
        <v>919</v>
      </c>
      <c r="K536" t="s">
        <v>82</v>
      </c>
      <c r="L536">
        <v>872135.03500000003</v>
      </c>
      <c r="M536" t="s">
        <v>83</v>
      </c>
      <c r="U536">
        <v>0</v>
      </c>
      <c r="V536">
        <v>0</v>
      </c>
      <c r="W536">
        <v>874857.81183333334</v>
      </c>
    </row>
    <row r="537" spans="1:23" x14ac:dyDescent="0.25">
      <c r="A537" t="s">
        <v>912</v>
      </c>
      <c r="B537">
        <v>0</v>
      </c>
      <c r="C537" t="s">
        <v>855</v>
      </c>
      <c r="D537" t="s">
        <v>913</v>
      </c>
      <c r="E537" t="s">
        <v>179</v>
      </c>
      <c r="F537" t="s">
        <v>914</v>
      </c>
      <c r="G537" t="s">
        <v>84</v>
      </c>
      <c r="H537" t="s">
        <v>106</v>
      </c>
      <c r="I537" t="s">
        <v>912</v>
      </c>
      <c r="J537" t="s">
        <v>920</v>
      </c>
      <c r="K537" t="s">
        <v>82</v>
      </c>
      <c r="L537">
        <v>7089.75</v>
      </c>
      <c r="M537" t="s">
        <v>83</v>
      </c>
      <c r="T537">
        <v>1</v>
      </c>
      <c r="U537">
        <v>0</v>
      </c>
      <c r="V537">
        <v>0</v>
      </c>
      <c r="W537">
        <v>9665.6924999999992</v>
      </c>
    </row>
    <row r="538" spans="1:23" x14ac:dyDescent="0.25">
      <c r="A538" t="s">
        <v>912</v>
      </c>
      <c r="B538">
        <v>1</v>
      </c>
      <c r="C538" t="s">
        <v>855</v>
      </c>
      <c r="D538" t="s">
        <v>913</v>
      </c>
      <c r="E538" t="s">
        <v>179</v>
      </c>
      <c r="F538" t="s">
        <v>914</v>
      </c>
      <c r="G538" t="s">
        <v>167</v>
      </c>
      <c r="H538" t="s">
        <v>106</v>
      </c>
      <c r="I538" t="s">
        <v>912</v>
      </c>
      <c r="J538" t="s">
        <v>921</v>
      </c>
      <c r="K538" t="s">
        <v>82</v>
      </c>
      <c r="L538">
        <v>11453.885</v>
      </c>
      <c r="M538" t="s">
        <v>83</v>
      </c>
      <c r="N538">
        <v>9665.6924999999992</v>
      </c>
      <c r="U538">
        <v>0</v>
      </c>
      <c r="V538">
        <v>0</v>
      </c>
      <c r="W538">
        <v>9665.6924999999992</v>
      </c>
    </row>
    <row r="539" spans="1:23" x14ac:dyDescent="0.25">
      <c r="A539" t="s">
        <v>912</v>
      </c>
      <c r="B539">
        <v>0</v>
      </c>
      <c r="C539" t="s">
        <v>855</v>
      </c>
      <c r="D539" t="s">
        <v>913</v>
      </c>
      <c r="E539" t="s">
        <v>179</v>
      </c>
      <c r="F539" t="s">
        <v>914</v>
      </c>
      <c r="G539" t="s">
        <v>84</v>
      </c>
      <c r="H539" t="s">
        <v>106</v>
      </c>
      <c r="I539" t="s">
        <v>912</v>
      </c>
      <c r="J539" t="s">
        <v>922</v>
      </c>
      <c r="K539" t="s">
        <v>82</v>
      </c>
      <c r="L539">
        <v>10453.442499999999</v>
      </c>
      <c r="M539" t="s">
        <v>83</v>
      </c>
      <c r="U539">
        <v>0</v>
      </c>
      <c r="V539">
        <v>0</v>
      </c>
      <c r="W539">
        <v>9665.6924999999992</v>
      </c>
    </row>
    <row r="540" spans="1:23" x14ac:dyDescent="0.25">
      <c r="A540" t="s">
        <v>912</v>
      </c>
      <c r="B540">
        <v>0</v>
      </c>
      <c r="C540" t="s">
        <v>855</v>
      </c>
      <c r="D540" t="s">
        <v>913</v>
      </c>
      <c r="E540" t="s">
        <v>179</v>
      </c>
      <c r="F540" t="s">
        <v>914</v>
      </c>
      <c r="G540" t="s">
        <v>84</v>
      </c>
      <c r="H540" t="s">
        <v>110</v>
      </c>
      <c r="I540" t="s">
        <v>912</v>
      </c>
      <c r="J540" t="s">
        <v>923</v>
      </c>
      <c r="K540" t="s">
        <v>82</v>
      </c>
      <c r="L540">
        <v>16256</v>
      </c>
      <c r="M540" t="s">
        <v>83</v>
      </c>
      <c r="T540">
        <v>1</v>
      </c>
      <c r="U540">
        <v>0</v>
      </c>
      <c r="V540">
        <v>0</v>
      </c>
      <c r="W540">
        <v>13940.666666666666</v>
      </c>
    </row>
    <row r="541" spans="1:23" x14ac:dyDescent="0.25">
      <c r="A541" t="s">
        <v>912</v>
      </c>
      <c r="B541">
        <v>1</v>
      </c>
      <c r="C541" t="s">
        <v>855</v>
      </c>
      <c r="D541" t="s">
        <v>913</v>
      </c>
      <c r="E541" t="s">
        <v>179</v>
      </c>
      <c r="F541" t="s">
        <v>914</v>
      </c>
      <c r="G541" t="s">
        <v>167</v>
      </c>
      <c r="H541" t="s">
        <v>110</v>
      </c>
      <c r="I541" t="s">
        <v>912</v>
      </c>
      <c r="J541" t="s">
        <v>924</v>
      </c>
      <c r="K541" t="s">
        <v>82</v>
      </c>
      <c r="L541">
        <v>9828</v>
      </c>
      <c r="M541" t="s">
        <v>83</v>
      </c>
      <c r="N541">
        <v>13940.666670000001</v>
      </c>
      <c r="U541">
        <v>0</v>
      </c>
      <c r="V541">
        <v>0</v>
      </c>
      <c r="W541">
        <v>13940.666666666666</v>
      </c>
    </row>
    <row r="542" spans="1:23" x14ac:dyDescent="0.25">
      <c r="A542" t="s">
        <v>912</v>
      </c>
      <c r="B542">
        <v>0</v>
      </c>
      <c r="C542" t="s">
        <v>855</v>
      </c>
      <c r="D542" t="s">
        <v>913</v>
      </c>
      <c r="E542" t="s">
        <v>179</v>
      </c>
      <c r="F542" t="s">
        <v>914</v>
      </c>
      <c r="G542" t="s">
        <v>84</v>
      </c>
      <c r="H542" t="s">
        <v>110</v>
      </c>
      <c r="I542" t="s">
        <v>912</v>
      </c>
      <c r="J542" t="s">
        <v>925</v>
      </c>
      <c r="K542" t="s">
        <v>82</v>
      </c>
      <c r="L542">
        <v>15738</v>
      </c>
      <c r="M542" t="s">
        <v>83</v>
      </c>
      <c r="U542">
        <v>0</v>
      </c>
      <c r="V542">
        <v>0</v>
      </c>
      <c r="W542">
        <v>13940.666666666666</v>
      </c>
    </row>
    <row r="543" spans="1:23" x14ac:dyDescent="0.25">
      <c r="A543" t="s">
        <v>912</v>
      </c>
      <c r="B543">
        <v>1</v>
      </c>
      <c r="C543" t="s">
        <v>855</v>
      </c>
      <c r="D543" t="s">
        <v>913</v>
      </c>
      <c r="E543" t="s">
        <v>179</v>
      </c>
      <c r="F543" t="s">
        <v>914</v>
      </c>
      <c r="G543" t="s">
        <v>243</v>
      </c>
      <c r="H543" t="s">
        <v>87</v>
      </c>
      <c r="I543" t="s">
        <v>912</v>
      </c>
      <c r="J543" t="s">
        <v>926</v>
      </c>
      <c r="K543" t="s">
        <v>82</v>
      </c>
      <c r="L543">
        <v>126939.1667</v>
      </c>
      <c r="M543" t="s">
        <v>83</v>
      </c>
      <c r="N543">
        <v>115215.8</v>
      </c>
      <c r="U543">
        <v>0</v>
      </c>
      <c r="V543">
        <v>0</v>
      </c>
      <c r="W543">
        <v>115215.80002333333</v>
      </c>
    </row>
    <row r="544" spans="1:23" x14ac:dyDescent="0.25">
      <c r="A544" t="s">
        <v>912</v>
      </c>
      <c r="B544">
        <v>0</v>
      </c>
      <c r="C544" t="s">
        <v>855</v>
      </c>
      <c r="D544" t="s">
        <v>913</v>
      </c>
      <c r="E544" t="s">
        <v>179</v>
      </c>
      <c r="F544" t="s">
        <v>914</v>
      </c>
      <c r="G544" t="s">
        <v>84</v>
      </c>
      <c r="H544" t="s">
        <v>87</v>
      </c>
      <c r="I544" t="s">
        <v>912</v>
      </c>
      <c r="J544" t="s">
        <v>927</v>
      </c>
      <c r="K544" t="s">
        <v>82</v>
      </c>
      <c r="L544">
        <v>98974.166670000006</v>
      </c>
      <c r="M544" t="s">
        <v>83</v>
      </c>
      <c r="U544">
        <v>0</v>
      </c>
      <c r="V544">
        <v>0</v>
      </c>
      <c r="W544">
        <v>115215.80002333333</v>
      </c>
    </row>
    <row r="545" spans="1:23" x14ac:dyDescent="0.25">
      <c r="A545" t="s">
        <v>912</v>
      </c>
      <c r="B545">
        <v>0</v>
      </c>
      <c r="C545" t="s">
        <v>855</v>
      </c>
      <c r="D545" t="s">
        <v>913</v>
      </c>
      <c r="E545" t="s">
        <v>179</v>
      </c>
      <c r="F545" t="s">
        <v>914</v>
      </c>
      <c r="G545" t="s">
        <v>84</v>
      </c>
      <c r="H545" t="s">
        <v>87</v>
      </c>
      <c r="I545" t="s">
        <v>912</v>
      </c>
      <c r="J545" t="s">
        <v>928</v>
      </c>
      <c r="K545" t="s">
        <v>82</v>
      </c>
      <c r="L545">
        <v>119734.0667</v>
      </c>
      <c r="M545" t="s">
        <v>83</v>
      </c>
      <c r="U545">
        <v>0</v>
      </c>
      <c r="V545">
        <v>0</v>
      </c>
      <c r="W545">
        <v>115215.80002333333</v>
      </c>
    </row>
    <row r="546" spans="1:23" x14ac:dyDescent="0.25">
      <c r="A546" t="s">
        <v>912</v>
      </c>
      <c r="B546">
        <v>1</v>
      </c>
      <c r="C546" t="s">
        <v>855</v>
      </c>
      <c r="D546" t="s">
        <v>913</v>
      </c>
      <c r="E546" t="s">
        <v>179</v>
      </c>
      <c r="F546" t="s">
        <v>914</v>
      </c>
      <c r="G546" t="s">
        <v>693</v>
      </c>
      <c r="H546" t="s">
        <v>98</v>
      </c>
      <c r="I546" t="s">
        <v>929</v>
      </c>
      <c r="J546" t="s">
        <v>930</v>
      </c>
      <c r="K546" t="s">
        <v>82</v>
      </c>
      <c r="L546">
        <v>61200</v>
      </c>
      <c r="M546" t="s">
        <v>83</v>
      </c>
      <c r="N546">
        <v>55050</v>
      </c>
      <c r="S546">
        <v>1</v>
      </c>
      <c r="U546">
        <v>0</v>
      </c>
      <c r="V546">
        <v>0</v>
      </c>
      <c r="W546">
        <v>55050</v>
      </c>
    </row>
    <row r="547" spans="1:23" x14ac:dyDescent="0.25">
      <c r="A547" t="s">
        <v>912</v>
      </c>
      <c r="B547">
        <v>0</v>
      </c>
      <c r="C547" t="s">
        <v>855</v>
      </c>
      <c r="D547" t="s">
        <v>913</v>
      </c>
      <c r="E547" t="s">
        <v>179</v>
      </c>
      <c r="F547" t="s">
        <v>914</v>
      </c>
      <c r="G547" t="s">
        <v>84</v>
      </c>
      <c r="H547" t="s">
        <v>98</v>
      </c>
      <c r="I547" t="s">
        <v>931</v>
      </c>
      <c r="J547" t="s">
        <v>932</v>
      </c>
      <c r="K547" t="s">
        <v>82</v>
      </c>
      <c r="L547">
        <v>48900</v>
      </c>
      <c r="M547" t="s">
        <v>83</v>
      </c>
      <c r="S547">
        <v>1</v>
      </c>
      <c r="U547">
        <v>0</v>
      </c>
      <c r="V547">
        <v>0</v>
      </c>
      <c r="W547">
        <v>55050</v>
      </c>
    </row>
    <row r="548" spans="1:23" x14ac:dyDescent="0.25">
      <c r="A548" t="s">
        <v>912</v>
      </c>
      <c r="B548">
        <v>0</v>
      </c>
      <c r="C548" t="s">
        <v>855</v>
      </c>
      <c r="D548" t="s">
        <v>913</v>
      </c>
      <c r="E548" t="s">
        <v>179</v>
      </c>
      <c r="F548" t="s">
        <v>914</v>
      </c>
      <c r="G548" t="s">
        <v>84</v>
      </c>
      <c r="H548" t="s">
        <v>121</v>
      </c>
      <c r="I548" t="s">
        <v>912</v>
      </c>
      <c r="J548" t="s">
        <v>933</v>
      </c>
      <c r="K548" t="s">
        <v>82</v>
      </c>
      <c r="L548">
        <v>105544.1578</v>
      </c>
      <c r="M548" t="s">
        <v>83</v>
      </c>
      <c r="T548">
        <v>1</v>
      </c>
      <c r="U548">
        <v>0</v>
      </c>
      <c r="V548">
        <v>0</v>
      </c>
      <c r="W548">
        <v>128176.29536666667</v>
      </c>
    </row>
    <row r="549" spans="1:23" x14ac:dyDescent="0.25">
      <c r="A549" t="s">
        <v>912</v>
      </c>
      <c r="B549">
        <v>1</v>
      </c>
      <c r="C549" t="s">
        <v>855</v>
      </c>
      <c r="D549" t="s">
        <v>913</v>
      </c>
      <c r="E549" t="s">
        <v>179</v>
      </c>
      <c r="F549" t="s">
        <v>914</v>
      </c>
      <c r="G549" t="s">
        <v>436</v>
      </c>
      <c r="H549" t="s">
        <v>121</v>
      </c>
      <c r="I549" t="s">
        <v>934</v>
      </c>
      <c r="J549" t="s">
        <v>935</v>
      </c>
      <c r="K549" t="s">
        <v>82</v>
      </c>
      <c r="L549">
        <v>133961.44750000001</v>
      </c>
      <c r="M549" t="s">
        <v>83</v>
      </c>
      <c r="N549">
        <v>128176.2954</v>
      </c>
      <c r="P549">
        <v>1</v>
      </c>
      <c r="U549">
        <v>0</v>
      </c>
      <c r="V549">
        <v>0</v>
      </c>
      <c r="W549">
        <v>128176.29536666667</v>
      </c>
    </row>
    <row r="550" spans="1:23" x14ac:dyDescent="0.25">
      <c r="A550" t="s">
        <v>912</v>
      </c>
      <c r="B550">
        <v>0</v>
      </c>
      <c r="C550" t="s">
        <v>855</v>
      </c>
      <c r="D550" t="s">
        <v>913</v>
      </c>
      <c r="E550" t="s">
        <v>179</v>
      </c>
      <c r="F550" t="s">
        <v>914</v>
      </c>
      <c r="G550" t="s">
        <v>84</v>
      </c>
      <c r="H550" t="s">
        <v>121</v>
      </c>
      <c r="I550" t="s">
        <v>936</v>
      </c>
      <c r="J550" t="s">
        <v>937</v>
      </c>
      <c r="K550" t="s">
        <v>82</v>
      </c>
      <c r="L550">
        <v>145023.28080000001</v>
      </c>
      <c r="M550" t="s">
        <v>83</v>
      </c>
      <c r="O550">
        <v>1</v>
      </c>
      <c r="U550">
        <v>145023.28080000001</v>
      </c>
      <c r="V550">
        <v>0</v>
      </c>
      <c r="W550">
        <v>128176.29536666667</v>
      </c>
    </row>
    <row r="551" spans="1:23" x14ac:dyDescent="0.25">
      <c r="A551" t="s">
        <v>912</v>
      </c>
      <c r="B551">
        <v>0</v>
      </c>
      <c r="C551" t="s">
        <v>855</v>
      </c>
      <c r="D551" t="s">
        <v>913</v>
      </c>
      <c r="E551" t="s">
        <v>179</v>
      </c>
      <c r="F551" t="s">
        <v>914</v>
      </c>
      <c r="G551" t="s">
        <v>84</v>
      </c>
      <c r="H551" t="s">
        <v>114</v>
      </c>
      <c r="I551" t="s">
        <v>912</v>
      </c>
      <c r="J551" t="s">
        <v>938</v>
      </c>
      <c r="K551" t="s">
        <v>82</v>
      </c>
      <c r="L551">
        <v>23500</v>
      </c>
      <c r="M551" t="s">
        <v>83</v>
      </c>
      <c r="T551">
        <v>1</v>
      </c>
      <c r="U551">
        <v>0</v>
      </c>
      <c r="V551">
        <v>0</v>
      </c>
      <c r="W551">
        <v>30533.333333333332</v>
      </c>
    </row>
    <row r="552" spans="1:23" x14ac:dyDescent="0.25">
      <c r="A552" t="s">
        <v>912</v>
      </c>
      <c r="B552">
        <v>1</v>
      </c>
      <c r="C552" t="s">
        <v>855</v>
      </c>
      <c r="D552" t="s">
        <v>913</v>
      </c>
      <c r="E552" t="s">
        <v>179</v>
      </c>
      <c r="F552" t="s">
        <v>914</v>
      </c>
      <c r="G552" t="s">
        <v>436</v>
      </c>
      <c r="H552" t="s">
        <v>114</v>
      </c>
      <c r="I552" t="s">
        <v>934</v>
      </c>
      <c r="J552" t="s">
        <v>939</v>
      </c>
      <c r="K552" t="s">
        <v>82</v>
      </c>
      <c r="L552">
        <v>36150</v>
      </c>
      <c r="M552" t="s">
        <v>83</v>
      </c>
      <c r="N552">
        <v>30533.333330000001</v>
      </c>
      <c r="P552">
        <v>1</v>
      </c>
      <c r="U552">
        <v>0</v>
      </c>
      <c r="V552">
        <v>0</v>
      </c>
      <c r="W552">
        <v>30533.333333333332</v>
      </c>
    </row>
    <row r="553" spans="1:23" x14ac:dyDescent="0.25">
      <c r="A553" t="s">
        <v>912</v>
      </c>
      <c r="B553">
        <v>0</v>
      </c>
      <c r="C553" t="s">
        <v>855</v>
      </c>
      <c r="D553" t="s">
        <v>913</v>
      </c>
      <c r="E553" t="s">
        <v>179</v>
      </c>
      <c r="F553" t="s">
        <v>914</v>
      </c>
      <c r="G553" t="s">
        <v>84</v>
      </c>
      <c r="H553" t="s">
        <v>114</v>
      </c>
      <c r="I553" t="s">
        <v>936</v>
      </c>
      <c r="J553" t="s">
        <v>940</v>
      </c>
      <c r="K553" t="s">
        <v>82</v>
      </c>
      <c r="L553">
        <v>31950</v>
      </c>
      <c r="M553" t="s">
        <v>83</v>
      </c>
      <c r="O553">
        <v>1</v>
      </c>
      <c r="U553">
        <v>31950</v>
      </c>
      <c r="V553">
        <v>0</v>
      </c>
      <c r="W553">
        <v>30533.333333333332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9510-2AF1-49CB-BC6C-1B5D2107DF23}">
  <sheetPr codeName="Sheet3"/>
  <dimension ref="A1:D115"/>
  <sheetViews>
    <sheetView workbookViewId="0"/>
  </sheetViews>
  <sheetFormatPr defaultRowHeight="15" x14ac:dyDescent="0.25"/>
  <cols>
    <col min="1" max="1" width="23.42578125" bestFit="1" customWidth="1"/>
    <col min="2" max="2" width="19.5703125" bestFit="1" customWidth="1"/>
    <col min="3" max="3" width="19.7109375" bestFit="1" customWidth="1"/>
    <col min="4" max="5" width="12" bestFit="1" customWidth="1"/>
    <col min="6" max="6" width="17.85546875" bestFit="1" customWidth="1"/>
    <col min="7" max="7" width="23.42578125" bestFit="1" customWidth="1"/>
    <col min="8" max="8" width="11.7109375" bestFit="1" customWidth="1"/>
    <col min="9" max="9" width="10" bestFit="1" customWidth="1"/>
    <col min="10" max="10" width="28.7109375" bestFit="1" customWidth="1"/>
    <col min="11" max="11" width="26.5703125" bestFit="1" customWidth="1"/>
    <col min="12" max="12" width="21" bestFit="1" customWidth="1"/>
    <col min="13" max="13" width="31" bestFit="1" customWidth="1"/>
    <col min="14" max="14" width="11.7109375" bestFit="1" customWidth="1"/>
    <col min="15" max="15" width="17.28515625" bestFit="1" customWidth="1"/>
  </cols>
  <sheetData>
    <row r="1" spans="1:4" x14ac:dyDescent="0.25">
      <c r="A1" t="s">
        <v>11</v>
      </c>
      <c r="B1" t="s">
        <v>1146</v>
      </c>
      <c r="C1" t="s">
        <v>1148</v>
      </c>
      <c r="D1" t="s">
        <v>1147</v>
      </c>
    </row>
    <row r="2" spans="1:4" x14ac:dyDescent="0.25">
      <c r="A2" t="s">
        <v>80</v>
      </c>
      <c r="B2">
        <v>960207.05279999995</v>
      </c>
      <c r="C2">
        <v>0</v>
      </c>
      <c r="D2">
        <v>960207.05279999995</v>
      </c>
    </row>
    <row r="3" spans="1:4" x14ac:dyDescent="0.25">
      <c r="A3" t="s">
        <v>80</v>
      </c>
      <c r="B3">
        <v>0</v>
      </c>
      <c r="C3">
        <v>662457.18420000002</v>
      </c>
      <c r="D3">
        <v>662457.18420000002</v>
      </c>
    </row>
    <row r="4" spans="1:4" x14ac:dyDescent="0.25">
      <c r="A4" t="s">
        <v>80</v>
      </c>
      <c r="B4">
        <v>0</v>
      </c>
      <c r="C4">
        <v>0</v>
      </c>
      <c r="D4">
        <v>55315213.820199989</v>
      </c>
    </row>
    <row r="5" spans="1:4" x14ac:dyDescent="0.25">
      <c r="A5" t="s">
        <v>87</v>
      </c>
      <c r="B5">
        <v>0</v>
      </c>
      <c r="C5">
        <v>0</v>
      </c>
      <c r="D5">
        <v>8233052.2751599979</v>
      </c>
    </row>
    <row r="6" spans="1:4" x14ac:dyDescent="0.25">
      <c r="A6" t="s">
        <v>87</v>
      </c>
      <c r="B6">
        <v>0</v>
      </c>
      <c r="C6">
        <v>133998.9583</v>
      </c>
      <c r="D6">
        <v>133998.9583</v>
      </c>
    </row>
    <row r="7" spans="1:4" x14ac:dyDescent="0.25">
      <c r="A7" t="s">
        <v>92</v>
      </c>
      <c r="B7">
        <v>0</v>
      </c>
      <c r="C7">
        <v>0</v>
      </c>
      <c r="D7">
        <v>1663370</v>
      </c>
    </row>
    <row r="8" spans="1:4" x14ac:dyDescent="0.25">
      <c r="A8" t="s">
        <v>92</v>
      </c>
      <c r="B8">
        <v>21040</v>
      </c>
      <c r="C8">
        <v>0</v>
      </c>
      <c r="D8">
        <v>21040</v>
      </c>
    </row>
    <row r="9" spans="1:4" x14ac:dyDescent="0.25">
      <c r="A9" t="s">
        <v>98</v>
      </c>
      <c r="B9">
        <v>0</v>
      </c>
      <c r="C9">
        <v>0</v>
      </c>
      <c r="D9">
        <v>1988950</v>
      </c>
    </row>
    <row r="10" spans="1:4" x14ac:dyDescent="0.25">
      <c r="A10" t="s">
        <v>98</v>
      </c>
      <c r="B10">
        <v>0</v>
      </c>
      <c r="C10">
        <v>20700</v>
      </c>
      <c r="D10">
        <v>20700</v>
      </c>
    </row>
    <row r="11" spans="1:4" x14ac:dyDescent="0.25">
      <c r="A11" t="s">
        <v>106</v>
      </c>
      <c r="B11">
        <v>4805.2749999999996</v>
      </c>
      <c r="C11">
        <v>0</v>
      </c>
      <c r="D11">
        <v>4805.2749999999996</v>
      </c>
    </row>
    <row r="12" spans="1:4" x14ac:dyDescent="0.25">
      <c r="A12" t="s">
        <v>106</v>
      </c>
      <c r="B12">
        <v>0</v>
      </c>
      <c r="C12">
        <v>10043.8125</v>
      </c>
      <c r="D12">
        <v>10043.8125</v>
      </c>
    </row>
    <row r="13" spans="1:4" x14ac:dyDescent="0.25">
      <c r="A13" t="s">
        <v>106</v>
      </c>
      <c r="B13">
        <v>0</v>
      </c>
      <c r="C13">
        <v>0</v>
      </c>
      <c r="D13">
        <v>481039.53750000003</v>
      </c>
    </row>
    <row r="14" spans="1:4" x14ac:dyDescent="0.25">
      <c r="A14" t="s">
        <v>110</v>
      </c>
      <c r="B14">
        <v>18176</v>
      </c>
      <c r="C14">
        <v>0</v>
      </c>
      <c r="D14">
        <v>18176</v>
      </c>
    </row>
    <row r="15" spans="1:4" x14ac:dyDescent="0.25">
      <c r="A15" t="s">
        <v>110</v>
      </c>
      <c r="B15">
        <v>0</v>
      </c>
      <c r="C15">
        <v>14364</v>
      </c>
      <c r="D15">
        <v>14364</v>
      </c>
    </row>
    <row r="16" spans="1:4" x14ac:dyDescent="0.25">
      <c r="A16" t="s">
        <v>110</v>
      </c>
      <c r="B16">
        <v>0</v>
      </c>
      <c r="C16">
        <v>0</v>
      </c>
      <c r="D16">
        <v>684602</v>
      </c>
    </row>
    <row r="17" spans="1:4" x14ac:dyDescent="0.25">
      <c r="A17" t="s">
        <v>114</v>
      </c>
      <c r="B17">
        <v>0</v>
      </c>
      <c r="C17">
        <v>0</v>
      </c>
      <c r="D17">
        <v>715900</v>
      </c>
    </row>
    <row r="18" spans="1:4" x14ac:dyDescent="0.25">
      <c r="A18" t="s">
        <v>121</v>
      </c>
      <c r="B18">
        <v>0</v>
      </c>
      <c r="C18">
        <v>0</v>
      </c>
      <c r="D18">
        <v>3033115.3947000001</v>
      </c>
    </row>
    <row r="19" spans="1:4" x14ac:dyDescent="0.25">
      <c r="A19" t="s">
        <v>125</v>
      </c>
      <c r="B19">
        <v>0</v>
      </c>
      <c r="C19">
        <v>0</v>
      </c>
      <c r="D19">
        <v>688400</v>
      </c>
    </row>
    <row r="20" spans="1:4" x14ac:dyDescent="0.25">
      <c r="A20" t="s">
        <v>92</v>
      </c>
      <c r="B20">
        <v>0</v>
      </c>
      <c r="C20">
        <v>24800</v>
      </c>
      <c r="D20">
        <v>24800</v>
      </c>
    </row>
    <row r="21" spans="1:4" x14ac:dyDescent="0.25">
      <c r="A21" t="s">
        <v>151</v>
      </c>
      <c r="B21">
        <v>0</v>
      </c>
      <c r="C21">
        <v>0</v>
      </c>
      <c r="D21">
        <v>1429070.5</v>
      </c>
    </row>
    <row r="22" spans="1:4" x14ac:dyDescent="0.25">
      <c r="A22" t="s">
        <v>98</v>
      </c>
      <c r="B22">
        <v>49250</v>
      </c>
      <c r="C22">
        <v>0</v>
      </c>
      <c r="D22">
        <v>49250</v>
      </c>
    </row>
    <row r="23" spans="1:4" x14ac:dyDescent="0.25">
      <c r="A23" t="s">
        <v>87</v>
      </c>
      <c r="B23">
        <v>0</v>
      </c>
      <c r="C23">
        <v>67406.616670000003</v>
      </c>
      <c r="D23">
        <v>67406.616670000003</v>
      </c>
    </row>
    <row r="24" spans="1:4" x14ac:dyDescent="0.25">
      <c r="A24" t="s">
        <v>110</v>
      </c>
      <c r="B24">
        <v>0</v>
      </c>
      <c r="C24">
        <v>8568</v>
      </c>
      <c r="D24">
        <v>8568</v>
      </c>
    </row>
    <row r="25" spans="1:4" x14ac:dyDescent="0.25">
      <c r="A25" t="s">
        <v>110</v>
      </c>
      <c r="B25">
        <v>0</v>
      </c>
      <c r="C25">
        <v>10000</v>
      </c>
      <c r="D25">
        <v>10000</v>
      </c>
    </row>
    <row r="26" spans="1:4" x14ac:dyDescent="0.25">
      <c r="A26" t="s">
        <v>106</v>
      </c>
      <c r="B26">
        <v>0</v>
      </c>
      <c r="C26">
        <v>12958.487499999999</v>
      </c>
      <c r="D26">
        <v>12958.487499999999</v>
      </c>
    </row>
    <row r="27" spans="1:4" x14ac:dyDescent="0.25">
      <c r="A27" t="s">
        <v>106</v>
      </c>
      <c r="B27">
        <v>0</v>
      </c>
      <c r="C27">
        <v>9271.8174999999992</v>
      </c>
      <c r="D27">
        <v>9271.8174999999992</v>
      </c>
    </row>
    <row r="28" spans="1:4" x14ac:dyDescent="0.25">
      <c r="A28" t="s">
        <v>80</v>
      </c>
      <c r="B28">
        <v>0</v>
      </c>
      <c r="C28">
        <v>673878.4375</v>
      </c>
      <c r="D28">
        <v>673878.4375</v>
      </c>
    </row>
    <row r="29" spans="1:4" x14ac:dyDescent="0.25">
      <c r="A29" t="s">
        <v>80</v>
      </c>
      <c r="B29">
        <v>0</v>
      </c>
      <c r="C29">
        <v>589302.09279999998</v>
      </c>
      <c r="D29">
        <v>589302.09279999998</v>
      </c>
    </row>
    <row r="30" spans="1:4" x14ac:dyDescent="0.25">
      <c r="A30" t="s">
        <v>92</v>
      </c>
      <c r="B30">
        <v>68660</v>
      </c>
      <c r="C30">
        <v>0</v>
      </c>
      <c r="D30">
        <v>68660</v>
      </c>
    </row>
    <row r="31" spans="1:4" x14ac:dyDescent="0.25">
      <c r="A31" t="s">
        <v>185</v>
      </c>
      <c r="B31">
        <v>0</v>
      </c>
      <c r="C31">
        <v>0</v>
      </c>
      <c r="D31">
        <v>261060.35000000003</v>
      </c>
    </row>
    <row r="32" spans="1:4" x14ac:dyDescent="0.25">
      <c r="A32" t="s">
        <v>87</v>
      </c>
      <c r="B32">
        <v>0</v>
      </c>
      <c r="C32">
        <v>56933.45</v>
      </c>
      <c r="D32">
        <v>56933.45</v>
      </c>
    </row>
    <row r="33" spans="1:4" x14ac:dyDescent="0.25">
      <c r="A33" t="s">
        <v>125</v>
      </c>
      <c r="B33">
        <v>0</v>
      </c>
      <c r="C33">
        <v>8600</v>
      </c>
      <c r="D33">
        <v>8600</v>
      </c>
    </row>
    <row r="34" spans="1:4" x14ac:dyDescent="0.25">
      <c r="A34" t="s">
        <v>98</v>
      </c>
      <c r="B34">
        <v>28600</v>
      </c>
      <c r="C34">
        <v>0</v>
      </c>
      <c r="D34">
        <v>28600</v>
      </c>
    </row>
    <row r="35" spans="1:4" x14ac:dyDescent="0.25">
      <c r="A35" t="s">
        <v>110</v>
      </c>
      <c r="B35">
        <v>8928</v>
      </c>
      <c r="C35">
        <v>0</v>
      </c>
      <c r="D35">
        <v>8928</v>
      </c>
    </row>
    <row r="36" spans="1:4" x14ac:dyDescent="0.25">
      <c r="A36" t="s">
        <v>110</v>
      </c>
      <c r="B36">
        <v>0</v>
      </c>
      <c r="C36">
        <v>10496</v>
      </c>
      <c r="D36">
        <v>10496</v>
      </c>
    </row>
    <row r="37" spans="1:4" x14ac:dyDescent="0.25">
      <c r="A37" t="s">
        <v>106</v>
      </c>
      <c r="B37">
        <v>6664.3649999999998</v>
      </c>
      <c r="C37">
        <v>0</v>
      </c>
      <c r="D37">
        <v>6664.3649999999998</v>
      </c>
    </row>
    <row r="38" spans="1:4" x14ac:dyDescent="0.25">
      <c r="A38" t="s">
        <v>106</v>
      </c>
      <c r="B38">
        <v>0</v>
      </c>
      <c r="C38">
        <v>4726.5</v>
      </c>
      <c r="D38">
        <v>4726.5</v>
      </c>
    </row>
    <row r="39" spans="1:4" x14ac:dyDescent="0.25">
      <c r="A39" t="s">
        <v>80</v>
      </c>
      <c r="B39">
        <v>621332.42879999999</v>
      </c>
      <c r="C39">
        <v>0</v>
      </c>
      <c r="D39">
        <v>621332.42879999999</v>
      </c>
    </row>
    <row r="40" spans="1:4" x14ac:dyDescent="0.25">
      <c r="A40" t="s">
        <v>80</v>
      </c>
      <c r="B40">
        <v>0</v>
      </c>
      <c r="C40">
        <v>646373.56000000006</v>
      </c>
      <c r="D40">
        <v>646373.56000000006</v>
      </c>
    </row>
    <row r="41" spans="1:4" x14ac:dyDescent="0.25">
      <c r="A41" t="s">
        <v>92</v>
      </c>
      <c r="B41">
        <v>0</v>
      </c>
      <c r="C41">
        <v>18410</v>
      </c>
      <c r="D41">
        <v>18410</v>
      </c>
    </row>
    <row r="42" spans="1:4" x14ac:dyDescent="0.25">
      <c r="A42" t="s">
        <v>80</v>
      </c>
      <c r="B42">
        <v>0</v>
      </c>
      <c r="C42">
        <v>674709.73</v>
      </c>
      <c r="D42">
        <v>674709.73</v>
      </c>
    </row>
    <row r="43" spans="1:4" x14ac:dyDescent="0.25">
      <c r="A43" t="s">
        <v>106</v>
      </c>
      <c r="B43">
        <v>0</v>
      </c>
      <c r="C43">
        <v>9027.6149999999998</v>
      </c>
      <c r="D43">
        <v>9027.6149999999998</v>
      </c>
    </row>
    <row r="44" spans="1:4" x14ac:dyDescent="0.25">
      <c r="A44" t="s">
        <v>110</v>
      </c>
      <c r="B44">
        <v>0</v>
      </c>
      <c r="C44">
        <v>1488</v>
      </c>
      <c r="D44">
        <v>1488</v>
      </c>
    </row>
    <row r="45" spans="1:4" x14ac:dyDescent="0.25">
      <c r="A45" t="s">
        <v>92</v>
      </c>
      <c r="B45">
        <v>0</v>
      </c>
      <c r="C45">
        <v>33400</v>
      </c>
      <c r="D45">
        <v>33400</v>
      </c>
    </row>
    <row r="46" spans="1:4" x14ac:dyDescent="0.25">
      <c r="A46" t="s">
        <v>80</v>
      </c>
      <c r="B46">
        <v>746158.29760000005</v>
      </c>
      <c r="C46">
        <v>0</v>
      </c>
      <c r="D46">
        <v>746158.29760000005</v>
      </c>
    </row>
    <row r="47" spans="1:4" x14ac:dyDescent="0.25">
      <c r="A47" t="s">
        <v>80</v>
      </c>
      <c r="B47">
        <v>0</v>
      </c>
      <c r="C47">
        <v>931821.875</v>
      </c>
      <c r="D47">
        <v>931821.875</v>
      </c>
    </row>
    <row r="48" spans="1:4" x14ac:dyDescent="0.25">
      <c r="A48" t="s">
        <v>106</v>
      </c>
      <c r="B48">
        <v>5537.8824999999997</v>
      </c>
      <c r="C48">
        <v>0</v>
      </c>
      <c r="D48">
        <v>5537.8824999999997</v>
      </c>
    </row>
    <row r="49" spans="1:4" x14ac:dyDescent="0.25">
      <c r="A49" t="s">
        <v>106</v>
      </c>
      <c r="B49">
        <v>0</v>
      </c>
      <c r="C49">
        <v>5939.6350000000002</v>
      </c>
      <c r="D49">
        <v>5939.6350000000002</v>
      </c>
    </row>
    <row r="50" spans="1:4" x14ac:dyDescent="0.25">
      <c r="A50" t="s">
        <v>110</v>
      </c>
      <c r="B50">
        <v>11214</v>
      </c>
      <c r="C50">
        <v>0</v>
      </c>
      <c r="D50">
        <v>11214</v>
      </c>
    </row>
    <row r="51" spans="1:4" x14ac:dyDescent="0.25">
      <c r="A51" t="s">
        <v>110</v>
      </c>
      <c r="B51">
        <v>0</v>
      </c>
      <c r="C51">
        <v>17286</v>
      </c>
      <c r="D51">
        <v>17286</v>
      </c>
    </row>
    <row r="52" spans="1:4" x14ac:dyDescent="0.25">
      <c r="A52" t="s">
        <v>87</v>
      </c>
      <c r="B52">
        <v>130914.5833</v>
      </c>
      <c r="C52">
        <v>0</v>
      </c>
      <c r="D52">
        <v>130914.5833</v>
      </c>
    </row>
    <row r="53" spans="1:4" x14ac:dyDescent="0.25">
      <c r="A53" t="s">
        <v>98</v>
      </c>
      <c r="B53">
        <v>62100</v>
      </c>
      <c r="C53">
        <v>0</v>
      </c>
      <c r="D53">
        <v>62100</v>
      </c>
    </row>
    <row r="54" spans="1:4" x14ac:dyDescent="0.25">
      <c r="A54" t="s">
        <v>185</v>
      </c>
      <c r="B54">
        <v>18827.224999999999</v>
      </c>
      <c r="C54">
        <v>0</v>
      </c>
      <c r="D54">
        <v>18827.224999999999</v>
      </c>
    </row>
    <row r="55" spans="1:4" x14ac:dyDescent="0.25">
      <c r="A55" t="s">
        <v>185</v>
      </c>
      <c r="B55">
        <v>0</v>
      </c>
      <c r="C55">
        <v>18354.575000000001</v>
      </c>
      <c r="D55">
        <v>18354.575000000001</v>
      </c>
    </row>
    <row r="56" spans="1:4" x14ac:dyDescent="0.25">
      <c r="A56" t="s">
        <v>92</v>
      </c>
      <c r="B56">
        <v>48690</v>
      </c>
      <c r="C56">
        <v>0</v>
      </c>
      <c r="D56">
        <v>48690</v>
      </c>
    </row>
    <row r="57" spans="1:4" x14ac:dyDescent="0.25">
      <c r="A57" t="s">
        <v>92</v>
      </c>
      <c r="B57">
        <v>0</v>
      </c>
      <c r="C57">
        <v>20890</v>
      </c>
      <c r="D57">
        <v>20890</v>
      </c>
    </row>
    <row r="58" spans="1:4" x14ac:dyDescent="0.25">
      <c r="A58" t="s">
        <v>92</v>
      </c>
      <c r="B58">
        <v>0</v>
      </c>
      <c r="C58">
        <v>24280</v>
      </c>
      <c r="D58">
        <v>24280</v>
      </c>
    </row>
    <row r="59" spans="1:4" x14ac:dyDescent="0.25">
      <c r="A59" t="s">
        <v>80</v>
      </c>
      <c r="B59">
        <v>0</v>
      </c>
      <c r="C59">
        <v>850434.76089999999</v>
      </c>
      <c r="D59">
        <v>850434.76089999999</v>
      </c>
    </row>
    <row r="60" spans="1:4" x14ac:dyDescent="0.25">
      <c r="A60" t="s">
        <v>80</v>
      </c>
      <c r="B60">
        <v>799298.01</v>
      </c>
      <c r="C60">
        <v>0</v>
      </c>
      <c r="D60">
        <v>799298.01</v>
      </c>
    </row>
    <row r="61" spans="1:4" x14ac:dyDescent="0.25">
      <c r="A61" t="s">
        <v>106</v>
      </c>
      <c r="B61">
        <v>0</v>
      </c>
      <c r="C61">
        <v>8783.4125000000004</v>
      </c>
      <c r="D61">
        <v>8783.4125000000004</v>
      </c>
    </row>
    <row r="62" spans="1:4" x14ac:dyDescent="0.25">
      <c r="A62" t="s">
        <v>106</v>
      </c>
      <c r="B62">
        <v>4017.5250000000001</v>
      </c>
      <c r="C62">
        <v>0</v>
      </c>
      <c r="D62">
        <v>4017.5250000000001</v>
      </c>
    </row>
    <row r="63" spans="1:4" x14ac:dyDescent="0.25">
      <c r="A63" t="s">
        <v>110</v>
      </c>
      <c r="B63">
        <v>0</v>
      </c>
      <c r="C63">
        <v>11844</v>
      </c>
      <c r="D63">
        <v>11844</v>
      </c>
    </row>
    <row r="64" spans="1:4" x14ac:dyDescent="0.25">
      <c r="A64" t="s">
        <v>110</v>
      </c>
      <c r="B64">
        <v>13208</v>
      </c>
      <c r="C64">
        <v>0</v>
      </c>
      <c r="D64">
        <v>13208</v>
      </c>
    </row>
    <row r="65" spans="1:4" x14ac:dyDescent="0.25">
      <c r="A65" t="s">
        <v>185</v>
      </c>
      <c r="B65">
        <v>0</v>
      </c>
      <c r="C65">
        <v>20166.400000000001</v>
      </c>
      <c r="D65">
        <v>20166.400000000001</v>
      </c>
    </row>
    <row r="66" spans="1:4" x14ac:dyDescent="0.25">
      <c r="A66" t="s">
        <v>185</v>
      </c>
      <c r="B66">
        <v>17409.275000000001</v>
      </c>
      <c r="C66">
        <v>0</v>
      </c>
      <c r="D66">
        <v>17409.275000000001</v>
      </c>
    </row>
    <row r="67" spans="1:4" x14ac:dyDescent="0.25">
      <c r="A67" t="s">
        <v>98</v>
      </c>
      <c r="B67">
        <v>47650</v>
      </c>
      <c r="C67">
        <v>0</v>
      </c>
      <c r="D67">
        <v>47650</v>
      </c>
    </row>
    <row r="68" spans="1:4" x14ac:dyDescent="0.25">
      <c r="A68" t="s">
        <v>98</v>
      </c>
      <c r="B68">
        <v>0</v>
      </c>
      <c r="C68">
        <v>25350</v>
      </c>
      <c r="D68">
        <v>25350</v>
      </c>
    </row>
    <row r="69" spans="1:4" x14ac:dyDescent="0.25">
      <c r="A69" t="s">
        <v>92</v>
      </c>
      <c r="B69">
        <v>0</v>
      </c>
      <c r="C69">
        <v>25640</v>
      </c>
      <c r="D69">
        <v>25640</v>
      </c>
    </row>
    <row r="70" spans="1:4" x14ac:dyDescent="0.25">
      <c r="A70" t="s">
        <v>92</v>
      </c>
      <c r="B70">
        <v>0</v>
      </c>
      <c r="C70">
        <v>24500</v>
      </c>
      <c r="D70">
        <v>24500</v>
      </c>
    </row>
    <row r="71" spans="1:4" x14ac:dyDescent="0.25">
      <c r="A71" t="s">
        <v>92</v>
      </c>
      <c r="B71">
        <v>20690</v>
      </c>
      <c r="C71">
        <v>0</v>
      </c>
      <c r="D71">
        <v>20690</v>
      </c>
    </row>
    <row r="72" spans="1:4" x14ac:dyDescent="0.25">
      <c r="A72" t="s">
        <v>87</v>
      </c>
      <c r="B72">
        <v>173646.2</v>
      </c>
      <c r="C72">
        <v>0</v>
      </c>
      <c r="D72">
        <v>173646.2</v>
      </c>
    </row>
    <row r="73" spans="1:4" x14ac:dyDescent="0.25">
      <c r="A73" t="s">
        <v>92</v>
      </c>
      <c r="B73">
        <v>0</v>
      </c>
      <c r="C73">
        <v>49710</v>
      </c>
      <c r="D73">
        <v>49710</v>
      </c>
    </row>
    <row r="74" spans="1:4" x14ac:dyDescent="0.25">
      <c r="A74" t="s">
        <v>98</v>
      </c>
      <c r="B74">
        <v>29550</v>
      </c>
      <c r="C74">
        <v>0</v>
      </c>
      <c r="D74">
        <v>29550</v>
      </c>
    </row>
    <row r="75" spans="1:4" x14ac:dyDescent="0.25">
      <c r="A75" t="s">
        <v>98</v>
      </c>
      <c r="B75">
        <v>32300</v>
      </c>
      <c r="C75">
        <v>0</v>
      </c>
      <c r="D75">
        <v>32300</v>
      </c>
    </row>
    <row r="76" spans="1:4" x14ac:dyDescent="0.25">
      <c r="A76" t="s">
        <v>98</v>
      </c>
      <c r="B76">
        <v>14200</v>
      </c>
      <c r="C76">
        <v>0</v>
      </c>
      <c r="D76">
        <v>14200</v>
      </c>
    </row>
    <row r="77" spans="1:4" x14ac:dyDescent="0.25">
      <c r="A77" t="s">
        <v>87</v>
      </c>
      <c r="B77">
        <v>145993.75</v>
      </c>
      <c r="C77">
        <v>0</v>
      </c>
      <c r="D77">
        <v>145993.75</v>
      </c>
    </row>
    <row r="78" spans="1:4" x14ac:dyDescent="0.25">
      <c r="A78" t="s">
        <v>92</v>
      </c>
      <c r="B78">
        <v>0</v>
      </c>
      <c r="C78">
        <v>34420</v>
      </c>
      <c r="D78">
        <v>34420</v>
      </c>
    </row>
    <row r="79" spans="1:4" x14ac:dyDescent="0.25">
      <c r="A79" t="s">
        <v>98</v>
      </c>
      <c r="B79">
        <v>0</v>
      </c>
      <c r="C79">
        <v>32650</v>
      </c>
      <c r="D79">
        <v>32650</v>
      </c>
    </row>
    <row r="80" spans="1:4" x14ac:dyDescent="0.25">
      <c r="A80" t="s">
        <v>92</v>
      </c>
      <c r="B80">
        <v>30170</v>
      </c>
      <c r="C80">
        <v>0</v>
      </c>
      <c r="D80">
        <v>30170</v>
      </c>
    </row>
    <row r="81" spans="1:4" x14ac:dyDescent="0.25">
      <c r="A81" t="s">
        <v>87</v>
      </c>
      <c r="B81">
        <v>0</v>
      </c>
      <c r="C81">
        <v>103909.1667</v>
      </c>
      <c r="D81">
        <v>103909.1667</v>
      </c>
    </row>
    <row r="82" spans="1:4" x14ac:dyDescent="0.25">
      <c r="A82" t="s">
        <v>98</v>
      </c>
      <c r="B82">
        <v>0</v>
      </c>
      <c r="C82">
        <v>16750</v>
      </c>
      <c r="D82">
        <v>16750</v>
      </c>
    </row>
    <row r="83" spans="1:4" x14ac:dyDescent="0.25">
      <c r="A83" t="s">
        <v>92</v>
      </c>
      <c r="B83">
        <v>0</v>
      </c>
      <c r="C83">
        <v>77780</v>
      </c>
      <c r="D83">
        <v>77780</v>
      </c>
    </row>
    <row r="84" spans="1:4" x14ac:dyDescent="0.25">
      <c r="A84" t="s">
        <v>87</v>
      </c>
      <c r="B84">
        <v>0</v>
      </c>
      <c r="C84">
        <v>127309.2917</v>
      </c>
      <c r="D84">
        <v>127309.2917</v>
      </c>
    </row>
    <row r="85" spans="1:4" x14ac:dyDescent="0.25">
      <c r="A85" t="s">
        <v>92</v>
      </c>
      <c r="B85">
        <v>58490</v>
      </c>
      <c r="C85">
        <v>0</v>
      </c>
      <c r="D85">
        <v>58490</v>
      </c>
    </row>
    <row r="86" spans="1:4" x14ac:dyDescent="0.25">
      <c r="A86" t="s">
        <v>92</v>
      </c>
      <c r="B86">
        <v>55620</v>
      </c>
      <c r="C86">
        <v>0</v>
      </c>
      <c r="D86">
        <v>55620</v>
      </c>
    </row>
    <row r="87" spans="1:4" x14ac:dyDescent="0.25">
      <c r="A87" t="s">
        <v>87</v>
      </c>
      <c r="B87">
        <v>0</v>
      </c>
      <c r="C87">
        <v>96361.358330000003</v>
      </c>
      <c r="D87">
        <v>96361.358330000003</v>
      </c>
    </row>
    <row r="88" spans="1:4" x14ac:dyDescent="0.25">
      <c r="A88" t="s">
        <v>87</v>
      </c>
      <c r="B88">
        <v>0</v>
      </c>
      <c r="C88">
        <v>169632.4</v>
      </c>
      <c r="D88">
        <v>169632.4</v>
      </c>
    </row>
    <row r="89" spans="1:4" x14ac:dyDescent="0.25">
      <c r="A89" t="s">
        <v>92</v>
      </c>
      <c r="B89">
        <v>39180</v>
      </c>
      <c r="C89">
        <v>0</v>
      </c>
      <c r="D89">
        <v>39180</v>
      </c>
    </row>
    <row r="90" spans="1:4" x14ac:dyDescent="0.25">
      <c r="A90" t="s">
        <v>92</v>
      </c>
      <c r="B90">
        <v>0</v>
      </c>
      <c r="C90">
        <v>41010</v>
      </c>
      <c r="D90">
        <v>41010</v>
      </c>
    </row>
    <row r="91" spans="1:4" x14ac:dyDescent="0.25">
      <c r="A91" t="s">
        <v>98</v>
      </c>
      <c r="B91">
        <v>0</v>
      </c>
      <c r="C91">
        <v>30950</v>
      </c>
      <c r="D91">
        <v>30950</v>
      </c>
    </row>
    <row r="92" spans="1:4" x14ac:dyDescent="0.25">
      <c r="A92" t="s">
        <v>80</v>
      </c>
      <c r="B92">
        <v>0</v>
      </c>
      <c r="C92">
        <v>672271.32420000003</v>
      </c>
      <c r="D92">
        <v>672271.32420000003</v>
      </c>
    </row>
    <row r="93" spans="1:4" x14ac:dyDescent="0.25">
      <c r="A93" t="s">
        <v>106</v>
      </c>
      <c r="B93">
        <v>0</v>
      </c>
      <c r="C93">
        <v>8948.84</v>
      </c>
      <c r="D93">
        <v>8948.84</v>
      </c>
    </row>
    <row r="94" spans="1:4" x14ac:dyDescent="0.25">
      <c r="A94" t="s">
        <v>110</v>
      </c>
      <c r="B94">
        <v>0</v>
      </c>
      <c r="C94">
        <v>14880</v>
      </c>
      <c r="D94">
        <v>14880</v>
      </c>
    </row>
    <row r="95" spans="1:4" x14ac:dyDescent="0.25">
      <c r="A95" t="s">
        <v>92</v>
      </c>
      <c r="B95">
        <v>0</v>
      </c>
      <c r="C95">
        <v>43020</v>
      </c>
      <c r="D95">
        <v>43020</v>
      </c>
    </row>
    <row r="96" spans="1:4" x14ac:dyDescent="0.25">
      <c r="A96" t="s">
        <v>87</v>
      </c>
      <c r="B96">
        <v>0</v>
      </c>
      <c r="C96">
        <v>154630</v>
      </c>
      <c r="D96">
        <v>154630</v>
      </c>
    </row>
    <row r="97" spans="1:4" x14ac:dyDescent="0.25">
      <c r="A97" t="s">
        <v>114</v>
      </c>
      <c r="B97">
        <v>0</v>
      </c>
      <c r="C97">
        <v>23200</v>
      </c>
      <c r="D97">
        <v>23200</v>
      </c>
    </row>
    <row r="98" spans="1:4" x14ac:dyDescent="0.25">
      <c r="A98" t="s">
        <v>121</v>
      </c>
      <c r="B98">
        <v>0</v>
      </c>
      <c r="C98">
        <v>170725.97829999999</v>
      </c>
      <c r="D98">
        <v>170725.97829999999</v>
      </c>
    </row>
    <row r="99" spans="1:4" x14ac:dyDescent="0.25">
      <c r="A99" t="s">
        <v>98</v>
      </c>
      <c r="B99">
        <v>51900</v>
      </c>
      <c r="C99">
        <v>0</v>
      </c>
      <c r="D99">
        <v>51900</v>
      </c>
    </row>
    <row r="100" spans="1:4" x14ac:dyDescent="0.25">
      <c r="A100" t="s">
        <v>92</v>
      </c>
      <c r="B100">
        <v>0</v>
      </c>
      <c r="C100">
        <v>32510</v>
      </c>
      <c r="D100">
        <v>32510</v>
      </c>
    </row>
    <row r="101" spans="1:4" x14ac:dyDescent="0.25">
      <c r="A101" t="s">
        <v>92</v>
      </c>
      <c r="B101">
        <v>20310</v>
      </c>
      <c r="C101">
        <v>0</v>
      </c>
      <c r="D101">
        <v>20310</v>
      </c>
    </row>
    <row r="102" spans="1:4" x14ac:dyDescent="0.25">
      <c r="A102" t="s">
        <v>121</v>
      </c>
      <c r="B102">
        <v>0</v>
      </c>
      <c r="C102">
        <v>157061.66399999999</v>
      </c>
      <c r="D102">
        <v>157061.66399999999</v>
      </c>
    </row>
    <row r="103" spans="1:4" x14ac:dyDescent="0.25">
      <c r="A103" t="s">
        <v>98</v>
      </c>
      <c r="B103">
        <v>0</v>
      </c>
      <c r="C103">
        <v>34500</v>
      </c>
      <c r="D103">
        <v>34500</v>
      </c>
    </row>
    <row r="104" spans="1:4" x14ac:dyDescent="0.25">
      <c r="A104" t="s">
        <v>98</v>
      </c>
      <c r="B104">
        <v>35150</v>
      </c>
      <c r="C104">
        <v>0</v>
      </c>
      <c r="D104">
        <v>35150</v>
      </c>
    </row>
    <row r="105" spans="1:4" x14ac:dyDescent="0.25">
      <c r="A105" t="s">
        <v>114</v>
      </c>
      <c r="B105">
        <v>0</v>
      </c>
      <c r="C105">
        <v>46600</v>
      </c>
      <c r="D105">
        <v>46600</v>
      </c>
    </row>
    <row r="106" spans="1:4" x14ac:dyDescent="0.25">
      <c r="A106" t="s">
        <v>92</v>
      </c>
      <c r="B106">
        <v>0</v>
      </c>
      <c r="C106">
        <v>44140</v>
      </c>
      <c r="D106">
        <v>44140</v>
      </c>
    </row>
    <row r="107" spans="1:4" x14ac:dyDescent="0.25">
      <c r="A107" t="s">
        <v>92</v>
      </c>
      <c r="B107">
        <v>0</v>
      </c>
      <c r="C107">
        <v>18740</v>
      </c>
      <c r="D107">
        <v>18740</v>
      </c>
    </row>
    <row r="108" spans="1:4" x14ac:dyDescent="0.25">
      <c r="A108" t="s">
        <v>121</v>
      </c>
      <c r="B108">
        <v>187823.6317</v>
      </c>
      <c r="C108">
        <v>0</v>
      </c>
      <c r="D108">
        <v>187823.6317</v>
      </c>
    </row>
    <row r="109" spans="1:4" x14ac:dyDescent="0.25">
      <c r="A109" t="s">
        <v>114</v>
      </c>
      <c r="B109">
        <v>12500</v>
      </c>
      <c r="C109">
        <v>0</v>
      </c>
      <c r="D109">
        <v>12500</v>
      </c>
    </row>
    <row r="110" spans="1:4" x14ac:dyDescent="0.25">
      <c r="A110" t="s">
        <v>92</v>
      </c>
      <c r="B110">
        <v>0</v>
      </c>
      <c r="C110">
        <v>21840</v>
      </c>
      <c r="D110">
        <v>21840</v>
      </c>
    </row>
    <row r="111" spans="1:4" x14ac:dyDescent="0.25">
      <c r="A111" t="s">
        <v>92</v>
      </c>
      <c r="B111">
        <v>0</v>
      </c>
      <c r="C111">
        <v>23630</v>
      </c>
      <c r="D111">
        <v>23630</v>
      </c>
    </row>
    <row r="112" spans="1:4" x14ac:dyDescent="0.25">
      <c r="A112" t="s">
        <v>92</v>
      </c>
      <c r="B112">
        <v>16840</v>
      </c>
      <c r="C112">
        <v>0</v>
      </c>
      <c r="D112">
        <v>16840</v>
      </c>
    </row>
    <row r="113" spans="1:4" x14ac:dyDescent="0.25">
      <c r="A113" t="s">
        <v>92</v>
      </c>
      <c r="B113">
        <v>0</v>
      </c>
      <c r="C113">
        <v>61340</v>
      </c>
      <c r="D113">
        <v>61340</v>
      </c>
    </row>
    <row r="114" spans="1:4" x14ac:dyDescent="0.25">
      <c r="A114" t="s">
        <v>121</v>
      </c>
      <c r="B114">
        <v>0</v>
      </c>
      <c r="C114">
        <v>145023.28080000001</v>
      </c>
      <c r="D114">
        <v>145023.28080000001</v>
      </c>
    </row>
    <row r="115" spans="1:4" x14ac:dyDescent="0.25">
      <c r="A115" t="s">
        <v>114</v>
      </c>
      <c r="B115">
        <v>0</v>
      </c>
      <c r="C115">
        <v>31950</v>
      </c>
      <c r="D115">
        <v>31950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B23FF-C529-413D-A0F3-4FF3BB0BCA1B}">
  <sheetPr codeName="Sheet4"/>
  <dimension ref="A1:Y553"/>
  <sheetViews>
    <sheetView topLeftCell="P1" workbookViewId="0">
      <selection sqref="A1:W553"/>
    </sheetView>
  </sheetViews>
  <sheetFormatPr defaultRowHeight="15" x14ac:dyDescent="0.25"/>
  <cols>
    <col min="1" max="1" width="22.7109375" bestFit="1" customWidth="1"/>
    <col min="2" max="2" width="11.42578125" bestFit="1" customWidth="1"/>
    <col min="3" max="3" width="13.28515625" bestFit="1" customWidth="1"/>
    <col min="4" max="4" width="27.42578125" bestFit="1" customWidth="1"/>
    <col min="5" max="5" width="17.85546875" bestFit="1" customWidth="1"/>
    <col min="6" max="6" width="23.42578125" bestFit="1" customWidth="1"/>
    <col min="7" max="7" width="27.7109375" bestFit="1" customWidth="1"/>
    <col min="8" max="8" width="23.42578125" bestFit="1" customWidth="1"/>
    <col min="9" max="9" width="49.140625" bestFit="1" customWidth="1"/>
    <col min="10" max="10" width="44.7109375" bestFit="1" customWidth="1"/>
    <col min="11" max="11" width="13.140625" bestFit="1" customWidth="1"/>
    <col min="12" max="12" width="11.7109375" bestFit="1" customWidth="1"/>
    <col min="13" max="13" width="10" bestFit="1" customWidth="1"/>
    <col min="14" max="14" width="13.85546875" bestFit="1" customWidth="1"/>
    <col min="15" max="15" width="28.7109375" bestFit="1" customWidth="1"/>
    <col min="16" max="16" width="30.42578125" bestFit="1" customWidth="1"/>
    <col min="17" max="17" width="26.5703125" bestFit="1" customWidth="1"/>
    <col min="18" max="18" width="28.28515625" bestFit="1" customWidth="1"/>
    <col min="19" max="19" width="27" bestFit="1" customWidth="1"/>
    <col min="20" max="20" width="28.28515625" bestFit="1" customWidth="1"/>
    <col min="21" max="21" width="21" bestFit="1" customWidth="1"/>
    <col min="22" max="22" width="22.28515625" bestFit="1" customWidth="1"/>
    <col min="23" max="23" width="31" bestFit="1" customWidth="1"/>
    <col min="24" max="24" width="12.85546875" bestFit="1" customWidth="1"/>
    <col min="25" max="25" width="13" bestFit="1" customWidth="1"/>
  </cols>
  <sheetData>
    <row r="1" spans="1:25" x14ac:dyDescent="0.25">
      <c r="A1" t="s">
        <v>2</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944</v>
      </c>
      <c r="V1" t="s">
        <v>945</v>
      </c>
      <c r="W1" t="s">
        <v>1010</v>
      </c>
      <c r="X1" t="s">
        <v>1165</v>
      </c>
      <c r="Y1" t="s">
        <v>1166</v>
      </c>
    </row>
    <row r="2" spans="1:25" x14ac:dyDescent="0.25">
      <c r="A2" t="s">
        <v>72</v>
      </c>
      <c r="B2">
        <v>1</v>
      </c>
      <c r="C2" t="s">
        <v>75</v>
      </c>
      <c r="D2" t="s">
        <v>76</v>
      </c>
      <c r="E2" t="s">
        <v>77</v>
      </c>
      <c r="F2" t="s">
        <v>78</v>
      </c>
      <c r="G2" t="s">
        <v>79</v>
      </c>
      <c r="H2" t="s">
        <v>80</v>
      </c>
      <c r="I2" t="s">
        <v>72</v>
      </c>
      <c r="J2" t="s">
        <v>81</v>
      </c>
      <c r="K2" t="s">
        <v>82</v>
      </c>
      <c r="L2">
        <v>960207.05279999995</v>
      </c>
      <c r="M2" t="s">
        <v>83</v>
      </c>
      <c r="N2">
        <v>745866.46849999996</v>
      </c>
      <c r="O2">
        <v>1</v>
      </c>
      <c r="U2">
        <v>960207.05279999995</v>
      </c>
      <c r="V2">
        <v>960207.05279999995</v>
      </c>
      <c r="W2">
        <v>745866.46846666664</v>
      </c>
      <c r="X2">
        <v>960207.05279999995</v>
      </c>
      <c r="Y2">
        <v>960207.05279999995</v>
      </c>
    </row>
    <row r="3" spans="1:25" x14ac:dyDescent="0.25">
      <c r="A3" t="s">
        <v>72</v>
      </c>
      <c r="B3">
        <v>0</v>
      </c>
      <c r="C3" t="s">
        <v>75</v>
      </c>
      <c r="D3" t="s">
        <v>76</v>
      </c>
      <c r="E3" t="s">
        <v>77</v>
      </c>
      <c r="F3" t="s">
        <v>78</v>
      </c>
      <c r="G3" t="s">
        <v>84</v>
      </c>
      <c r="H3" t="s">
        <v>80</v>
      </c>
      <c r="I3" t="s">
        <v>72</v>
      </c>
      <c r="J3" t="s">
        <v>85</v>
      </c>
      <c r="K3" t="s">
        <v>82</v>
      </c>
      <c r="L3">
        <v>662457.18420000002</v>
      </c>
      <c r="M3" t="s">
        <v>83</v>
      </c>
      <c r="O3">
        <v>1</v>
      </c>
      <c r="P3">
        <v>1</v>
      </c>
      <c r="U3">
        <v>662457.18420000002</v>
      </c>
      <c r="V3">
        <v>0</v>
      </c>
      <c r="W3">
        <v>745866.46846666664</v>
      </c>
    </row>
    <row r="4" spans="1:25" x14ac:dyDescent="0.25">
      <c r="A4" t="s">
        <v>72</v>
      </c>
      <c r="B4">
        <v>0</v>
      </c>
      <c r="C4" t="s">
        <v>75</v>
      </c>
      <c r="D4" t="s">
        <v>76</v>
      </c>
      <c r="E4" t="s">
        <v>77</v>
      </c>
      <c r="F4" t="s">
        <v>78</v>
      </c>
      <c r="G4" t="s">
        <v>84</v>
      </c>
      <c r="H4" t="s">
        <v>80</v>
      </c>
      <c r="I4" t="s">
        <v>72</v>
      </c>
      <c r="J4" t="s">
        <v>86</v>
      </c>
      <c r="K4" t="s">
        <v>82</v>
      </c>
      <c r="L4">
        <v>614935.16839999997</v>
      </c>
      <c r="M4" t="s">
        <v>83</v>
      </c>
      <c r="U4">
        <v>0</v>
      </c>
      <c r="V4">
        <v>0</v>
      </c>
      <c r="W4">
        <v>745866.46846666664</v>
      </c>
    </row>
    <row r="5" spans="1:25" x14ac:dyDescent="0.25">
      <c r="A5" t="s">
        <v>72</v>
      </c>
      <c r="B5">
        <v>0</v>
      </c>
      <c r="C5" t="s">
        <v>75</v>
      </c>
      <c r="D5" t="s">
        <v>76</v>
      </c>
      <c r="E5" t="s">
        <v>77</v>
      </c>
      <c r="F5" t="s">
        <v>78</v>
      </c>
      <c r="G5" t="s">
        <v>84</v>
      </c>
      <c r="H5" t="s">
        <v>87</v>
      </c>
      <c r="I5" t="s">
        <v>72</v>
      </c>
      <c r="J5" t="s">
        <v>88</v>
      </c>
      <c r="K5" t="s">
        <v>82</v>
      </c>
      <c r="L5">
        <v>107610.4167</v>
      </c>
      <c r="M5" t="s">
        <v>83</v>
      </c>
      <c r="U5">
        <v>0</v>
      </c>
      <c r="V5">
        <v>0</v>
      </c>
      <c r="W5">
        <v>109194.18611</v>
      </c>
    </row>
    <row r="6" spans="1:25" x14ac:dyDescent="0.25">
      <c r="A6" t="s">
        <v>72</v>
      </c>
      <c r="B6">
        <v>0</v>
      </c>
      <c r="C6" t="s">
        <v>75</v>
      </c>
      <c r="D6" t="s">
        <v>76</v>
      </c>
      <c r="E6" t="s">
        <v>77</v>
      </c>
      <c r="F6" t="s">
        <v>78</v>
      </c>
      <c r="G6" t="s">
        <v>84</v>
      </c>
      <c r="H6" t="s">
        <v>87</v>
      </c>
      <c r="I6" t="s">
        <v>72</v>
      </c>
      <c r="J6" t="s">
        <v>89</v>
      </c>
      <c r="K6" t="s">
        <v>82</v>
      </c>
      <c r="L6">
        <v>133998.9583</v>
      </c>
      <c r="M6" t="s">
        <v>83</v>
      </c>
      <c r="Q6">
        <v>1</v>
      </c>
      <c r="T6">
        <v>1</v>
      </c>
      <c r="U6">
        <v>0</v>
      </c>
      <c r="V6">
        <v>0</v>
      </c>
      <c r="W6">
        <v>109194.18611</v>
      </c>
    </row>
    <row r="7" spans="1:25" x14ac:dyDescent="0.25">
      <c r="A7" t="s">
        <v>72</v>
      </c>
      <c r="B7">
        <v>1</v>
      </c>
      <c r="C7" t="s">
        <v>75</v>
      </c>
      <c r="D7" t="s">
        <v>76</v>
      </c>
      <c r="E7" t="s">
        <v>77</v>
      </c>
      <c r="F7" t="s">
        <v>78</v>
      </c>
      <c r="G7" t="s">
        <v>90</v>
      </c>
      <c r="H7" t="s">
        <v>87</v>
      </c>
      <c r="I7" t="s">
        <v>72</v>
      </c>
      <c r="J7" t="s">
        <v>91</v>
      </c>
      <c r="K7" t="s">
        <v>82</v>
      </c>
      <c r="L7">
        <v>85973.18333</v>
      </c>
      <c r="M7" t="s">
        <v>83</v>
      </c>
      <c r="N7">
        <v>109194.18610000001</v>
      </c>
      <c r="T7">
        <v>1</v>
      </c>
      <c r="U7">
        <v>0</v>
      </c>
      <c r="V7">
        <v>0</v>
      </c>
      <c r="W7">
        <v>109194.18611</v>
      </c>
      <c r="X7">
        <v>85973.18333</v>
      </c>
      <c r="Y7">
        <v>85973.18333</v>
      </c>
    </row>
    <row r="8" spans="1:25" x14ac:dyDescent="0.25">
      <c r="A8" t="s">
        <v>72</v>
      </c>
      <c r="B8">
        <v>0</v>
      </c>
      <c r="C8" t="s">
        <v>75</v>
      </c>
      <c r="D8" t="s">
        <v>76</v>
      </c>
      <c r="E8" t="s">
        <v>77</v>
      </c>
      <c r="F8" t="s">
        <v>78</v>
      </c>
      <c r="G8" t="s">
        <v>84</v>
      </c>
      <c r="H8" t="s">
        <v>92</v>
      </c>
      <c r="I8" t="s">
        <v>93</v>
      </c>
      <c r="J8" t="s">
        <v>93</v>
      </c>
      <c r="K8" t="s">
        <v>82</v>
      </c>
      <c r="L8">
        <v>14510</v>
      </c>
      <c r="M8" t="s">
        <v>83</v>
      </c>
      <c r="U8">
        <v>0</v>
      </c>
      <c r="V8">
        <v>0</v>
      </c>
      <c r="W8">
        <v>21656.666666666668</v>
      </c>
    </row>
    <row r="9" spans="1:25" x14ac:dyDescent="0.25">
      <c r="A9" t="s">
        <v>72</v>
      </c>
      <c r="B9">
        <v>1</v>
      </c>
      <c r="C9" t="s">
        <v>75</v>
      </c>
      <c r="D9" t="s">
        <v>76</v>
      </c>
      <c r="E9" t="s">
        <v>77</v>
      </c>
      <c r="F9" t="s">
        <v>78</v>
      </c>
      <c r="G9" t="s">
        <v>94</v>
      </c>
      <c r="H9" t="s">
        <v>92</v>
      </c>
      <c r="I9" t="s">
        <v>94</v>
      </c>
      <c r="J9" t="s">
        <v>95</v>
      </c>
      <c r="K9" t="s">
        <v>82</v>
      </c>
      <c r="L9">
        <v>21040</v>
      </c>
      <c r="M9" t="s">
        <v>83</v>
      </c>
      <c r="N9">
        <v>21656.666669999999</v>
      </c>
      <c r="O9">
        <v>1</v>
      </c>
      <c r="R9">
        <v>1</v>
      </c>
      <c r="U9">
        <v>21040</v>
      </c>
      <c r="V9">
        <v>21040</v>
      </c>
      <c r="W9">
        <v>21656.666666666668</v>
      </c>
      <c r="X9">
        <v>21040</v>
      </c>
      <c r="Y9">
        <v>21040</v>
      </c>
    </row>
    <row r="10" spans="1:25" x14ac:dyDescent="0.25">
      <c r="A10" t="s">
        <v>72</v>
      </c>
      <c r="B10">
        <v>0</v>
      </c>
      <c r="C10" t="s">
        <v>75</v>
      </c>
      <c r="D10" t="s">
        <v>76</v>
      </c>
      <c r="E10" t="s">
        <v>77</v>
      </c>
      <c r="F10" t="s">
        <v>78</v>
      </c>
      <c r="G10" t="s">
        <v>84</v>
      </c>
      <c r="H10" t="s">
        <v>92</v>
      </c>
      <c r="I10" t="s">
        <v>96</v>
      </c>
      <c r="J10" t="s">
        <v>97</v>
      </c>
      <c r="K10" t="s">
        <v>82</v>
      </c>
      <c r="L10">
        <v>29420</v>
      </c>
      <c r="M10" t="s">
        <v>83</v>
      </c>
      <c r="U10">
        <v>0</v>
      </c>
      <c r="V10">
        <v>0</v>
      </c>
      <c r="W10">
        <v>21656.666666666668</v>
      </c>
    </row>
    <row r="11" spans="1:25" x14ac:dyDescent="0.25">
      <c r="A11" t="s">
        <v>72</v>
      </c>
      <c r="B11">
        <v>0</v>
      </c>
      <c r="C11" t="s">
        <v>75</v>
      </c>
      <c r="D11" t="s">
        <v>76</v>
      </c>
      <c r="E11" t="s">
        <v>77</v>
      </c>
      <c r="F11" t="s">
        <v>78</v>
      </c>
      <c r="G11" t="s">
        <v>84</v>
      </c>
      <c r="H11" t="s">
        <v>98</v>
      </c>
      <c r="I11" t="s">
        <v>99</v>
      </c>
      <c r="J11" t="s">
        <v>100</v>
      </c>
      <c r="K11" t="s">
        <v>82</v>
      </c>
      <c r="L11">
        <v>52850</v>
      </c>
      <c r="M11" t="s">
        <v>83</v>
      </c>
      <c r="S11">
        <v>1</v>
      </c>
      <c r="U11">
        <v>0</v>
      </c>
      <c r="V11">
        <v>0</v>
      </c>
      <c r="W11">
        <v>37833.333333333336</v>
      </c>
    </row>
    <row r="12" spans="1:25" x14ac:dyDescent="0.25">
      <c r="A12" t="s">
        <v>72</v>
      </c>
      <c r="B12">
        <v>0</v>
      </c>
      <c r="C12" t="s">
        <v>75</v>
      </c>
      <c r="D12" t="s">
        <v>76</v>
      </c>
      <c r="E12" t="s">
        <v>77</v>
      </c>
      <c r="F12" t="s">
        <v>78</v>
      </c>
      <c r="G12" t="s">
        <v>84</v>
      </c>
      <c r="H12" t="s">
        <v>98</v>
      </c>
      <c r="I12" t="s">
        <v>101</v>
      </c>
      <c r="J12" t="s">
        <v>102</v>
      </c>
      <c r="K12" t="s">
        <v>82</v>
      </c>
      <c r="L12">
        <v>20700</v>
      </c>
      <c r="M12" t="s">
        <v>83</v>
      </c>
      <c r="Q12">
        <v>1</v>
      </c>
      <c r="S12">
        <v>1</v>
      </c>
      <c r="U12">
        <v>0</v>
      </c>
      <c r="V12">
        <v>0</v>
      </c>
      <c r="W12">
        <v>37833.333333333336</v>
      </c>
    </row>
    <row r="13" spans="1:25" x14ac:dyDescent="0.25">
      <c r="A13" t="s">
        <v>72</v>
      </c>
      <c r="B13">
        <v>1</v>
      </c>
      <c r="C13" t="s">
        <v>75</v>
      </c>
      <c r="D13" t="s">
        <v>76</v>
      </c>
      <c r="E13" t="s">
        <v>77</v>
      </c>
      <c r="F13" t="s">
        <v>78</v>
      </c>
      <c r="G13" t="s">
        <v>103</v>
      </c>
      <c r="H13" t="s">
        <v>98</v>
      </c>
      <c r="I13" t="s">
        <v>104</v>
      </c>
      <c r="J13" t="s">
        <v>105</v>
      </c>
      <c r="K13" t="s">
        <v>82</v>
      </c>
      <c r="L13">
        <v>39950</v>
      </c>
      <c r="M13" t="s">
        <v>83</v>
      </c>
      <c r="N13">
        <v>37833.333330000001</v>
      </c>
      <c r="R13">
        <v>1</v>
      </c>
      <c r="T13">
        <v>1</v>
      </c>
      <c r="U13">
        <v>0</v>
      </c>
      <c r="V13">
        <v>0</v>
      </c>
      <c r="W13">
        <v>37833.333333333336</v>
      </c>
      <c r="X13">
        <v>39950</v>
      </c>
      <c r="Y13">
        <v>39950</v>
      </c>
    </row>
    <row r="14" spans="1:25" x14ac:dyDescent="0.25">
      <c r="A14" t="s">
        <v>72</v>
      </c>
      <c r="B14">
        <v>1</v>
      </c>
      <c r="C14" t="s">
        <v>75</v>
      </c>
      <c r="D14" t="s">
        <v>76</v>
      </c>
      <c r="E14" t="s">
        <v>77</v>
      </c>
      <c r="F14" t="s">
        <v>78</v>
      </c>
      <c r="G14" t="s">
        <v>79</v>
      </c>
      <c r="H14" t="s">
        <v>106</v>
      </c>
      <c r="I14" t="s">
        <v>72</v>
      </c>
      <c r="J14" t="s">
        <v>107</v>
      </c>
      <c r="K14" t="s">
        <v>82</v>
      </c>
      <c r="L14">
        <v>4805.2749999999996</v>
      </c>
      <c r="M14" t="s">
        <v>83</v>
      </c>
      <c r="N14">
        <v>7050.3625000000002</v>
      </c>
      <c r="O14">
        <v>1</v>
      </c>
      <c r="U14">
        <v>4805.2749999999996</v>
      </c>
      <c r="V14">
        <v>4805.2749999999996</v>
      </c>
      <c r="W14">
        <v>7050.3624999999993</v>
      </c>
      <c r="X14">
        <v>4805.2749999999996</v>
      </c>
      <c r="Y14">
        <v>4805.2749999999996</v>
      </c>
    </row>
    <row r="15" spans="1:25" x14ac:dyDescent="0.25">
      <c r="A15" t="s">
        <v>72</v>
      </c>
      <c r="B15">
        <v>0</v>
      </c>
      <c r="C15" t="s">
        <v>75</v>
      </c>
      <c r="D15" t="s">
        <v>76</v>
      </c>
      <c r="E15" t="s">
        <v>77</v>
      </c>
      <c r="F15" t="s">
        <v>78</v>
      </c>
      <c r="G15" t="s">
        <v>84</v>
      </c>
      <c r="H15" t="s">
        <v>106</v>
      </c>
      <c r="I15" t="s">
        <v>72</v>
      </c>
      <c r="J15" t="s">
        <v>108</v>
      </c>
      <c r="K15" t="s">
        <v>82</v>
      </c>
      <c r="L15">
        <v>10043.8125</v>
      </c>
      <c r="M15" t="s">
        <v>83</v>
      </c>
      <c r="O15">
        <v>1</v>
      </c>
      <c r="P15">
        <v>1</v>
      </c>
      <c r="U15">
        <v>10043.8125</v>
      </c>
      <c r="V15">
        <v>0</v>
      </c>
      <c r="W15">
        <v>7050.3624999999993</v>
      </c>
    </row>
    <row r="16" spans="1:25" x14ac:dyDescent="0.25">
      <c r="A16" t="s">
        <v>72</v>
      </c>
      <c r="B16">
        <v>0</v>
      </c>
      <c r="C16" t="s">
        <v>75</v>
      </c>
      <c r="D16" t="s">
        <v>76</v>
      </c>
      <c r="E16" t="s">
        <v>77</v>
      </c>
      <c r="F16" t="s">
        <v>78</v>
      </c>
      <c r="G16" t="s">
        <v>84</v>
      </c>
      <c r="H16" t="s">
        <v>106</v>
      </c>
      <c r="I16" t="s">
        <v>72</v>
      </c>
      <c r="J16" t="s">
        <v>109</v>
      </c>
      <c r="K16" t="s">
        <v>82</v>
      </c>
      <c r="L16">
        <v>6302</v>
      </c>
      <c r="M16" t="s">
        <v>83</v>
      </c>
      <c r="U16">
        <v>0</v>
      </c>
      <c r="V16">
        <v>0</v>
      </c>
      <c r="W16">
        <v>7050.3624999999993</v>
      </c>
    </row>
    <row r="17" spans="1:25" x14ac:dyDescent="0.25">
      <c r="A17" t="s">
        <v>72</v>
      </c>
      <c r="B17">
        <v>1</v>
      </c>
      <c r="C17" t="s">
        <v>75</v>
      </c>
      <c r="D17" t="s">
        <v>76</v>
      </c>
      <c r="E17" t="s">
        <v>77</v>
      </c>
      <c r="F17" t="s">
        <v>78</v>
      </c>
      <c r="G17" t="s">
        <v>79</v>
      </c>
      <c r="H17" t="s">
        <v>110</v>
      </c>
      <c r="I17" t="s">
        <v>72</v>
      </c>
      <c r="J17" t="s">
        <v>111</v>
      </c>
      <c r="K17" t="s">
        <v>82</v>
      </c>
      <c r="L17">
        <v>18176</v>
      </c>
      <c r="M17" t="s">
        <v>83</v>
      </c>
      <c r="N17">
        <v>14980</v>
      </c>
      <c r="O17">
        <v>1</v>
      </c>
      <c r="U17">
        <v>18176</v>
      </c>
      <c r="V17">
        <v>18176</v>
      </c>
      <c r="W17">
        <v>14980</v>
      </c>
      <c r="X17">
        <v>18176</v>
      </c>
      <c r="Y17">
        <v>18176</v>
      </c>
    </row>
    <row r="18" spans="1:25" x14ac:dyDescent="0.25">
      <c r="A18" t="s">
        <v>72</v>
      </c>
      <c r="B18">
        <v>0</v>
      </c>
      <c r="C18" t="s">
        <v>75</v>
      </c>
      <c r="D18" t="s">
        <v>76</v>
      </c>
      <c r="E18" t="s">
        <v>77</v>
      </c>
      <c r="F18" t="s">
        <v>78</v>
      </c>
      <c r="G18" t="s">
        <v>84</v>
      </c>
      <c r="H18" t="s">
        <v>110</v>
      </c>
      <c r="I18" t="s">
        <v>72</v>
      </c>
      <c r="J18" t="s">
        <v>112</v>
      </c>
      <c r="K18" t="s">
        <v>82</v>
      </c>
      <c r="L18">
        <v>14364</v>
      </c>
      <c r="M18" t="s">
        <v>83</v>
      </c>
      <c r="O18">
        <v>1</v>
      </c>
      <c r="P18">
        <v>1</v>
      </c>
      <c r="U18">
        <v>14364</v>
      </c>
      <c r="V18">
        <v>0</v>
      </c>
      <c r="W18">
        <v>14980</v>
      </c>
    </row>
    <row r="19" spans="1:25" x14ac:dyDescent="0.25">
      <c r="A19" t="s">
        <v>72</v>
      </c>
      <c r="B19">
        <v>0</v>
      </c>
      <c r="C19" t="s">
        <v>75</v>
      </c>
      <c r="D19" t="s">
        <v>76</v>
      </c>
      <c r="E19" t="s">
        <v>77</v>
      </c>
      <c r="F19" t="s">
        <v>78</v>
      </c>
      <c r="G19" t="s">
        <v>84</v>
      </c>
      <c r="H19" t="s">
        <v>110</v>
      </c>
      <c r="I19" t="s">
        <v>72</v>
      </c>
      <c r="J19" t="s">
        <v>113</v>
      </c>
      <c r="K19" t="s">
        <v>82</v>
      </c>
      <c r="L19">
        <v>12400</v>
      </c>
      <c r="M19" t="s">
        <v>83</v>
      </c>
      <c r="U19">
        <v>0</v>
      </c>
      <c r="V19">
        <v>0</v>
      </c>
      <c r="W19">
        <v>14980</v>
      </c>
    </row>
    <row r="20" spans="1:25" x14ac:dyDescent="0.25">
      <c r="A20" t="s">
        <v>72</v>
      </c>
      <c r="B20">
        <v>0</v>
      </c>
      <c r="C20" t="s">
        <v>75</v>
      </c>
      <c r="D20" t="s">
        <v>76</v>
      </c>
      <c r="E20" t="s">
        <v>77</v>
      </c>
      <c r="F20" t="s">
        <v>78</v>
      </c>
      <c r="G20" t="s">
        <v>84</v>
      </c>
      <c r="H20" t="s">
        <v>114</v>
      </c>
      <c r="I20" t="s">
        <v>115</v>
      </c>
      <c r="J20" t="s">
        <v>116</v>
      </c>
      <c r="K20" t="s">
        <v>82</v>
      </c>
      <c r="L20">
        <v>39250</v>
      </c>
      <c r="M20" t="s">
        <v>83</v>
      </c>
      <c r="P20">
        <v>1</v>
      </c>
      <c r="U20">
        <v>0</v>
      </c>
      <c r="V20">
        <v>0</v>
      </c>
      <c r="W20">
        <v>37483.333333333336</v>
      </c>
    </row>
    <row r="21" spans="1:25" x14ac:dyDescent="0.25">
      <c r="A21" t="s">
        <v>72</v>
      </c>
      <c r="B21">
        <v>0</v>
      </c>
      <c r="C21" t="s">
        <v>75</v>
      </c>
      <c r="D21" t="s">
        <v>76</v>
      </c>
      <c r="E21" t="s">
        <v>77</v>
      </c>
      <c r="F21" t="s">
        <v>78</v>
      </c>
      <c r="G21" t="s">
        <v>84</v>
      </c>
      <c r="H21" t="s">
        <v>114</v>
      </c>
      <c r="I21" t="s">
        <v>72</v>
      </c>
      <c r="J21" t="s">
        <v>117</v>
      </c>
      <c r="K21" t="s">
        <v>82</v>
      </c>
      <c r="L21">
        <v>36200</v>
      </c>
      <c r="M21" t="s">
        <v>83</v>
      </c>
      <c r="S21">
        <v>1</v>
      </c>
      <c r="U21">
        <v>0</v>
      </c>
      <c r="V21">
        <v>0</v>
      </c>
      <c r="W21">
        <v>37483.333333333336</v>
      </c>
    </row>
    <row r="22" spans="1:25" x14ac:dyDescent="0.25">
      <c r="A22" t="s">
        <v>72</v>
      </c>
      <c r="B22">
        <v>1</v>
      </c>
      <c r="C22" t="s">
        <v>75</v>
      </c>
      <c r="D22" t="s">
        <v>76</v>
      </c>
      <c r="E22" t="s">
        <v>77</v>
      </c>
      <c r="F22" t="s">
        <v>78</v>
      </c>
      <c r="G22" t="s">
        <v>118</v>
      </c>
      <c r="H22" t="s">
        <v>114</v>
      </c>
      <c r="I22" t="s">
        <v>119</v>
      </c>
      <c r="J22" t="s">
        <v>120</v>
      </c>
      <c r="K22" t="s">
        <v>82</v>
      </c>
      <c r="L22">
        <v>37000</v>
      </c>
      <c r="M22" t="s">
        <v>83</v>
      </c>
      <c r="N22">
        <v>37483.333330000001</v>
      </c>
      <c r="U22">
        <v>0</v>
      </c>
      <c r="V22">
        <v>0</v>
      </c>
      <c r="W22">
        <v>37483.333333333336</v>
      </c>
      <c r="X22">
        <v>37000</v>
      </c>
      <c r="Y22">
        <v>37000</v>
      </c>
    </row>
    <row r="23" spans="1:25" x14ac:dyDescent="0.25">
      <c r="A23" t="s">
        <v>72</v>
      </c>
      <c r="B23">
        <v>0</v>
      </c>
      <c r="C23" t="s">
        <v>75</v>
      </c>
      <c r="D23" t="s">
        <v>76</v>
      </c>
      <c r="E23" t="s">
        <v>77</v>
      </c>
      <c r="F23" t="s">
        <v>78</v>
      </c>
      <c r="G23" t="s">
        <v>84</v>
      </c>
      <c r="H23" t="s">
        <v>121</v>
      </c>
      <c r="I23" t="s">
        <v>115</v>
      </c>
      <c r="J23" t="s">
        <v>122</v>
      </c>
      <c r="K23" t="s">
        <v>82</v>
      </c>
      <c r="L23">
        <v>161541.30129999999</v>
      </c>
      <c r="M23" t="s">
        <v>83</v>
      </c>
      <c r="P23">
        <v>1</v>
      </c>
      <c r="U23">
        <v>0</v>
      </c>
      <c r="V23">
        <v>0</v>
      </c>
      <c r="W23">
        <v>145472.97853333334</v>
      </c>
    </row>
    <row r="24" spans="1:25" x14ac:dyDescent="0.25">
      <c r="A24" t="s">
        <v>72</v>
      </c>
      <c r="B24">
        <v>0</v>
      </c>
      <c r="C24" t="s">
        <v>75</v>
      </c>
      <c r="D24" t="s">
        <v>76</v>
      </c>
      <c r="E24" t="s">
        <v>77</v>
      </c>
      <c r="F24" t="s">
        <v>78</v>
      </c>
      <c r="G24" t="s">
        <v>84</v>
      </c>
      <c r="H24" t="s">
        <v>121</v>
      </c>
      <c r="I24" t="s">
        <v>72</v>
      </c>
      <c r="J24" t="s">
        <v>123</v>
      </c>
      <c r="K24" t="s">
        <v>82</v>
      </c>
      <c r="L24">
        <v>138331.54800000001</v>
      </c>
      <c r="M24" t="s">
        <v>83</v>
      </c>
      <c r="S24">
        <v>1</v>
      </c>
      <c r="U24">
        <v>0</v>
      </c>
      <c r="V24">
        <v>0</v>
      </c>
      <c r="W24">
        <v>145472.97853333334</v>
      </c>
    </row>
    <row r="25" spans="1:25" x14ac:dyDescent="0.25">
      <c r="A25" t="s">
        <v>72</v>
      </c>
      <c r="B25">
        <v>1</v>
      </c>
      <c r="C25" t="s">
        <v>75</v>
      </c>
      <c r="D25" t="s">
        <v>76</v>
      </c>
      <c r="E25" t="s">
        <v>77</v>
      </c>
      <c r="F25" t="s">
        <v>78</v>
      </c>
      <c r="G25" t="s">
        <v>118</v>
      </c>
      <c r="H25" t="s">
        <v>121</v>
      </c>
      <c r="I25" t="s">
        <v>119</v>
      </c>
      <c r="J25" t="s">
        <v>124</v>
      </c>
      <c r="K25" t="s">
        <v>82</v>
      </c>
      <c r="L25">
        <v>136546.0863</v>
      </c>
      <c r="M25" t="s">
        <v>83</v>
      </c>
      <c r="N25">
        <v>145472.9786</v>
      </c>
      <c r="U25">
        <v>0</v>
      </c>
      <c r="V25">
        <v>0</v>
      </c>
      <c r="W25">
        <v>145472.97853333334</v>
      </c>
      <c r="X25">
        <v>136546.0863</v>
      </c>
      <c r="Y25">
        <v>136546.0863</v>
      </c>
    </row>
    <row r="26" spans="1:25" x14ac:dyDescent="0.25">
      <c r="A26" t="s">
        <v>72</v>
      </c>
      <c r="B26">
        <v>0</v>
      </c>
      <c r="C26" t="s">
        <v>75</v>
      </c>
      <c r="D26" t="s">
        <v>76</v>
      </c>
      <c r="E26" t="s">
        <v>77</v>
      </c>
      <c r="F26" t="s">
        <v>78</v>
      </c>
      <c r="G26" t="s">
        <v>84</v>
      </c>
      <c r="H26" t="s">
        <v>125</v>
      </c>
      <c r="I26" t="s">
        <v>126</v>
      </c>
      <c r="J26" t="s">
        <v>127</v>
      </c>
      <c r="K26" t="s">
        <v>82</v>
      </c>
      <c r="L26">
        <v>8700</v>
      </c>
      <c r="M26" t="s">
        <v>83</v>
      </c>
      <c r="U26">
        <v>0</v>
      </c>
      <c r="V26">
        <v>0</v>
      </c>
      <c r="W26">
        <v>38916.666666666672</v>
      </c>
    </row>
    <row r="27" spans="1:25" x14ac:dyDescent="0.25">
      <c r="A27" t="s">
        <v>72</v>
      </c>
      <c r="B27">
        <v>0</v>
      </c>
      <c r="C27" t="s">
        <v>75</v>
      </c>
      <c r="D27" t="s">
        <v>76</v>
      </c>
      <c r="E27" t="s">
        <v>77</v>
      </c>
      <c r="F27" t="s">
        <v>78</v>
      </c>
      <c r="G27" t="s">
        <v>84</v>
      </c>
      <c r="H27" t="s">
        <v>125</v>
      </c>
      <c r="I27" t="s">
        <v>128</v>
      </c>
      <c r="J27" t="s">
        <v>129</v>
      </c>
      <c r="K27" t="s">
        <v>82</v>
      </c>
      <c r="L27">
        <v>69900</v>
      </c>
      <c r="M27" t="s">
        <v>83</v>
      </c>
      <c r="U27">
        <v>0</v>
      </c>
      <c r="V27">
        <v>0</v>
      </c>
      <c r="W27">
        <v>38916.666666666672</v>
      </c>
    </row>
    <row r="28" spans="1:25" x14ac:dyDescent="0.25">
      <c r="A28" t="s">
        <v>72</v>
      </c>
      <c r="B28">
        <v>1</v>
      </c>
      <c r="C28" t="s">
        <v>75</v>
      </c>
      <c r="D28" t="s">
        <v>76</v>
      </c>
      <c r="E28" t="s">
        <v>77</v>
      </c>
      <c r="F28" t="s">
        <v>78</v>
      </c>
      <c r="G28" t="s">
        <v>130</v>
      </c>
      <c r="H28" t="s">
        <v>125</v>
      </c>
      <c r="I28" t="s">
        <v>131</v>
      </c>
      <c r="J28" t="s">
        <v>132</v>
      </c>
      <c r="K28" t="s">
        <v>82</v>
      </c>
      <c r="L28">
        <v>38150</v>
      </c>
      <c r="M28" t="s">
        <v>83</v>
      </c>
      <c r="N28">
        <v>38916.666669999999</v>
      </c>
      <c r="T28">
        <v>1</v>
      </c>
      <c r="U28">
        <v>0</v>
      </c>
      <c r="V28">
        <v>0</v>
      </c>
      <c r="W28">
        <v>38916.666666666672</v>
      </c>
      <c r="X28">
        <v>38150</v>
      </c>
      <c r="Y28">
        <v>38150</v>
      </c>
    </row>
    <row r="29" spans="1:25" x14ac:dyDescent="0.25">
      <c r="A29" t="s">
        <v>133</v>
      </c>
      <c r="B29">
        <v>0</v>
      </c>
      <c r="C29" t="s">
        <v>135</v>
      </c>
      <c r="D29" t="s">
        <v>136</v>
      </c>
      <c r="E29" t="s">
        <v>137</v>
      </c>
      <c r="F29" t="s">
        <v>138</v>
      </c>
      <c r="G29" t="s">
        <v>84</v>
      </c>
      <c r="H29" t="s">
        <v>92</v>
      </c>
      <c r="I29" t="s">
        <v>139</v>
      </c>
      <c r="J29" t="s">
        <v>140</v>
      </c>
      <c r="K29" t="s">
        <v>82</v>
      </c>
      <c r="L29">
        <v>24800</v>
      </c>
      <c r="M29" t="s">
        <v>83</v>
      </c>
      <c r="O29">
        <v>1</v>
      </c>
      <c r="T29">
        <v>1</v>
      </c>
      <c r="U29">
        <v>24800</v>
      </c>
      <c r="V29">
        <v>0</v>
      </c>
      <c r="W29">
        <v>33935</v>
      </c>
    </row>
    <row r="30" spans="1:25" x14ac:dyDescent="0.25">
      <c r="A30" t="s">
        <v>133</v>
      </c>
      <c r="B30">
        <v>1</v>
      </c>
      <c r="C30" t="s">
        <v>135</v>
      </c>
      <c r="D30" t="s">
        <v>136</v>
      </c>
      <c r="E30" t="s">
        <v>137</v>
      </c>
      <c r="F30" t="s">
        <v>138</v>
      </c>
      <c r="G30" t="s">
        <v>141</v>
      </c>
      <c r="H30" t="s">
        <v>92</v>
      </c>
      <c r="I30" t="s">
        <v>142</v>
      </c>
      <c r="J30" t="s">
        <v>143</v>
      </c>
      <c r="K30" t="s">
        <v>82</v>
      </c>
      <c r="L30">
        <v>43070</v>
      </c>
      <c r="M30" t="s">
        <v>83</v>
      </c>
      <c r="N30">
        <v>33935</v>
      </c>
      <c r="U30">
        <v>0</v>
      </c>
      <c r="V30">
        <v>0</v>
      </c>
      <c r="W30">
        <v>33935</v>
      </c>
      <c r="X30">
        <v>43070</v>
      </c>
      <c r="Y30">
        <v>43070</v>
      </c>
    </row>
    <row r="31" spans="1:25" x14ac:dyDescent="0.25">
      <c r="A31" t="s">
        <v>133</v>
      </c>
      <c r="B31">
        <v>1</v>
      </c>
      <c r="C31" t="s">
        <v>135</v>
      </c>
      <c r="D31" t="s">
        <v>136</v>
      </c>
      <c r="E31" t="s">
        <v>137</v>
      </c>
      <c r="F31" t="s">
        <v>138</v>
      </c>
      <c r="G31" t="s">
        <v>141</v>
      </c>
      <c r="H31" t="s">
        <v>125</v>
      </c>
      <c r="I31" t="s">
        <v>144</v>
      </c>
      <c r="J31" t="s">
        <v>145</v>
      </c>
      <c r="K31" t="s">
        <v>82</v>
      </c>
      <c r="L31">
        <v>20800</v>
      </c>
      <c r="M31" t="s">
        <v>83</v>
      </c>
      <c r="N31">
        <v>40150</v>
      </c>
      <c r="U31">
        <v>0</v>
      </c>
      <c r="V31">
        <v>0</v>
      </c>
      <c r="W31">
        <v>40150</v>
      </c>
      <c r="X31">
        <v>20800</v>
      </c>
      <c r="Y31">
        <v>20800</v>
      </c>
    </row>
    <row r="32" spans="1:25" x14ac:dyDescent="0.25">
      <c r="A32" t="s">
        <v>133</v>
      </c>
      <c r="B32">
        <v>0</v>
      </c>
      <c r="C32" t="s">
        <v>135</v>
      </c>
      <c r="D32" t="s">
        <v>136</v>
      </c>
      <c r="E32" t="s">
        <v>137</v>
      </c>
      <c r="F32" t="s">
        <v>138</v>
      </c>
      <c r="G32" t="s">
        <v>84</v>
      </c>
      <c r="H32" t="s">
        <v>125</v>
      </c>
      <c r="I32" t="s">
        <v>146</v>
      </c>
      <c r="J32" t="s">
        <v>147</v>
      </c>
      <c r="K32" t="s">
        <v>82</v>
      </c>
      <c r="L32">
        <v>49050</v>
      </c>
      <c r="M32" t="s">
        <v>83</v>
      </c>
      <c r="U32">
        <v>0</v>
      </c>
      <c r="V32">
        <v>0</v>
      </c>
      <c r="W32">
        <v>40150</v>
      </c>
    </row>
    <row r="33" spans="1:25" x14ac:dyDescent="0.25">
      <c r="A33" t="s">
        <v>133</v>
      </c>
      <c r="B33">
        <v>0</v>
      </c>
      <c r="C33" t="s">
        <v>135</v>
      </c>
      <c r="D33" t="s">
        <v>136</v>
      </c>
      <c r="E33" t="s">
        <v>137</v>
      </c>
      <c r="F33" t="s">
        <v>138</v>
      </c>
      <c r="G33" t="s">
        <v>84</v>
      </c>
      <c r="H33" t="s">
        <v>125</v>
      </c>
      <c r="I33" t="s">
        <v>148</v>
      </c>
      <c r="J33" t="s">
        <v>149</v>
      </c>
      <c r="K33" t="s">
        <v>82</v>
      </c>
      <c r="L33">
        <v>50600</v>
      </c>
      <c r="M33" t="s">
        <v>83</v>
      </c>
      <c r="U33">
        <v>0</v>
      </c>
      <c r="V33">
        <v>0</v>
      </c>
      <c r="W33">
        <v>40150</v>
      </c>
    </row>
    <row r="34" spans="1:25" x14ac:dyDescent="0.25">
      <c r="A34" t="s">
        <v>133</v>
      </c>
      <c r="B34">
        <v>1</v>
      </c>
      <c r="C34" t="s">
        <v>135</v>
      </c>
      <c r="D34" t="s">
        <v>136</v>
      </c>
      <c r="E34" t="s">
        <v>137</v>
      </c>
      <c r="F34" t="s">
        <v>138</v>
      </c>
      <c r="G34" t="s">
        <v>150</v>
      </c>
      <c r="H34" t="s">
        <v>151</v>
      </c>
      <c r="I34" t="s">
        <v>152</v>
      </c>
      <c r="J34" t="s">
        <v>153</v>
      </c>
      <c r="K34" t="s">
        <v>82</v>
      </c>
      <c r="L34">
        <v>116454</v>
      </c>
      <c r="M34" t="s">
        <v>83</v>
      </c>
      <c r="N34">
        <v>104828.75</v>
      </c>
      <c r="U34">
        <v>0</v>
      </c>
      <c r="V34">
        <v>0</v>
      </c>
      <c r="W34">
        <v>104828.75</v>
      </c>
      <c r="X34">
        <v>116454</v>
      </c>
      <c r="Y34">
        <v>116454</v>
      </c>
    </row>
    <row r="35" spans="1:25" x14ac:dyDescent="0.25">
      <c r="A35" t="s">
        <v>133</v>
      </c>
      <c r="B35">
        <v>0</v>
      </c>
      <c r="C35" t="s">
        <v>135</v>
      </c>
      <c r="D35" t="s">
        <v>136</v>
      </c>
      <c r="E35" t="s">
        <v>137</v>
      </c>
      <c r="F35" t="s">
        <v>138</v>
      </c>
      <c r="G35" t="s">
        <v>84</v>
      </c>
      <c r="H35" t="s">
        <v>151</v>
      </c>
      <c r="I35" t="s">
        <v>154</v>
      </c>
      <c r="J35" t="s">
        <v>155</v>
      </c>
      <c r="K35" t="s">
        <v>82</v>
      </c>
      <c r="L35">
        <v>93203.5</v>
      </c>
      <c r="M35" t="s">
        <v>83</v>
      </c>
      <c r="U35">
        <v>0</v>
      </c>
      <c r="V35">
        <v>0</v>
      </c>
      <c r="W35">
        <v>104828.75</v>
      </c>
    </row>
    <row r="36" spans="1:25" x14ac:dyDescent="0.25">
      <c r="A36" t="s">
        <v>133</v>
      </c>
      <c r="B36">
        <v>0</v>
      </c>
      <c r="C36" t="s">
        <v>135</v>
      </c>
      <c r="D36" t="s">
        <v>136</v>
      </c>
      <c r="E36" t="s">
        <v>137</v>
      </c>
      <c r="F36" t="s">
        <v>138</v>
      </c>
      <c r="G36" t="s">
        <v>84</v>
      </c>
      <c r="H36" t="s">
        <v>98</v>
      </c>
      <c r="I36" t="s">
        <v>156</v>
      </c>
      <c r="J36" t="s">
        <v>157</v>
      </c>
      <c r="K36" t="s">
        <v>82</v>
      </c>
      <c r="L36">
        <v>17500</v>
      </c>
      <c r="M36" t="s">
        <v>83</v>
      </c>
      <c r="S36">
        <v>1</v>
      </c>
      <c r="U36">
        <v>0</v>
      </c>
      <c r="V36">
        <v>0</v>
      </c>
      <c r="W36">
        <v>32250</v>
      </c>
    </row>
    <row r="37" spans="1:25" x14ac:dyDescent="0.25">
      <c r="A37" t="s">
        <v>133</v>
      </c>
      <c r="B37">
        <v>1</v>
      </c>
      <c r="C37" t="s">
        <v>135</v>
      </c>
      <c r="D37" t="s">
        <v>136</v>
      </c>
      <c r="E37" t="s">
        <v>137</v>
      </c>
      <c r="F37" t="s">
        <v>138</v>
      </c>
      <c r="G37" t="s">
        <v>158</v>
      </c>
      <c r="H37" t="s">
        <v>98</v>
      </c>
      <c r="I37" t="s">
        <v>159</v>
      </c>
      <c r="J37" t="s">
        <v>160</v>
      </c>
      <c r="K37" t="s">
        <v>82</v>
      </c>
      <c r="L37">
        <v>49250</v>
      </c>
      <c r="M37" t="s">
        <v>83</v>
      </c>
      <c r="N37">
        <v>32250</v>
      </c>
      <c r="O37">
        <v>1</v>
      </c>
      <c r="S37">
        <v>1</v>
      </c>
      <c r="U37">
        <v>49250</v>
      </c>
      <c r="V37">
        <v>49250</v>
      </c>
      <c r="W37">
        <v>32250</v>
      </c>
      <c r="X37">
        <v>49250</v>
      </c>
      <c r="Y37">
        <v>49250</v>
      </c>
    </row>
    <row r="38" spans="1:25" x14ac:dyDescent="0.25">
      <c r="A38" t="s">
        <v>133</v>
      </c>
      <c r="B38">
        <v>0</v>
      </c>
      <c r="C38" t="s">
        <v>135</v>
      </c>
      <c r="D38" t="s">
        <v>136</v>
      </c>
      <c r="E38" t="s">
        <v>137</v>
      </c>
      <c r="F38" t="s">
        <v>138</v>
      </c>
      <c r="G38" t="s">
        <v>84</v>
      </c>
      <c r="H38" t="s">
        <v>98</v>
      </c>
      <c r="I38" t="s">
        <v>161</v>
      </c>
      <c r="J38" t="s">
        <v>162</v>
      </c>
      <c r="K38" t="s">
        <v>82</v>
      </c>
      <c r="L38">
        <v>30000</v>
      </c>
      <c r="M38" t="s">
        <v>83</v>
      </c>
      <c r="R38">
        <v>1</v>
      </c>
      <c r="U38">
        <v>0</v>
      </c>
      <c r="V38">
        <v>0</v>
      </c>
      <c r="W38">
        <v>32250</v>
      </c>
    </row>
    <row r="39" spans="1:25" x14ac:dyDescent="0.25">
      <c r="A39" t="s">
        <v>133</v>
      </c>
      <c r="B39">
        <v>1</v>
      </c>
      <c r="C39" t="s">
        <v>135</v>
      </c>
      <c r="D39" t="s">
        <v>136</v>
      </c>
      <c r="E39" t="s">
        <v>137</v>
      </c>
      <c r="F39" t="s">
        <v>138</v>
      </c>
      <c r="G39" t="s">
        <v>163</v>
      </c>
      <c r="H39" t="s">
        <v>87</v>
      </c>
      <c r="I39" t="s">
        <v>133</v>
      </c>
      <c r="J39" t="s">
        <v>164</v>
      </c>
      <c r="K39" t="s">
        <v>82</v>
      </c>
      <c r="L39">
        <v>95889.791670000006</v>
      </c>
      <c r="M39" t="s">
        <v>83</v>
      </c>
      <c r="N39">
        <v>93203.872220000005</v>
      </c>
      <c r="T39">
        <v>1</v>
      </c>
      <c r="U39">
        <v>0</v>
      </c>
      <c r="V39">
        <v>0</v>
      </c>
      <c r="W39">
        <v>93203.872213333336</v>
      </c>
      <c r="X39">
        <v>95889.791670000006</v>
      </c>
      <c r="Y39">
        <v>95889.791670000006</v>
      </c>
    </row>
    <row r="40" spans="1:25" x14ac:dyDescent="0.25">
      <c r="A40" t="s">
        <v>133</v>
      </c>
      <c r="B40">
        <v>0</v>
      </c>
      <c r="C40" t="s">
        <v>135</v>
      </c>
      <c r="D40" t="s">
        <v>136</v>
      </c>
      <c r="E40" t="s">
        <v>137</v>
      </c>
      <c r="F40" t="s">
        <v>138</v>
      </c>
      <c r="G40" t="s">
        <v>84</v>
      </c>
      <c r="H40" t="s">
        <v>87</v>
      </c>
      <c r="I40" t="s">
        <v>133</v>
      </c>
      <c r="J40" t="s">
        <v>165</v>
      </c>
      <c r="K40" t="s">
        <v>82</v>
      </c>
      <c r="L40">
        <v>67406.616670000003</v>
      </c>
      <c r="M40" t="s">
        <v>83</v>
      </c>
      <c r="Q40">
        <v>1</v>
      </c>
      <c r="U40">
        <v>0</v>
      </c>
      <c r="V40">
        <v>0</v>
      </c>
      <c r="W40">
        <v>93203.872213333336</v>
      </c>
    </row>
    <row r="41" spans="1:25" x14ac:dyDescent="0.25">
      <c r="A41" t="s">
        <v>133</v>
      </c>
      <c r="B41">
        <v>0</v>
      </c>
      <c r="C41" t="s">
        <v>135</v>
      </c>
      <c r="D41" t="s">
        <v>136</v>
      </c>
      <c r="E41" t="s">
        <v>137</v>
      </c>
      <c r="F41" t="s">
        <v>138</v>
      </c>
      <c r="G41" t="s">
        <v>84</v>
      </c>
      <c r="H41" t="s">
        <v>87</v>
      </c>
      <c r="I41" t="s">
        <v>133</v>
      </c>
      <c r="J41" t="s">
        <v>166</v>
      </c>
      <c r="K41" t="s">
        <v>82</v>
      </c>
      <c r="L41">
        <v>116315.2083</v>
      </c>
      <c r="M41" t="s">
        <v>83</v>
      </c>
      <c r="U41">
        <v>0</v>
      </c>
      <c r="V41">
        <v>0</v>
      </c>
      <c r="W41">
        <v>93203.872213333336</v>
      </c>
    </row>
    <row r="42" spans="1:25" x14ac:dyDescent="0.25">
      <c r="A42" t="s">
        <v>133</v>
      </c>
      <c r="B42">
        <v>1</v>
      </c>
      <c r="C42" t="s">
        <v>135</v>
      </c>
      <c r="D42" t="s">
        <v>136</v>
      </c>
      <c r="E42" t="s">
        <v>137</v>
      </c>
      <c r="F42" t="s">
        <v>138</v>
      </c>
      <c r="G42" t="s">
        <v>167</v>
      </c>
      <c r="H42" t="s">
        <v>110</v>
      </c>
      <c r="I42" t="s">
        <v>133</v>
      </c>
      <c r="J42" t="s">
        <v>168</v>
      </c>
      <c r="K42" t="s">
        <v>82</v>
      </c>
      <c r="L42">
        <v>10250</v>
      </c>
      <c r="M42" t="s">
        <v>83</v>
      </c>
      <c r="N42">
        <v>9606</v>
      </c>
      <c r="U42">
        <v>0</v>
      </c>
      <c r="V42">
        <v>0</v>
      </c>
      <c r="W42">
        <v>9606</v>
      </c>
      <c r="X42">
        <v>10250</v>
      </c>
      <c r="Y42">
        <v>10250</v>
      </c>
    </row>
    <row r="43" spans="1:25" x14ac:dyDescent="0.25">
      <c r="A43" t="s">
        <v>133</v>
      </c>
      <c r="B43">
        <v>0</v>
      </c>
      <c r="C43" t="s">
        <v>135</v>
      </c>
      <c r="D43" t="s">
        <v>136</v>
      </c>
      <c r="E43" t="s">
        <v>137</v>
      </c>
      <c r="F43" t="s">
        <v>138</v>
      </c>
      <c r="G43" t="s">
        <v>84</v>
      </c>
      <c r="H43" t="s">
        <v>110</v>
      </c>
      <c r="I43" t="s">
        <v>133</v>
      </c>
      <c r="J43" t="s">
        <v>169</v>
      </c>
      <c r="K43" t="s">
        <v>82</v>
      </c>
      <c r="L43">
        <v>8568</v>
      </c>
      <c r="M43" t="s">
        <v>83</v>
      </c>
      <c r="O43">
        <v>1</v>
      </c>
      <c r="U43">
        <v>8568</v>
      </c>
      <c r="V43">
        <v>0</v>
      </c>
      <c r="W43">
        <v>9606</v>
      </c>
    </row>
    <row r="44" spans="1:25" x14ac:dyDescent="0.25">
      <c r="A44" t="s">
        <v>133</v>
      </c>
      <c r="B44">
        <v>0</v>
      </c>
      <c r="C44" t="s">
        <v>135</v>
      </c>
      <c r="D44" t="s">
        <v>136</v>
      </c>
      <c r="E44" t="s">
        <v>137</v>
      </c>
      <c r="F44" t="s">
        <v>138</v>
      </c>
      <c r="G44" t="s">
        <v>84</v>
      </c>
      <c r="H44" t="s">
        <v>110</v>
      </c>
      <c r="I44" t="s">
        <v>133</v>
      </c>
      <c r="J44" t="s">
        <v>170</v>
      </c>
      <c r="K44" t="s">
        <v>82</v>
      </c>
      <c r="L44">
        <v>10000</v>
      </c>
      <c r="M44" t="s">
        <v>83</v>
      </c>
      <c r="O44">
        <v>1</v>
      </c>
      <c r="P44">
        <v>1</v>
      </c>
      <c r="U44">
        <v>10000</v>
      </c>
      <c r="V44">
        <v>0</v>
      </c>
      <c r="W44">
        <v>9606</v>
      </c>
    </row>
    <row r="45" spans="1:25" x14ac:dyDescent="0.25">
      <c r="A45" t="s">
        <v>133</v>
      </c>
      <c r="B45">
        <v>1</v>
      </c>
      <c r="C45" t="s">
        <v>135</v>
      </c>
      <c r="D45" t="s">
        <v>136</v>
      </c>
      <c r="E45" t="s">
        <v>137</v>
      </c>
      <c r="F45" t="s">
        <v>138</v>
      </c>
      <c r="G45" t="s">
        <v>167</v>
      </c>
      <c r="H45" t="s">
        <v>106</v>
      </c>
      <c r="I45" t="s">
        <v>133</v>
      </c>
      <c r="J45" t="s">
        <v>171</v>
      </c>
      <c r="K45" t="s">
        <v>82</v>
      </c>
      <c r="L45">
        <v>7200.0349999999999</v>
      </c>
      <c r="M45" t="s">
        <v>83</v>
      </c>
      <c r="N45">
        <v>9810.1133329999993</v>
      </c>
      <c r="U45">
        <v>0</v>
      </c>
      <c r="V45">
        <v>0</v>
      </c>
      <c r="W45">
        <v>9810.1133333333328</v>
      </c>
      <c r="X45">
        <v>7200.0349999999999</v>
      </c>
      <c r="Y45">
        <v>7200.0349999999999</v>
      </c>
    </row>
    <row r="46" spans="1:25" x14ac:dyDescent="0.25">
      <c r="A46" t="s">
        <v>133</v>
      </c>
      <c r="B46">
        <v>0</v>
      </c>
      <c r="C46" t="s">
        <v>135</v>
      </c>
      <c r="D46" t="s">
        <v>136</v>
      </c>
      <c r="E46" t="s">
        <v>137</v>
      </c>
      <c r="F46" t="s">
        <v>138</v>
      </c>
      <c r="G46" t="s">
        <v>84</v>
      </c>
      <c r="H46" t="s">
        <v>106</v>
      </c>
      <c r="I46" t="s">
        <v>133</v>
      </c>
      <c r="J46" t="s">
        <v>172</v>
      </c>
      <c r="K46" t="s">
        <v>82</v>
      </c>
      <c r="L46">
        <v>12958.487499999999</v>
      </c>
      <c r="M46" t="s">
        <v>83</v>
      </c>
      <c r="O46">
        <v>1</v>
      </c>
      <c r="U46">
        <v>12958.487499999999</v>
      </c>
      <c r="V46">
        <v>0</v>
      </c>
      <c r="W46">
        <v>9810.1133333333328</v>
      </c>
    </row>
    <row r="47" spans="1:25" x14ac:dyDescent="0.25">
      <c r="A47" t="s">
        <v>133</v>
      </c>
      <c r="B47">
        <v>0</v>
      </c>
      <c r="C47" t="s">
        <v>135</v>
      </c>
      <c r="D47" t="s">
        <v>136</v>
      </c>
      <c r="E47" t="s">
        <v>137</v>
      </c>
      <c r="F47" t="s">
        <v>138</v>
      </c>
      <c r="G47" t="s">
        <v>84</v>
      </c>
      <c r="H47" t="s">
        <v>106</v>
      </c>
      <c r="I47" t="s">
        <v>133</v>
      </c>
      <c r="J47" t="s">
        <v>173</v>
      </c>
      <c r="K47" t="s">
        <v>82</v>
      </c>
      <c r="L47">
        <v>9271.8174999999992</v>
      </c>
      <c r="M47" t="s">
        <v>83</v>
      </c>
      <c r="O47">
        <v>1</v>
      </c>
      <c r="P47">
        <v>1</v>
      </c>
      <c r="U47">
        <v>9271.8174999999992</v>
      </c>
      <c r="V47">
        <v>0</v>
      </c>
      <c r="W47">
        <v>9810.1133333333328</v>
      </c>
    </row>
    <row r="48" spans="1:25" x14ac:dyDescent="0.25">
      <c r="A48" t="s">
        <v>133</v>
      </c>
      <c r="B48">
        <v>1</v>
      </c>
      <c r="C48" t="s">
        <v>135</v>
      </c>
      <c r="D48" t="s">
        <v>136</v>
      </c>
      <c r="E48" t="s">
        <v>137</v>
      </c>
      <c r="F48" t="s">
        <v>138</v>
      </c>
      <c r="G48" t="s">
        <v>167</v>
      </c>
      <c r="H48" t="s">
        <v>80</v>
      </c>
      <c r="I48" t="s">
        <v>133</v>
      </c>
      <c r="J48" t="s">
        <v>174</v>
      </c>
      <c r="K48" t="s">
        <v>82</v>
      </c>
      <c r="L48">
        <v>685626.90079999994</v>
      </c>
      <c r="M48" t="s">
        <v>83</v>
      </c>
      <c r="N48">
        <v>649602.47699999996</v>
      </c>
      <c r="U48">
        <v>0</v>
      </c>
      <c r="V48">
        <v>0</v>
      </c>
      <c r="W48">
        <v>649602.47703333327</v>
      </c>
      <c r="X48">
        <v>685626.90079999994</v>
      </c>
      <c r="Y48">
        <v>685626.90079999994</v>
      </c>
    </row>
    <row r="49" spans="1:25" x14ac:dyDescent="0.25">
      <c r="A49" t="s">
        <v>133</v>
      </c>
      <c r="B49">
        <v>0</v>
      </c>
      <c r="C49" t="s">
        <v>135</v>
      </c>
      <c r="D49" t="s">
        <v>136</v>
      </c>
      <c r="E49" t="s">
        <v>137</v>
      </c>
      <c r="F49" t="s">
        <v>138</v>
      </c>
      <c r="G49" t="s">
        <v>84</v>
      </c>
      <c r="H49" t="s">
        <v>80</v>
      </c>
      <c r="I49" t="s">
        <v>133</v>
      </c>
      <c r="J49" t="s">
        <v>175</v>
      </c>
      <c r="K49" t="s">
        <v>82</v>
      </c>
      <c r="L49">
        <v>673878.4375</v>
      </c>
      <c r="M49" t="s">
        <v>83</v>
      </c>
      <c r="O49">
        <v>1</v>
      </c>
      <c r="U49">
        <v>673878.4375</v>
      </c>
      <c r="V49">
        <v>0</v>
      </c>
      <c r="W49">
        <v>649602.47703333327</v>
      </c>
    </row>
    <row r="50" spans="1:25" x14ac:dyDescent="0.25">
      <c r="A50" t="s">
        <v>133</v>
      </c>
      <c r="B50">
        <v>0</v>
      </c>
      <c r="C50" t="s">
        <v>135</v>
      </c>
      <c r="D50" t="s">
        <v>136</v>
      </c>
      <c r="E50" t="s">
        <v>137</v>
      </c>
      <c r="F50" t="s">
        <v>138</v>
      </c>
      <c r="G50" t="s">
        <v>84</v>
      </c>
      <c r="H50" t="s">
        <v>80</v>
      </c>
      <c r="I50" t="s">
        <v>133</v>
      </c>
      <c r="J50" t="s">
        <v>176</v>
      </c>
      <c r="K50" t="s">
        <v>82</v>
      </c>
      <c r="L50">
        <v>589302.09279999998</v>
      </c>
      <c r="M50" t="s">
        <v>83</v>
      </c>
      <c r="O50">
        <v>1</v>
      </c>
      <c r="P50">
        <v>1</v>
      </c>
      <c r="U50">
        <v>589302.09279999998</v>
      </c>
      <c r="V50">
        <v>0</v>
      </c>
      <c r="W50">
        <v>649602.47703333327</v>
      </c>
    </row>
    <row r="51" spans="1:25" x14ac:dyDescent="0.25">
      <c r="A51" t="s">
        <v>177</v>
      </c>
      <c r="B51">
        <v>0</v>
      </c>
      <c r="C51" t="s">
        <v>135</v>
      </c>
      <c r="D51" t="s">
        <v>136</v>
      </c>
      <c r="E51" t="s">
        <v>179</v>
      </c>
      <c r="F51" t="s">
        <v>138</v>
      </c>
      <c r="G51" t="s">
        <v>84</v>
      </c>
      <c r="H51" t="s">
        <v>92</v>
      </c>
      <c r="I51" t="s">
        <v>180</v>
      </c>
      <c r="J51" t="s">
        <v>181</v>
      </c>
      <c r="K51" t="s">
        <v>82</v>
      </c>
      <c r="L51">
        <v>29320</v>
      </c>
      <c r="M51" t="s">
        <v>83</v>
      </c>
      <c r="U51">
        <v>0</v>
      </c>
      <c r="V51">
        <v>0</v>
      </c>
      <c r="W51">
        <v>48990</v>
      </c>
    </row>
    <row r="52" spans="1:25" x14ac:dyDescent="0.25">
      <c r="A52" t="s">
        <v>177</v>
      </c>
      <c r="B52">
        <v>1</v>
      </c>
      <c r="C52" t="s">
        <v>135</v>
      </c>
      <c r="D52" t="s">
        <v>136</v>
      </c>
      <c r="E52" t="s">
        <v>179</v>
      </c>
      <c r="F52" t="s">
        <v>138</v>
      </c>
      <c r="G52" t="s">
        <v>182</v>
      </c>
      <c r="H52" t="s">
        <v>92</v>
      </c>
      <c r="I52" t="s">
        <v>183</v>
      </c>
      <c r="J52" t="s">
        <v>184</v>
      </c>
      <c r="K52" t="s">
        <v>82</v>
      </c>
      <c r="L52">
        <v>68660</v>
      </c>
      <c r="M52" t="s">
        <v>83</v>
      </c>
      <c r="N52">
        <v>48990</v>
      </c>
      <c r="Q52">
        <v>1</v>
      </c>
      <c r="S52">
        <v>1</v>
      </c>
      <c r="U52">
        <v>0</v>
      </c>
      <c r="V52">
        <v>0</v>
      </c>
      <c r="W52">
        <v>48990</v>
      </c>
      <c r="X52">
        <v>68660</v>
      </c>
      <c r="Y52">
        <v>68660</v>
      </c>
    </row>
    <row r="53" spans="1:25" x14ac:dyDescent="0.25">
      <c r="A53" t="s">
        <v>177</v>
      </c>
      <c r="B53">
        <v>0</v>
      </c>
      <c r="C53" t="s">
        <v>135</v>
      </c>
      <c r="D53" t="s">
        <v>136</v>
      </c>
      <c r="E53" t="s">
        <v>179</v>
      </c>
      <c r="F53" t="s">
        <v>138</v>
      </c>
      <c r="G53" t="s">
        <v>84</v>
      </c>
      <c r="H53" t="s">
        <v>185</v>
      </c>
      <c r="I53" t="s">
        <v>186</v>
      </c>
      <c r="J53" t="s">
        <v>187</v>
      </c>
      <c r="K53" t="s">
        <v>82</v>
      </c>
      <c r="L53">
        <v>22844.75</v>
      </c>
      <c r="M53" t="s">
        <v>83</v>
      </c>
      <c r="U53">
        <v>0</v>
      </c>
      <c r="V53">
        <v>0</v>
      </c>
      <c r="W53">
        <v>18774.708333333332</v>
      </c>
    </row>
    <row r="54" spans="1:25" x14ac:dyDescent="0.25">
      <c r="A54" t="s">
        <v>177</v>
      </c>
      <c r="B54">
        <v>1</v>
      </c>
      <c r="C54" t="s">
        <v>135</v>
      </c>
      <c r="D54" t="s">
        <v>136</v>
      </c>
      <c r="E54" t="s">
        <v>179</v>
      </c>
      <c r="F54" t="s">
        <v>138</v>
      </c>
      <c r="G54" t="s">
        <v>188</v>
      </c>
      <c r="H54" t="s">
        <v>185</v>
      </c>
      <c r="I54" t="s">
        <v>189</v>
      </c>
      <c r="J54" t="s">
        <v>190</v>
      </c>
      <c r="K54" t="s">
        <v>82</v>
      </c>
      <c r="L54">
        <v>19457.424999999999</v>
      </c>
      <c r="M54" t="s">
        <v>83</v>
      </c>
      <c r="N54">
        <v>18774.708330000001</v>
      </c>
      <c r="T54">
        <v>1</v>
      </c>
      <c r="U54">
        <v>0</v>
      </c>
      <c r="V54">
        <v>0</v>
      </c>
      <c r="W54">
        <v>18774.708333333332</v>
      </c>
      <c r="X54">
        <v>19457.424999999999</v>
      </c>
      <c r="Y54">
        <v>19457.424999999999</v>
      </c>
    </row>
    <row r="55" spans="1:25" x14ac:dyDescent="0.25">
      <c r="A55" t="s">
        <v>177</v>
      </c>
      <c r="B55">
        <v>0</v>
      </c>
      <c r="C55" t="s">
        <v>135</v>
      </c>
      <c r="D55" t="s">
        <v>136</v>
      </c>
      <c r="E55" t="s">
        <v>179</v>
      </c>
      <c r="F55" t="s">
        <v>138</v>
      </c>
      <c r="G55" t="s">
        <v>84</v>
      </c>
      <c r="H55" t="s">
        <v>185</v>
      </c>
      <c r="I55" t="s">
        <v>191</v>
      </c>
      <c r="J55" t="s">
        <v>192</v>
      </c>
      <c r="K55" t="s">
        <v>82</v>
      </c>
      <c r="L55">
        <v>14021.95</v>
      </c>
      <c r="M55" t="s">
        <v>83</v>
      </c>
      <c r="P55">
        <v>1</v>
      </c>
      <c r="T55">
        <v>1</v>
      </c>
      <c r="U55">
        <v>0</v>
      </c>
      <c r="V55">
        <v>0</v>
      </c>
      <c r="W55">
        <v>18774.708333333332</v>
      </c>
    </row>
    <row r="56" spans="1:25" x14ac:dyDescent="0.25">
      <c r="A56" t="s">
        <v>177</v>
      </c>
      <c r="B56">
        <v>1</v>
      </c>
      <c r="C56" t="s">
        <v>135</v>
      </c>
      <c r="D56" t="s">
        <v>136</v>
      </c>
      <c r="E56" t="s">
        <v>179</v>
      </c>
      <c r="F56" t="s">
        <v>138</v>
      </c>
      <c r="G56" t="s">
        <v>130</v>
      </c>
      <c r="H56" t="s">
        <v>125</v>
      </c>
      <c r="I56" t="s">
        <v>193</v>
      </c>
      <c r="J56" t="s">
        <v>194</v>
      </c>
      <c r="K56" t="s">
        <v>82</v>
      </c>
      <c r="L56">
        <v>15950</v>
      </c>
      <c r="M56" t="s">
        <v>83</v>
      </c>
      <c r="N56">
        <v>30350</v>
      </c>
      <c r="T56">
        <v>1</v>
      </c>
      <c r="U56">
        <v>0</v>
      </c>
      <c r="V56">
        <v>0</v>
      </c>
      <c r="W56">
        <v>30350</v>
      </c>
      <c r="X56">
        <v>15950</v>
      </c>
      <c r="Y56">
        <v>15950</v>
      </c>
    </row>
    <row r="57" spans="1:25" x14ac:dyDescent="0.25">
      <c r="A57" t="s">
        <v>177</v>
      </c>
      <c r="B57">
        <v>0</v>
      </c>
      <c r="C57" t="s">
        <v>135</v>
      </c>
      <c r="D57" t="s">
        <v>136</v>
      </c>
      <c r="E57" t="s">
        <v>179</v>
      </c>
      <c r="F57" t="s">
        <v>138</v>
      </c>
      <c r="G57" t="s">
        <v>84</v>
      </c>
      <c r="H57" t="s">
        <v>125</v>
      </c>
      <c r="I57" t="s">
        <v>195</v>
      </c>
      <c r="J57" t="s">
        <v>196</v>
      </c>
      <c r="K57" t="s">
        <v>82</v>
      </c>
      <c r="L57">
        <v>34650</v>
      </c>
      <c r="M57" t="s">
        <v>83</v>
      </c>
      <c r="U57">
        <v>0</v>
      </c>
      <c r="V57">
        <v>0</v>
      </c>
      <c r="W57">
        <v>30350</v>
      </c>
    </row>
    <row r="58" spans="1:25" x14ac:dyDescent="0.25">
      <c r="A58" t="s">
        <v>177</v>
      </c>
      <c r="B58">
        <v>0</v>
      </c>
      <c r="C58" t="s">
        <v>135</v>
      </c>
      <c r="D58" t="s">
        <v>136</v>
      </c>
      <c r="E58" t="s">
        <v>179</v>
      </c>
      <c r="F58" t="s">
        <v>138</v>
      </c>
      <c r="G58" t="s">
        <v>84</v>
      </c>
      <c r="H58" t="s">
        <v>125</v>
      </c>
      <c r="I58" t="s">
        <v>197</v>
      </c>
      <c r="J58" t="s">
        <v>198</v>
      </c>
      <c r="K58" t="s">
        <v>82</v>
      </c>
      <c r="L58">
        <v>40450</v>
      </c>
      <c r="M58" t="s">
        <v>83</v>
      </c>
      <c r="U58">
        <v>0</v>
      </c>
      <c r="V58">
        <v>0</v>
      </c>
      <c r="W58">
        <v>30350</v>
      </c>
    </row>
    <row r="59" spans="1:25" x14ac:dyDescent="0.25">
      <c r="A59" t="s">
        <v>177</v>
      </c>
      <c r="B59">
        <v>0</v>
      </c>
      <c r="C59" t="s">
        <v>135</v>
      </c>
      <c r="D59" t="s">
        <v>136</v>
      </c>
      <c r="E59" t="s">
        <v>179</v>
      </c>
      <c r="F59" t="s">
        <v>138</v>
      </c>
      <c r="G59" t="s">
        <v>84</v>
      </c>
      <c r="H59" t="s">
        <v>98</v>
      </c>
      <c r="I59" t="s">
        <v>199</v>
      </c>
      <c r="J59" t="s">
        <v>200</v>
      </c>
      <c r="K59" t="s">
        <v>82</v>
      </c>
      <c r="L59">
        <v>14900</v>
      </c>
      <c r="M59" t="s">
        <v>83</v>
      </c>
      <c r="R59">
        <v>1</v>
      </c>
      <c r="U59">
        <v>0</v>
      </c>
      <c r="V59">
        <v>0</v>
      </c>
      <c r="W59">
        <v>27083.333333333336</v>
      </c>
    </row>
    <row r="60" spans="1:25" x14ac:dyDescent="0.25">
      <c r="A60" t="s">
        <v>177</v>
      </c>
      <c r="B60">
        <v>0</v>
      </c>
      <c r="C60" t="s">
        <v>135</v>
      </c>
      <c r="D60" t="s">
        <v>136</v>
      </c>
      <c r="E60" t="s">
        <v>179</v>
      </c>
      <c r="F60" t="s">
        <v>138</v>
      </c>
      <c r="G60" t="s">
        <v>84</v>
      </c>
      <c r="H60" t="s">
        <v>98</v>
      </c>
      <c r="I60" t="s">
        <v>201</v>
      </c>
      <c r="J60" t="s">
        <v>202</v>
      </c>
      <c r="K60" t="s">
        <v>82</v>
      </c>
      <c r="L60">
        <v>47450</v>
      </c>
      <c r="M60" t="s">
        <v>83</v>
      </c>
      <c r="R60">
        <v>1</v>
      </c>
      <c r="T60">
        <v>1</v>
      </c>
      <c r="U60">
        <v>0</v>
      </c>
      <c r="V60">
        <v>0</v>
      </c>
      <c r="W60">
        <v>27083.333333333336</v>
      </c>
    </row>
    <row r="61" spans="1:25" x14ac:dyDescent="0.25">
      <c r="A61" t="s">
        <v>177</v>
      </c>
      <c r="B61">
        <v>1</v>
      </c>
      <c r="C61" t="s">
        <v>135</v>
      </c>
      <c r="D61" t="s">
        <v>136</v>
      </c>
      <c r="E61" t="s">
        <v>179</v>
      </c>
      <c r="F61" t="s">
        <v>138</v>
      </c>
      <c r="G61" t="s">
        <v>203</v>
      </c>
      <c r="H61" t="s">
        <v>98</v>
      </c>
      <c r="I61" t="s">
        <v>204</v>
      </c>
      <c r="J61" t="s">
        <v>205</v>
      </c>
      <c r="K61" t="s">
        <v>82</v>
      </c>
      <c r="L61">
        <v>18900</v>
      </c>
      <c r="M61" t="s">
        <v>83</v>
      </c>
      <c r="N61">
        <v>27083.333330000001</v>
      </c>
      <c r="U61">
        <v>0</v>
      </c>
      <c r="V61">
        <v>0</v>
      </c>
      <c r="W61">
        <v>27083.333333333336</v>
      </c>
      <c r="X61">
        <v>18900</v>
      </c>
      <c r="Y61">
        <v>18900</v>
      </c>
    </row>
    <row r="62" spans="1:25" x14ac:dyDescent="0.25">
      <c r="A62" t="s">
        <v>177</v>
      </c>
      <c r="B62">
        <v>0</v>
      </c>
      <c r="C62" t="s">
        <v>135</v>
      </c>
      <c r="D62" t="s">
        <v>136</v>
      </c>
      <c r="E62" t="s">
        <v>179</v>
      </c>
      <c r="F62" t="s">
        <v>138</v>
      </c>
      <c r="G62" t="s">
        <v>84</v>
      </c>
      <c r="H62" t="s">
        <v>87</v>
      </c>
      <c r="I62" t="s">
        <v>177</v>
      </c>
      <c r="J62" t="s">
        <v>206</v>
      </c>
      <c r="K62" t="s">
        <v>82</v>
      </c>
      <c r="L62">
        <v>56933.45</v>
      </c>
      <c r="M62" t="s">
        <v>83</v>
      </c>
      <c r="Q62">
        <v>1</v>
      </c>
      <c r="U62">
        <v>0</v>
      </c>
      <c r="V62">
        <v>0</v>
      </c>
      <c r="W62">
        <v>93441.483333333337</v>
      </c>
    </row>
    <row r="63" spans="1:25" x14ac:dyDescent="0.25">
      <c r="A63" t="s">
        <v>177</v>
      </c>
      <c r="B63">
        <v>1</v>
      </c>
      <c r="C63" t="s">
        <v>135</v>
      </c>
      <c r="D63" t="s">
        <v>136</v>
      </c>
      <c r="E63" t="s">
        <v>179</v>
      </c>
      <c r="F63" t="s">
        <v>138</v>
      </c>
      <c r="G63" t="s">
        <v>207</v>
      </c>
      <c r="H63" t="s">
        <v>87</v>
      </c>
      <c r="I63" t="s">
        <v>177</v>
      </c>
      <c r="J63" t="s">
        <v>208</v>
      </c>
      <c r="K63" t="s">
        <v>82</v>
      </c>
      <c r="L63">
        <v>100975.5833</v>
      </c>
      <c r="M63" t="s">
        <v>83</v>
      </c>
      <c r="N63">
        <v>93441.483330000003</v>
      </c>
      <c r="S63">
        <v>1</v>
      </c>
      <c r="T63">
        <v>1</v>
      </c>
      <c r="U63">
        <v>0</v>
      </c>
      <c r="V63">
        <v>0</v>
      </c>
      <c r="W63">
        <v>93441.483333333337</v>
      </c>
      <c r="X63">
        <v>100975.5833</v>
      </c>
      <c r="Y63">
        <v>100975.5833</v>
      </c>
    </row>
    <row r="64" spans="1:25" x14ac:dyDescent="0.25">
      <c r="A64" t="s">
        <v>177</v>
      </c>
      <c r="B64">
        <v>0</v>
      </c>
      <c r="C64" t="s">
        <v>135</v>
      </c>
      <c r="D64" t="s">
        <v>136</v>
      </c>
      <c r="E64" t="s">
        <v>179</v>
      </c>
      <c r="F64" t="s">
        <v>138</v>
      </c>
      <c r="G64" t="s">
        <v>84</v>
      </c>
      <c r="H64" t="s">
        <v>87</v>
      </c>
      <c r="I64" t="s">
        <v>177</v>
      </c>
      <c r="J64" t="s">
        <v>209</v>
      </c>
      <c r="K64" t="s">
        <v>82</v>
      </c>
      <c r="L64">
        <v>122415.4167</v>
      </c>
      <c r="M64" t="s">
        <v>83</v>
      </c>
      <c r="T64">
        <v>1</v>
      </c>
      <c r="U64">
        <v>0</v>
      </c>
      <c r="V64">
        <v>0</v>
      </c>
      <c r="W64">
        <v>93441.483333333337</v>
      </c>
    </row>
    <row r="65" spans="1:25" x14ac:dyDescent="0.25">
      <c r="A65" t="s">
        <v>177</v>
      </c>
      <c r="B65">
        <v>0</v>
      </c>
      <c r="C65" t="s">
        <v>135</v>
      </c>
      <c r="D65" t="s">
        <v>136</v>
      </c>
      <c r="E65" t="s">
        <v>179</v>
      </c>
      <c r="F65" t="s">
        <v>138</v>
      </c>
      <c r="G65" t="s">
        <v>84</v>
      </c>
      <c r="H65" t="s">
        <v>110</v>
      </c>
      <c r="I65" t="s">
        <v>186</v>
      </c>
      <c r="J65" t="s">
        <v>113</v>
      </c>
      <c r="K65" t="s">
        <v>82</v>
      </c>
      <c r="L65">
        <v>12400</v>
      </c>
      <c r="M65" t="s">
        <v>83</v>
      </c>
      <c r="U65">
        <v>0</v>
      </c>
      <c r="V65">
        <v>0</v>
      </c>
      <c r="W65">
        <v>11703.333333333334</v>
      </c>
    </row>
    <row r="66" spans="1:25" x14ac:dyDescent="0.25">
      <c r="A66" t="s">
        <v>177</v>
      </c>
      <c r="B66">
        <v>1</v>
      </c>
      <c r="C66" t="s">
        <v>135</v>
      </c>
      <c r="D66" t="s">
        <v>136</v>
      </c>
      <c r="E66" t="s">
        <v>179</v>
      </c>
      <c r="F66" t="s">
        <v>138</v>
      </c>
      <c r="G66" t="s">
        <v>188</v>
      </c>
      <c r="H66" t="s">
        <v>110</v>
      </c>
      <c r="I66" t="s">
        <v>189</v>
      </c>
      <c r="J66" t="s">
        <v>210</v>
      </c>
      <c r="K66" t="s">
        <v>82</v>
      </c>
      <c r="L66">
        <v>13750</v>
      </c>
      <c r="M66" t="s">
        <v>83</v>
      </c>
      <c r="N66">
        <v>11703.333329999999</v>
      </c>
      <c r="T66">
        <v>1</v>
      </c>
      <c r="U66">
        <v>0</v>
      </c>
      <c r="V66">
        <v>0</v>
      </c>
      <c r="W66">
        <v>11703.333333333334</v>
      </c>
      <c r="X66">
        <v>13750</v>
      </c>
      <c r="Y66">
        <v>13750</v>
      </c>
    </row>
    <row r="67" spans="1:25" x14ac:dyDescent="0.25">
      <c r="A67" t="s">
        <v>177</v>
      </c>
      <c r="B67">
        <v>0</v>
      </c>
      <c r="C67" t="s">
        <v>135</v>
      </c>
      <c r="D67" t="s">
        <v>136</v>
      </c>
      <c r="E67" t="s">
        <v>179</v>
      </c>
      <c r="F67" t="s">
        <v>138</v>
      </c>
      <c r="G67" t="s">
        <v>84</v>
      </c>
      <c r="H67" t="s">
        <v>110</v>
      </c>
      <c r="I67" t="s">
        <v>191</v>
      </c>
      <c r="J67" t="s">
        <v>211</v>
      </c>
      <c r="K67" t="s">
        <v>82</v>
      </c>
      <c r="L67">
        <v>8960</v>
      </c>
      <c r="M67" t="s">
        <v>83</v>
      </c>
      <c r="P67">
        <v>1</v>
      </c>
      <c r="T67">
        <v>1</v>
      </c>
      <c r="U67">
        <v>0</v>
      </c>
      <c r="V67">
        <v>0</v>
      </c>
      <c r="W67">
        <v>11703.333333333334</v>
      </c>
    </row>
    <row r="68" spans="1:25" x14ac:dyDescent="0.25">
      <c r="A68" t="s">
        <v>177</v>
      </c>
      <c r="B68">
        <v>0</v>
      </c>
      <c r="C68" t="s">
        <v>135</v>
      </c>
      <c r="D68" t="s">
        <v>136</v>
      </c>
      <c r="E68" t="s">
        <v>179</v>
      </c>
      <c r="F68" t="s">
        <v>138</v>
      </c>
      <c r="G68" t="s">
        <v>84</v>
      </c>
      <c r="H68" t="s">
        <v>106</v>
      </c>
      <c r="I68" t="s">
        <v>186</v>
      </c>
      <c r="J68" t="s">
        <v>212</v>
      </c>
      <c r="K68" t="s">
        <v>82</v>
      </c>
      <c r="L68">
        <v>7010.9750000000004</v>
      </c>
      <c r="M68" t="s">
        <v>83</v>
      </c>
      <c r="U68">
        <v>0</v>
      </c>
      <c r="V68">
        <v>0</v>
      </c>
      <c r="W68">
        <v>7058.2400000000007</v>
      </c>
    </row>
    <row r="69" spans="1:25" x14ac:dyDescent="0.25">
      <c r="A69" t="s">
        <v>177</v>
      </c>
      <c r="B69">
        <v>1</v>
      </c>
      <c r="C69" t="s">
        <v>135</v>
      </c>
      <c r="D69" t="s">
        <v>136</v>
      </c>
      <c r="E69" t="s">
        <v>179</v>
      </c>
      <c r="F69" t="s">
        <v>138</v>
      </c>
      <c r="G69" t="s">
        <v>188</v>
      </c>
      <c r="H69" t="s">
        <v>106</v>
      </c>
      <c r="I69" t="s">
        <v>189</v>
      </c>
      <c r="J69" t="s">
        <v>213</v>
      </c>
      <c r="K69" t="s">
        <v>82</v>
      </c>
      <c r="L69">
        <v>5317.3125</v>
      </c>
      <c r="M69" t="s">
        <v>83</v>
      </c>
      <c r="N69">
        <v>7058.24</v>
      </c>
      <c r="T69">
        <v>1</v>
      </c>
      <c r="U69">
        <v>0</v>
      </c>
      <c r="V69">
        <v>0</v>
      </c>
      <c r="W69">
        <v>7058.2400000000007</v>
      </c>
      <c r="X69">
        <v>5317.3125</v>
      </c>
      <c r="Y69">
        <v>5317.3125</v>
      </c>
    </row>
    <row r="70" spans="1:25" x14ac:dyDescent="0.25">
      <c r="A70" t="s">
        <v>177</v>
      </c>
      <c r="B70">
        <v>0</v>
      </c>
      <c r="C70" t="s">
        <v>135</v>
      </c>
      <c r="D70" t="s">
        <v>136</v>
      </c>
      <c r="E70" t="s">
        <v>179</v>
      </c>
      <c r="F70" t="s">
        <v>138</v>
      </c>
      <c r="G70" t="s">
        <v>84</v>
      </c>
      <c r="H70" t="s">
        <v>106</v>
      </c>
      <c r="I70" t="s">
        <v>191</v>
      </c>
      <c r="J70" t="s">
        <v>214</v>
      </c>
      <c r="K70" t="s">
        <v>82</v>
      </c>
      <c r="L70">
        <v>8846.4325000000008</v>
      </c>
      <c r="M70" t="s">
        <v>83</v>
      </c>
      <c r="P70">
        <v>1</v>
      </c>
      <c r="T70">
        <v>1</v>
      </c>
      <c r="U70">
        <v>0</v>
      </c>
      <c r="V70">
        <v>0</v>
      </c>
      <c r="W70">
        <v>7058.2400000000007</v>
      </c>
    </row>
    <row r="71" spans="1:25" x14ac:dyDescent="0.25">
      <c r="A71" t="s">
        <v>177</v>
      </c>
      <c r="B71">
        <v>0</v>
      </c>
      <c r="C71" t="s">
        <v>135</v>
      </c>
      <c r="D71" t="s">
        <v>136</v>
      </c>
      <c r="E71" t="s">
        <v>179</v>
      </c>
      <c r="F71" t="s">
        <v>138</v>
      </c>
      <c r="G71" t="s">
        <v>84</v>
      </c>
      <c r="H71" t="s">
        <v>80</v>
      </c>
      <c r="I71" t="s">
        <v>186</v>
      </c>
      <c r="J71" t="s">
        <v>215</v>
      </c>
      <c r="K71" t="s">
        <v>82</v>
      </c>
      <c r="L71">
        <v>748472.65919999999</v>
      </c>
      <c r="M71" t="s">
        <v>83</v>
      </c>
      <c r="U71">
        <v>0</v>
      </c>
      <c r="V71">
        <v>0</v>
      </c>
      <c r="W71">
        <v>835635.3772333333</v>
      </c>
    </row>
    <row r="72" spans="1:25" x14ac:dyDescent="0.25">
      <c r="A72" t="s">
        <v>177</v>
      </c>
      <c r="B72">
        <v>1</v>
      </c>
      <c r="C72" t="s">
        <v>135</v>
      </c>
      <c r="D72" t="s">
        <v>136</v>
      </c>
      <c r="E72" t="s">
        <v>179</v>
      </c>
      <c r="F72" t="s">
        <v>138</v>
      </c>
      <c r="G72" t="s">
        <v>188</v>
      </c>
      <c r="H72" t="s">
        <v>80</v>
      </c>
      <c r="I72" t="s">
        <v>189</v>
      </c>
      <c r="J72" t="s">
        <v>216</v>
      </c>
      <c r="K72" t="s">
        <v>82</v>
      </c>
      <c r="L72">
        <v>856318.5</v>
      </c>
      <c r="M72" t="s">
        <v>83</v>
      </c>
      <c r="N72">
        <v>835635.37719999999</v>
      </c>
      <c r="T72">
        <v>1</v>
      </c>
      <c r="U72">
        <v>0</v>
      </c>
      <c r="V72">
        <v>0</v>
      </c>
      <c r="W72">
        <v>835635.3772333333</v>
      </c>
      <c r="X72">
        <v>856318.5</v>
      </c>
      <c r="Y72">
        <v>856318.5</v>
      </c>
    </row>
    <row r="73" spans="1:25" x14ac:dyDescent="0.25">
      <c r="A73" t="s">
        <v>177</v>
      </c>
      <c r="B73">
        <v>0</v>
      </c>
      <c r="C73" t="s">
        <v>135</v>
      </c>
      <c r="D73" t="s">
        <v>136</v>
      </c>
      <c r="E73" t="s">
        <v>179</v>
      </c>
      <c r="F73" t="s">
        <v>138</v>
      </c>
      <c r="G73" t="s">
        <v>84</v>
      </c>
      <c r="H73" t="s">
        <v>80</v>
      </c>
      <c r="I73" t="s">
        <v>191</v>
      </c>
      <c r="J73" t="s">
        <v>217</v>
      </c>
      <c r="K73" t="s">
        <v>82</v>
      </c>
      <c r="L73">
        <v>902114.97250000003</v>
      </c>
      <c r="M73" t="s">
        <v>83</v>
      </c>
      <c r="P73">
        <v>1</v>
      </c>
      <c r="T73">
        <v>1</v>
      </c>
      <c r="U73">
        <v>0</v>
      </c>
      <c r="V73">
        <v>0</v>
      </c>
      <c r="W73">
        <v>835635.3772333333</v>
      </c>
    </row>
    <row r="74" spans="1:25" x14ac:dyDescent="0.25">
      <c r="A74" t="s">
        <v>218</v>
      </c>
      <c r="B74">
        <v>0</v>
      </c>
      <c r="C74" t="s">
        <v>135</v>
      </c>
      <c r="D74" t="s">
        <v>219</v>
      </c>
      <c r="E74" t="s">
        <v>179</v>
      </c>
      <c r="F74" t="s">
        <v>138</v>
      </c>
      <c r="G74" t="s">
        <v>84</v>
      </c>
      <c r="H74" t="s">
        <v>92</v>
      </c>
      <c r="I74" t="s">
        <v>220</v>
      </c>
      <c r="J74" t="s">
        <v>181</v>
      </c>
      <c r="K74" t="s">
        <v>82</v>
      </c>
      <c r="L74">
        <v>35540</v>
      </c>
      <c r="M74" t="s">
        <v>83</v>
      </c>
      <c r="U74">
        <v>0</v>
      </c>
      <c r="V74">
        <v>0</v>
      </c>
      <c r="W74">
        <v>52025</v>
      </c>
    </row>
    <row r="75" spans="1:25" x14ac:dyDescent="0.25">
      <c r="A75" t="s">
        <v>218</v>
      </c>
      <c r="B75">
        <v>1</v>
      </c>
      <c r="C75" t="s">
        <v>135</v>
      </c>
      <c r="D75" t="s">
        <v>219</v>
      </c>
      <c r="E75" t="s">
        <v>179</v>
      </c>
      <c r="F75" t="s">
        <v>138</v>
      </c>
      <c r="G75" t="s">
        <v>221</v>
      </c>
      <c r="H75" t="s">
        <v>92</v>
      </c>
      <c r="I75" t="s">
        <v>222</v>
      </c>
      <c r="J75" t="s">
        <v>221</v>
      </c>
      <c r="K75" t="s">
        <v>82</v>
      </c>
      <c r="L75">
        <v>68510</v>
      </c>
      <c r="M75" t="s">
        <v>83</v>
      </c>
      <c r="N75">
        <v>52025</v>
      </c>
      <c r="R75">
        <v>1</v>
      </c>
      <c r="U75">
        <v>0</v>
      </c>
      <c r="V75">
        <v>0</v>
      </c>
      <c r="W75">
        <v>52025</v>
      </c>
      <c r="X75">
        <v>68510</v>
      </c>
      <c r="Y75">
        <v>68510</v>
      </c>
    </row>
    <row r="76" spans="1:25" x14ac:dyDescent="0.25">
      <c r="A76" t="s">
        <v>218</v>
      </c>
      <c r="B76">
        <v>0</v>
      </c>
      <c r="C76" t="s">
        <v>135</v>
      </c>
      <c r="D76" t="s">
        <v>219</v>
      </c>
      <c r="E76" t="s">
        <v>179</v>
      </c>
      <c r="F76" t="s">
        <v>138</v>
      </c>
      <c r="G76" t="s">
        <v>84</v>
      </c>
      <c r="H76" t="s">
        <v>125</v>
      </c>
      <c r="I76" t="s">
        <v>223</v>
      </c>
      <c r="J76" t="s">
        <v>224</v>
      </c>
      <c r="K76" t="s">
        <v>82</v>
      </c>
      <c r="L76">
        <v>8600</v>
      </c>
      <c r="M76" t="s">
        <v>83</v>
      </c>
      <c r="O76">
        <v>1</v>
      </c>
      <c r="S76">
        <v>1</v>
      </c>
      <c r="U76">
        <v>8600</v>
      </c>
      <c r="V76">
        <v>0</v>
      </c>
      <c r="W76">
        <v>40166.666666666672</v>
      </c>
    </row>
    <row r="77" spans="1:25" x14ac:dyDescent="0.25">
      <c r="A77" t="s">
        <v>218</v>
      </c>
      <c r="B77">
        <v>1</v>
      </c>
      <c r="C77" t="s">
        <v>135</v>
      </c>
      <c r="D77" t="s">
        <v>219</v>
      </c>
      <c r="E77" t="s">
        <v>179</v>
      </c>
      <c r="F77" t="s">
        <v>138</v>
      </c>
      <c r="G77" t="s">
        <v>141</v>
      </c>
      <c r="H77" t="s">
        <v>125</v>
      </c>
      <c r="I77" t="s">
        <v>225</v>
      </c>
      <c r="J77" t="s">
        <v>226</v>
      </c>
      <c r="K77" t="s">
        <v>82</v>
      </c>
      <c r="L77">
        <v>52150</v>
      </c>
      <c r="M77" t="s">
        <v>83</v>
      </c>
      <c r="N77">
        <v>40166.666669999999</v>
      </c>
      <c r="U77">
        <v>0</v>
      </c>
      <c r="V77">
        <v>0</v>
      </c>
      <c r="W77">
        <v>40166.666666666672</v>
      </c>
      <c r="X77">
        <v>52150</v>
      </c>
      <c r="Y77">
        <v>52150</v>
      </c>
    </row>
    <row r="78" spans="1:25" x14ac:dyDescent="0.25">
      <c r="A78" t="s">
        <v>218</v>
      </c>
      <c r="B78">
        <v>0</v>
      </c>
      <c r="C78" t="s">
        <v>135</v>
      </c>
      <c r="D78" t="s">
        <v>219</v>
      </c>
      <c r="E78" t="s">
        <v>179</v>
      </c>
      <c r="F78" t="s">
        <v>138</v>
      </c>
      <c r="G78" t="s">
        <v>84</v>
      </c>
      <c r="H78" t="s">
        <v>125</v>
      </c>
      <c r="I78" t="s">
        <v>227</v>
      </c>
      <c r="J78" t="s">
        <v>228</v>
      </c>
      <c r="K78" t="s">
        <v>82</v>
      </c>
      <c r="L78">
        <v>59750</v>
      </c>
      <c r="M78" t="s">
        <v>83</v>
      </c>
      <c r="T78">
        <v>1</v>
      </c>
      <c r="U78">
        <v>0</v>
      </c>
      <c r="V78">
        <v>0</v>
      </c>
      <c r="W78">
        <v>40166.666666666672</v>
      </c>
    </row>
    <row r="79" spans="1:25" x14ac:dyDescent="0.25">
      <c r="A79" t="s">
        <v>218</v>
      </c>
      <c r="B79">
        <v>1</v>
      </c>
      <c r="C79" t="s">
        <v>135</v>
      </c>
      <c r="D79" t="s">
        <v>219</v>
      </c>
      <c r="E79" t="s">
        <v>179</v>
      </c>
      <c r="F79" t="s">
        <v>138</v>
      </c>
      <c r="G79" t="s">
        <v>229</v>
      </c>
      <c r="H79" t="s">
        <v>151</v>
      </c>
      <c r="I79" t="s">
        <v>230</v>
      </c>
      <c r="J79" t="s">
        <v>231</v>
      </c>
      <c r="K79" t="s">
        <v>82</v>
      </c>
      <c r="L79">
        <v>80541.5</v>
      </c>
      <c r="M79" t="s">
        <v>83</v>
      </c>
      <c r="N79">
        <v>79204.666670000006</v>
      </c>
      <c r="U79">
        <v>0</v>
      </c>
      <c r="V79">
        <v>0</v>
      </c>
      <c r="W79">
        <v>79204.666666666672</v>
      </c>
      <c r="X79">
        <v>80541.5</v>
      </c>
      <c r="Y79">
        <v>80541.5</v>
      </c>
    </row>
    <row r="80" spans="1:25" x14ac:dyDescent="0.25">
      <c r="A80" t="s">
        <v>218</v>
      </c>
      <c r="B80">
        <v>0</v>
      </c>
      <c r="C80" t="s">
        <v>135</v>
      </c>
      <c r="D80" t="s">
        <v>219</v>
      </c>
      <c r="E80" t="s">
        <v>179</v>
      </c>
      <c r="F80" t="s">
        <v>138</v>
      </c>
      <c r="G80" t="s">
        <v>84</v>
      </c>
      <c r="H80" t="s">
        <v>151</v>
      </c>
      <c r="I80" t="s">
        <v>232</v>
      </c>
      <c r="J80" t="s">
        <v>233</v>
      </c>
      <c r="K80" t="s">
        <v>82</v>
      </c>
      <c r="L80">
        <v>92170</v>
      </c>
      <c r="M80" t="s">
        <v>83</v>
      </c>
      <c r="U80">
        <v>0</v>
      </c>
      <c r="V80">
        <v>0</v>
      </c>
      <c r="W80">
        <v>79204.666666666672</v>
      </c>
    </row>
    <row r="81" spans="1:25" x14ac:dyDescent="0.25">
      <c r="A81" t="s">
        <v>218</v>
      </c>
      <c r="B81">
        <v>0</v>
      </c>
      <c r="C81" t="s">
        <v>135</v>
      </c>
      <c r="D81" t="s">
        <v>219</v>
      </c>
      <c r="E81" t="s">
        <v>179</v>
      </c>
      <c r="F81" t="s">
        <v>138</v>
      </c>
      <c r="G81" t="s">
        <v>84</v>
      </c>
      <c r="H81" t="s">
        <v>151</v>
      </c>
      <c r="I81" t="s">
        <v>234</v>
      </c>
      <c r="J81" t="s">
        <v>235</v>
      </c>
      <c r="K81" t="s">
        <v>82</v>
      </c>
      <c r="L81">
        <v>64902.5</v>
      </c>
      <c r="M81" t="s">
        <v>83</v>
      </c>
      <c r="S81">
        <v>1</v>
      </c>
      <c r="U81">
        <v>0</v>
      </c>
      <c r="V81">
        <v>0</v>
      </c>
      <c r="W81">
        <v>79204.666666666672</v>
      </c>
    </row>
    <row r="82" spans="1:25" x14ac:dyDescent="0.25">
      <c r="A82" t="s">
        <v>218</v>
      </c>
      <c r="B82">
        <v>0</v>
      </c>
      <c r="C82" t="s">
        <v>135</v>
      </c>
      <c r="D82" t="s">
        <v>219</v>
      </c>
      <c r="E82" t="s">
        <v>179</v>
      </c>
      <c r="F82" t="s">
        <v>138</v>
      </c>
      <c r="G82" t="s">
        <v>84</v>
      </c>
      <c r="H82" t="s">
        <v>98</v>
      </c>
      <c r="I82" t="s">
        <v>236</v>
      </c>
      <c r="J82" t="s">
        <v>237</v>
      </c>
      <c r="K82" t="s">
        <v>82</v>
      </c>
      <c r="L82">
        <v>8850</v>
      </c>
      <c r="M82" t="s">
        <v>83</v>
      </c>
      <c r="S82">
        <v>1</v>
      </c>
      <c r="U82">
        <v>0</v>
      </c>
      <c r="V82">
        <v>0</v>
      </c>
      <c r="W82">
        <v>18050</v>
      </c>
    </row>
    <row r="83" spans="1:25" x14ac:dyDescent="0.25">
      <c r="A83" t="s">
        <v>218</v>
      </c>
      <c r="B83">
        <v>1</v>
      </c>
      <c r="C83" t="s">
        <v>135</v>
      </c>
      <c r="D83" t="s">
        <v>219</v>
      </c>
      <c r="E83" t="s">
        <v>179</v>
      </c>
      <c r="F83" t="s">
        <v>138</v>
      </c>
      <c r="G83" t="s">
        <v>238</v>
      </c>
      <c r="H83" t="s">
        <v>98</v>
      </c>
      <c r="I83" t="s">
        <v>239</v>
      </c>
      <c r="J83" t="s">
        <v>240</v>
      </c>
      <c r="K83" t="s">
        <v>82</v>
      </c>
      <c r="L83">
        <v>28600</v>
      </c>
      <c r="M83" t="s">
        <v>83</v>
      </c>
      <c r="N83">
        <v>18050</v>
      </c>
      <c r="Q83">
        <v>1</v>
      </c>
      <c r="R83">
        <v>1</v>
      </c>
      <c r="U83">
        <v>0</v>
      </c>
      <c r="V83">
        <v>0</v>
      </c>
      <c r="W83">
        <v>18050</v>
      </c>
      <c r="X83">
        <v>28600</v>
      </c>
      <c r="Y83">
        <v>28600</v>
      </c>
    </row>
    <row r="84" spans="1:25" x14ac:dyDescent="0.25">
      <c r="A84" t="s">
        <v>218</v>
      </c>
      <c r="B84">
        <v>0</v>
      </c>
      <c r="C84" t="s">
        <v>135</v>
      </c>
      <c r="D84" t="s">
        <v>219</v>
      </c>
      <c r="E84" t="s">
        <v>179</v>
      </c>
      <c r="F84" t="s">
        <v>138</v>
      </c>
      <c r="G84" t="s">
        <v>84</v>
      </c>
      <c r="H84" t="s">
        <v>98</v>
      </c>
      <c r="I84" t="s">
        <v>241</v>
      </c>
      <c r="J84" t="s">
        <v>84</v>
      </c>
      <c r="K84" t="s">
        <v>82</v>
      </c>
      <c r="L84">
        <v>16700</v>
      </c>
      <c r="M84" t="s">
        <v>83</v>
      </c>
      <c r="S84">
        <v>1</v>
      </c>
      <c r="U84">
        <v>0</v>
      </c>
      <c r="V84">
        <v>0</v>
      </c>
      <c r="W84">
        <v>18050</v>
      </c>
    </row>
    <row r="85" spans="1:25" x14ac:dyDescent="0.25">
      <c r="A85" t="s">
        <v>218</v>
      </c>
      <c r="B85">
        <v>0</v>
      </c>
      <c r="C85" t="s">
        <v>135</v>
      </c>
      <c r="D85" t="s">
        <v>219</v>
      </c>
      <c r="E85" t="s">
        <v>179</v>
      </c>
      <c r="F85" t="s">
        <v>138</v>
      </c>
      <c r="G85" t="s">
        <v>84</v>
      </c>
      <c r="H85" t="s">
        <v>87</v>
      </c>
      <c r="I85" t="s">
        <v>218</v>
      </c>
      <c r="J85" t="s">
        <v>242</v>
      </c>
      <c r="K85" t="s">
        <v>82</v>
      </c>
      <c r="L85">
        <v>112476.875</v>
      </c>
      <c r="M85" t="s">
        <v>83</v>
      </c>
      <c r="U85">
        <v>0</v>
      </c>
      <c r="V85">
        <v>0</v>
      </c>
      <c r="W85">
        <v>100943.59723333333</v>
      </c>
    </row>
    <row r="86" spans="1:25" x14ac:dyDescent="0.25">
      <c r="A86" t="s">
        <v>218</v>
      </c>
      <c r="B86">
        <v>1</v>
      </c>
      <c r="C86" t="s">
        <v>135</v>
      </c>
      <c r="D86" t="s">
        <v>219</v>
      </c>
      <c r="E86" t="s">
        <v>179</v>
      </c>
      <c r="F86" t="s">
        <v>138</v>
      </c>
      <c r="G86" t="s">
        <v>243</v>
      </c>
      <c r="H86" t="s">
        <v>87</v>
      </c>
      <c r="I86" t="s">
        <v>218</v>
      </c>
      <c r="J86" t="s">
        <v>244</v>
      </c>
      <c r="K86" t="s">
        <v>82</v>
      </c>
      <c r="L86">
        <v>111615.9917</v>
      </c>
      <c r="M86" t="s">
        <v>83</v>
      </c>
      <c r="N86">
        <v>100943.5972</v>
      </c>
      <c r="U86">
        <v>0</v>
      </c>
      <c r="V86">
        <v>0</v>
      </c>
      <c r="W86">
        <v>100943.59723333333</v>
      </c>
      <c r="X86">
        <v>111615.9917</v>
      </c>
      <c r="Y86">
        <v>111615.9917</v>
      </c>
    </row>
    <row r="87" spans="1:25" x14ac:dyDescent="0.25">
      <c r="A87" t="s">
        <v>218</v>
      </c>
      <c r="B87">
        <v>0</v>
      </c>
      <c r="C87" t="s">
        <v>135</v>
      </c>
      <c r="D87" t="s">
        <v>219</v>
      </c>
      <c r="E87" t="s">
        <v>179</v>
      </c>
      <c r="F87" t="s">
        <v>138</v>
      </c>
      <c r="G87" t="s">
        <v>84</v>
      </c>
      <c r="H87" t="s">
        <v>87</v>
      </c>
      <c r="I87" t="s">
        <v>218</v>
      </c>
      <c r="J87" t="s">
        <v>245</v>
      </c>
      <c r="K87" t="s">
        <v>82</v>
      </c>
      <c r="L87">
        <v>78737.925000000003</v>
      </c>
      <c r="M87" t="s">
        <v>83</v>
      </c>
      <c r="T87">
        <v>1</v>
      </c>
      <c r="U87">
        <v>0</v>
      </c>
      <c r="V87">
        <v>0</v>
      </c>
      <c r="W87">
        <v>100943.59723333333</v>
      </c>
    </row>
    <row r="88" spans="1:25" x14ac:dyDescent="0.25">
      <c r="A88" t="s">
        <v>218</v>
      </c>
      <c r="B88">
        <v>0</v>
      </c>
      <c r="C88" t="s">
        <v>135</v>
      </c>
      <c r="D88" t="s">
        <v>219</v>
      </c>
      <c r="E88" t="s">
        <v>179</v>
      </c>
      <c r="F88" t="s">
        <v>138</v>
      </c>
      <c r="G88" t="s">
        <v>84</v>
      </c>
      <c r="H88" t="s">
        <v>110</v>
      </c>
      <c r="I88" t="s">
        <v>246</v>
      </c>
      <c r="J88" t="s">
        <v>247</v>
      </c>
      <c r="K88" t="s">
        <v>82</v>
      </c>
      <c r="L88">
        <v>6875</v>
      </c>
      <c r="M88" t="s">
        <v>83</v>
      </c>
      <c r="S88">
        <v>1</v>
      </c>
      <c r="U88">
        <v>0</v>
      </c>
      <c r="V88">
        <v>0</v>
      </c>
      <c r="W88">
        <v>8766.3333333333339</v>
      </c>
    </row>
    <row r="89" spans="1:25" x14ac:dyDescent="0.25">
      <c r="A89" t="s">
        <v>218</v>
      </c>
      <c r="B89">
        <v>1</v>
      </c>
      <c r="C89" t="s">
        <v>135</v>
      </c>
      <c r="D89" t="s">
        <v>219</v>
      </c>
      <c r="E89" t="s">
        <v>179</v>
      </c>
      <c r="F89" t="s">
        <v>138</v>
      </c>
      <c r="G89" t="s">
        <v>248</v>
      </c>
      <c r="H89" t="s">
        <v>110</v>
      </c>
      <c r="I89" t="s">
        <v>218</v>
      </c>
      <c r="J89" t="s">
        <v>249</v>
      </c>
      <c r="K89" t="s">
        <v>82</v>
      </c>
      <c r="L89">
        <v>8928</v>
      </c>
      <c r="M89" t="s">
        <v>83</v>
      </c>
      <c r="N89">
        <v>8766.3333330000005</v>
      </c>
      <c r="O89">
        <v>1</v>
      </c>
      <c r="P89">
        <v>1</v>
      </c>
      <c r="U89">
        <v>8928</v>
      </c>
      <c r="V89">
        <v>8928</v>
      </c>
      <c r="W89">
        <v>8766.3333333333339</v>
      </c>
      <c r="X89">
        <v>8928</v>
      </c>
      <c r="Y89">
        <v>8928</v>
      </c>
    </row>
    <row r="90" spans="1:25" x14ac:dyDescent="0.25">
      <c r="A90" t="s">
        <v>218</v>
      </c>
      <c r="B90">
        <v>0</v>
      </c>
      <c r="C90" t="s">
        <v>135</v>
      </c>
      <c r="D90" t="s">
        <v>219</v>
      </c>
      <c r="E90" t="s">
        <v>179</v>
      </c>
      <c r="F90" t="s">
        <v>138</v>
      </c>
      <c r="G90" t="s">
        <v>84</v>
      </c>
      <c r="H90" t="s">
        <v>110</v>
      </c>
      <c r="I90" t="s">
        <v>246</v>
      </c>
      <c r="J90" t="s">
        <v>250</v>
      </c>
      <c r="K90" t="s">
        <v>82</v>
      </c>
      <c r="L90">
        <v>10496</v>
      </c>
      <c r="M90" t="s">
        <v>83</v>
      </c>
      <c r="O90">
        <v>1</v>
      </c>
      <c r="U90">
        <v>10496</v>
      </c>
      <c r="V90">
        <v>0</v>
      </c>
      <c r="W90">
        <v>8766.3333333333339</v>
      </c>
    </row>
    <row r="91" spans="1:25" x14ac:dyDescent="0.25">
      <c r="A91" t="s">
        <v>218</v>
      </c>
      <c r="B91">
        <v>0</v>
      </c>
      <c r="C91" t="s">
        <v>135</v>
      </c>
      <c r="D91" t="s">
        <v>219</v>
      </c>
      <c r="E91" t="s">
        <v>179</v>
      </c>
      <c r="F91" t="s">
        <v>138</v>
      </c>
      <c r="G91" t="s">
        <v>84</v>
      </c>
      <c r="H91" t="s">
        <v>106</v>
      </c>
      <c r="I91" t="s">
        <v>246</v>
      </c>
      <c r="J91" t="s">
        <v>251</v>
      </c>
      <c r="K91" t="s">
        <v>82</v>
      </c>
      <c r="L91">
        <v>10484.952499999999</v>
      </c>
      <c r="M91" t="s">
        <v>83</v>
      </c>
      <c r="S91">
        <v>1</v>
      </c>
      <c r="U91">
        <v>0</v>
      </c>
      <c r="V91">
        <v>0</v>
      </c>
      <c r="W91">
        <v>7291.939166666667</v>
      </c>
    </row>
    <row r="92" spans="1:25" x14ac:dyDescent="0.25">
      <c r="A92" t="s">
        <v>218</v>
      </c>
      <c r="B92">
        <v>1</v>
      </c>
      <c r="C92" t="s">
        <v>135</v>
      </c>
      <c r="D92" t="s">
        <v>219</v>
      </c>
      <c r="E92" t="s">
        <v>179</v>
      </c>
      <c r="F92" t="s">
        <v>138</v>
      </c>
      <c r="G92" t="s">
        <v>248</v>
      </c>
      <c r="H92" t="s">
        <v>106</v>
      </c>
      <c r="I92" t="s">
        <v>218</v>
      </c>
      <c r="J92" t="s">
        <v>252</v>
      </c>
      <c r="K92" t="s">
        <v>82</v>
      </c>
      <c r="L92">
        <v>6664.3649999999998</v>
      </c>
      <c r="M92" t="s">
        <v>83</v>
      </c>
      <c r="N92">
        <v>7291.9391670000005</v>
      </c>
      <c r="O92">
        <v>1</v>
      </c>
      <c r="P92">
        <v>1</v>
      </c>
      <c r="U92">
        <v>6664.3649999999998</v>
      </c>
      <c r="V92">
        <v>6664.3649999999998</v>
      </c>
      <c r="W92">
        <v>7291.939166666667</v>
      </c>
      <c r="X92">
        <v>6664.3649999999998</v>
      </c>
      <c r="Y92">
        <v>6664.3649999999998</v>
      </c>
    </row>
    <row r="93" spans="1:25" x14ac:dyDescent="0.25">
      <c r="A93" t="s">
        <v>218</v>
      </c>
      <c r="B93">
        <v>0</v>
      </c>
      <c r="C93" t="s">
        <v>135</v>
      </c>
      <c r="D93" t="s">
        <v>219</v>
      </c>
      <c r="E93" t="s">
        <v>179</v>
      </c>
      <c r="F93" t="s">
        <v>138</v>
      </c>
      <c r="G93" t="s">
        <v>84</v>
      </c>
      <c r="H93" t="s">
        <v>106</v>
      </c>
      <c r="I93" t="s">
        <v>246</v>
      </c>
      <c r="J93" t="s">
        <v>253</v>
      </c>
      <c r="K93" t="s">
        <v>82</v>
      </c>
      <c r="L93">
        <v>4726.5</v>
      </c>
      <c r="M93" t="s">
        <v>83</v>
      </c>
      <c r="O93">
        <v>1</v>
      </c>
      <c r="U93">
        <v>4726.5</v>
      </c>
      <c r="V93">
        <v>0</v>
      </c>
      <c r="W93">
        <v>7291.939166666667</v>
      </c>
    </row>
    <row r="94" spans="1:25" x14ac:dyDescent="0.25">
      <c r="A94" t="s">
        <v>218</v>
      </c>
      <c r="B94">
        <v>0</v>
      </c>
      <c r="C94" t="s">
        <v>135</v>
      </c>
      <c r="D94" t="s">
        <v>219</v>
      </c>
      <c r="E94" t="s">
        <v>179</v>
      </c>
      <c r="F94" t="s">
        <v>138</v>
      </c>
      <c r="G94" t="s">
        <v>84</v>
      </c>
      <c r="H94" t="s">
        <v>80</v>
      </c>
      <c r="I94" t="s">
        <v>246</v>
      </c>
      <c r="J94" t="s">
        <v>254</v>
      </c>
      <c r="K94" t="s">
        <v>82</v>
      </c>
      <c r="L94">
        <v>702418.88</v>
      </c>
      <c r="M94" t="s">
        <v>83</v>
      </c>
      <c r="S94">
        <v>1</v>
      </c>
      <c r="U94">
        <v>0</v>
      </c>
      <c r="V94">
        <v>0</v>
      </c>
      <c r="W94">
        <v>656708.28960000002</v>
      </c>
    </row>
    <row r="95" spans="1:25" x14ac:dyDescent="0.25">
      <c r="A95" t="s">
        <v>218</v>
      </c>
      <c r="B95">
        <v>1</v>
      </c>
      <c r="C95" t="s">
        <v>135</v>
      </c>
      <c r="D95" t="s">
        <v>219</v>
      </c>
      <c r="E95" t="s">
        <v>179</v>
      </c>
      <c r="F95" t="s">
        <v>138</v>
      </c>
      <c r="G95" t="s">
        <v>248</v>
      </c>
      <c r="H95" t="s">
        <v>80</v>
      </c>
      <c r="I95" t="s">
        <v>218</v>
      </c>
      <c r="J95" t="s">
        <v>255</v>
      </c>
      <c r="K95" t="s">
        <v>82</v>
      </c>
      <c r="L95">
        <v>621332.42879999999</v>
      </c>
      <c r="M95" t="s">
        <v>83</v>
      </c>
      <c r="N95">
        <v>656708.28960000002</v>
      </c>
      <c r="O95">
        <v>1</v>
      </c>
      <c r="P95">
        <v>1</v>
      </c>
      <c r="U95">
        <v>621332.42879999999</v>
      </c>
      <c r="V95">
        <v>621332.42879999999</v>
      </c>
      <c r="W95">
        <v>656708.28960000002</v>
      </c>
      <c r="X95">
        <v>621332.42879999999</v>
      </c>
      <c r="Y95">
        <v>621332.42879999999</v>
      </c>
    </row>
    <row r="96" spans="1:25" x14ac:dyDescent="0.25">
      <c r="A96" t="s">
        <v>218</v>
      </c>
      <c r="B96">
        <v>0</v>
      </c>
      <c r="C96" t="s">
        <v>135</v>
      </c>
      <c r="D96" t="s">
        <v>219</v>
      </c>
      <c r="E96" t="s">
        <v>179</v>
      </c>
      <c r="F96" t="s">
        <v>138</v>
      </c>
      <c r="G96" t="s">
        <v>84</v>
      </c>
      <c r="H96" t="s">
        <v>80</v>
      </c>
      <c r="I96" t="s">
        <v>246</v>
      </c>
      <c r="J96" t="s">
        <v>256</v>
      </c>
      <c r="K96" t="s">
        <v>82</v>
      </c>
      <c r="L96">
        <v>646373.56000000006</v>
      </c>
      <c r="M96" t="s">
        <v>83</v>
      </c>
      <c r="O96">
        <v>1</v>
      </c>
      <c r="U96">
        <v>646373.56000000006</v>
      </c>
      <c r="V96">
        <v>0</v>
      </c>
      <c r="W96">
        <v>656708.28960000002</v>
      </c>
    </row>
    <row r="97" spans="1:25" x14ac:dyDescent="0.25">
      <c r="A97" t="s">
        <v>257</v>
      </c>
      <c r="B97">
        <v>0</v>
      </c>
      <c r="C97" t="s">
        <v>258</v>
      </c>
      <c r="D97" t="s">
        <v>259</v>
      </c>
      <c r="E97" t="s">
        <v>260</v>
      </c>
      <c r="F97" t="s">
        <v>261</v>
      </c>
      <c r="G97" t="s">
        <v>84</v>
      </c>
      <c r="H97" t="s">
        <v>92</v>
      </c>
      <c r="I97" t="s">
        <v>262</v>
      </c>
      <c r="J97" t="s">
        <v>221</v>
      </c>
      <c r="K97" t="s">
        <v>82</v>
      </c>
      <c r="L97">
        <v>50580</v>
      </c>
      <c r="M97" t="s">
        <v>83</v>
      </c>
      <c r="U97">
        <v>0</v>
      </c>
      <c r="V97">
        <v>0</v>
      </c>
      <c r="W97">
        <v>36220</v>
      </c>
    </row>
    <row r="98" spans="1:25" x14ac:dyDescent="0.25">
      <c r="A98" t="s">
        <v>257</v>
      </c>
      <c r="B98">
        <v>0</v>
      </c>
      <c r="C98" t="s">
        <v>258</v>
      </c>
      <c r="D98" t="s">
        <v>259</v>
      </c>
      <c r="E98" t="s">
        <v>260</v>
      </c>
      <c r="F98" t="s">
        <v>261</v>
      </c>
      <c r="G98" t="s">
        <v>84</v>
      </c>
      <c r="H98" t="s">
        <v>92</v>
      </c>
      <c r="I98" t="s">
        <v>263</v>
      </c>
      <c r="J98" t="s">
        <v>264</v>
      </c>
      <c r="K98" t="s">
        <v>82</v>
      </c>
      <c r="L98">
        <v>18410</v>
      </c>
      <c r="M98" t="s">
        <v>83</v>
      </c>
      <c r="O98">
        <v>1</v>
      </c>
      <c r="P98">
        <v>1</v>
      </c>
      <c r="R98">
        <v>1</v>
      </c>
      <c r="S98">
        <v>1</v>
      </c>
      <c r="U98">
        <v>18410</v>
      </c>
      <c r="V98">
        <v>0</v>
      </c>
      <c r="W98">
        <v>36220</v>
      </c>
    </row>
    <row r="99" spans="1:25" x14ac:dyDescent="0.25">
      <c r="A99" t="s">
        <v>257</v>
      </c>
      <c r="B99">
        <v>1</v>
      </c>
      <c r="C99" t="s">
        <v>258</v>
      </c>
      <c r="D99" t="s">
        <v>259</v>
      </c>
      <c r="E99" t="s">
        <v>260</v>
      </c>
      <c r="F99" t="s">
        <v>261</v>
      </c>
      <c r="G99" t="s">
        <v>181</v>
      </c>
      <c r="H99" t="s">
        <v>92</v>
      </c>
      <c r="I99" t="s">
        <v>181</v>
      </c>
      <c r="J99" t="s">
        <v>181</v>
      </c>
      <c r="K99" t="s">
        <v>82</v>
      </c>
      <c r="L99">
        <v>39670</v>
      </c>
      <c r="M99" t="s">
        <v>83</v>
      </c>
      <c r="N99">
        <v>36220</v>
      </c>
      <c r="U99">
        <v>0</v>
      </c>
      <c r="V99">
        <v>0</v>
      </c>
      <c r="W99">
        <v>36220</v>
      </c>
      <c r="X99">
        <v>39670</v>
      </c>
      <c r="Y99">
        <v>39670</v>
      </c>
    </row>
    <row r="100" spans="1:25" x14ac:dyDescent="0.25">
      <c r="A100" t="s">
        <v>257</v>
      </c>
      <c r="B100">
        <v>0</v>
      </c>
      <c r="C100" t="s">
        <v>258</v>
      </c>
      <c r="D100" t="s">
        <v>259</v>
      </c>
      <c r="E100" t="s">
        <v>260</v>
      </c>
      <c r="F100" t="s">
        <v>261</v>
      </c>
      <c r="G100" t="s">
        <v>84</v>
      </c>
      <c r="H100" t="s">
        <v>114</v>
      </c>
      <c r="I100" t="s">
        <v>265</v>
      </c>
      <c r="J100" t="s">
        <v>266</v>
      </c>
      <c r="K100" t="s">
        <v>82</v>
      </c>
      <c r="L100">
        <v>21700</v>
      </c>
      <c r="M100" t="s">
        <v>83</v>
      </c>
      <c r="S100">
        <v>1</v>
      </c>
      <c r="U100">
        <v>0</v>
      </c>
      <c r="V100">
        <v>0</v>
      </c>
      <c r="W100">
        <v>25166.666666666668</v>
      </c>
    </row>
    <row r="101" spans="1:25" x14ac:dyDescent="0.25">
      <c r="A101" t="s">
        <v>257</v>
      </c>
      <c r="B101">
        <v>1</v>
      </c>
      <c r="C101" t="s">
        <v>258</v>
      </c>
      <c r="D101" t="s">
        <v>259</v>
      </c>
      <c r="E101" t="s">
        <v>260</v>
      </c>
      <c r="F101" t="s">
        <v>261</v>
      </c>
      <c r="G101" t="s">
        <v>267</v>
      </c>
      <c r="H101" t="s">
        <v>114</v>
      </c>
      <c r="I101" t="s">
        <v>268</v>
      </c>
      <c r="J101" t="s">
        <v>269</v>
      </c>
      <c r="K101" t="s">
        <v>82</v>
      </c>
      <c r="L101">
        <v>18350</v>
      </c>
      <c r="M101" t="s">
        <v>83</v>
      </c>
      <c r="N101">
        <v>25166.666669999999</v>
      </c>
      <c r="U101">
        <v>0</v>
      </c>
      <c r="V101">
        <v>0</v>
      </c>
      <c r="W101">
        <v>25166.666666666668</v>
      </c>
      <c r="X101">
        <v>18350</v>
      </c>
      <c r="Y101">
        <v>18350</v>
      </c>
    </row>
    <row r="102" spans="1:25" x14ac:dyDescent="0.25">
      <c r="A102" t="s">
        <v>257</v>
      </c>
      <c r="B102">
        <v>0</v>
      </c>
      <c r="C102" t="s">
        <v>258</v>
      </c>
      <c r="D102" t="s">
        <v>259</v>
      </c>
      <c r="E102" t="s">
        <v>260</v>
      </c>
      <c r="F102" t="s">
        <v>261</v>
      </c>
      <c r="G102" t="s">
        <v>84</v>
      </c>
      <c r="H102" t="s">
        <v>114</v>
      </c>
      <c r="I102" t="s">
        <v>270</v>
      </c>
      <c r="J102" t="s">
        <v>271</v>
      </c>
      <c r="K102" t="s">
        <v>82</v>
      </c>
      <c r="L102">
        <v>35450</v>
      </c>
      <c r="M102" t="s">
        <v>83</v>
      </c>
      <c r="U102">
        <v>0</v>
      </c>
      <c r="V102">
        <v>0</v>
      </c>
      <c r="W102">
        <v>25166.666666666668</v>
      </c>
    </row>
    <row r="103" spans="1:25" x14ac:dyDescent="0.25">
      <c r="A103" t="s">
        <v>257</v>
      </c>
      <c r="B103">
        <v>0</v>
      </c>
      <c r="C103" t="s">
        <v>258</v>
      </c>
      <c r="D103" t="s">
        <v>259</v>
      </c>
      <c r="E103" t="s">
        <v>260</v>
      </c>
      <c r="F103" t="s">
        <v>261</v>
      </c>
      <c r="G103" t="s">
        <v>84</v>
      </c>
      <c r="H103" t="s">
        <v>121</v>
      </c>
      <c r="I103" t="s">
        <v>265</v>
      </c>
      <c r="J103" t="s">
        <v>272</v>
      </c>
      <c r="K103" t="s">
        <v>82</v>
      </c>
      <c r="L103">
        <v>151338.10579999999</v>
      </c>
      <c r="M103" t="s">
        <v>83</v>
      </c>
      <c r="S103">
        <v>1</v>
      </c>
      <c r="U103">
        <v>0</v>
      </c>
      <c r="V103">
        <v>0</v>
      </c>
      <c r="W103">
        <v>149975.39453333334</v>
      </c>
    </row>
    <row r="104" spans="1:25" x14ac:dyDescent="0.25">
      <c r="A104" t="s">
        <v>257</v>
      </c>
      <c r="B104">
        <v>1</v>
      </c>
      <c r="C104" t="s">
        <v>258</v>
      </c>
      <c r="D104" t="s">
        <v>259</v>
      </c>
      <c r="E104" t="s">
        <v>260</v>
      </c>
      <c r="F104" t="s">
        <v>261</v>
      </c>
      <c r="G104" t="s">
        <v>267</v>
      </c>
      <c r="H104" t="s">
        <v>121</v>
      </c>
      <c r="I104" t="s">
        <v>268</v>
      </c>
      <c r="J104" t="s">
        <v>273</v>
      </c>
      <c r="K104" t="s">
        <v>82</v>
      </c>
      <c r="L104">
        <v>146169.37580000001</v>
      </c>
      <c r="M104" t="s">
        <v>83</v>
      </c>
      <c r="N104">
        <v>149975.3946</v>
      </c>
      <c r="U104">
        <v>0</v>
      </c>
      <c r="V104">
        <v>0</v>
      </c>
      <c r="W104">
        <v>149975.39453333334</v>
      </c>
      <c r="X104">
        <v>146169.37580000001</v>
      </c>
      <c r="Y104">
        <v>146169.37580000001</v>
      </c>
    </row>
    <row r="105" spans="1:25" x14ac:dyDescent="0.25">
      <c r="A105" t="s">
        <v>257</v>
      </c>
      <c r="B105">
        <v>0</v>
      </c>
      <c r="C105" t="s">
        <v>258</v>
      </c>
      <c r="D105" t="s">
        <v>259</v>
      </c>
      <c r="E105" t="s">
        <v>260</v>
      </c>
      <c r="F105" t="s">
        <v>261</v>
      </c>
      <c r="G105" t="s">
        <v>84</v>
      </c>
      <c r="H105" t="s">
        <v>121</v>
      </c>
      <c r="I105" t="s">
        <v>270</v>
      </c>
      <c r="J105" t="s">
        <v>274</v>
      </c>
      <c r="K105" t="s">
        <v>82</v>
      </c>
      <c r="L105">
        <v>152418.70199999999</v>
      </c>
      <c r="M105" t="s">
        <v>83</v>
      </c>
      <c r="U105">
        <v>0</v>
      </c>
      <c r="V105">
        <v>0</v>
      </c>
      <c r="W105">
        <v>149975.39453333334</v>
      </c>
    </row>
    <row r="106" spans="1:25" x14ac:dyDescent="0.25">
      <c r="A106" t="s">
        <v>257</v>
      </c>
      <c r="B106">
        <v>0</v>
      </c>
      <c r="C106" t="s">
        <v>258</v>
      </c>
      <c r="D106" t="s">
        <v>259</v>
      </c>
      <c r="E106" t="s">
        <v>260</v>
      </c>
      <c r="F106" t="s">
        <v>261</v>
      </c>
      <c r="G106" t="s">
        <v>84</v>
      </c>
      <c r="H106" t="s">
        <v>80</v>
      </c>
      <c r="I106" t="s">
        <v>265</v>
      </c>
      <c r="J106" t="s">
        <v>275</v>
      </c>
      <c r="K106" t="s">
        <v>82</v>
      </c>
      <c r="L106">
        <v>836827.74</v>
      </c>
      <c r="M106" t="s">
        <v>83</v>
      </c>
      <c r="P106">
        <v>1</v>
      </c>
      <c r="T106">
        <v>1</v>
      </c>
      <c r="U106">
        <v>0</v>
      </c>
      <c r="V106">
        <v>0</v>
      </c>
      <c r="W106">
        <v>689735.13113333331</v>
      </c>
    </row>
    <row r="107" spans="1:25" x14ac:dyDescent="0.25">
      <c r="A107" t="s">
        <v>257</v>
      </c>
      <c r="B107">
        <v>1</v>
      </c>
      <c r="C107" t="s">
        <v>258</v>
      </c>
      <c r="D107" t="s">
        <v>259</v>
      </c>
      <c r="E107" t="s">
        <v>260</v>
      </c>
      <c r="F107" t="s">
        <v>261</v>
      </c>
      <c r="G107" t="s">
        <v>276</v>
      </c>
      <c r="H107" t="s">
        <v>80</v>
      </c>
      <c r="I107" t="s">
        <v>257</v>
      </c>
      <c r="J107" t="s">
        <v>277</v>
      </c>
      <c r="K107" t="s">
        <v>82</v>
      </c>
      <c r="L107">
        <v>557667.92339999997</v>
      </c>
      <c r="M107" t="s">
        <v>83</v>
      </c>
      <c r="N107">
        <v>689735.1311</v>
      </c>
      <c r="U107">
        <v>0</v>
      </c>
      <c r="V107">
        <v>0</v>
      </c>
      <c r="W107">
        <v>689735.13113333331</v>
      </c>
      <c r="X107">
        <v>557667.92339999997</v>
      </c>
      <c r="Y107">
        <v>557667.92339999997</v>
      </c>
    </row>
    <row r="108" spans="1:25" x14ac:dyDescent="0.25">
      <c r="A108" t="s">
        <v>257</v>
      </c>
      <c r="B108">
        <v>0</v>
      </c>
      <c r="C108" t="s">
        <v>258</v>
      </c>
      <c r="D108" t="s">
        <v>259</v>
      </c>
      <c r="E108" t="s">
        <v>260</v>
      </c>
      <c r="F108" t="s">
        <v>261</v>
      </c>
      <c r="G108" t="s">
        <v>84</v>
      </c>
      <c r="H108" t="s">
        <v>80</v>
      </c>
      <c r="I108" t="s">
        <v>265</v>
      </c>
      <c r="J108" t="s">
        <v>278</v>
      </c>
      <c r="K108" t="s">
        <v>82</v>
      </c>
      <c r="L108">
        <v>674709.73</v>
      </c>
      <c r="M108" t="s">
        <v>83</v>
      </c>
      <c r="O108">
        <v>1</v>
      </c>
      <c r="U108">
        <v>674709.73</v>
      </c>
      <c r="V108">
        <v>0</v>
      </c>
      <c r="W108">
        <v>689735.13113333331</v>
      </c>
    </row>
    <row r="109" spans="1:25" x14ac:dyDescent="0.25">
      <c r="A109" t="s">
        <v>257</v>
      </c>
      <c r="B109">
        <v>0</v>
      </c>
      <c r="C109" t="s">
        <v>258</v>
      </c>
      <c r="D109" t="s">
        <v>259</v>
      </c>
      <c r="E109" t="s">
        <v>260</v>
      </c>
      <c r="F109" t="s">
        <v>261</v>
      </c>
      <c r="G109" t="s">
        <v>84</v>
      </c>
      <c r="H109" t="s">
        <v>106</v>
      </c>
      <c r="I109" t="s">
        <v>265</v>
      </c>
      <c r="J109" t="s">
        <v>279</v>
      </c>
      <c r="K109" t="s">
        <v>82</v>
      </c>
      <c r="L109">
        <v>5136.13</v>
      </c>
      <c r="M109" t="s">
        <v>83</v>
      </c>
      <c r="P109">
        <v>1</v>
      </c>
      <c r="T109">
        <v>1</v>
      </c>
      <c r="U109">
        <v>0</v>
      </c>
      <c r="V109">
        <v>0</v>
      </c>
      <c r="W109">
        <v>5600.9025000000001</v>
      </c>
    </row>
    <row r="110" spans="1:25" x14ac:dyDescent="0.25">
      <c r="A110" t="s">
        <v>257</v>
      </c>
      <c r="B110">
        <v>1</v>
      </c>
      <c r="C110" t="s">
        <v>258</v>
      </c>
      <c r="D110" t="s">
        <v>259</v>
      </c>
      <c r="E110" t="s">
        <v>260</v>
      </c>
      <c r="F110" t="s">
        <v>261</v>
      </c>
      <c r="G110" t="s">
        <v>276</v>
      </c>
      <c r="H110" t="s">
        <v>106</v>
      </c>
      <c r="I110" t="s">
        <v>257</v>
      </c>
      <c r="J110" t="s">
        <v>280</v>
      </c>
      <c r="K110" t="s">
        <v>82</v>
      </c>
      <c r="L110">
        <v>2638.9625000000001</v>
      </c>
      <c r="M110" t="s">
        <v>83</v>
      </c>
      <c r="N110">
        <v>5600.9025000000001</v>
      </c>
      <c r="U110">
        <v>0</v>
      </c>
      <c r="V110">
        <v>0</v>
      </c>
      <c r="W110">
        <v>5600.9025000000001</v>
      </c>
      <c r="X110">
        <v>2638.9625000000001</v>
      </c>
      <c r="Y110">
        <v>2638.9625000000001</v>
      </c>
    </row>
    <row r="111" spans="1:25" x14ac:dyDescent="0.25">
      <c r="A111" t="s">
        <v>257</v>
      </c>
      <c r="B111">
        <v>0</v>
      </c>
      <c r="C111" t="s">
        <v>258</v>
      </c>
      <c r="D111" t="s">
        <v>259</v>
      </c>
      <c r="E111" t="s">
        <v>260</v>
      </c>
      <c r="F111" t="s">
        <v>261</v>
      </c>
      <c r="G111" t="s">
        <v>84</v>
      </c>
      <c r="H111" t="s">
        <v>106</v>
      </c>
      <c r="I111" t="s">
        <v>265</v>
      </c>
      <c r="J111" t="s">
        <v>281</v>
      </c>
      <c r="K111" t="s">
        <v>82</v>
      </c>
      <c r="L111">
        <v>9027.6149999999998</v>
      </c>
      <c r="M111" t="s">
        <v>83</v>
      </c>
      <c r="O111">
        <v>1</v>
      </c>
      <c r="U111">
        <v>9027.6149999999998</v>
      </c>
      <c r="V111">
        <v>0</v>
      </c>
      <c r="W111">
        <v>5600.9025000000001</v>
      </c>
    </row>
    <row r="112" spans="1:25" x14ac:dyDescent="0.25">
      <c r="A112" t="s">
        <v>257</v>
      </c>
      <c r="B112">
        <v>0</v>
      </c>
      <c r="C112" t="s">
        <v>258</v>
      </c>
      <c r="D112" t="s">
        <v>259</v>
      </c>
      <c r="E112" t="s">
        <v>260</v>
      </c>
      <c r="F112" t="s">
        <v>261</v>
      </c>
      <c r="G112" t="s">
        <v>84</v>
      </c>
      <c r="H112" t="s">
        <v>110</v>
      </c>
      <c r="I112" t="s">
        <v>265</v>
      </c>
      <c r="J112" t="s">
        <v>282</v>
      </c>
      <c r="K112" t="s">
        <v>82</v>
      </c>
      <c r="L112">
        <v>7182</v>
      </c>
      <c r="M112" t="s">
        <v>83</v>
      </c>
      <c r="P112">
        <v>1</v>
      </c>
      <c r="T112">
        <v>1</v>
      </c>
      <c r="U112">
        <v>0</v>
      </c>
      <c r="V112">
        <v>0</v>
      </c>
      <c r="W112">
        <v>5023.3333333333339</v>
      </c>
    </row>
    <row r="113" spans="1:25" x14ac:dyDescent="0.25">
      <c r="A113" t="s">
        <v>257</v>
      </c>
      <c r="B113">
        <v>1</v>
      </c>
      <c r="C113" t="s">
        <v>258</v>
      </c>
      <c r="D113" t="s">
        <v>259</v>
      </c>
      <c r="E113" t="s">
        <v>260</v>
      </c>
      <c r="F113" t="s">
        <v>261</v>
      </c>
      <c r="G113" t="s">
        <v>276</v>
      </c>
      <c r="H113" t="s">
        <v>110</v>
      </c>
      <c r="I113" t="s">
        <v>257</v>
      </c>
      <c r="J113" t="s">
        <v>283</v>
      </c>
      <c r="K113" t="s">
        <v>82</v>
      </c>
      <c r="L113">
        <v>6400</v>
      </c>
      <c r="M113" t="s">
        <v>83</v>
      </c>
      <c r="N113">
        <v>5023.3333329999996</v>
      </c>
      <c r="U113">
        <v>0</v>
      </c>
      <c r="V113">
        <v>0</v>
      </c>
      <c r="W113">
        <v>5023.3333333333339</v>
      </c>
      <c r="X113">
        <v>6400</v>
      </c>
      <c r="Y113">
        <v>6400</v>
      </c>
    </row>
    <row r="114" spans="1:25" x14ac:dyDescent="0.25">
      <c r="A114" t="s">
        <v>257</v>
      </c>
      <c r="B114">
        <v>0</v>
      </c>
      <c r="C114" t="s">
        <v>258</v>
      </c>
      <c r="D114" t="s">
        <v>259</v>
      </c>
      <c r="E114" t="s">
        <v>260</v>
      </c>
      <c r="F114" t="s">
        <v>261</v>
      </c>
      <c r="G114" t="s">
        <v>84</v>
      </c>
      <c r="H114" t="s">
        <v>110</v>
      </c>
      <c r="I114" t="s">
        <v>265</v>
      </c>
      <c r="J114" t="s">
        <v>284</v>
      </c>
      <c r="K114" t="s">
        <v>82</v>
      </c>
      <c r="L114">
        <v>1488</v>
      </c>
      <c r="M114" t="s">
        <v>83</v>
      </c>
      <c r="O114">
        <v>1</v>
      </c>
      <c r="U114">
        <v>1488</v>
      </c>
      <c r="V114">
        <v>0</v>
      </c>
      <c r="W114">
        <v>5023.3333333333339</v>
      </c>
    </row>
    <row r="115" spans="1:25" x14ac:dyDescent="0.25">
      <c r="A115" t="s">
        <v>257</v>
      </c>
      <c r="B115">
        <v>0</v>
      </c>
      <c r="C115" t="s">
        <v>258</v>
      </c>
      <c r="D115" t="s">
        <v>259</v>
      </c>
      <c r="E115" t="s">
        <v>260</v>
      </c>
      <c r="F115" t="s">
        <v>261</v>
      </c>
      <c r="G115" t="s">
        <v>84</v>
      </c>
      <c r="H115" t="s">
        <v>87</v>
      </c>
      <c r="I115" t="s">
        <v>285</v>
      </c>
      <c r="J115" t="s">
        <v>286</v>
      </c>
      <c r="K115" t="s">
        <v>82</v>
      </c>
      <c r="L115">
        <v>123512.0833</v>
      </c>
      <c r="M115" t="s">
        <v>83</v>
      </c>
      <c r="U115">
        <v>0</v>
      </c>
      <c r="V115">
        <v>0</v>
      </c>
      <c r="W115">
        <v>123349.4111</v>
      </c>
    </row>
    <row r="116" spans="1:25" x14ac:dyDescent="0.25">
      <c r="A116" t="s">
        <v>257</v>
      </c>
      <c r="B116">
        <v>1</v>
      </c>
      <c r="C116" t="s">
        <v>258</v>
      </c>
      <c r="D116" t="s">
        <v>259</v>
      </c>
      <c r="E116" t="s">
        <v>260</v>
      </c>
      <c r="F116" t="s">
        <v>261</v>
      </c>
      <c r="G116" t="s">
        <v>207</v>
      </c>
      <c r="H116" t="s">
        <v>87</v>
      </c>
      <c r="I116" t="s">
        <v>257</v>
      </c>
      <c r="J116" t="s">
        <v>287</v>
      </c>
      <c r="K116" t="s">
        <v>82</v>
      </c>
      <c r="L116">
        <v>123923.3333</v>
      </c>
      <c r="M116" t="s">
        <v>83</v>
      </c>
      <c r="N116">
        <v>123349.4111</v>
      </c>
      <c r="S116">
        <v>1</v>
      </c>
      <c r="T116">
        <v>1</v>
      </c>
      <c r="U116">
        <v>0</v>
      </c>
      <c r="V116">
        <v>0</v>
      </c>
      <c r="W116">
        <v>123349.4111</v>
      </c>
      <c r="X116">
        <v>123923.3333</v>
      </c>
      <c r="Y116">
        <v>123923.3333</v>
      </c>
    </row>
    <row r="117" spans="1:25" x14ac:dyDescent="0.25">
      <c r="A117" t="s">
        <v>257</v>
      </c>
      <c r="B117">
        <v>0</v>
      </c>
      <c r="C117" t="s">
        <v>258</v>
      </c>
      <c r="D117" t="s">
        <v>259</v>
      </c>
      <c r="E117" t="s">
        <v>260</v>
      </c>
      <c r="F117" t="s">
        <v>261</v>
      </c>
      <c r="G117" t="s">
        <v>84</v>
      </c>
      <c r="H117" t="s">
        <v>87</v>
      </c>
      <c r="I117" t="s">
        <v>257</v>
      </c>
      <c r="J117" t="s">
        <v>288</v>
      </c>
      <c r="K117" t="s">
        <v>82</v>
      </c>
      <c r="L117">
        <v>122612.8167</v>
      </c>
      <c r="M117" t="s">
        <v>83</v>
      </c>
      <c r="U117">
        <v>0</v>
      </c>
      <c r="V117">
        <v>0</v>
      </c>
      <c r="W117">
        <v>123349.4111</v>
      </c>
    </row>
    <row r="118" spans="1:25" x14ac:dyDescent="0.25">
      <c r="A118" t="s">
        <v>257</v>
      </c>
      <c r="B118">
        <v>1</v>
      </c>
      <c r="C118" t="s">
        <v>258</v>
      </c>
      <c r="D118" t="s">
        <v>259</v>
      </c>
      <c r="E118" t="s">
        <v>260</v>
      </c>
      <c r="F118" t="s">
        <v>261</v>
      </c>
      <c r="G118" t="s">
        <v>289</v>
      </c>
      <c r="H118" t="s">
        <v>98</v>
      </c>
      <c r="I118" t="s">
        <v>290</v>
      </c>
      <c r="J118" t="s">
        <v>291</v>
      </c>
      <c r="K118" t="s">
        <v>82</v>
      </c>
      <c r="L118">
        <v>41300</v>
      </c>
      <c r="M118" t="s">
        <v>83</v>
      </c>
      <c r="N118">
        <v>38500</v>
      </c>
      <c r="U118">
        <v>0</v>
      </c>
      <c r="V118">
        <v>0</v>
      </c>
      <c r="W118">
        <v>38500</v>
      </c>
      <c r="X118">
        <v>41300</v>
      </c>
      <c r="Y118">
        <v>41300</v>
      </c>
    </row>
    <row r="119" spans="1:25" x14ac:dyDescent="0.25">
      <c r="A119" t="s">
        <v>257</v>
      </c>
      <c r="B119">
        <v>0</v>
      </c>
      <c r="C119" t="s">
        <v>258</v>
      </c>
      <c r="D119" t="s">
        <v>259</v>
      </c>
      <c r="E119" t="s">
        <v>260</v>
      </c>
      <c r="F119" t="s">
        <v>261</v>
      </c>
      <c r="G119" t="s">
        <v>84</v>
      </c>
      <c r="H119" t="s">
        <v>98</v>
      </c>
      <c r="I119" t="s">
        <v>292</v>
      </c>
      <c r="J119" t="s">
        <v>293</v>
      </c>
      <c r="K119" t="s">
        <v>82</v>
      </c>
      <c r="L119">
        <v>53600</v>
      </c>
      <c r="M119" t="s">
        <v>83</v>
      </c>
      <c r="U119">
        <v>0</v>
      </c>
      <c r="V119">
        <v>0</v>
      </c>
      <c r="W119">
        <v>38500</v>
      </c>
    </row>
    <row r="120" spans="1:25" x14ac:dyDescent="0.25">
      <c r="A120" t="s">
        <v>257</v>
      </c>
      <c r="B120">
        <v>0</v>
      </c>
      <c r="C120" t="s">
        <v>258</v>
      </c>
      <c r="D120" t="s">
        <v>259</v>
      </c>
      <c r="E120" t="s">
        <v>260</v>
      </c>
      <c r="F120" t="s">
        <v>261</v>
      </c>
      <c r="G120" t="s">
        <v>84</v>
      </c>
      <c r="H120" t="s">
        <v>98</v>
      </c>
      <c r="I120" t="s">
        <v>294</v>
      </c>
      <c r="J120" t="s">
        <v>295</v>
      </c>
      <c r="K120" t="s">
        <v>82</v>
      </c>
      <c r="L120">
        <v>20600</v>
      </c>
      <c r="M120" t="s">
        <v>83</v>
      </c>
      <c r="U120">
        <v>0</v>
      </c>
      <c r="V120">
        <v>0</v>
      </c>
      <c r="W120">
        <v>38500</v>
      </c>
    </row>
    <row r="121" spans="1:25" x14ac:dyDescent="0.25">
      <c r="A121" t="s">
        <v>296</v>
      </c>
      <c r="B121">
        <v>0</v>
      </c>
      <c r="C121" t="s">
        <v>258</v>
      </c>
      <c r="D121" t="s">
        <v>297</v>
      </c>
      <c r="E121" t="s">
        <v>260</v>
      </c>
      <c r="F121" t="s">
        <v>298</v>
      </c>
      <c r="G121" t="s">
        <v>84</v>
      </c>
      <c r="H121" t="s">
        <v>92</v>
      </c>
      <c r="I121" t="s">
        <v>299</v>
      </c>
      <c r="J121" t="s">
        <v>300</v>
      </c>
      <c r="K121" t="s">
        <v>82</v>
      </c>
      <c r="L121">
        <v>21500</v>
      </c>
      <c r="M121" t="s">
        <v>83</v>
      </c>
      <c r="U121">
        <v>0</v>
      </c>
      <c r="V121">
        <v>0</v>
      </c>
      <c r="W121">
        <v>31766.666666666664</v>
      </c>
    </row>
    <row r="122" spans="1:25" x14ac:dyDescent="0.25">
      <c r="A122" t="s">
        <v>296</v>
      </c>
      <c r="B122">
        <v>1</v>
      </c>
      <c r="C122" t="s">
        <v>258</v>
      </c>
      <c r="D122" t="s">
        <v>297</v>
      </c>
      <c r="E122" t="s">
        <v>260</v>
      </c>
      <c r="F122" t="s">
        <v>298</v>
      </c>
      <c r="G122" t="s">
        <v>301</v>
      </c>
      <c r="H122" t="s">
        <v>92</v>
      </c>
      <c r="I122" t="s">
        <v>302</v>
      </c>
      <c r="J122" t="s">
        <v>303</v>
      </c>
      <c r="K122" t="s">
        <v>82</v>
      </c>
      <c r="L122">
        <v>40400</v>
      </c>
      <c r="M122" t="s">
        <v>83</v>
      </c>
      <c r="N122">
        <v>31766.666669999999</v>
      </c>
      <c r="U122">
        <v>0</v>
      </c>
      <c r="V122">
        <v>0</v>
      </c>
      <c r="W122">
        <v>31766.666666666664</v>
      </c>
      <c r="X122">
        <v>40400</v>
      </c>
      <c r="Y122">
        <v>40400</v>
      </c>
    </row>
    <row r="123" spans="1:25" x14ac:dyDescent="0.25">
      <c r="A123" t="s">
        <v>296</v>
      </c>
      <c r="B123">
        <v>0</v>
      </c>
      <c r="C123" t="s">
        <v>258</v>
      </c>
      <c r="D123" t="s">
        <v>297</v>
      </c>
      <c r="E123" t="s">
        <v>260</v>
      </c>
      <c r="F123" t="s">
        <v>298</v>
      </c>
      <c r="G123" t="s">
        <v>84</v>
      </c>
      <c r="H123" t="s">
        <v>92</v>
      </c>
      <c r="I123" t="s">
        <v>304</v>
      </c>
      <c r="J123" t="s">
        <v>181</v>
      </c>
      <c r="K123" t="s">
        <v>82</v>
      </c>
      <c r="L123">
        <v>33400</v>
      </c>
      <c r="M123" t="s">
        <v>83</v>
      </c>
      <c r="Q123">
        <v>1</v>
      </c>
      <c r="R123">
        <v>1</v>
      </c>
      <c r="U123">
        <v>0</v>
      </c>
      <c r="V123">
        <v>0</v>
      </c>
      <c r="W123">
        <v>31766.666666666664</v>
      </c>
    </row>
    <row r="124" spans="1:25" x14ac:dyDescent="0.25">
      <c r="A124" t="s">
        <v>296</v>
      </c>
      <c r="B124">
        <v>0</v>
      </c>
      <c r="C124" t="s">
        <v>258</v>
      </c>
      <c r="D124" t="s">
        <v>297</v>
      </c>
      <c r="E124" t="s">
        <v>260</v>
      </c>
      <c r="F124" t="s">
        <v>298</v>
      </c>
      <c r="G124" t="s">
        <v>84</v>
      </c>
      <c r="H124" t="s">
        <v>80</v>
      </c>
      <c r="I124" t="s">
        <v>296</v>
      </c>
      <c r="J124" t="s">
        <v>305</v>
      </c>
      <c r="K124" t="s">
        <v>82</v>
      </c>
      <c r="L124">
        <v>804309.03</v>
      </c>
      <c r="M124" t="s">
        <v>83</v>
      </c>
      <c r="S124">
        <v>1</v>
      </c>
      <c r="U124">
        <v>0</v>
      </c>
      <c r="V124">
        <v>0</v>
      </c>
      <c r="W124">
        <v>827429.73420000006</v>
      </c>
    </row>
    <row r="125" spans="1:25" x14ac:dyDescent="0.25">
      <c r="A125" t="s">
        <v>296</v>
      </c>
      <c r="B125">
        <v>1</v>
      </c>
      <c r="C125" t="s">
        <v>258</v>
      </c>
      <c r="D125" t="s">
        <v>297</v>
      </c>
      <c r="E125" t="s">
        <v>260</v>
      </c>
      <c r="F125" t="s">
        <v>298</v>
      </c>
      <c r="G125" t="s">
        <v>79</v>
      </c>
      <c r="H125" t="s">
        <v>80</v>
      </c>
      <c r="I125" t="s">
        <v>306</v>
      </c>
      <c r="J125" t="s">
        <v>307</v>
      </c>
      <c r="K125" t="s">
        <v>82</v>
      </c>
      <c r="L125">
        <v>746158.29760000005</v>
      </c>
      <c r="M125" t="s">
        <v>83</v>
      </c>
      <c r="N125">
        <v>827429.73419999995</v>
      </c>
      <c r="O125">
        <v>1</v>
      </c>
      <c r="U125">
        <v>746158.29760000005</v>
      </c>
      <c r="V125">
        <v>746158.29760000005</v>
      </c>
      <c r="W125">
        <v>827429.73420000006</v>
      </c>
      <c r="X125">
        <v>746158.29760000005</v>
      </c>
      <c r="Y125">
        <v>746158.29760000005</v>
      </c>
    </row>
    <row r="126" spans="1:25" x14ac:dyDescent="0.25">
      <c r="A126" t="s">
        <v>296</v>
      </c>
      <c r="B126">
        <v>0</v>
      </c>
      <c r="C126" t="s">
        <v>258</v>
      </c>
      <c r="D126" t="s">
        <v>297</v>
      </c>
      <c r="E126" t="s">
        <v>260</v>
      </c>
      <c r="F126" t="s">
        <v>298</v>
      </c>
      <c r="G126" t="s">
        <v>84</v>
      </c>
      <c r="H126" t="s">
        <v>80</v>
      </c>
      <c r="I126" t="s">
        <v>296</v>
      </c>
      <c r="J126" t="s">
        <v>308</v>
      </c>
      <c r="K126" t="s">
        <v>82</v>
      </c>
      <c r="L126">
        <v>931821.875</v>
      </c>
      <c r="M126" t="s">
        <v>83</v>
      </c>
      <c r="O126">
        <v>1</v>
      </c>
      <c r="P126">
        <v>1</v>
      </c>
      <c r="U126">
        <v>931821.875</v>
      </c>
      <c r="V126">
        <v>0</v>
      </c>
      <c r="W126">
        <v>827429.73420000006</v>
      </c>
    </row>
    <row r="127" spans="1:25" x14ac:dyDescent="0.25">
      <c r="A127" t="s">
        <v>296</v>
      </c>
      <c r="B127">
        <v>0</v>
      </c>
      <c r="C127" t="s">
        <v>258</v>
      </c>
      <c r="D127" t="s">
        <v>297</v>
      </c>
      <c r="E127" t="s">
        <v>260</v>
      </c>
      <c r="F127" t="s">
        <v>298</v>
      </c>
      <c r="G127" t="s">
        <v>84</v>
      </c>
      <c r="H127" t="s">
        <v>106</v>
      </c>
      <c r="I127" t="s">
        <v>296</v>
      </c>
      <c r="J127" t="s">
        <v>309</v>
      </c>
      <c r="K127" t="s">
        <v>82</v>
      </c>
      <c r="L127">
        <v>11871.3925</v>
      </c>
      <c r="M127" t="s">
        <v>83</v>
      </c>
      <c r="S127">
        <v>1</v>
      </c>
      <c r="U127">
        <v>0</v>
      </c>
      <c r="V127">
        <v>0</v>
      </c>
      <c r="W127">
        <v>7782.9699999999993</v>
      </c>
    </row>
    <row r="128" spans="1:25" x14ac:dyDescent="0.25">
      <c r="A128" t="s">
        <v>296</v>
      </c>
      <c r="B128">
        <v>1</v>
      </c>
      <c r="C128" t="s">
        <v>258</v>
      </c>
      <c r="D128" t="s">
        <v>297</v>
      </c>
      <c r="E128" t="s">
        <v>260</v>
      </c>
      <c r="F128" t="s">
        <v>298</v>
      </c>
      <c r="G128" t="s">
        <v>79</v>
      </c>
      <c r="H128" t="s">
        <v>106</v>
      </c>
      <c r="I128" t="s">
        <v>306</v>
      </c>
      <c r="J128" t="s">
        <v>310</v>
      </c>
      <c r="K128" t="s">
        <v>82</v>
      </c>
      <c r="L128">
        <v>5537.8824999999997</v>
      </c>
      <c r="M128" t="s">
        <v>83</v>
      </c>
      <c r="N128">
        <v>7782.97</v>
      </c>
      <c r="O128">
        <v>1</v>
      </c>
      <c r="U128">
        <v>5537.8824999999997</v>
      </c>
      <c r="V128">
        <v>5537.8824999999997</v>
      </c>
      <c r="W128">
        <v>7782.9699999999993</v>
      </c>
      <c r="X128">
        <v>5537.8824999999997</v>
      </c>
      <c r="Y128">
        <v>5537.8824999999997</v>
      </c>
    </row>
    <row r="129" spans="1:25" x14ac:dyDescent="0.25">
      <c r="A129" t="s">
        <v>296</v>
      </c>
      <c r="B129">
        <v>0</v>
      </c>
      <c r="C129" t="s">
        <v>258</v>
      </c>
      <c r="D129" t="s">
        <v>297</v>
      </c>
      <c r="E129" t="s">
        <v>260</v>
      </c>
      <c r="F129" t="s">
        <v>298</v>
      </c>
      <c r="G129" t="s">
        <v>84</v>
      </c>
      <c r="H129" t="s">
        <v>106</v>
      </c>
      <c r="I129" t="s">
        <v>296</v>
      </c>
      <c r="J129" t="s">
        <v>311</v>
      </c>
      <c r="K129" t="s">
        <v>82</v>
      </c>
      <c r="L129">
        <v>5939.6350000000002</v>
      </c>
      <c r="M129" t="s">
        <v>83</v>
      </c>
      <c r="O129">
        <v>1</v>
      </c>
      <c r="P129">
        <v>1</v>
      </c>
      <c r="U129">
        <v>5939.6350000000002</v>
      </c>
      <c r="V129">
        <v>0</v>
      </c>
      <c r="W129">
        <v>7782.9699999999993</v>
      </c>
    </row>
    <row r="130" spans="1:25" x14ac:dyDescent="0.25">
      <c r="A130" t="s">
        <v>296</v>
      </c>
      <c r="B130">
        <v>0</v>
      </c>
      <c r="C130" t="s">
        <v>258</v>
      </c>
      <c r="D130" t="s">
        <v>297</v>
      </c>
      <c r="E130" t="s">
        <v>260</v>
      </c>
      <c r="F130" t="s">
        <v>298</v>
      </c>
      <c r="G130" t="s">
        <v>84</v>
      </c>
      <c r="H130" t="s">
        <v>110</v>
      </c>
      <c r="I130" t="s">
        <v>296</v>
      </c>
      <c r="J130" t="s">
        <v>312</v>
      </c>
      <c r="K130" t="s">
        <v>82</v>
      </c>
      <c r="L130">
        <v>6750</v>
      </c>
      <c r="M130" t="s">
        <v>83</v>
      </c>
      <c r="S130">
        <v>1</v>
      </c>
      <c r="U130">
        <v>0</v>
      </c>
      <c r="V130">
        <v>0</v>
      </c>
      <c r="W130">
        <v>11750</v>
      </c>
    </row>
    <row r="131" spans="1:25" x14ac:dyDescent="0.25">
      <c r="A131" t="s">
        <v>296</v>
      </c>
      <c r="B131">
        <v>1</v>
      </c>
      <c r="C131" t="s">
        <v>258</v>
      </c>
      <c r="D131" t="s">
        <v>297</v>
      </c>
      <c r="E131" t="s">
        <v>260</v>
      </c>
      <c r="F131" t="s">
        <v>298</v>
      </c>
      <c r="G131" t="s">
        <v>79</v>
      </c>
      <c r="H131" t="s">
        <v>110</v>
      </c>
      <c r="I131" t="s">
        <v>306</v>
      </c>
      <c r="J131" t="s">
        <v>313</v>
      </c>
      <c r="K131" t="s">
        <v>82</v>
      </c>
      <c r="L131">
        <v>11214</v>
      </c>
      <c r="M131" t="s">
        <v>83</v>
      </c>
      <c r="N131">
        <v>11750</v>
      </c>
      <c r="O131">
        <v>1</v>
      </c>
      <c r="U131">
        <v>11214</v>
      </c>
      <c r="V131">
        <v>11214</v>
      </c>
      <c r="W131">
        <v>11750</v>
      </c>
      <c r="X131">
        <v>11214</v>
      </c>
      <c r="Y131">
        <v>11214</v>
      </c>
    </row>
    <row r="132" spans="1:25" x14ac:dyDescent="0.25">
      <c r="A132" t="s">
        <v>296</v>
      </c>
      <c r="B132">
        <v>0</v>
      </c>
      <c r="C132" t="s">
        <v>258</v>
      </c>
      <c r="D132" t="s">
        <v>297</v>
      </c>
      <c r="E132" t="s">
        <v>260</v>
      </c>
      <c r="F132" t="s">
        <v>298</v>
      </c>
      <c r="G132" t="s">
        <v>84</v>
      </c>
      <c r="H132" t="s">
        <v>110</v>
      </c>
      <c r="I132" t="s">
        <v>296</v>
      </c>
      <c r="J132" t="s">
        <v>314</v>
      </c>
      <c r="K132" t="s">
        <v>82</v>
      </c>
      <c r="L132">
        <v>17286</v>
      </c>
      <c r="M132" t="s">
        <v>83</v>
      </c>
      <c r="O132">
        <v>1</v>
      </c>
      <c r="P132">
        <v>1</v>
      </c>
      <c r="U132">
        <v>17286</v>
      </c>
      <c r="V132">
        <v>0</v>
      </c>
      <c r="W132">
        <v>11750</v>
      </c>
    </row>
    <row r="133" spans="1:25" x14ac:dyDescent="0.25">
      <c r="A133" t="s">
        <v>296</v>
      </c>
      <c r="B133">
        <v>0</v>
      </c>
      <c r="C133" t="s">
        <v>258</v>
      </c>
      <c r="D133" t="s">
        <v>297</v>
      </c>
      <c r="E133" t="s">
        <v>260</v>
      </c>
      <c r="F133" t="s">
        <v>298</v>
      </c>
      <c r="G133" t="s">
        <v>84</v>
      </c>
      <c r="H133" t="s">
        <v>87</v>
      </c>
      <c r="I133" t="s">
        <v>296</v>
      </c>
      <c r="J133" t="s">
        <v>315</v>
      </c>
      <c r="K133" t="s">
        <v>82</v>
      </c>
      <c r="L133">
        <v>119193.9583</v>
      </c>
      <c r="M133" t="s">
        <v>83</v>
      </c>
      <c r="R133">
        <v>1</v>
      </c>
      <c r="U133">
        <v>0</v>
      </c>
      <c r="V133">
        <v>0</v>
      </c>
      <c r="W133">
        <v>114895.93886666666</v>
      </c>
    </row>
    <row r="134" spans="1:25" x14ac:dyDescent="0.25">
      <c r="A134" t="s">
        <v>296</v>
      </c>
      <c r="B134">
        <v>1</v>
      </c>
      <c r="C134" t="s">
        <v>258</v>
      </c>
      <c r="D134" t="s">
        <v>297</v>
      </c>
      <c r="E134" t="s">
        <v>260</v>
      </c>
      <c r="F134" t="s">
        <v>298</v>
      </c>
      <c r="G134" t="s">
        <v>316</v>
      </c>
      <c r="H134" t="s">
        <v>87</v>
      </c>
      <c r="I134" t="s">
        <v>296</v>
      </c>
      <c r="J134" t="s">
        <v>317</v>
      </c>
      <c r="K134" t="s">
        <v>82</v>
      </c>
      <c r="L134">
        <v>130914.5833</v>
      </c>
      <c r="M134" t="s">
        <v>83</v>
      </c>
      <c r="N134">
        <v>114895.93889999999</v>
      </c>
      <c r="Q134">
        <v>1</v>
      </c>
      <c r="U134">
        <v>0</v>
      </c>
      <c r="V134">
        <v>0</v>
      </c>
      <c r="W134">
        <v>114895.93886666666</v>
      </c>
      <c r="X134">
        <v>130914.5833</v>
      </c>
      <c r="Y134">
        <v>130914.5833</v>
      </c>
    </row>
    <row r="135" spans="1:25" x14ac:dyDescent="0.25">
      <c r="A135" t="s">
        <v>296</v>
      </c>
      <c r="B135">
        <v>0</v>
      </c>
      <c r="C135" t="s">
        <v>258</v>
      </c>
      <c r="D135" t="s">
        <v>297</v>
      </c>
      <c r="E135" t="s">
        <v>260</v>
      </c>
      <c r="F135" t="s">
        <v>298</v>
      </c>
      <c r="G135" t="s">
        <v>84</v>
      </c>
      <c r="H135" t="s">
        <v>87</v>
      </c>
      <c r="I135" t="s">
        <v>296</v>
      </c>
      <c r="J135" t="s">
        <v>318</v>
      </c>
      <c r="K135" t="s">
        <v>82</v>
      </c>
      <c r="L135">
        <v>94579.274999999994</v>
      </c>
      <c r="M135" t="s">
        <v>83</v>
      </c>
      <c r="S135">
        <v>1</v>
      </c>
      <c r="T135">
        <v>1</v>
      </c>
      <c r="U135">
        <v>0</v>
      </c>
      <c r="V135">
        <v>0</v>
      </c>
      <c r="W135">
        <v>114895.93886666666</v>
      </c>
    </row>
    <row r="136" spans="1:25" x14ac:dyDescent="0.25">
      <c r="A136" t="s">
        <v>296</v>
      </c>
      <c r="B136">
        <v>0</v>
      </c>
      <c r="C136" t="s">
        <v>258</v>
      </c>
      <c r="D136" t="s">
        <v>297</v>
      </c>
      <c r="E136" t="s">
        <v>260</v>
      </c>
      <c r="F136" t="s">
        <v>298</v>
      </c>
      <c r="G136" t="s">
        <v>84</v>
      </c>
      <c r="H136" t="s">
        <v>98</v>
      </c>
      <c r="I136" t="s">
        <v>319</v>
      </c>
      <c r="J136" t="s">
        <v>320</v>
      </c>
      <c r="K136" t="s">
        <v>82</v>
      </c>
      <c r="L136">
        <v>29850</v>
      </c>
      <c r="M136" t="s">
        <v>83</v>
      </c>
      <c r="U136">
        <v>0</v>
      </c>
      <c r="V136">
        <v>0</v>
      </c>
      <c r="W136">
        <v>36283.333333333336</v>
      </c>
    </row>
    <row r="137" spans="1:25" x14ac:dyDescent="0.25">
      <c r="A137" t="s">
        <v>296</v>
      </c>
      <c r="B137">
        <v>1</v>
      </c>
      <c r="C137" t="s">
        <v>258</v>
      </c>
      <c r="D137" t="s">
        <v>297</v>
      </c>
      <c r="E137" t="s">
        <v>260</v>
      </c>
      <c r="F137" t="s">
        <v>298</v>
      </c>
      <c r="G137" t="s">
        <v>158</v>
      </c>
      <c r="H137" t="s">
        <v>98</v>
      </c>
      <c r="I137" t="s">
        <v>321</v>
      </c>
      <c r="J137" t="s">
        <v>322</v>
      </c>
      <c r="K137" t="s">
        <v>82</v>
      </c>
      <c r="L137">
        <v>62100</v>
      </c>
      <c r="M137" t="s">
        <v>83</v>
      </c>
      <c r="N137">
        <v>36283.333330000001</v>
      </c>
      <c r="Q137">
        <v>1</v>
      </c>
      <c r="S137">
        <v>1</v>
      </c>
      <c r="U137">
        <v>0</v>
      </c>
      <c r="V137">
        <v>0</v>
      </c>
      <c r="W137">
        <v>36283.333333333336</v>
      </c>
      <c r="X137">
        <v>62100</v>
      </c>
      <c r="Y137">
        <v>62100</v>
      </c>
    </row>
    <row r="138" spans="1:25" x14ac:dyDescent="0.25">
      <c r="A138" t="s">
        <v>296</v>
      </c>
      <c r="B138">
        <v>0</v>
      </c>
      <c r="C138" t="s">
        <v>258</v>
      </c>
      <c r="D138" t="s">
        <v>297</v>
      </c>
      <c r="E138" t="s">
        <v>260</v>
      </c>
      <c r="F138" t="s">
        <v>298</v>
      </c>
      <c r="G138" t="s">
        <v>84</v>
      </c>
      <c r="H138" t="s">
        <v>98</v>
      </c>
      <c r="I138" t="s">
        <v>323</v>
      </c>
      <c r="J138" t="s">
        <v>324</v>
      </c>
      <c r="K138" t="s">
        <v>82</v>
      </c>
      <c r="L138">
        <v>16900</v>
      </c>
      <c r="M138" t="s">
        <v>83</v>
      </c>
      <c r="U138">
        <v>0</v>
      </c>
      <c r="V138">
        <v>0</v>
      </c>
      <c r="W138">
        <v>36283.333333333336</v>
      </c>
    </row>
    <row r="139" spans="1:25" x14ac:dyDescent="0.25">
      <c r="A139" t="s">
        <v>296</v>
      </c>
      <c r="B139">
        <v>0</v>
      </c>
      <c r="C139" t="s">
        <v>258</v>
      </c>
      <c r="D139" t="s">
        <v>297</v>
      </c>
      <c r="E139" t="s">
        <v>260</v>
      </c>
      <c r="F139" t="s">
        <v>298</v>
      </c>
      <c r="G139" t="s">
        <v>84</v>
      </c>
      <c r="H139" t="s">
        <v>121</v>
      </c>
      <c r="I139" t="s">
        <v>296</v>
      </c>
      <c r="J139" t="s">
        <v>325</v>
      </c>
      <c r="K139" t="s">
        <v>82</v>
      </c>
      <c r="L139">
        <v>192655.61499999999</v>
      </c>
      <c r="M139" t="s">
        <v>83</v>
      </c>
      <c r="S139">
        <v>1</v>
      </c>
      <c r="U139">
        <v>0</v>
      </c>
      <c r="V139">
        <v>0</v>
      </c>
      <c r="W139">
        <v>158633.04393333333</v>
      </c>
    </row>
    <row r="140" spans="1:25" x14ac:dyDescent="0.25">
      <c r="A140" t="s">
        <v>296</v>
      </c>
      <c r="B140">
        <v>1</v>
      </c>
      <c r="C140" t="s">
        <v>258</v>
      </c>
      <c r="D140" t="s">
        <v>297</v>
      </c>
      <c r="E140" t="s">
        <v>260</v>
      </c>
      <c r="F140" t="s">
        <v>298</v>
      </c>
      <c r="G140" t="s">
        <v>326</v>
      </c>
      <c r="H140" t="s">
        <v>121</v>
      </c>
      <c r="I140" t="s">
        <v>327</v>
      </c>
      <c r="J140" t="s">
        <v>328</v>
      </c>
      <c r="K140" t="s">
        <v>82</v>
      </c>
      <c r="L140">
        <v>139549.23199999999</v>
      </c>
      <c r="M140" t="s">
        <v>83</v>
      </c>
      <c r="N140">
        <v>158633.04389999999</v>
      </c>
      <c r="P140">
        <v>1</v>
      </c>
      <c r="T140">
        <v>1</v>
      </c>
      <c r="U140">
        <v>0</v>
      </c>
      <c r="V140">
        <v>0</v>
      </c>
      <c r="W140">
        <v>158633.04393333333</v>
      </c>
      <c r="X140">
        <v>139549.23199999999</v>
      </c>
      <c r="Y140">
        <v>139549.23199999999</v>
      </c>
    </row>
    <row r="141" spans="1:25" x14ac:dyDescent="0.25">
      <c r="A141" t="s">
        <v>296</v>
      </c>
      <c r="B141">
        <v>0</v>
      </c>
      <c r="C141" t="s">
        <v>258</v>
      </c>
      <c r="D141" t="s">
        <v>297</v>
      </c>
      <c r="E141" t="s">
        <v>260</v>
      </c>
      <c r="F141" t="s">
        <v>298</v>
      </c>
      <c r="G141" t="s">
        <v>84</v>
      </c>
      <c r="H141" t="s">
        <v>121</v>
      </c>
      <c r="I141" t="s">
        <v>329</v>
      </c>
      <c r="J141" t="s">
        <v>330</v>
      </c>
      <c r="K141" t="s">
        <v>82</v>
      </c>
      <c r="L141">
        <v>143694.28479999999</v>
      </c>
      <c r="M141" t="s">
        <v>83</v>
      </c>
      <c r="P141">
        <v>1</v>
      </c>
      <c r="U141">
        <v>0</v>
      </c>
      <c r="V141">
        <v>0</v>
      </c>
      <c r="W141">
        <v>158633.04393333333</v>
      </c>
    </row>
    <row r="142" spans="1:25" x14ac:dyDescent="0.25">
      <c r="A142" t="s">
        <v>296</v>
      </c>
      <c r="B142">
        <v>0</v>
      </c>
      <c r="C142" t="s">
        <v>258</v>
      </c>
      <c r="D142" t="s">
        <v>297</v>
      </c>
      <c r="E142" t="s">
        <v>260</v>
      </c>
      <c r="F142" t="s">
        <v>298</v>
      </c>
      <c r="G142" t="s">
        <v>84</v>
      </c>
      <c r="H142" t="s">
        <v>114</v>
      </c>
      <c r="I142" t="s">
        <v>296</v>
      </c>
      <c r="J142" t="s">
        <v>331</v>
      </c>
      <c r="K142" t="s">
        <v>82</v>
      </c>
      <c r="L142">
        <v>38300</v>
      </c>
      <c r="M142" t="s">
        <v>83</v>
      </c>
      <c r="S142">
        <v>1</v>
      </c>
      <c r="U142">
        <v>0</v>
      </c>
      <c r="V142">
        <v>0</v>
      </c>
      <c r="W142">
        <v>29616.666666666664</v>
      </c>
    </row>
    <row r="143" spans="1:25" x14ac:dyDescent="0.25">
      <c r="A143" t="s">
        <v>296</v>
      </c>
      <c r="B143">
        <v>1</v>
      </c>
      <c r="C143" t="s">
        <v>258</v>
      </c>
      <c r="D143" t="s">
        <v>297</v>
      </c>
      <c r="E143" t="s">
        <v>260</v>
      </c>
      <c r="F143" t="s">
        <v>298</v>
      </c>
      <c r="G143" t="s">
        <v>326</v>
      </c>
      <c r="H143" t="s">
        <v>114</v>
      </c>
      <c r="I143" t="s">
        <v>327</v>
      </c>
      <c r="J143" t="s">
        <v>332</v>
      </c>
      <c r="K143" t="s">
        <v>82</v>
      </c>
      <c r="L143">
        <v>23000</v>
      </c>
      <c r="M143" t="s">
        <v>83</v>
      </c>
      <c r="N143">
        <v>29616.666669999999</v>
      </c>
      <c r="P143">
        <v>1</v>
      </c>
      <c r="T143">
        <v>1</v>
      </c>
      <c r="U143">
        <v>0</v>
      </c>
      <c r="V143">
        <v>0</v>
      </c>
      <c r="W143">
        <v>29616.666666666664</v>
      </c>
      <c r="X143">
        <v>23000</v>
      </c>
      <c r="Y143">
        <v>23000</v>
      </c>
    </row>
    <row r="144" spans="1:25" x14ac:dyDescent="0.25">
      <c r="A144" t="s">
        <v>296</v>
      </c>
      <c r="B144">
        <v>0</v>
      </c>
      <c r="C144" t="s">
        <v>258</v>
      </c>
      <c r="D144" t="s">
        <v>297</v>
      </c>
      <c r="E144" t="s">
        <v>260</v>
      </c>
      <c r="F144" t="s">
        <v>298</v>
      </c>
      <c r="G144" t="s">
        <v>84</v>
      </c>
      <c r="H144" t="s">
        <v>114</v>
      </c>
      <c r="I144" t="s">
        <v>329</v>
      </c>
      <c r="J144" t="s">
        <v>333</v>
      </c>
      <c r="K144" t="s">
        <v>82</v>
      </c>
      <c r="L144">
        <v>27550</v>
      </c>
      <c r="M144" t="s">
        <v>83</v>
      </c>
      <c r="P144">
        <v>1</v>
      </c>
      <c r="U144">
        <v>0</v>
      </c>
      <c r="V144">
        <v>0</v>
      </c>
      <c r="W144">
        <v>29616.666666666664</v>
      </c>
    </row>
    <row r="145" spans="1:25" x14ac:dyDescent="0.25">
      <c r="A145" t="s">
        <v>296</v>
      </c>
      <c r="B145">
        <v>0</v>
      </c>
      <c r="C145" t="s">
        <v>258</v>
      </c>
      <c r="D145" t="s">
        <v>297</v>
      </c>
      <c r="E145" t="s">
        <v>260</v>
      </c>
      <c r="F145" t="s">
        <v>298</v>
      </c>
      <c r="G145" t="s">
        <v>84</v>
      </c>
      <c r="H145" t="s">
        <v>185</v>
      </c>
      <c r="I145" t="s">
        <v>296</v>
      </c>
      <c r="J145" t="s">
        <v>334</v>
      </c>
      <c r="K145" t="s">
        <v>82</v>
      </c>
      <c r="L145">
        <v>17251.724999999999</v>
      </c>
      <c r="M145" t="s">
        <v>83</v>
      </c>
      <c r="S145">
        <v>1</v>
      </c>
      <c r="U145">
        <v>0</v>
      </c>
      <c r="V145">
        <v>0</v>
      </c>
      <c r="W145">
        <v>18144.508333333331</v>
      </c>
    </row>
    <row r="146" spans="1:25" x14ac:dyDescent="0.25">
      <c r="A146" t="s">
        <v>296</v>
      </c>
      <c r="B146">
        <v>1</v>
      </c>
      <c r="C146" t="s">
        <v>258</v>
      </c>
      <c r="D146" t="s">
        <v>297</v>
      </c>
      <c r="E146" t="s">
        <v>260</v>
      </c>
      <c r="F146" t="s">
        <v>298</v>
      </c>
      <c r="G146" t="s">
        <v>79</v>
      </c>
      <c r="H146" t="s">
        <v>185</v>
      </c>
      <c r="I146" t="s">
        <v>306</v>
      </c>
      <c r="J146" t="s">
        <v>335</v>
      </c>
      <c r="K146" t="s">
        <v>82</v>
      </c>
      <c r="L146">
        <v>18827.224999999999</v>
      </c>
      <c r="M146" t="s">
        <v>83</v>
      </c>
      <c r="N146">
        <v>18144.508330000001</v>
      </c>
      <c r="O146">
        <v>1</v>
      </c>
      <c r="U146">
        <v>18827.224999999999</v>
      </c>
      <c r="V146">
        <v>18827.224999999999</v>
      </c>
      <c r="W146">
        <v>18144.508333333331</v>
      </c>
      <c r="X146">
        <v>18827.224999999999</v>
      </c>
      <c r="Y146">
        <v>18827.224999999999</v>
      </c>
    </row>
    <row r="147" spans="1:25" x14ac:dyDescent="0.25">
      <c r="A147" t="s">
        <v>296</v>
      </c>
      <c r="B147">
        <v>0</v>
      </c>
      <c r="C147" t="s">
        <v>258</v>
      </c>
      <c r="D147" t="s">
        <v>297</v>
      </c>
      <c r="E147" t="s">
        <v>260</v>
      </c>
      <c r="F147" t="s">
        <v>298</v>
      </c>
      <c r="G147" t="s">
        <v>84</v>
      </c>
      <c r="H147" t="s">
        <v>185</v>
      </c>
      <c r="I147" t="s">
        <v>296</v>
      </c>
      <c r="J147" t="s">
        <v>336</v>
      </c>
      <c r="K147" t="s">
        <v>82</v>
      </c>
      <c r="L147">
        <v>18354.575000000001</v>
      </c>
      <c r="M147" t="s">
        <v>83</v>
      </c>
      <c r="O147">
        <v>1</v>
      </c>
      <c r="P147">
        <v>1</v>
      </c>
      <c r="U147">
        <v>18354.575000000001</v>
      </c>
      <c r="V147">
        <v>0</v>
      </c>
      <c r="W147">
        <v>18144.508333333331</v>
      </c>
    </row>
    <row r="148" spans="1:25" x14ac:dyDescent="0.25">
      <c r="A148" t="s">
        <v>337</v>
      </c>
      <c r="B148">
        <v>1</v>
      </c>
      <c r="C148" t="s">
        <v>258</v>
      </c>
      <c r="D148" t="s">
        <v>297</v>
      </c>
      <c r="E148" t="s">
        <v>338</v>
      </c>
      <c r="F148" t="s">
        <v>298</v>
      </c>
      <c r="G148" t="s">
        <v>140</v>
      </c>
      <c r="H148" t="s">
        <v>92</v>
      </c>
      <c r="I148" t="s">
        <v>339</v>
      </c>
      <c r="J148" t="s">
        <v>140</v>
      </c>
      <c r="K148" t="s">
        <v>82</v>
      </c>
      <c r="L148">
        <v>48690</v>
      </c>
      <c r="M148" t="s">
        <v>83</v>
      </c>
      <c r="N148">
        <v>31286.666669999999</v>
      </c>
      <c r="Q148">
        <v>1</v>
      </c>
      <c r="S148">
        <v>1</v>
      </c>
      <c r="U148">
        <v>0</v>
      </c>
      <c r="V148">
        <v>0</v>
      </c>
      <c r="W148">
        <v>31286.666666666668</v>
      </c>
      <c r="X148">
        <v>48690</v>
      </c>
      <c r="Y148">
        <v>48690</v>
      </c>
    </row>
    <row r="149" spans="1:25" x14ac:dyDescent="0.25">
      <c r="A149" t="s">
        <v>337</v>
      </c>
      <c r="B149">
        <v>0</v>
      </c>
      <c r="C149" t="s">
        <v>258</v>
      </c>
      <c r="D149" t="s">
        <v>297</v>
      </c>
      <c r="E149" t="s">
        <v>338</v>
      </c>
      <c r="F149" t="s">
        <v>298</v>
      </c>
      <c r="G149" t="s">
        <v>84</v>
      </c>
      <c r="H149" t="s">
        <v>92</v>
      </c>
      <c r="I149" t="s">
        <v>340</v>
      </c>
      <c r="J149" t="s">
        <v>341</v>
      </c>
      <c r="K149" t="s">
        <v>82</v>
      </c>
      <c r="L149">
        <v>20890</v>
      </c>
      <c r="M149" t="s">
        <v>83</v>
      </c>
      <c r="O149">
        <v>1</v>
      </c>
      <c r="T149">
        <v>1</v>
      </c>
      <c r="U149">
        <v>20890</v>
      </c>
      <c r="V149">
        <v>0</v>
      </c>
      <c r="W149">
        <v>31286.666666666668</v>
      </c>
    </row>
    <row r="150" spans="1:25" x14ac:dyDescent="0.25">
      <c r="A150" t="s">
        <v>337</v>
      </c>
      <c r="B150">
        <v>0</v>
      </c>
      <c r="C150" t="s">
        <v>258</v>
      </c>
      <c r="D150" t="s">
        <v>297</v>
      </c>
      <c r="E150" t="s">
        <v>338</v>
      </c>
      <c r="F150" t="s">
        <v>298</v>
      </c>
      <c r="G150" t="s">
        <v>84</v>
      </c>
      <c r="H150" t="s">
        <v>92</v>
      </c>
      <c r="I150" t="s">
        <v>342</v>
      </c>
      <c r="J150" t="s">
        <v>343</v>
      </c>
      <c r="K150" t="s">
        <v>82</v>
      </c>
      <c r="L150">
        <v>24280</v>
      </c>
      <c r="M150" t="s">
        <v>83</v>
      </c>
      <c r="P150">
        <v>1</v>
      </c>
      <c r="Q150">
        <v>1</v>
      </c>
      <c r="U150">
        <v>0</v>
      </c>
      <c r="V150">
        <v>0</v>
      </c>
      <c r="W150">
        <v>31286.666666666668</v>
      </c>
    </row>
    <row r="151" spans="1:25" x14ac:dyDescent="0.25">
      <c r="A151" t="s">
        <v>337</v>
      </c>
      <c r="B151">
        <v>0</v>
      </c>
      <c r="C151" t="s">
        <v>258</v>
      </c>
      <c r="D151" t="s">
        <v>297</v>
      </c>
      <c r="E151" t="s">
        <v>338</v>
      </c>
      <c r="F151" t="s">
        <v>298</v>
      </c>
      <c r="G151" t="s">
        <v>84</v>
      </c>
      <c r="H151" t="s">
        <v>80</v>
      </c>
      <c r="I151" t="s">
        <v>337</v>
      </c>
      <c r="J151" t="s">
        <v>344</v>
      </c>
      <c r="K151" t="s">
        <v>82</v>
      </c>
      <c r="L151">
        <v>861318.65</v>
      </c>
      <c r="M151" t="s">
        <v>83</v>
      </c>
      <c r="P151">
        <v>1</v>
      </c>
      <c r="U151">
        <v>0</v>
      </c>
      <c r="V151">
        <v>0</v>
      </c>
      <c r="W151">
        <v>837017.14029999997</v>
      </c>
    </row>
    <row r="152" spans="1:25" x14ac:dyDescent="0.25">
      <c r="A152" t="s">
        <v>337</v>
      </c>
      <c r="B152">
        <v>0</v>
      </c>
      <c r="C152" t="s">
        <v>258</v>
      </c>
      <c r="D152" t="s">
        <v>297</v>
      </c>
      <c r="E152" t="s">
        <v>338</v>
      </c>
      <c r="F152" t="s">
        <v>298</v>
      </c>
      <c r="G152" t="s">
        <v>84</v>
      </c>
      <c r="H152" t="s">
        <v>80</v>
      </c>
      <c r="I152" t="s">
        <v>345</v>
      </c>
      <c r="J152" t="s">
        <v>346</v>
      </c>
      <c r="K152" t="s">
        <v>82</v>
      </c>
      <c r="L152">
        <v>850434.76089999999</v>
      </c>
      <c r="M152" t="s">
        <v>83</v>
      </c>
      <c r="O152">
        <v>1</v>
      </c>
      <c r="U152">
        <v>850434.76089999999</v>
      </c>
      <c r="V152">
        <v>0</v>
      </c>
      <c r="W152">
        <v>837017.14029999997</v>
      </c>
    </row>
    <row r="153" spans="1:25" x14ac:dyDescent="0.25">
      <c r="A153" t="s">
        <v>337</v>
      </c>
      <c r="B153">
        <v>1</v>
      </c>
      <c r="C153" t="s">
        <v>258</v>
      </c>
      <c r="D153" t="s">
        <v>297</v>
      </c>
      <c r="E153" t="s">
        <v>338</v>
      </c>
      <c r="F153" t="s">
        <v>298</v>
      </c>
      <c r="G153" t="s">
        <v>248</v>
      </c>
      <c r="H153" t="s">
        <v>80</v>
      </c>
      <c r="I153" t="s">
        <v>337</v>
      </c>
      <c r="J153" t="s">
        <v>347</v>
      </c>
      <c r="K153" t="s">
        <v>82</v>
      </c>
      <c r="L153">
        <v>799298.01</v>
      </c>
      <c r="M153" t="s">
        <v>83</v>
      </c>
      <c r="N153">
        <v>837017.14029999997</v>
      </c>
      <c r="O153">
        <v>1</v>
      </c>
      <c r="P153">
        <v>1</v>
      </c>
      <c r="U153">
        <v>799298.01</v>
      </c>
      <c r="V153">
        <v>799298.01</v>
      </c>
      <c r="W153">
        <v>837017.14029999997</v>
      </c>
      <c r="X153">
        <v>799298.01</v>
      </c>
      <c r="Y153">
        <v>799298.01</v>
      </c>
    </row>
    <row r="154" spans="1:25" x14ac:dyDescent="0.25">
      <c r="A154" t="s">
        <v>337</v>
      </c>
      <c r="B154">
        <v>0</v>
      </c>
      <c r="C154" t="s">
        <v>258</v>
      </c>
      <c r="D154" t="s">
        <v>297</v>
      </c>
      <c r="E154" t="s">
        <v>338</v>
      </c>
      <c r="F154" t="s">
        <v>298</v>
      </c>
      <c r="G154" t="s">
        <v>84</v>
      </c>
      <c r="H154" t="s">
        <v>106</v>
      </c>
      <c r="I154" t="s">
        <v>337</v>
      </c>
      <c r="J154" t="s">
        <v>348</v>
      </c>
      <c r="K154" t="s">
        <v>82</v>
      </c>
      <c r="L154">
        <v>9846.875</v>
      </c>
      <c r="M154" t="s">
        <v>83</v>
      </c>
      <c r="P154">
        <v>1</v>
      </c>
      <c r="U154">
        <v>0</v>
      </c>
      <c r="V154">
        <v>0</v>
      </c>
      <c r="W154">
        <v>7549.2708333333339</v>
      </c>
    </row>
    <row r="155" spans="1:25" x14ac:dyDescent="0.25">
      <c r="A155" t="s">
        <v>337</v>
      </c>
      <c r="B155">
        <v>0</v>
      </c>
      <c r="C155" t="s">
        <v>258</v>
      </c>
      <c r="D155" t="s">
        <v>297</v>
      </c>
      <c r="E155" t="s">
        <v>338</v>
      </c>
      <c r="F155" t="s">
        <v>298</v>
      </c>
      <c r="G155" t="s">
        <v>84</v>
      </c>
      <c r="H155" t="s">
        <v>106</v>
      </c>
      <c r="I155" t="s">
        <v>345</v>
      </c>
      <c r="J155" t="s">
        <v>349</v>
      </c>
      <c r="K155" t="s">
        <v>82</v>
      </c>
      <c r="L155">
        <v>8783.4125000000004</v>
      </c>
      <c r="M155" t="s">
        <v>83</v>
      </c>
      <c r="O155">
        <v>1</v>
      </c>
      <c r="U155">
        <v>8783.4125000000004</v>
      </c>
      <c r="V155">
        <v>0</v>
      </c>
      <c r="W155">
        <v>7549.2708333333339</v>
      </c>
    </row>
    <row r="156" spans="1:25" x14ac:dyDescent="0.25">
      <c r="A156" t="s">
        <v>337</v>
      </c>
      <c r="B156">
        <v>1</v>
      </c>
      <c r="C156" t="s">
        <v>258</v>
      </c>
      <c r="D156" t="s">
        <v>297</v>
      </c>
      <c r="E156" t="s">
        <v>338</v>
      </c>
      <c r="F156" t="s">
        <v>298</v>
      </c>
      <c r="G156" t="s">
        <v>248</v>
      </c>
      <c r="H156" t="s">
        <v>106</v>
      </c>
      <c r="I156" t="s">
        <v>337</v>
      </c>
      <c r="J156" t="s">
        <v>350</v>
      </c>
      <c r="K156" t="s">
        <v>82</v>
      </c>
      <c r="L156">
        <v>4017.5250000000001</v>
      </c>
      <c r="M156" t="s">
        <v>83</v>
      </c>
      <c r="N156">
        <v>7549.2708329999996</v>
      </c>
      <c r="O156">
        <v>1</v>
      </c>
      <c r="P156">
        <v>1</v>
      </c>
      <c r="U156">
        <v>4017.5250000000001</v>
      </c>
      <c r="V156">
        <v>4017.5250000000001</v>
      </c>
      <c r="W156">
        <v>7549.2708333333339</v>
      </c>
      <c r="X156">
        <v>4017.5250000000001</v>
      </c>
      <c r="Y156">
        <v>4017.5250000000001</v>
      </c>
    </row>
    <row r="157" spans="1:25" x14ac:dyDescent="0.25">
      <c r="A157" t="s">
        <v>337</v>
      </c>
      <c r="B157">
        <v>0</v>
      </c>
      <c r="C157" t="s">
        <v>258</v>
      </c>
      <c r="D157" t="s">
        <v>297</v>
      </c>
      <c r="E157" t="s">
        <v>338</v>
      </c>
      <c r="F157" t="s">
        <v>298</v>
      </c>
      <c r="G157" t="s">
        <v>84</v>
      </c>
      <c r="H157" t="s">
        <v>110</v>
      </c>
      <c r="I157" t="s">
        <v>337</v>
      </c>
      <c r="J157" t="s">
        <v>351</v>
      </c>
      <c r="K157" t="s">
        <v>82</v>
      </c>
      <c r="L157">
        <v>11008</v>
      </c>
      <c r="M157" t="s">
        <v>83</v>
      </c>
      <c r="P157">
        <v>1</v>
      </c>
      <c r="U157">
        <v>0</v>
      </c>
      <c r="V157">
        <v>0</v>
      </c>
      <c r="W157">
        <v>12020</v>
      </c>
    </row>
    <row r="158" spans="1:25" x14ac:dyDescent="0.25">
      <c r="A158" t="s">
        <v>337</v>
      </c>
      <c r="B158">
        <v>0</v>
      </c>
      <c r="C158" t="s">
        <v>258</v>
      </c>
      <c r="D158" t="s">
        <v>297</v>
      </c>
      <c r="E158" t="s">
        <v>338</v>
      </c>
      <c r="F158" t="s">
        <v>298</v>
      </c>
      <c r="G158" t="s">
        <v>84</v>
      </c>
      <c r="H158" t="s">
        <v>110</v>
      </c>
      <c r="I158" t="s">
        <v>345</v>
      </c>
      <c r="J158" t="s">
        <v>352</v>
      </c>
      <c r="K158" t="s">
        <v>82</v>
      </c>
      <c r="L158">
        <v>11844</v>
      </c>
      <c r="M158" t="s">
        <v>83</v>
      </c>
      <c r="O158">
        <v>1</v>
      </c>
      <c r="U158">
        <v>11844</v>
      </c>
      <c r="V158">
        <v>0</v>
      </c>
      <c r="W158">
        <v>12020</v>
      </c>
    </row>
    <row r="159" spans="1:25" x14ac:dyDescent="0.25">
      <c r="A159" t="s">
        <v>337</v>
      </c>
      <c r="B159">
        <v>1</v>
      </c>
      <c r="C159" t="s">
        <v>258</v>
      </c>
      <c r="D159" t="s">
        <v>297</v>
      </c>
      <c r="E159" t="s">
        <v>338</v>
      </c>
      <c r="F159" t="s">
        <v>298</v>
      </c>
      <c r="G159" t="s">
        <v>248</v>
      </c>
      <c r="H159" t="s">
        <v>110</v>
      </c>
      <c r="I159" t="s">
        <v>337</v>
      </c>
      <c r="J159" t="s">
        <v>353</v>
      </c>
      <c r="K159" t="s">
        <v>82</v>
      </c>
      <c r="L159">
        <v>13208</v>
      </c>
      <c r="M159" t="s">
        <v>83</v>
      </c>
      <c r="N159">
        <v>12020</v>
      </c>
      <c r="O159">
        <v>1</v>
      </c>
      <c r="P159">
        <v>1</v>
      </c>
      <c r="U159">
        <v>13208</v>
      </c>
      <c r="V159">
        <v>13208</v>
      </c>
      <c r="W159">
        <v>12020</v>
      </c>
      <c r="X159">
        <v>13208</v>
      </c>
      <c r="Y159">
        <v>13208</v>
      </c>
    </row>
    <row r="160" spans="1:25" x14ac:dyDescent="0.25">
      <c r="A160" t="s">
        <v>337</v>
      </c>
      <c r="B160">
        <v>0</v>
      </c>
      <c r="C160" t="s">
        <v>258</v>
      </c>
      <c r="D160" t="s">
        <v>297</v>
      </c>
      <c r="E160" t="s">
        <v>338</v>
      </c>
      <c r="F160" t="s">
        <v>298</v>
      </c>
      <c r="G160" t="s">
        <v>84</v>
      </c>
      <c r="H160" t="s">
        <v>87</v>
      </c>
      <c r="I160" t="s">
        <v>354</v>
      </c>
      <c r="J160" t="s">
        <v>355</v>
      </c>
      <c r="K160" t="s">
        <v>82</v>
      </c>
      <c r="L160">
        <v>93795.158330000006</v>
      </c>
      <c r="M160" t="s">
        <v>83</v>
      </c>
      <c r="U160">
        <v>0</v>
      </c>
      <c r="V160">
        <v>0</v>
      </c>
      <c r="W160">
        <v>108474.041665</v>
      </c>
    </row>
    <row r="161" spans="1:25" x14ac:dyDescent="0.25">
      <c r="A161" t="s">
        <v>337</v>
      </c>
      <c r="B161">
        <v>1</v>
      </c>
      <c r="C161" t="s">
        <v>258</v>
      </c>
      <c r="D161" t="s">
        <v>297</v>
      </c>
      <c r="E161" t="s">
        <v>338</v>
      </c>
      <c r="F161" t="s">
        <v>298</v>
      </c>
      <c r="G161" t="s">
        <v>243</v>
      </c>
      <c r="H161" t="s">
        <v>87</v>
      </c>
      <c r="I161" t="s">
        <v>337</v>
      </c>
      <c r="J161" t="s">
        <v>356</v>
      </c>
      <c r="K161" t="s">
        <v>82</v>
      </c>
      <c r="L161">
        <v>123152.925</v>
      </c>
      <c r="M161" t="s">
        <v>83</v>
      </c>
      <c r="N161">
        <v>108474.0417</v>
      </c>
      <c r="U161">
        <v>0</v>
      </c>
      <c r="V161">
        <v>0</v>
      </c>
      <c r="W161">
        <v>108474.041665</v>
      </c>
      <c r="X161">
        <v>123152.925</v>
      </c>
      <c r="Y161">
        <v>123152.925</v>
      </c>
    </row>
    <row r="162" spans="1:25" x14ac:dyDescent="0.25">
      <c r="A162" t="s">
        <v>337</v>
      </c>
      <c r="B162">
        <v>0</v>
      </c>
      <c r="C162" t="s">
        <v>258</v>
      </c>
      <c r="D162" t="s">
        <v>297</v>
      </c>
      <c r="E162" t="s">
        <v>338</v>
      </c>
      <c r="F162" t="s">
        <v>298</v>
      </c>
      <c r="G162" t="s">
        <v>84</v>
      </c>
      <c r="H162" t="s">
        <v>98</v>
      </c>
      <c r="I162" t="s">
        <v>357</v>
      </c>
      <c r="J162" t="s">
        <v>358</v>
      </c>
      <c r="K162" t="s">
        <v>82</v>
      </c>
      <c r="L162">
        <v>40900</v>
      </c>
      <c r="M162" t="s">
        <v>83</v>
      </c>
      <c r="R162">
        <v>1</v>
      </c>
      <c r="U162">
        <v>0</v>
      </c>
      <c r="V162">
        <v>0</v>
      </c>
      <c r="W162">
        <v>31766.666666666664</v>
      </c>
    </row>
    <row r="163" spans="1:25" x14ac:dyDescent="0.25">
      <c r="A163" t="s">
        <v>337</v>
      </c>
      <c r="B163">
        <v>1</v>
      </c>
      <c r="C163" t="s">
        <v>258</v>
      </c>
      <c r="D163" t="s">
        <v>297</v>
      </c>
      <c r="E163" t="s">
        <v>338</v>
      </c>
      <c r="F163" t="s">
        <v>298</v>
      </c>
      <c r="G163" t="s">
        <v>103</v>
      </c>
      <c r="H163" t="s">
        <v>98</v>
      </c>
      <c r="I163" t="s">
        <v>359</v>
      </c>
      <c r="J163" t="s">
        <v>360</v>
      </c>
      <c r="K163" t="s">
        <v>82</v>
      </c>
      <c r="L163">
        <v>35150</v>
      </c>
      <c r="M163" t="s">
        <v>83</v>
      </c>
      <c r="N163">
        <v>31766.666669999999</v>
      </c>
      <c r="R163">
        <v>1</v>
      </c>
      <c r="T163">
        <v>1</v>
      </c>
      <c r="U163">
        <v>0</v>
      </c>
      <c r="V163">
        <v>0</v>
      </c>
      <c r="W163">
        <v>31766.666666666664</v>
      </c>
      <c r="X163">
        <v>35150</v>
      </c>
      <c r="Y163">
        <v>35150</v>
      </c>
    </row>
    <row r="164" spans="1:25" x14ac:dyDescent="0.25">
      <c r="A164" t="s">
        <v>337</v>
      </c>
      <c r="B164">
        <v>0</v>
      </c>
      <c r="C164" t="s">
        <v>258</v>
      </c>
      <c r="D164" t="s">
        <v>297</v>
      </c>
      <c r="E164" t="s">
        <v>338</v>
      </c>
      <c r="F164" t="s">
        <v>298</v>
      </c>
      <c r="G164" t="s">
        <v>84</v>
      </c>
      <c r="H164" t="s">
        <v>98</v>
      </c>
      <c r="I164" t="s">
        <v>361</v>
      </c>
      <c r="J164" t="s">
        <v>362</v>
      </c>
      <c r="K164" t="s">
        <v>82</v>
      </c>
      <c r="L164">
        <v>19250</v>
      </c>
      <c r="M164" t="s">
        <v>83</v>
      </c>
      <c r="U164">
        <v>0</v>
      </c>
      <c r="V164">
        <v>0</v>
      </c>
      <c r="W164">
        <v>31766.666666666664</v>
      </c>
    </row>
    <row r="165" spans="1:25" x14ac:dyDescent="0.25">
      <c r="A165" t="s">
        <v>337</v>
      </c>
      <c r="B165">
        <v>0</v>
      </c>
      <c r="C165" t="s">
        <v>258</v>
      </c>
      <c r="D165" t="s">
        <v>297</v>
      </c>
      <c r="E165" t="s">
        <v>338</v>
      </c>
      <c r="F165" t="s">
        <v>298</v>
      </c>
      <c r="G165" t="s">
        <v>84</v>
      </c>
      <c r="H165" t="s">
        <v>185</v>
      </c>
      <c r="I165" t="s">
        <v>337</v>
      </c>
      <c r="J165" t="s">
        <v>363</v>
      </c>
      <c r="K165" t="s">
        <v>82</v>
      </c>
      <c r="L165">
        <v>12604</v>
      </c>
      <c r="M165" t="s">
        <v>83</v>
      </c>
      <c r="P165">
        <v>1</v>
      </c>
      <c r="U165">
        <v>0</v>
      </c>
      <c r="V165">
        <v>0</v>
      </c>
      <c r="W165">
        <v>16726.558333333334</v>
      </c>
    </row>
    <row r="166" spans="1:25" x14ac:dyDescent="0.25">
      <c r="A166" t="s">
        <v>337</v>
      </c>
      <c r="B166">
        <v>0</v>
      </c>
      <c r="C166" t="s">
        <v>258</v>
      </c>
      <c r="D166" t="s">
        <v>297</v>
      </c>
      <c r="E166" t="s">
        <v>338</v>
      </c>
      <c r="F166" t="s">
        <v>298</v>
      </c>
      <c r="G166" t="s">
        <v>84</v>
      </c>
      <c r="H166" t="s">
        <v>185</v>
      </c>
      <c r="I166" t="s">
        <v>345</v>
      </c>
      <c r="J166" t="s">
        <v>364</v>
      </c>
      <c r="K166" t="s">
        <v>82</v>
      </c>
      <c r="L166">
        <v>20166.400000000001</v>
      </c>
      <c r="M166" t="s">
        <v>83</v>
      </c>
      <c r="O166">
        <v>1</v>
      </c>
      <c r="U166">
        <v>20166.400000000001</v>
      </c>
      <c r="V166">
        <v>0</v>
      </c>
      <c r="W166">
        <v>16726.558333333334</v>
      </c>
    </row>
    <row r="167" spans="1:25" x14ac:dyDescent="0.25">
      <c r="A167" t="s">
        <v>337</v>
      </c>
      <c r="B167">
        <v>1</v>
      </c>
      <c r="C167" t="s">
        <v>258</v>
      </c>
      <c r="D167" t="s">
        <v>297</v>
      </c>
      <c r="E167" t="s">
        <v>338</v>
      </c>
      <c r="F167" t="s">
        <v>298</v>
      </c>
      <c r="G167" t="s">
        <v>248</v>
      </c>
      <c r="H167" t="s">
        <v>185</v>
      </c>
      <c r="I167" t="s">
        <v>337</v>
      </c>
      <c r="J167" t="s">
        <v>365</v>
      </c>
      <c r="K167" t="s">
        <v>82</v>
      </c>
      <c r="L167">
        <v>17409.275000000001</v>
      </c>
      <c r="M167" t="s">
        <v>83</v>
      </c>
      <c r="N167">
        <v>16726.55833</v>
      </c>
      <c r="O167">
        <v>1</v>
      </c>
      <c r="P167">
        <v>1</v>
      </c>
      <c r="U167">
        <v>17409.275000000001</v>
      </c>
      <c r="V167">
        <v>17409.275000000001</v>
      </c>
      <c r="W167">
        <v>16726.558333333334</v>
      </c>
      <c r="X167">
        <v>17409.275000000001</v>
      </c>
      <c r="Y167">
        <v>17409.275000000001</v>
      </c>
    </row>
    <row r="168" spans="1:25" x14ac:dyDescent="0.25">
      <c r="A168" t="s">
        <v>366</v>
      </c>
      <c r="B168">
        <v>1</v>
      </c>
      <c r="C168" t="s">
        <v>258</v>
      </c>
      <c r="D168" t="s">
        <v>297</v>
      </c>
      <c r="E168" t="s">
        <v>338</v>
      </c>
      <c r="F168" t="s">
        <v>367</v>
      </c>
      <c r="G168" t="s">
        <v>94</v>
      </c>
      <c r="H168" t="s">
        <v>92</v>
      </c>
      <c r="I168" t="s">
        <v>368</v>
      </c>
      <c r="J168" t="s">
        <v>343</v>
      </c>
      <c r="K168" t="s">
        <v>82</v>
      </c>
      <c r="L168">
        <v>28010</v>
      </c>
      <c r="M168" t="s">
        <v>83</v>
      </c>
      <c r="N168">
        <v>27166.666669999999</v>
      </c>
      <c r="U168">
        <v>0</v>
      </c>
      <c r="V168">
        <v>0</v>
      </c>
      <c r="W168">
        <v>27166.666666666668</v>
      </c>
      <c r="X168">
        <v>28010</v>
      </c>
      <c r="Y168">
        <v>28010</v>
      </c>
    </row>
    <row r="169" spans="1:25" x14ac:dyDescent="0.25">
      <c r="A169" t="s">
        <v>366</v>
      </c>
      <c r="B169">
        <v>0</v>
      </c>
      <c r="C169" t="s">
        <v>258</v>
      </c>
      <c r="D169" t="s">
        <v>297</v>
      </c>
      <c r="E169" t="s">
        <v>338</v>
      </c>
      <c r="F169" t="s">
        <v>367</v>
      </c>
      <c r="G169" t="s">
        <v>84</v>
      </c>
      <c r="H169" t="s">
        <v>92</v>
      </c>
      <c r="I169" t="s">
        <v>369</v>
      </c>
      <c r="J169" t="s">
        <v>303</v>
      </c>
      <c r="K169" t="s">
        <v>82</v>
      </c>
      <c r="L169">
        <v>23450</v>
      </c>
      <c r="M169" t="s">
        <v>83</v>
      </c>
      <c r="P169">
        <v>1</v>
      </c>
      <c r="S169">
        <v>1</v>
      </c>
      <c r="U169">
        <v>0</v>
      </c>
      <c r="V169">
        <v>0</v>
      </c>
      <c r="W169">
        <v>27166.666666666668</v>
      </c>
    </row>
    <row r="170" spans="1:25" x14ac:dyDescent="0.25">
      <c r="A170" t="s">
        <v>366</v>
      </c>
      <c r="B170">
        <v>0</v>
      </c>
      <c r="C170" t="s">
        <v>258</v>
      </c>
      <c r="D170" t="s">
        <v>297</v>
      </c>
      <c r="E170" t="s">
        <v>338</v>
      </c>
      <c r="F170" t="s">
        <v>367</v>
      </c>
      <c r="G170" t="s">
        <v>84</v>
      </c>
      <c r="H170" t="s">
        <v>92</v>
      </c>
      <c r="I170" t="s">
        <v>370</v>
      </c>
      <c r="J170" t="s">
        <v>371</v>
      </c>
      <c r="K170" t="s">
        <v>82</v>
      </c>
      <c r="L170">
        <v>30040</v>
      </c>
      <c r="M170" t="s">
        <v>83</v>
      </c>
      <c r="U170">
        <v>0</v>
      </c>
      <c r="V170">
        <v>0</v>
      </c>
      <c r="W170">
        <v>27166.666666666668</v>
      </c>
    </row>
    <row r="171" spans="1:25" x14ac:dyDescent="0.25">
      <c r="A171" t="s">
        <v>366</v>
      </c>
      <c r="B171">
        <v>0</v>
      </c>
      <c r="C171" t="s">
        <v>258</v>
      </c>
      <c r="D171" t="s">
        <v>297</v>
      </c>
      <c r="E171" t="s">
        <v>338</v>
      </c>
      <c r="F171" t="s">
        <v>367</v>
      </c>
      <c r="G171" t="s">
        <v>84</v>
      </c>
      <c r="H171" t="s">
        <v>80</v>
      </c>
      <c r="I171" t="s">
        <v>366</v>
      </c>
      <c r="J171" t="s">
        <v>372</v>
      </c>
      <c r="K171" t="s">
        <v>82</v>
      </c>
      <c r="L171">
        <v>724100.86499999999</v>
      </c>
      <c r="M171" t="s">
        <v>83</v>
      </c>
      <c r="T171">
        <v>1</v>
      </c>
      <c r="U171">
        <v>0</v>
      </c>
      <c r="V171">
        <v>0</v>
      </c>
      <c r="W171">
        <v>836563.7093333333</v>
      </c>
    </row>
    <row r="172" spans="1:25" x14ac:dyDescent="0.25">
      <c r="A172" t="s">
        <v>366</v>
      </c>
      <c r="B172">
        <v>1</v>
      </c>
      <c r="C172" t="s">
        <v>258</v>
      </c>
      <c r="D172" t="s">
        <v>297</v>
      </c>
      <c r="E172" t="s">
        <v>338</v>
      </c>
      <c r="F172" t="s">
        <v>367</v>
      </c>
      <c r="G172" t="s">
        <v>188</v>
      </c>
      <c r="H172" t="s">
        <v>80</v>
      </c>
      <c r="I172" t="s">
        <v>366</v>
      </c>
      <c r="J172" t="s">
        <v>373</v>
      </c>
      <c r="K172" t="s">
        <v>82</v>
      </c>
      <c r="L172">
        <v>879045.36300000001</v>
      </c>
      <c r="M172" t="s">
        <v>83</v>
      </c>
      <c r="N172">
        <v>836563.70929999999</v>
      </c>
      <c r="P172">
        <v>1</v>
      </c>
      <c r="T172">
        <v>1</v>
      </c>
      <c r="U172">
        <v>0</v>
      </c>
      <c r="V172">
        <v>0</v>
      </c>
      <c r="W172">
        <v>836563.7093333333</v>
      </c>
      <c r="X172">
        <v>879045.36300000001</v>
      </c>
      <c r="Y172">
        <v>879045.36300000001</v>
      </c>
    </row>
    <row r="173" spans="1:25" x14ac:dyDescent="0.25">
      <c r="A173" t="s">
        <v>366</v>
      </c>
      <c r="B173">
        <v>0</v>
      </c>
      <c r="C173" t="s">
        <v>258</v>
      </c>
      <c r="D173" t="s">
        <v>297</v>
      </c>
      <c r="E173" t="s">
        <v>338</v>
      </c>
      <c r="F173" t="s">
        <v>367</v>
      </c>
      <c r="G173" t="s">
        <v>84</v>
      </c>
      <c r="H173" t="s">
        <v>80</v>
      </c>
      <c r="I173" t="s">
        <v>366</v>
      </c>
      <c r="J173" t="s">
        <v>374</v>
      </c>
      <c r="K173" t="s">
        <v>82</v>
      </c>
      <c r="L173">
        <v>906544.9</v>
      </c>
      <c r="M173" t="s">
        <v>83</v>
      </c>
      <c r="U173">
        <v>0</v>
      </c>
      <c r="V173">
        <v>0</v>
      </c>
      <c r="W173">
        <v>836563.7093333333</v>
      </c>
    </row>
    <row r="174" spans="1:25" x14ac:dyDescent="0.25">
      <c r="A174" t="s">
        <v>366</v>
      </c>
      <c r="B174">
        <v>0</v>
      </c>
      <c r="C174" t="s">
        <v>258</v>
      </c>
      <c r="D174" t="s">
        <v>297</v>
      </c>
      <c r="E174" t="s">
        <v>338</v>
      </c>
      <c r="F174" t="s">
        <v>367</v>
      </c>
      <c r="G174" t="s">
        <v>84</v>
      </c>
      <c r="H174" t="s">
        <v>106</v>
      </c>
      <c r="I174" t="s">
        <v>366</v>
      </c>
      <c r="J174" t="s">
        <v>375</v>
      </c>
      <c r="K174" t="s">
        <v>82</v>
      </c>
      <c r="L174">
        <v>11382.987499999999</v>
      </c>
      <c r="M174" t="s">
        <v>83</v>
      </c>
      <c r="T174">
        <v>1</v>
      </c>
      <c r="U174">
        <v>0</v>
      </c>
      <c r="V174">
        <v>0</v>
      </c>
      <c r="W174">
        <v>10274.885833333334</v>
      </c>
    </row>
    <row r="175" spans="1:25" x14ac:dyDescent="0.25">
      <c r="A175" t="s">
        <v>366</v>
      </c>
      <c r="B175">
        <v>1</v>
      </c>
      <c r="C175" t="s">
        <v>258</v>
      </c>
      <c r="D175" t="s">
        <v>297</v>
      </c>
      <c r="E175" t="s">
        <v>338</v>
      </c>
      <c r="F175" t="s">
        <v>367</v>
      </c>
      <c r="G175" t="s">
        <v>188</v>
      </c>
      <c r="H175" t="s">
        <v>106</v>
      </c>
      <c r="I175" t="s">
        <v>366</v>
      </c>
      <c r="J175" t="s">
        <v>376</v>
      </c>
      <c r="K175" t="s">
        <v>82</v>
      </c>
      <c r="L175">
        <v>10303.77</v>
      </c>
      <c r="M175" t="s">
        <v>83</v>
      </c>
      <c r="N175">
        <v>10274.885829999999</v>
      </c>
      <c r="P175">
        <v>1</v>
      </c>
      <c r="T175">
        <v>1</v>
      </c>
      <c r="U175">
        <v>0</v>
      </c>
      <c r="V175">
        <v>0</v>
      </c>
      <c r="W175">
        <v>10274.885833333334</v>
      </c>
      <c r="X175">
        <v>10303.77</v>
      </c>
      <c r="Y175">
        <v>10303.77</v>
      </c>
    </row>
    <row r="176" spans="1:25" x14ac:dyDescent="0.25">
      <c r="A176" t="s">
        <v>366</v>
      </c>
      <c r="B176">
        <v>0</v>
      </c>
      <c r="C176" t="s">
        <v>258</v>
      </c>
      <c r="D176" t="s">
        <v>297</v>
      </c>
      <c r="E176" t="s">
        <v>338</v>
      </c>
      <c r="F176" t="s">
        <v>367</v>
      </c>
      <c r="G176" t="s">
        <v>84</v>
      </c>
      <c r="H176" t="s">
        <v>106</v>
      </c>
      <c r="I176" t="s">
        <v>366</v>
      </c>
      <c r="J176" t="s">
        <v>377</v>
      </c>
      <c r="K176" t="s">
        <v>82</v>
      </c>
      <c r="L176">
        <v>9137.9</v>
      </c>
      <c r="M176" t="s">
        <v>83</v>
      </c>
      <c r="U176">
        <v>0</v>
      </c>
      <c r="V176">
        <v>0</v>
      </c>
      <c r="W176">
        <v>10274.885833333334</v>
      </c>
    </row>
    <row r="177" spans="1:25" x14ac:dyDescent="0.25">
      <c r="A177" t="s">
        <v>366</v>
      </c>
      <c r="B177">
        <v>0</v>
      </c>
      <c r="C177" t="s">
        <v>258</v>
      </c>
      <c r="D177" t="s">
        <v>297</v>
      </c>
      <c r="E177" t="s">
        <v>338</v>
      </c>
      <c r="F177" t="s">
        <v>367</v>
      </c>
      <c r="G177" t="s">
        <v>84</v>
      </c>
      <c r="H177" t="s">
        <v>110</v>
      </c>
      <c r="I177" t="s">
        <v>366</v>
      </c>
      <c r="J177" t="s">
        <v>378</v>
      </c>
      <c r="K177" t="s">
        <v>82</v>
      </c>
      <c r="L177">
        <v>13696</v>
      </c>
      <c r="M177" t="s">
        <v>83</v>
      </c>
      <c r="T177">
        <v>1</v>
      </c>
      <c r="U177">
        <v>0</v>
      </c>
      <c r="V177">
        <v>0</v>
      </c>
      <c r="W177">
        <v>8960</v>
      </c>
    </row>
    <row r="178" spans="1:25" x14ac:dyDescent="0.25">
      <c r="A178" t="s">
        <v>366</v>
      </c>
      <c r="B178">
        <v>1</v>
      </c>
      <c r="C178" t="s">
        <v>258</v>
      </c>
      <c r="D178" t="s">
        <v>297</v>
      </c>
      <c r="E178" t="s">
        <v>338</v>
      </c>
      <c r="F178" t="s">
        <v>367</v>
      </c>
      <c r="G178" t="s">
        <v>188</v>
      </c>
      <c r="H178" t="s">
        <v>110</v>
      </c>
      <c r="I178" t="s">
        <v>366</v>
      </c>
      <c r="J178" t="s">
        <v>379</v>
      </c>
      <c r="K178" t="s">
        <v>82</v>
      </c>
      <c r="L178">
        <v>6656</v>
      </c>
      <c r="M178" t="s">
        <v>83</v>
      </c>
      <c r="N178">
        <v>8960</v>
      </c>
      <c r="P178">
        <v>1</v>
      </c>
      <c r="T178">
        <v>1</v>
      </c>
      <c r="U178">
        <v>0</v>
      </c>
      <c r="V178">
        <v>0</v>
      </c>
      <c r="W178">
        <v>8960</v>
      </c>
      <c r="X178">
        <v>6656</v>
      </c>
      <c r="Y178">
        <v>6656</v>
      </c>
    </row>
    <row r="179" spans="1:25" x14ac:dyDescent="0.25">
      <c r="A179" t="s">
        <v>366</v>
      </c>
      <c r="B179">
        <v>0</v>
      </c>
      <c r="C179" t="s">
        <v>258</v>
      </c>
      <c r="D179" t="s">
        <v>297</v>
      </c>
      <c r="E179" t="s">
        <v>338</v>
      </c>
      <c r="F179" t="s">
        <v>367</v>
      </c>
      <c r="G179" t="s">
        <v>84</v>
      </c>
      <c r="H179" t="s">
        <v>110</v>
      </c>
      <c r="I179" t="s">
        <v>366</v>
      </c>
      <c r="J179" t="s">
        <v>380</v>
      </c>
      <c r="K179" t="s">
        <v>82</v>
      </c>
      <c r="L179">
        <v>6528</v>
      </c>
      <c r="M179" t="s">
        <v>83</v>
      </c>
      <c r="U179">
        <v>0</v>
      </c>
      <c r="V179">
        <v>0</v>
      </c>
      <c r="W179">
        <v>8960</v>
      </c>
    </row>
    <row r="180" spans="1:25" x14ac:dyDescent="0.25">
      <c r="A180" t="s">
        <v>366</v>
      </c>
      <c r="B180">
        <v>0</v>
      </c>
      <c r="C180" t="s">
        <v>258</v>
      </c>
      <c r="D180" t="s">
        <v>297</v>
      </c>
      <c r="E180" t="s">
        <v>338</v>
      </c>
      <c r="F180" t="s">
        <v>367</v>
      </c>
      <c r="G180" t="s">
        <v>84</v>
      </c>
      <c r="H180" t="s">
        <v>87</v>
      </c>
      <c r="I180" t="s">
        <v>366</v>
      </c>
      <c r="J180" t="s">
        <v>381</v>
      </c>
      <c r="K180" t="s">
        <v>82</v>
      </c>
      <c r="L180">
        <v>131904.32500000001</v>
      </c>
      <c r="M180" t="s">
        <v>83</v>
      </c>
      <c r="S180">
        <v>1</v>
      </c>
      <c r="T180">
        <v>1</v>
      </c>
      <c r="U180">
        <v>0</v>
      </c>
      <c r="V180">
        <v>0</v>
      </c>
      <c r="W180">
        <v>108672.35555666668</v>
      </c>
    </row>
    <row r="181" spans="1:25" x14ac:dyDescent="0.25">
      <c r="A181" t="s">
        <v>366</v>
      </c>
      <c r="B181">
        <v>0</v>
      </c>
      <c r="C181" t="s">
        <v>258</v>
      </c>
      <c r="D181" t="s">
        <v>297</v>
      </c>
      <c r="E181" t="s">
        <v>338</v>
      </c>
      <c r="F181" t="s">
        <v>367</v>
      </c>
      <c r="G181" t="s">
        <v>84</v>
      </c>
      <c r="H181" t="s">
        <v>87</v>
      </c>
      <c r="I181" t="s">
        <v>382</v>
      </c>
      <c r="J181" t="s">
        <v>383</v>
      </c>
      <c r="K181" t="s">
        <v>82</v>
      </c>
      <c r="L181">
        <v>85172.616670000003</v>
      </c>
      <c r="M181" t="s">
        <v>83</v>
      </c>
      <c r="U181">
        <v>0</v>
      </c>
      <c r="V181">
        <v>0</v>
      </c>
      <c r="W181">
        <v>108672.35555666668</v>
      </c>
    </row>
    <row r="182" spans="1:25" x14ac:dyDescent="0.25">
      <c r="A182" t="s">
        <v>366</v>
      </c>
      <c r="B182">
        <v>1</v>
      </c>
      <c r="C182" t="s">
        <v>258</v>
      </c>
      <c r="D182" t="s">
        <v>297</v>
      </c>
      <c r="E182" t="s">
        <v>338</v>
      </c>
      <c r="F182" t="s">
        <v>367</v>
      </c>
      <c r="G182" t="s">
        <v>384</v>
      </c>
      <c r="H182" t="s">
        <v>87</v>
      </c>
      <c r="I182" t="s">
        <v>366</v>
      </c>
      <c r="J182" t="s">
        <v>385</v>
      </c>
      <c r="K182" t="s">
        <v>82</v>
      </c>
      <c r="L182">
        <v>108940.125</v>
      </c>
      <c r="M182" t="s">
        <v>83</v>
      </c>
      <c r="N182">
        <v>108672.3556</v>
      </c>
      <c r="U182">
        <v>0</v>
      </c>
      <c r="V182">
        <v>0</v>
      </c>
      <c r="W182">
        <v>108672.35555666668</v>
      </c>
      <c r="X182">
        <v>108940.125</v>
      </c>
      <c r="Y182">
        <v>108940.125</v>
      </c>
    </row>
    <row r="183" spans="1:25" x14ac:dyDescent="0.25">
      <c r="A183" t="s">
        <v>366</v>
      </c>
      <c r="B183">
        <v>0</v>
      </c>
      <c r="C183" t="s">
        <v>258</v>
      </c>
      <c r="D183" t="s">
        <v>297</v>
      </c>
      <c r="E183" t="s">
        <v>338</v>
      </c>
      <c r="F183" t="s">
        <v>367</v>
      </c>
      <c r="G183" t="s">
        <v>84</v>
      </c>
      <c r="H183" t="s">
        <v>98</v>
      </c>
      <c r="I183" t="s">
        <v>386</v>
      </c>
      <c r="J183" t="s">
        <v>387</v>
      </c>
      <c r="K183" t="s">
        <v>82</v>
      </c>
      <c r="L183">
        <v>19100</v>
      </c>
      <c r="M183" t="s">
        <v>83</v>
      </c>
      <c r="U183">
        <v>0</v>
      </c>
      <c r="V183">
        <v>0</v>
      </c>
      <c r="W183">
        <v>24616.666666666668</v>
      </c>
    </row>
    <row r="184" spans="1:25" x14ac:dyDescent="0.25">
      <c r="A184" t="s">
        <v>366</v>
      </c>
      <c r="B184">
        <v>0</v>
      </c>
      <c r="C184" t="s">
        <v>258</v>
      </c>
      <c r="D184" t="s">
        <v>297</v>
      </c>
      <c r="E184" t="s">
        <v>338</v>
      </c>
      <c r="F184" t="s">
        <v>367</v>
      </c>
      <c r="G184" t="s">
        <v>84</v>
      </c>
      <c r="H184" t="s">
        <v>98</v>
      </c>
      <c r="I184" t="s">
        <v>388</v>
      </c>
      <c r="J184" t="s">
        <v>389</v>
      </c>
      <c r="K184" t="s">
        <v>82</v>
      </c>
      <c r="L184">
        <v>24250</v>
      </c>
      <c r="M184" t="s">
        <v>83</v>
      </c>
      <c r="R184">
        <v>1</v>
      </c>
      <c r="T184">
        <v>1</v>
      </c>
      <c r="U184">
        <v>0</v>
      </c>
      <c r="V184">
        <v>0</v>
      </c>
      <c r="W184">
        <v>24616.666666666668</v>
      </c>
    </row>
    <row r="185" spans="1:25" x14ac:dyDescent="0.25">
      <c r="A185" t="s">
        <v>366</v>
      </c>
      <c r="B185">
        <v>1</v>
      </c>
      <c r="C185" t="s">
        <v>258</v>
      </c>
      <c r="D185" t="s">
        <v>297</v>
      </c>
      <c r="E185" t="s">
        <v>260</v>
      </c>
      <c r="F185" t="s">
        <v>367</v>
      </c>
      <c r="G185" t="s">
        <v>203</v>
      </c>
      <c r="H185" t="s">
        <v>98</v>
      </c>
      <c r="I185" t="s">
        <v>390</v>
      </c>
      <c r="J185" t="s">
        <v>391</v>
      </c>
      <c r="K185" t="s">
        <v>82</v>
      </c>
      <c r="L185">
        <v>30500</v>
      </c>
      <c r="M185" t="s">
        <v>83</v>
      </c>
      <c r="N185">
        <v>24616.666669999999</v>
      </c>
      <c r="R185">
        <v>1</v>
      </c>
      <c r="U185">
        <v>0</v>
      </c>
      <c r="V185">
        <v>0</v>
      </c>
      <c r="W185">
        <v>24616.666666666668</v>
      </c>
      <c r="X185">
        <v>30500</v>
      </c>
      <c r="Y185">
        <v>30500</v>
      </c>
    </row>
    <row r="186" spans="1:25" x14ac:dyDescent="0.25">
      <c r="A186" t="s">
        <v>366</v>
      </c>
      <c r="B186">
        <v>0</v>
      </c>
      <c r="C186" t="s">
        <v>258</v>
      </c>
      <c r="D186" t="s">
        <v>297</v>
      </c>
      <c r="E186" t="s">
        <v>260</v>
      </c>
      <c r="F186" t="s">
        <v>367</v>
      </c>
      <c r="G186" t="s">
        <v>84</v>
      </c>
      <c r="H186" t="s">
        <v>125</v>
      </c>
      <c r="I186" t="s">
        <v>392</v>
      </c>
      <c r="J186" t="s">
        <v>393</v>
      </c>
      <c r="K186" t="s">
        <v>82</v>
      </c>
      <c r="L186">
        <v>52050</v>
      </c>
      <c r="M186" t="s">
        <v>83</v>
      </c>
      <c r="T186">
        <v>1</v>
      </c>
      <c r="U186">
        <v>0</v>
      </c>
      <c r="V186">
        <v>0</v>
      </c>
      <c r="W186">
        <v>45025</v>
      </c>
    </row>
    <row r="187" spans="1:25" x14ac:dyDescent="0.25">
      <c r="A187" t="s">
        <v>366</v>
      </c>
      <c r="B187">
        <v>1</v>
      </c>
      <c r="C187" t="s">
        <v>258</v>
      </c>
      <c r="D187" t="s">
        <v>297</v>
      </c>
      <c r="E187" t="s">
        <v>260</v>
      </c>
      <c r="F187" t="s">
        <v>367</v>
      </c>
      <c r="G187" t="s">
        <v>394</v>
      </c>
      <c r="H187" t="s">
        <v>125</v>
      </c>
      <c r="I187" t="s">
        <v>395</v>
      </c>
      <c r="J187" t="s">
        <v>396</v>
      </c>
      <c r="K187" t="s">
        <v>82</v>
      </c>
      <c r="L187">
        <v>38000</v>
      </c>
      <c r="M187" t="s">
        <v>83</v>
      </c>
      <c r="N187">
        <v>45025</v>
      </c>
      <c r="U187">
        <v>0</v>
      </c>
      <c r="V187">
        <v>0</v>
      </c>
      <c r="W187">
        <v>45025</v>
      </c>
      <c r="X187">
        <v>38000</v>
      </c>
      <c r="Y187">
        <v>38000</v>
      </c>
    </row>
    <row r="188" spans="1:25" x14ac:dyDescent="0.25">
      <c r="A188" t="s">
        <v>366</v>
      </c>
      <c r="B188">
        <v>0</v>
      </c>
      <c r="C188" t="s">
        <v>258</v>
      </c>
      <c r="D188" t="s">
        <v>297</v>
      </c>
      <c r="E188" t="s">
        <v>260</v>
      </c>
      <c r="F188" t="s">
        <v>367</v>
      </c>
      <c r="G188" t="s">
        <v>84</v>
      </c>
      <c r="H188" t="s">
        <v>185</v>
      </c>
      <c r="I188" t="s">
        <v>366</v>
      </c>
      <c r="J188" t="s">
        <v>397</v>
      </c>
      <c r="K188" t="s">
        <v>82</v>
      </c>
      <c r="L188">
        <v>19693.75</v>
      </c>
      <c r="M188" t="s">
        <v>83</v>
      </c>
      <c r="T188">
        <v>1</v>
      </c>
      <c r="U188">
        <v>0</v>
      </c>
      <c r="V188">
        <v>0</v>
      </c>
      <c r="W188">
        <v>15807.516666666666</v>
      </c>
    </row>
    <row r="189" spans="1:25" x14ac:dyDescent="0.25">
      <c r="A189" t="s">
        <v>366</v>
      </c>
      <c r="B189">
        <v>1</v>
      </c>
      <c r="C189" t="s">
        <v>258</v>
      </c>
      <c r="D189" t="s">
        <v>297</v>
      </c>
      <c r="E189" t="s">
        <v>260</v>
      </c>
      <c r="F189" t="s">
        <v>367</v>
      </c>
      <c r="G189" t="s">
        <v>188</v>
      </c>
      <c r="H189" t="s">
        <v>185</v>
      </c>
      <c r="I189" t="s">
        <v>366</v>
      </c>
      <c r="J189" t="s">
        <v>398</v>
      </c>
      <c r="K189" t="s">
        <v>82</v>
      </c>
      <c r="L189">
        <v>13155.424999999999</v>
      </c>
      <c r="M189" t="s">
        <v>83</v>
      </c>
      <c r="N189">
        <v>15807.516670000001</v>
      </c>
      <c r="P189">
        <v>1</v>
      </c>
      <c r="T189">
        <v>1</v>
      </c>
      <c r="U189">
        <v>0</v>
      </c>
      <c r="V189">
        <v>0</v>
      </c>
      <c r="W189">
        <v>15807.516666666666</v>
      </c>
      <c r="X189">
        <v>13155.424999999999</v>
      </c>
      <c r="Y189">
        <v>13155.424999999999</v>
      </c>
    </row>
    <row r="190" spans="1:25" x14ac:dyDescent="0.25">
      <c r="A190" t="s">
        <v>366</v>
      </c>
      <c r="B190">
        <v>0</v>
      </c>
      <c r="C190" t="s">
        <v>258</v>
      </c>
      <c r="D190" t="s">
        <v>297</v>
      </c>
      <c r="E190" t="s">
        <v>260</v>
      </c>
      <c r="F190" t="s">
        <v>367</v>
      </c>
      <c r="G190" t="s">
        <v>84</v>
      </c>
      <c r="H190" t="s">
        <v>185</v>
      </c>
      <c r="I190" t="s">
        <v>366</v>
      </c>
      <c r="J190" t="s">
        <v>399</v>
      </c>
      <c r="K190" t="s">
        <v>82</v>
      </c>
      <c r="L190">
        <v>14573.375</v>
      </c>
      <c r="M190" t="s">
        <v>83</v>
      </c>
      <c r="U190">
        <v>0</v>
      </c>
      <c r="V190">
        <v>0</v>
      </c>
      <c r="W190">
        <v>15807.516666666666</v>
      </c>
    </row>
    <row r="191" spans="1:25" x14ac:dyDescent="0.25">
      <c r="A191" t="s">
        <v>400</v>
      </c>
      <c r="B191">
        <v>0</v>
      </c>
      <c r="C191" t="s">
        <v>258</v>
      </c>
      <c r="D191" t="s">
        <v>297</v>
      </c>
      <c r="E191" t="s">
        <v>260</v>
      </c>
      <c r="F191" t="s">
        <v>367</v>
      </c>
      <c r="G191" t="s">
        <v>84</v>
      </c>
      <c r="H191" t="s">
        <v>92</v>
      </c>
      <c r="I191" t="s">
        <v>221</v>
      </c>
      <c r="J191" t="s">
        <v>401</v>
      </c>
      <c r="K191" t="s">
        <v>82</v>
      </c>
      <c r="L191">
        <v>68240</v>
      </c>
      <c r="M191" t="s">
        <v>83</v>
      </c>
      <c r="U191">
        <v>0</v>
      </c>
      <c r="V191">
        <v>0</v>
      </c>
      <c r="W191">
        <v>42320</v>
      </c>
    </row>
    <row r="192" spans="1:25" x14ac:dyDescent="0.25">
      <c r="A192" t="s">
        <v>400</v>
      </c>
      <c r="B192">
        <v>1</v>
      </c>
      <c r="C192" t="s">
        <v>258</v>
      </c>
      <c r="D192" t="s">
        <v>297</v>
      </c>
      <c r="E192" t="s">
        <v>260</v>
      </c>
      <c r="F192" t="s">
        <v>367</v>
      </c>
      <c r="G192" t="s">
        <v>94</v>
      </c>
      <c r="H192" t="s">
        <v>92</v>
      </c>
      <c r="I192" t="s">
        <v>402</v>
      </c>
      <c r="J192" t="s">
        <v>343</v>
      </c>
      <c r="K192" t="s">
        <v>82</v>
      </c>
      <c r="L192">
        <v>28520</v>
      </c>
      <c r="M192" t="s">
        <v>83</v>
      </c>
      <c r="N192">
        <v>42320</v>
      </c>
      <c r="U192">
        <v>0</v>
      </c>
      <c r="V192">
        <v>0</v>
      </c>
      <c r="W192">
        <v>42320</v>
      </c>
      <c r="X192">
        <v>28520</v>
      </c>
      <c r="Y192">
        <v>28520</v>
      </c>
    </row>
    <row r="193" spans="1:25" x14ac:dyDescent="0.25">
      <c r="A193" t="s">
        <v>400</v>
      </c>
      <c r="B193">
        <v>0</v>
      </c>
      <c r="C193" t="s">
        <v>258</v>
      </c>
      <c r="D193" t="s">
        <v>297</v>
      </c>
      <c r="E193" t="s">
        <v>260</v>
      </c>
      <c r="F193" t="s">
        <v>367</v>
      </c>
      <c r="G193" t="s">
        <v>84</v>
      </c>
      <c r="H193" t="s">
        <v>92</v>
      </c>
      <c r="I193" t="s">
        <v>403</v>
      </c>
      <c r="J193" t="s">
        <v>404</v>
      </c>
      <c r="K193" t="s">
        <v>82</v>
      </c>
      <c r="L193">
        <v>30200</v>
      </c>
      <c r="M193" t="s">
        <v>83</v>
      </c>
      <c r="U193">
        <v>0</v>
      </c>
      <c r="V193">
        <v>0</v>
      </c>
      <c r="W193">
        <v>42320</v>
      </c>
    </row>
    <row r="194" spans="1:25" x14ac:dyDescent="0.25">
      <c r="A194" t="s">
        <v>400</v>
      </c>
      <c r="B194">
        <v>0</v>
      </c>
      <c r="C194" t="s">
        <v>258</v>
      </c>
      <c r="D194" t="s">
        <v>297</v>
      </c>
      <c r="E194" t="s">
        <v>260</v>
      </c>
      <c r="F194" t="s">
        <v>367</v>
      </c>
      <c r="G194" t="s">
        <v>84</v>
      </c>
      <c r="H194" t="s">
        <v>80</v>
      </c>
      <c r="I194" t="s">
        <v>400</v>
      </c>
      <c r="J194" t="s">
        <v>405</v>
      </c>
      <c r="K194" t="s">
        <v>82</v>
      </c>
      <c r="L194">
        <v>828919.11840000004</v>
      </c>
      <c r="M194" t="s">
        <v>83</v>
      </c>
      <c r="U194">
        <v>0</v>
      </c>
      <c r="V194">
        <v>0</v>
      </c>
      <c r="W194">
        <v>786422.47120000003</v>
      </c>
    </row>
    <row r="195" spans="1:25" x14ac:dyDescent="0.25">
      <c r="A195" t="s">
        <v>400</v>
      </c>
      <c r="B195">
        <v>1</v>
      </c>
      <c r="C195" t="s">
        <v>258</v>
      </c>
      <c r="D195" t="s">
        <v>297</v>
      </c>
      <c r="E195" t="s">
        <v>260</v>
      </c>
      <c r="F195" t="s">
        <v>367</v>
      </c>
      <c r="G195" t="s">
        <v>326</v>
      </c>
      <c r="H195" t="s">
        <v>80</v>
      </c>
      <c r="I195" t="s">
        <v>406</v>
      </c>
      <c r="J195" t="s">
        <v>407</v>
      </c>
      <c r="K195" t="s">
        <v>82</v>
      </c>
      <c r="L195">
        <v>743925.82400000002</v>
      </c>
      <c r="M195" t="s">
        <v>83</v>
      </c>
      <c r="N195">
        <v>786422.47120000003</v>
      </c>
      <c r="T195">
        <v>1</v>
      </c>
      <c r="U195">
        <v>0</v>
      </c>
      <c r="V195">
        <v>0</v>
      </c>
      <c r="W195">
        <v>786422.47120000003</v>
      </c>
      <c r="X195">
        <v>743925.82400000002</v>
      </c>
      <c r="Y195">
        <v>743925.82400000002</v>
      </c>
    </row>
    <row r="196" spans="1:25" x14ac:dyDescent="0.25">
      <c r="A196" t="s">
        <v>400</v>
      </c>
      <c r="B196">
        <v>0</v>
      </c>
      <c r="C196" t="s">
        <v>258</v>
      </c>
      <c r="D196" t="s">
        <v>297</v>
      </c>
      <c r="E196" t="s">
        <v>260</v>
      </c>
      <c r="F196" t="s">
        <v>367</v>
      </c>
      <c r="G196" t="s">
        <v>84</v>
      </c>
      <c r="H196" t="s">
        <v>106</v>
      </c>
      <c r="I196" t="s">
        <v>400</v>
      </c>
      <c r="J196" t="s">
        <v>408</v>
      </c>
      <c r="K196" t="s">
        <v>82</v>
      </c>
      <c r="L196">
        <v>12273.145</v>
      </c>
      <c r="M196" t="s">
        <v>83</v>
      </c>
      <c r="U196">
        <v>0</v>
      </c>
      <c r="V196">
        <v>0</v>
      </c>
      <c r="W196">
        <v>8015.3562500000007</v>
      </c>
    </row>
    <row r="197" spans="1:25" x14ac:dyDescent="0.25">
      <c r="A197" t="s">
        <v>400</v>
      </c>
      <c r="B197">
        <v>1</v>
      </c>
      <c r="C197" t="s">
        <v>258</v>
      </c>
      <c r="D197" t="s">
        <v>297</v>
      </c>
      <c r="E197" t="s">
        <v>260</v>
      </c>
      <c r="F197" t="s">
        <v>367</v>
      </c>
      <c r="G197" t="s">
        <v>326</v>
      </c>
      <c r="H197" t="s">
        <v>106</v>
      </c>
      <c r="I197" t="s">
        <v>406</v>
      </c>
      <c r="J197" t="s">
        <v>409</v>
      </c>
      <c r="K197" t="s">
        <v>82</v>
      </c>
      <c r="L197">
        <v>3757.5675000000001</v>
      </c>
      <c r="M197" t="s">
        <v>83</v>
      </c>
      <c r="N197">
        <v>8015.3562499999998</v>
      </c>
      <c r="T197">
        <v>1</v>
      </c>
      <c r="U197">
        <v>0</v>
      </c>
      <c r="V197">
        <v>0</v>
      </c>
      <c r="W197">
        <v>8015.3562500000007</v>
      </c>
      <c r="X197">
        <v>3757.5675000000001</v>
      </c>
      <c r="Y197">
        <v>3757.5675000000001</v>
      </c>
    </row>
    <row r="198" spans="1:25" x14ac:dyDescent="0.25">
      <c r="A198" t="s">
        <v>400</v>
      </c>
      <c r="B198">
        <v>0</v>
      </c>
      <c r="C198" t="s">
        <v>258</v>
      </c>
      <c r="D198" t="s">
        <v>297</v>
      </c>
      <c r="E198" t="s">
        <v>260</v>
      </c>
      <c r="F198" t="s">
        <v>367</v>
      </c>
      <c r="G198" t="s">
        <v>84</v>
      </c>
      <c r="H198" t="s">
        <v>110</v>
      </c>
      <c r="I198" t="s">
        <v>400</v>
      </c>
      <c r="J198" t="s">
        <v>410</v>
      </c>
      <c r="K198" t="s">
        <v>82</v>
      </c>
      <c r="L198">
        <v>17766</v>
      </c>
      <c r="M198" t="s">
        <v>83</v>
      </c>
      <c r="U198">
        <v>0</v>
      </c>
      <c r="V198">
        <v>0</v>
      </c>
      <c r="W198">
        <v>15561</v>
      </c>
    </row>
    <row r="199" spans="1:25" x14ac:dyDescent="0.25">
      <c r="A199" t="s">
        <v>400</v>
      </c>
      <c r="B199">
        <v>1</v>
      </c>
      <c r="C199" t="s">
        <v>258</v>
      </c>
      <c r="D199" t="s">
        <v>297</v>
      </c>
      <c r="E199" t="s">
        <v>260</v>
      </c>
      <c r="F199" t="s">
        <v>367</v>
      </c>
      <c r="G199" t="s">
        <v>326</v>
      </c>
      <c r="H199" t="s">
        <v>110</v>
      </c>
      <c r="I199" t="s">
        <v>406</v>
      </c>
      <c r="J199" t="s">
        <v>411</v>
      </c>
      <c r="K199" t="s">
        <v>82</v>
      </c>
      <c r="L199">
        <v>13356</v>
      </c>
      <c r="M199" t="s">
        <v>83</v>
      </c>
      <c r="N199">
        <v>15561</v>
      </c>
      <c r="T199">
        <v>1</v>
      </c>
      <c r="U199">
        <v>0</v>
      </c>
      <c r="V199">
        <v>0</v>
      </c>
      <c r="W199">
        <v>15561</v>
      </c>
      <c r="X199">
        <v>13356</v>
      </c>
      <c r="Y199">
        <v>13356</v>
      </c>
    </row>
    <row r="200" spans="1:25" x14ac:dyDescent="0.25">
      <c r="A200" t="s">
        <v>400</v>
      </c>
      <c r="B200">
        <v>0</v>
      </c>
      <c r="C200" t="s">
        <v>258</v>
      </c>
      <c r="D200" t="s">
        <v>297</v>
      </c>
      <c r="E200" t="s">
        <v>260</v>
      </c>
      <c r="F200" t="s">
        <v>367</v>
      </c>
      <c r="G200" t="s">
        <v>84</v>
      </c>
      <c r="H200" t="s">
        <v>87</v>
      </c>
      <c r="I200" t="s">
        <v>400</v>
      </c>
      <c r="J200" t="s">
        <v>412</v>
      </c>
      <c r="K200" t="s">
        <v>82</v>
      </c>
      <c r="L200">
        <v>111646.15</v>
      </c>
      <c r="M200" t="s">
        <v>83</v>
      </c>
      <c r="U200">
        <v>0</v>
      </c>
      <c r="V200">
        <v>0</v>
      </c>
      <c r="W200">
        <v>131253.17914999998</v>
      </c>
    </row>
    <row r="201" spans="1:25" x14ac:dyDescent="0.25">
      <c r="A201" t="s">
        <v>400</v>
      </c>
      <c r="B201">
        <v>1</v>
      </c>
      <c r="C201" t="s">
        <v>258</v>
      </c>
      <c r="D201" t="s">
        <v>297</v>
      </c>
      <c r="E201" t="s">
        <v>260</v>
      </c>
      <c r="F201" t="s">
        <v>367</v>
      </c>
      <c r="G201" t="s">
        <v>413</v>
      </c>
      <c r="H201" t="s">
        <v>87</v>
      </c>
      <c r="I201" t="s">
        <v>414</v>
      </c>
      <c r="J201" t="s">
        <v>415</v>
      </c>
      <c r="K201" t="s">
        <v>82</v>
      </c>
      <c r="L201">
        <v>150860.2083</v>
      </c>
      <c r="M201" t="s">
        <v>83</v>
      </c>
      <c r="N201">
        <v>131253.17920000001</v>
      </c>
      <c r="U201">
        <v>0</v>
      </c>
      <c r="V201">
        <v>0</v>
      </c>
      <c r="W201">
        <v>131253.17914999998</v>
      </c>
      <c r="X201">
        <v>150860.2083</v>
      </c>
      <c r="Y201">
        <v>150860.2083</v>
      </c>
    </row>
    <row r="202" spans="1:25" x14ac:dyDescent="0.25">
      <c r="A202" t="s">
        <v>400</v>
      </c>
      <c r="B202">
        <v>0</v>
      </c>
      <c r="C202" t="s">
        <v>258</v>
      </c>
      <c r="D202" t="s">
        <v>297</v>
      </c>
      <c r="E202" t="s">
        <v>260</v>
      </c>
      <c r="F202" t="s">
        <v>367</v>
      </c>
      <c r="G202" t="s">
        <v>84</v>
      </c>
      <c r="H202" t="s">
        <v>98</v>
      </c>
      <c r="I202" t="s">
        <v>416</v>
      </c>
      <c r="J202" t="s">
        <v>417</v>
      </c>
      <c r="K202" t="s">
        <v>82</v>
      </c>
      <c r="L202">
        <v>37350</v>
      </c>
      <c r="M202" t="s">
        <v>83</v>
      </c>
      <c r="R202">
        <v>1</v>
      </c>
      <c r="U202">
        <v>0</v>
      </c>
      <c r="V202">
        <v>0</v>
      </c>
      <c r="W202">
        <v>36783.333333333336</v>
      </c>
    </row>
    <row r="203" spans="1:25" x14ac:dyDescent="0.25">
      <c r="A203" t="s">
        <v>400</v>
      </c>
      <c r="B203">
        <v>1</v>
      </c>
      <c r="C203" t="s">
        <v>258</v>
      </c>
      <c r="D203" t="s">
        <v>297</v>
      </c>
      <c r="E203" t="s">
        <v>260</v>
      </c>
      <c r="F203" t="s">
        <v>367</v>
      </c>
      <c r="G203" t="s">
        <v>238</v>
      </c>
      <c r="H203" t="s">
        <v>98</v>
      </c>
      <c r="I203" t="s">
        <v>418</v>
      </c>
      <c r="J203" t="s">
        <v>419</v>
      </c>
      <c r="K203" t="s">
        <v>82</v>
      </c>
      <c r="L203">
        <v>47650</v>
      </c>
      <c r="M203" t="s">
        <v>83</v>
      </c>
      <c r="N203">
        <v>36783.333330000001</v>
      </c>
      <c r="Q203">
        <v>1</v>
      </c>
      <c r="R203">
        <v>1</v>
      </c>
      <c r="U203">
        <v>0</v>
      </c>
      <c r="V203">
        <v>0</v>
      </c>
      <c r="W203">
        <v>36783.333333333336</v>
      </c>
      <c r="X203">
        <v>47650</v>
      </c>
      <c r="Y203">
        <v>47650</v>
      </c>
    </row>
    <row r="204" spans="1:25" x14ac:dyDescent="0.25">
      <c r="A204" t="s">
        <v>400</v>
      </c>
      <c r="B204">
        <v>0</v>
      </c>
      <c r="C204" t="s">
        <v>258</v>
      </c>
      <c r="D204" t="s">
        <v>297</v>
      </c>
      <c r="E204" t="s">
        <v>260</v>
      </c>
      <c r="F204" t="s">
        <v>367</v>
      </c>
      <c r="G204" t="s">
        <v>84</v>
      </c>
      <c r="H204" t="s">
        <v>98</v>
      </c>
      <c r="I204" t="s">
        <v>420</v>
      </c>
      <c r="J204" t="s">
        <v>421</v>
      </c>
      <c r="K204" t="s">
        <v>82</v>
      </c>
      <c r="L204">
        <v>25350</v>
      </c>
      <c r="M204" t="s">
        <v>83</v>
      </c>
      <c r="Q204">
        <v>1</v>
      </c>
      <c r="S204">
        <v>1</v>
      </c>
      <c r="U204">
        <v>0</v>
      </c>
      <c r="V204">
        <v>0</v>
      </c>
      <c r="W204">
        <v>36783.333333333336</v>
      </c>
    </row>
    <row r="205" spans="1:25" x14ac:dyDescent="0.25">
      <c r="A205" t="s">
        <v>422</v>
      </c>
      <c r="B205">
        <v>0</v>
      </c>
      <c r="C205" t="s">
        <v>258</v>
      </c>
      <c r="D205" t="s">
        <v>423</v>
      </c>
      <c r="E205" t="s">
        <v>260</v>
      </c>
      <c r="F205" t="s">
        <v>261</v>
      </c>
      <c r="G205" t="s">
        <v>84</v>
      </c>
      <c r="H205" t="s">
        <v>92</v>
      </c>
      <c r="I205" t="s">
        <v>424</v>
      </c>
      <c r="J205" t="s">
        <v>425</v>
      </c>
      <c r="K205" t="s">
        <v>82</v>
      </c>
      <c r="L205">
        <v>25640</v>
      </c>
      <c r="M205" t="s">
        <v>83</v>
      </c>
      <c r="P205">
        <v>1</v>
      </c>
      <c r="Q205">
        <v>1</v>
      </c>
      <c r="T205">
        <v>1</v>
      </c>
      <c r="U205">
        <v>0</v>
      </c>
      <c r="V205">
        <v>0</v>
      </c>
      <c r="W205">
        <v>26493.333333333332</v>
      </c>
    </row>
    <row r="206" spans="1:25" x14ac:dyDescent="0.25">
      <c r="A206" t="s">
        <v>422</v>
      </c>
      <c r="B206">
        <v>0</v>
      </c>
      <c r="C206" t="s">
        <v>258</v>
      </c>
      <c r="D206" t="s">
        <v>423</v>
      </c>
      <c r="E206" t="s">
        <v>260</v>
      </c>
      <c r="F206" t="s">
        <v>261</v>
      </c>
      <c r="G206" t="s">
        <v>84</v>
      </c>
      <c r="H206" t="s">
        <v>92</v>
      </c>
      <c r="I206" t="s">
        <v>426</v>
      </c>
      <c r="J206" t="s">
        <v>303</v>
      </c>
      <c r="K206" t="s">
        <v>82</v>
      </c>
      <c r="L206">
        <v>31420</v>
      </c>
      <c r="M206" t="s">
        <v>83</v>
      </c>
      <c r="U206">
        <v>0</v>
      </c>
      <c r="V206">
        <v>0</v>
      </c>
      <c r="W206">
        <v>26493.333333333332</v>
      </c>
    </row>
    <row r="207" spans="1:25" x14ac:dyDescent="0.25">
      <c r="A207" t="s">
        <v>422</v>
      </c>
      <c r="B207">
        <v>1</v>
      </c>
      <c r="C207" t="s">
        <v>258</v>
      </c>
      <c r="D207" t="s">
        <v>423</v>
      </c>
      <c r="E207" t="s">
        <v>260</v>
      </c>
      <c r="F207" t="s">
        <v>261</v>
      </c>
      <c r="G207" t="s">
        <v>94</v>
      </c>
      <c r="H207" t="s">
        <v>92</v>
      </c>
      <c r="I207" t="s">
        <v>427</v>
      </c>
      <c r="J207" t="s">
        <v>343</v>
      </c>
      <c r="K207" t="s">
        <v>82</v>
      </c>
      <c r="L207">
        <v>22420</v>
      </c>
      <c r="M207" t="s">
        <v>83</v>
      </c>
      <c r="N207">
        <v>26493.333330000001</v>
      </c>
      <c r="U207">
        <v>0</v>
      </c>
      <c r="V207">
        <v>0</v>
      </c>
      <c r="W207">
        <v>26493.333333333332</v>
      </c>
      <c r="X207">
        <v>22420</v>
      </c>
      <c r="Y207">
        <v>22420</v>
      </c>
    </row>
    <row r="208" spans="1:25" x14ac:dyDescent="0.25">
      <c r="A208" t="s">
        <v>422</v>
      </c>
      <c r="B208">
        <v>0</v>
      </c>
      <c r="C208" t="s">
        <v>258</v>
      </c>
      <c r="D208" t="s">
        <v>423</v>
      </c>
      <c r="E208" t="s">
        <v>260</v>
      </c>
      <c r="F208" t="s">
        <v>261</v>
      </c>
      <c r="G208" t="s">
        <v>84</v>
      </c>
      <c r="H208" t="s">
        <v>125</v>
      </c>
      <c r="I208" t="s">
        <v>428</v>
      </c>
      <c r="J208" t="s">
        <v>429</v>
      </c>
      <c r="K208" t="s">
        <v>82</v>
      </c>
      <c r="L208">
        <v>41950</v>
      </c>
      <c r="M208" t="s">
        <v>83</v>
      </c>
      <c r="U208">
        <v>0</v>
      </c>
      <c r="V208">
        <v>0</v>
      </c>
      <c r="W208">
        <v>33925</v>
      </c>
    </row>
    <row r="209" spans="1:25" x14ac:dyDescent="0.25">
      <c r="A209" t="s">
        <v>422</v>
      </c>
      <c r="B209">
        <v>1</v>
      </c>
      <c r="C209" t="s">
        <v>258</v>
      </c>
      <c r="D209" t="s">
        <v>423</v>
      </c>
      <c r="E209" t="s">
        <v>260</v>
      </c>
      <c r="F209" t="s">
        <v>261</v>
      </c>
      <c r="G209" t="s">
        <v>140</v>
      </c>
      <c r="H209" t="s">
        <v>125</v>
      </c>
      <c r="I209" t="s">
        <v>430</v>
      </c>
      <c r="J209" t="s">
        <v>431</v>
      </c>
      <c r="K209" t="s">
        <v>82</v>
      </c>
      <c r="L209">
        <v>25900</v>
      </c>
      <c r="M209" t="s">
        <v>83</v>
      </c>
      <c r="N209">
        <v>33925</v>
      </c>
      <c r="T209">
        <v>1</v>
      </c>
      <c r="U209">
        <v>0</v>
      </c>
      <c r="V209">
        <v>0</v>
      </c>
      <c r="W209">
        <v>33925</v>
      </c>
      <c r="X209">
        <v>25900</v>
      </c>
      <c r="Y209">
        <v>25900</v>
      </c>
    </row>
    <row r="210" spans="1:25" x14ac:dyDescent="0.25">
      <c r="A210" t="s">
        <v>422</v>
      </c>
      <c r="B210">
        <v>0</v>
      </c>
      <c r="C210" t="s">
        <v>258</v>
      </c>
      <c r="D210" t="s">
        <v>423</v>
      </c>
      <c r="E210" t="s">
        <v>260</v>
      </c>
      <c r="F210" t="s">
        <v>261</v>
      </c>
      <c r="G210" t="s">
        <v>84</v>
      </c>
      <c r="H210" t="s">
        <v>121</v>
      </c>
      <c r="I210" t="s">
        <v>432</v>
      </c>
      <c r="J210" t="s">
        <v>433</v>
      </c>
      <c r="K210" t="s">
        <v>82</v>
      </c>
      <c r="L210">
        <v>175300.40669999999</v>
      </c>
      <c r="M210" t="s">
        <v>83</v>
      </c>
      <c r="U210">
        <v>0</v>
      </c>
      <c r="V210">
        <v>0</v>
      </c>
      <c r="W210">
        <v>169276.77456666666</v>
      </c>
    </row>
    <row r="211" spans="1:25" x14ac:dyDescent="0.25">
      <c r="A211" t="s">
        <v>422</v>
      </c>
      <c r="B211">
        <v>0</v>
      </c>
      <c r="C211" t="s">
        <v>258</v>
      </c>
      <c r="D211" t="s">
        <v>423</v>
      </c>
      <c r="E211" t="s">
        <v>260</v>
      </c>
      <c r="F211" t="s">
        <v>261</v>
      </c>
      <c r="G211" t="s">
        <v>84</v>
      </c>
      <c r="H211" t="s">
        <v>121</v>
      </c>
      <c r="I211" t="s">
        <v>434</v>
      </c>
      <c r="J211" t="s">
        <v>435</v>
      </c>
      <c r="K211" t="s">
        <v>82</v>
      </c>
      <c r="L211">
        <v>147033.4357</v>
      </c>
      <c r="M211" t="s">
        <v>83</v>
      </c>
      <c r="U211">
        <v>0</v>
      </c>
      <c r="V211">
        <v>0</v>
      </c>
      <c r="W211">
        <v>169276.77456666666</v>
      </c>
    </row>
    <row r="212" spans="1:25" x14ac:dyDescent="0.25">
      <c r="A212" t="s">
        <v>422</v>
      </c>
      <c r="B212">
        <v>1</v>
      </c>
      <c r="C212" t="s">
        <v>258</v>
      </c>
      <c r="D212" t="s">
        <v>423</v>
      </c>
      <c r="E212" t="s">
        <v>260</v>
      </c>
      <c r="F212" t="s">
        <v>261</v>
      </c>
      <c r="G212" t="s">
        <v>436</v>
      </c>
      <c r="H212" t="s">
        <v>121</v>
      </c>
      <c r="I212" t="s">
        <v>437</v>
      </c>
      <c r="J212" t="s">
        <v>438</v>
      </c>
      <c r="K212" t="s">
        <v>82</v>
      </c>
      <c r="L212">
        <v>185496.48130000001</v>
      </c>
      <c r="M212" t="s">
        <v>83</v>
      </c>
      <c r="N212">
        <v>169276.7746</v>
      </c>
      <c r="P212">
        <v>1</v>
      </c>
      <c r="U212">
        <v>0</v>
      </c>
      <c r="V212">
        <v>0</v>
      </c>
      <c r="W212">
        <v>169276.77456666666</v>
      </c>
      <c r="X212">
        <v>185496.48130000001</v>
      </c>
      <c r="Y212">
        <v>185496.48130000001</v>
      </c>
    </row>
    <row r="213" spans="1:25" x14ac:dyDescent="0.25">
      <c r="A213" t="s">
        <v>422</v>
      </c>
      <c r="B213">
        <v>0</v>
      </c>
      <c r="C213" t="s">
        <v>258</v>
      </c>
      <c r="D213" t="s">
        <v>423</v>
      </c>
      <c r="E213" t="s">
        <v>260</v>
      </c>
      <c r="F213" t="s">
        <v>261</v>
      </c>
      <c r="G213" t="s">
        <v>84</v>
      </c>
      <c r="H213" t="s">
        <v>151</v>
      </c>
      <c r="I213" t="s">
        <v>439</v>
      </c>
      <c r="J213" t="s">
        <v>440</v>
      </c>
      <c r="K213" t="s">
        <v>82</v>
      </c>
      <c r="L213">
        <v>131202.5</v>
      </c>
      <c r="M213" t="s">
        <v>83</v>
      </c>
      <c r="U213">
        <v>0</v>
      </c>
      <c r="V213">
        <v>0</v>
      </c>
      <c r="W213">
        <v>116983.75</v>
      </c>
    </row>
    <row r="214" spans="1:25" x14ac:dyDescent="0.25">
      <c r="A214" t="s">
        <v>422</v>
      </c>
      <c r="B214">
        <v>1</v>
      </c>
      <c r="C214" t="s">
        <v>258</v>
      </c>
      <c r="D214" t="s">
        <v>423</v>
      </c>
      <c r="E214" t="s">
        <v>260</v>
      </c>
      <c r="F214" t="s">
        <v>261</v>
      </c>
      <c r="G214" t="s">
        <v>441</v>
      </c>
      <c r="H214" t="s">
        <v>151</v>
      </c>
      <c r="I214" t="s">
        <v>422</v>
      </c>
      <c r="J214" t="s">
        <v>442</v>
      </c>
      <c r="K214" t="s">
        <v>82</v>
      </c>
      <c r="L214">
        <v>102765</v>
      </c>
      <c r="M214" t="s">
        <v>83</v>
      </c>
      <c r="N214">
        <v>116983.75</v>
      </c>
      <c r="U214">
        <v>0</v>
      </c>
      <c r="V214">
        <v>0</v>
      </c>
      <c r="W214">
        <v>116983.75</v>
      </c>
      <c r="X214">
        <v>102765</v>
      </c>
      <c r="Y214">
        <v>102765</v>
      </c>
    </row>
    <row r="215" spans="1:25" x14ac:dyDescent="0.25">
      <c r="A215" t="s">
        <v>422</v>
      </c>
      <c r="B215">
        <v>0</v>
      </c>
      <c r="C215" t="s">
        <v>258</v>
      </c>
      <c r="D215" t="s">
        <v>423</v>
      </c>
      <c r="E215" t="s">
        <v>260</v>
      </c>
      <c r="F215" t="s">
        <v>261</v>
      </c>
      <c r="G215" t="s">
        <v>84</v>
      </c>
      <c r="H215" t="s">
        <v>80</v>
      </c>
      <c r="I215" t="s">
        <v>422</v>
      </c>
      <c r="J215" t="s">
        <v>443</v>
      </c>
      <c r="K215" t="s">
        <v>82</v>
      </c>
      <c r="L215">
        <v>651508.09499999997</v>
      </c>
      <c r="M215" t="s">
        <v>83</v>
      </c>
      <c r="P215">
        <v>1</v>
      </c>
      <c r="T215">
        <v>1</v>
      </c>
      <c r="U215">
        <v>0</v>
      </c>
      <c r="V215">
        <v>0</v>
      </c>
      <c r="W215">
        <v>758314.41500000004</v>
      </c>
    </row>
    <row r="216" spans="1:25" x14ac:dyDescent="0.25">
      <c r="A216" t="s">
        <v>422</v>
      </c>
      <c r="B216">
        <v>1</v>
      </c>
      <c r="C216" t="s">
        <v>258</v>
      </c>
      <c r="D216" t="s">
        <v>423</v>
      </c>
      <c r="E216" t="s">
        <v>260</v>
      </c>
      <c r="F216" t="s">
        <v>261</v>
      </c>
      <c r="G216" t="s">
        <v>248</v>
      </c>
      <c r="H216" t="s">
        <v>80</v>
      </c>
      <c r="I216" t="s">
        <v>444</v>
      </c>
      <c r="J216" t="s">
        <v>445</v>
      </c>
      <c r="K216" t="s">
        <v>82</v>
      </c>
      <c r="L216">
        <v>746640.52500000002</v>
      </c>
      <c r="M216" t="s">
        <v>83</v>
      </c>
      <c r="N216">
        <v>758314.41500000004</v>
      </c>
      <c r="U216">
        <v>0</v>
      </c>
      <c r="V216">
        <v>0</v>
      </c>
      <c r="W216">
        <v>758314.41500000004</v>
      </c>
      <c r="X216">
        <v>746640.52500000002</v>
      </c>
      <c r="Y216">
        <v>746640.52500000002</v>
      </c>
    </row>
    <row r="217" spans="1:25" x14ac:dyDescent="0.25">
      <c r="A217" t="s">
        <v>422</v>
      </c>
      <c r="B217">
        <v>0</v>
      </c>
      <c r="C217" t="s">
        <v>258</v>
      </c>
      <c r="D217" t="s">
        <v>423</v>
      </c>
      <c r="E217" t="s">
        <v>260</v>
      </c>
      <c r="F217" t="s">
        <v>261</v>
      </c>
      <c r="G217" t="s">
        <v>84</v>
      </c>
      <c r="H217" t="s">
        <v>80</v>
      </c>
      <c r="I217" t="s">
        <v>444</v>
      </c>
      <c r="J217" t="s">
        <v>446</v>
      </c>
      <c r="K217" t="s">
        <v>82</v>
      </c>
      <c r="L217">
        <v>876794.625</v>
      </c>
      <c r="M217" t="s">
        <v>83</v>
      </c>
      <c r="P217">
        <v>1</v>
      </c>
      <c r="T217">
        <v>1</v>
      </c>
      <c r="U217">
        <v>0</v>
      </c>
      <c r="V217">
        <v>0</v>
      </c>
      <c r="W217">
        <v>758314.41500000004</v>
      </c>
    </row>
    <row r="218" spans="1:25" x14ac:dyDescent="0.25">
      <c r="A218" t="s">
        <v>422</v>
      </c>
      <c r="B218">
        <v>0</v>
      </c>
      <c r="C218" t="s">
        <v>258</v>
      </c>
      <c r="D218" t="s">
        <v>423</v>
      </c>
      <c r="E218" t="s">
        <v>260</v>
      </c>
      <c r="F218" t="s">
        <v>261</v>
      </c>
      <c r="G218" t="s">
        <v>84</v>
      </c>
      <c r="H218" t="s">
        <v>106</v>
      </c>
      <c r="I218" t="s">
        <v>422</v>
      </c>
      <c r="J218" t="s">
        <v>447</v>
      </c>
      <c r="K218" t="s">
        <v>82</v>
      </c>
      <c r="L218">
        <v>6207.47</v>
      </c>
      <c r="M218" t="s">
        <v>83</v>
      </c>
      <c r="P218">
        <v>1</v>
      </c>
      <c r="T218">
        <v>1</v>
      </c>
      <c r="U218">
        <v>0</v>
      </c>
      <c r="V218">
        <v>0</v>
      </c>
      <c r="W218">
        <v>4912.9341666666669</v>
      </c>
    </row>
    <row r="219" spans="1:25" x14ac:dyDescent="0.25">
      <c r="A219" t="s">
        <v>422</v>
      </c>
      <c r="B219">
        <v>1</v>
      </c>
      <c r="C219" t="s">
        <v>258</v>
      </c>
      <c r="D219" t="s">
        <v>423</v>
      </c>
      <c r="E219" t="s">
        <v>260</v>
      </c>
      <c r="F219" t="s">
        <v>261</v>
      </c>
      <c r="G219" t="s">
        <v>248</v>
      </c>
      <c r="H219" t="s">
        <v>106</v>
      </c>
      <c r="I219" t="s">
        <v>444</v>
      </c>
      <c r="J219" t="s">
        <v>448</v>
      </c>
      <c r="K219" t="s">
        <v>82</v>
      </c>
      <c r="L219">
        <v>5356.7</v>
      </c>
      <c r="M219" t="s">
        <v>83</v>
      </c>
      <c r="N219">
        <v>4912.9341670000003</v>
      </c>
      <c r="U219">
        <v>0</v>
      </c>
      <c r="V219">
        <v>0</v>
      </c>
      <c r="W219">
        <v>4912.9341666666669</v>
      </c>
      <c r="X219">
        <v>5356.7</v>
      </c>
      <c r="Y219">
        <v>5356.7</v>
      </c>
    </row>
    <row r="220" spans="1:25" x14ac:dyDescent="0.25">
      <c r="A220" t="s">
        <v>422</v>
      </c>
      <c r="B220">
        <v>0</v>
      </c>
      <c r="C220" t="s">
        <v>258</v>
      </c>
      <c r="D220" t="s">
        <v>423</v>
      </c>
      <c r="E220" t="s">
        <v>260</v>
      </c>
      <c r="F220" t="s">
        <v>261</v>
      </c>
      <c r="G220" t="s">
        <v>84</v>
      </c>
      <c r="H220" t="s">
        <v>106</v>
      </c>
      <c r="I220" t="s">
        <v>444</v>
      </c>
      <c r="J220" t="s">
        <v>449</v>
      </c>
      <c r="K220" t="s">
        <v>82</v>
      </c>
      <c r="L220">
        <v>3174.6325000000002</v>
      </c>
      <c r="M220" t="s">
        <v>83</v>
      </c>
      <c r="P220">
        <v>1</v>
      </c>
      <c r="T220">
        <v>1</v>
      </c>
      <c r="U220">
        <v>0</v>
      </c>
      <c r="V220">
        <v>0</v>
      </c>
      <c r="W220">
        <v>4912.9341666666669</v>
      </c>
    </row>
    <row r="221" spans="1:25" x14ac:dyDescent="0.25">
      <c r="A221" t="s">
        <v>422</v>
      </c>
      <c r="B221">
        <v>0</v>
      </c>
      <c r="C221" t="s">
        <v>258</v>
      </c>
      <c r="D221" t="s">
        <v>423</v>
      </c>
      <c r="E221" t="s">
        <v>260</v>
      </c>
      <c r="F221" t="s">
        <v>261</v>
      </c>
      <c r="G221" t="s">
        <v>84</v>
      </c>
      <c r="H221" t="s">
        <v>110</v>
      </c>
      <c r="I221" t="s">
        <v>422</v>
      </c>
      <c r="J221" t="s">
        <v>450</v>
      </c>
      <c r="K221" t="s">
        <v>82</v>
      </c>
      <c r="L221">
        <v>19592</v>
      </c>
      <c r="M221" t="s">
        <v>83</v>
      </c>
      <c r="P221">
        <v>1</v>
      </c>
      <c r="T221">
        <v>1</v>
      </c>
      <c r="U221">
        <v>0</v>
      </c>
      <c r="V221">
        <v>0</v>
      </c>
      <c r="W221">
        <v>14893</v>
      </c>
    </row>
    <row r="222" spans="1:25" x14ac:dyDescent="0.25">
      <c r="A222" t="s">
        <v>422</v>
      </c>
      <c r="B222">
        <v>1</v>
      </c>
      <c r="C222" t="s">
        <v>258</v>
      </c>
      <c r="D222" t="s">
        <v>423</v>
      </c>
      <c r="E222" t="s">
        <v>260</v>
      </c>
      <c r="F222" t="s">
        <v>261</v>
      </c>
      <c r="G222" t="s">
        <v>248</v>
      </c>
      <c r="H222" t="s">
        <v>110</v>
      </c>
      <c r="I222" t="s">
        <v>444</v>
      </c>
      <c r="J222" t="s">
        <v>451</v>
      </c>
      <c r="K222" t="s">
        <v>82</v>
      </c>
      <c r="L222">
        <v>8704</v>
      </c>
      <c r="M222" t="s">
        <v>83</v>
      </c>
      <c r="N222">
        <v>14893</v>
      </c>
      <c r="U222">
        <v>0</v>
      </c>
      <c r="V222">
        <v>0</v>
      </c>
      <c r="W222">
        <v>14893</v>
      </c>
      <c r="X222">
        <v>8704</v>
      </c>
      <c r="Y222">
        <v>8704</v>
      </c>
    </row>
    <row r="223" spans="1:25" x14ac:dyDescent="0.25">
      <c r="A223" t="s">
        <v>422</v>
      </c>
      <c r="B223">
        <v>0</v>
      </c>
      <c r="C223" t="s">
        <v>258</v>
      </c>
      <c r="D223" t="s">
        <v>423</v>
      </c>
      <c r="E223" t="s">
        <v>260</v>
      </c>
      <c r="F223" t="s">
        <v>261</v>
      </c>
      <c r="G223" t="s">
        <v>84</v>
      </c>
      <c r="H223" t="s">
        <v>110</v>
      </c>
      <c r="I223" t="s">
        <v>444</v>
      </c>
      <c r="J223" t="s">
        <v>452</v>
      </c>
      <c r="K223" t="s">
        <v>82</v>
      </c>
      <c r="L223">
        <v>16383</v>
      </c>
      <c r="M223" t="s">
        <v>83</v>
      </c>
      <c r="P223">
        <v>1</v>
      </c>
      <c r="T223">
        <v>1</v>
      </c>
      <c r="U223">
        <v>0</v>
      </c>
      <c r="V223">
        <v>0</v>
      </c>
      <c r="W223">
        <v>14893</v>
      </c>
    </row>
    <row r="224" spans="1:25" x14ac:dyDescent="0.25">
      <c r="A224" t="s">
        <v>422</v>
      </c>
      <c r="B224">
        <v>0</v>
      </c>
      <c r="C224" t="s">
        <v>258</v>
      </c>
      <c r="D224" t="s">
        <v>423</v>
      </c>
      <c r="E224" t="s">
        <v>260</v>
      </c>
      <c r="F224" t="s">
        <v>261</v>
      </c>
      <c r="G224" t="s">
        <v>84</v>
      </c>
      <c r="H224" t="s">
        <v>114</v>
      </c>
      <c r="I224" t="s">
        <v>432</v>
      </c>
      <c r="J224" t="s">
        <v>453</v>
      </c>
      <c r="K224" t="s">
        <v>82</v>
      </c>
      <c r="L224">
        <v>38700</v>
      </c>
      <c r="M224" t="s">
        <v>83</v>
      </c>
      <c r="U224">
        <v>0</v>
      </c>
      <c r="V224">
        <v>0</v>
      </c>
      <c r="W224">
        <v>47966.666666666664</v>
      </c>
    </row>
    <row r="225" spans="1:25" x14ac:dyDescent="0.25">
      <c r="A225" t="s">
        <v>422</v>
      </c>
      <c r="B225">
        <v>0</v>
      </c>
      <c r="C225" t="s">
        <v>258</v>
      </c>
      <c r="D225" t="s">
        <v>423</v>
      </c>
      <c r="E225" t="s">
        <v>260</v>
      </c>
      <c r="F225" t="s">
        <v>261</v>
      </c>
      <c r="G225" t="s">
        <v>84</v>
      </c>
      <c r="H225" t="s">
        <v>114</v>
      </c>
      <c r="I225" t="s">
        <v>434</v>
      </c>
      <c r="J225" t="s">
        <v>454</v>
      </c>
      <c r="K225" t="s">
        <v>82</v>
      </c>
      <c r="L225">
        <v>50000</v>
      </c>
      <c r="M225" t="s">
        <v>83</v>
      </c>
      <c r="U225">
        <v>0</v>
      </c>
      <c r="V225">
        <v>0</v>
      </c>
      <c r="W225">
        <v>47966.666666666664</v>
      </c>
    </row>
    <row r="226" spans="1:25" x14ac:dyDescent="0.25">
      <c r="A226" t="s">
        <v>422</v>
      </c>
      <c r="B226">
        <v>1</v>
      </c>
      <c r="C226" t="s">
        <v>258</v>
      </c>
      <c r="D226" t="s">
        <v>423</v>
      </c>
      <c r="E226" t="s">
        <v>260</v>
      </c>
      <c r="F226" t="s">
        <v>261</v>
      </c>
      <c r="G226" t="s">
        <v>436</v>
      </c>
      <c r="H226" t="s">
        <v>114</v>
      </c>
      <c r="I226" t="s">
        <v>437</v>
      </c>
      <c r="J226" t="s">
        <v>455</v>
      </c>
      <c r="K226" t="s">
        <v>82</v>
      </c>
      <c r="L226">
        <v>55200</v>
      </c>
      <c r="M226" t="s">
        <v>83</v>
      </c>
      <c r="N226">
        <v>47966.666669999999</v>
      </c>
      <c r="P226">
        <v>1</v>
      </c>
      <c r="U226">
        <v>0</v>
      </c>
      <c r="V226">
        <v>0</v>
      </c>
      <c r="W226">
        <v>47966.666666666664</v>
      </c>
      <c r="X226">
        <v>55200</v>
      </c>
      <c r="Y226">
        <v>55200</v>
      </c>
    </row>
    <row r="227" spans="1:25" x14ac:dyDescent="0.25">
      <c r="A227" t="s">
        <v>456</v>
      </c>
      <c r="B227">
        <v>0</v>
      </c>
      <c r="C227" t="s">
        <v>258</v>
      </c>
      <c r="D227" t="s">
        <v>423</v>
      </c>
      <c r="E227" t="s">
        <v>260</v>
      </c>
      <c r="F227" t="s">
        <v>261</v>
      </c>
      <c r="G227" t="s">
        <v>84</v>
      </c>
      <c r="H227" t="s">
        <v>92</v>
      </c>
      <c r="I227" t="s">
        <v>221</v>
      </c>
      <c r="J227" t="s">
        <v>457</v>
      </c>
      <c r="K227" t="s">
        <v>82</v>
      </c>
      <c r="L227">
        <v>24500</v>
      </c>
      <c r="M227" t="s">
        <v>83</v>
      </c>
      <c r="O227">
        <v>1</v>
      </c>
      <c r="P227">
        <v>1</v>
      </c>
      <c r="Q227">
        <v>1</v>
      </c>
      <c r="T227">
        <v>1</v>
      </c>
      <c r="U227">
        <v>24500</v>
      </c>
      <c r="V227">
        <v>0</v>
      </c>
      <c r="W227">
        <v>25766.666666666668</v>
      </c>
    </row>
    <row r="228" spans="1:25" x14ac:dyDescent="0.25">
      <c r="A228" t="s">
        <v>456</v>
      </c>
      <c r="B228">
        <v>1</v>
      </c>
      <c r="C228" t="s">
        <v>258</v>
      </c>
      <c r="D228" t="s">
        <v>423</v>
      </c>
      <c r="E228" t="s">
        <v>260</v>
      </c>
      <c r="F228" t="s">
        <v>261</v>
      </c>
      <c r="G228" t="s">
        <v>181</v>
      </c>
      <c r="H228" t="s">
        <v>92</v>
      </c>
      <c r="I228" t="s">
        <v>458</v>
      </c>
      <c r="J228" t="s">
        <v>181</v>
      </c>
      <c r="K228" t="s">
        <v>82</v>
      </c>
      <c r="L228">
        <v>20690</v>
      </c>
      <c r="M228" t="s">
        <v>83</v>
      </c>
      <c r="N228">
        <v>25766.666669999999</v>
      </c>
      <c r="O228">
        <v>1</v>
      </c>
      <c r="S228">
        <v>1</v>
      </c>
      <c r="T228">
        <v>1</v>
      </c>
      <c r="U228">
        <v>20690</v>
      </c>
      <c r="V228">
        <v>20690</v>
      </c>
      <c r="W228">
        <v>25766.666666666668</v>
      </c>
      <c r="X228">
        <v>20690</v>
      </c>
      <c r="Y228">
        <v>20690</v>
      </c>
    </row>
    <row r="229" spans="1:25" x14ac:dyDescent="0.25">
      <c r="A229" t="s">
        <v>456</v>
      </c>
      <c r="B229">
        <v>0</v>
      </c>
      <c r="C229" t="s">
        <v>258</v>
      </c>
      <c r="D229" t="s">
        <v>423</v>
      </c>
      <c r="E229" t="s">
        <v>260</v>
      </c>
      <c r="F229" t="s">
        <v>261</v>
      </c>
      <c r="G229" t="s">
        <v>84</v>
      </c>
      <c r="H229" t="s">
        <v>92</v>
      </c>
      <c r="I229" t="s">
        <v>459</v>
      </c>
      <c r="J229" t="s">
        <v>460</v>
      </c>
      <c r="K229" t="s">
        <v>82</v>
      </c>
      <c r="L229">
        <v>32110</v>
      </c>
      <c r="M229" t="s">
        <v>83</v>
      </c>
      <c r="U229">
        <v>0</v>
      </c>
      <c r="V229">
        <v>0</v>
      </c>
      <c r="W229">
        <v>25766.666666666668</v>
      </c>
    </row>
    <row r="230" spans="1:25" x14ac:dyDescent="0.25">
      <c r="A230" t="s">
        <v>456</v>
      </c>
      <c r="B230">
        <v>0</v>
      </c>
      <c r="C230" t="s">
        <v>258</v>
      </c>
      <c r="D230" t="s">
        <v>423</v>
      </c>
      <c r="E230" t="s">
        <v>260</v>
      </c>
      <c r="F230" t="s">
        <v>261</v>
      </c>
      <c r="G230" t="s">
        <v>84</v>
      </c>
      <c r="H230" t="s">
        <v>80</v>
      </c>
      <c r="I230" t="s">
        <v>456</v>
      </c>
      <c r="J230" t="s">
        <v>461</v>
      </c>
      <c r="K230" t="s">
        <v>82</v>
      </c>
      <c r="L230">
        <v>783241.875</v>
      </c>
      <c r="M230" t="s">
        <v>83</v>
      </c>
      <c r="P230">
        <v>1</v>
      </c>
      <c r="T230">
        <v>1</v>
      </c>
      <c r="U230">
        <v>0</v>
      </c>
      <c r="V230">
        <v>0</v>
      </c>
      <c r="W230">
        <v>711043.51246666664</v>
      </c>
    </row>
    <row r="231" spans="1:25" x14ac:dyDescent="0.25">
      <c r="A231" t="s">
        <v>456</v>
      </c>
      <c r="B231">
        <v>1</v>
      </c>
      <c r="C231" t="s">
        <v>258</v>
      </c>
      <c r="D231" t="s">
        <v>423</v>
      </c>
      <c r="E231" t="s">
        <v>260</v>
      </c>
      <c r="F231" t="s">
        <v>261</v>
      </c>
      <c r="G231" t="s">
        <v>167</v>
      </c>
      <c r="H231" t="s">
        <v>80</v>
      </c>
      <c r="I231" t="s">
        <v>456</v>
      </c>
      <c r="J231" t="s">
        <v>462</v>
      </c>
      <c r="K231" t="s">
        <v>82</v>
      </c>
      <c r="L231">
        <v>613851.47239999997</v>
      </c>
      <c r="M231" t="s">
        <v>83</v>
      </c>
      <c r="N231">
        <v>711043.51249999995</v>
      </c>
      <c r="U231">
        <v>0</v>
      </c>
      <c r="V231">
        <v>0</v>
      </c>
      <c r="W231">
        <v>711043.51246666664</v>
      </c>
      <c r="X231">
        <v>613851.47239999997</v>
      </c>
      <c r="Y231">
        <v>613851.47239999997</v>
      </c>
    </row>
    <row r="232" spans="1:25" x14ac:dyDescent="0.25">
      <c r="A232" t="s">
        <v>456</v>
      </c>
      <c r="B232">
        <v>0</v>
      </c>
      <c r="C232" t="s">
        <v>258</v>
      </c>
      <c r="D232" t="s">
        <v>423</v>
      </c>
      <c r="E232" t="s">
        <v>260</v>
      </c>
      <c r="F232" t="s">
        <v>261</v>
      </c>
      <c r="G232" t="s">
        <v>84</v>
      </c>
      <c r="H232" t="s">
        <v>80</v>
      </c>
      <c r="I232" t="s">
        <v>456</v>
      </c>
      <c r="J232" t="s">
        <v>463</v>
      </c>
      <c r="K232" t="s">
        <v>82</v>
      </c>
      <c r="L232">
        <v>736037.19</v>
      </c>
      <c r="M232" t="s">
        <v>83</v>
      </c>
      <c r="S232">
        <v>1</v>
      </c>
      <c r="U232">
        <v>0</v>
      </c>
      <c r="V232">
        <v>0</v>
      </c>
      <c r="W232">
        <v>711043.51246666664</v>
      </c>
    </row>
    <row r="233" spans="1:25" x14ac:dyDescent="0.25">
      <c r="A233" t="s">
        <v>456</v>
      </c>
      <c r="B233">
        <v>0</v>
      </c>
      <c r="C233" t="s">
        <v>258</v>
      </c>
      <c r="D233" t="s">
        <v>423</v>
      </c>
      <c r="E233" t="s">
        <v>260</v>
      </c>
      <c r="F233" t="s">
        <v>261</v>
      </c>
      <c r="G233" t="s">
        <v>84</v>
      </c>
      <c r="H233" t="s">
        <v>106</v>
      </c>
      <c r="I233" t="s">
        <v>456</v>
      </c>
      <c r="J233" t="s">
        <v>464</v>
      </c>
      <c r="K233" t="s">
        <v>82</v>
      </c>
      <c r="L233">
        <v>3883.6075000000001</v>
      </c>
      <c r="M233" t="s">
        <v>83</v>
      </c>
      <c r="P233">
        <v>1</v>
      </c>
      <c r="T233">
        <v>1</v>
      </c>
      <c r="U233">
        <v>0</v>
      </c>
      <c r="V233">
        <v>0</v>
      </c>
      <c r="W233">
        <v>5621.9091666666673</v>
      </c>
    </row>
    <row r="234" spans="1:25" x14ac:dyDescent="0.25">
      <c r="A234" t="s">
        <v>456</v>
      </c>
      <c r="B234">
        <v>1</v>
      </c>
      <c r="C234" t="s">
        <v>258</v>
      </c>
      <c r="D234" t="s">
        <v>423</v>
      </c>
      <c r="E234" t="s">
        <v>260</v>
      </c>
      <c r="F234" t="s">
        <v>261</v>
      </c>
      <c r="G234" t="s">
        <v>167</v>
      </c>
      <c r="H234" t="s">
        <v>106</v>
      </c>
      <c r="I234" t="s">
        <v>456</v>
      </c>
      <c r="J234" t="s">
        <v>465</v>
      </c>
      <c r="K234" t="s">
        <v>82</v>
      </c>
      <c r="L234">
        <v>7207.9125000000004</v>
      </c>
      <c r="M234" t="s">
        <v>83</v>
      </c>
      <c r="N234">
        <v>5621.9091669999998</v>
      </c>
      <c r="U234">
        <v>0</v>
      </c>
      <c r="V234">
        <v>0</v>
      </c>
      <c r="W234">
        <v>5621.9091666666673</v>
      </c>
      <c r="X234">
        <v>7207.9125000000004</v>
      </c>
      <c r="Y234">
        <v>7207.9125000000004</v>
      </c>
    </row>
    <row r="235" spans="1:25" x14ac:dyDescent="0.25">
      <c r="A235" t="s">
        <v>456</v>
      </c>
      <c r="B235">
        <v>0</v>
      </c>
      <c r="C235" t="s">
        <v>258</v>
      </c>
      <c r="D235" t="s">
        <v>423</v>
      </c>
      <c r="E235" t="s">
        <v>260</v>
      </c>
      <c r="F235" t="s">
        <v>261</v>
      </c>
      <c r="G235" t="s">
        <v>84</v>
      </c>
      <c r="H235" t="s">
        <v>106</v>
      </c>
      <c r="I235" t="s">
        <v>456</v>
      </c>
      <c r="J235" t="s">
        <v>466</v>
      </c>
      <c r="K235" t="s">
        <v>82</v>
      </c>
      <c r="L235">
        <v>5774.2075000000004</v>
      </c>
      <c r="M235" t="s">
        <v>83</v>
      </c>
      <c r="S235">
        <v>1</v>
      </c>
      <c r="U235">
        <v>0</v>
      </c>
      <c r="V235">
        <v>0</v>
      </c>
      <c r="W235">
        <v>5621.9091666666673</v>
      </c>
    </row>
    <row r="236" spans="1:25" x14ac:dyDescent="0.25">
      <c r="A236" t="s">
        <v>456</v>
      </c>
      <c r="B236">
        <v>0</v>
      </c>
      <c r="C236" t="s">
        <v>258</v>
      </c>
      <c r="D236" t="s">
        <v>423</v>
      </c>
      <c r="E236" t="s">
        <v>260</v>
      </c>
      <c r="F236" t="s">
        <v>261</v>
      </c>
      <c r="G236" t="s">
        <v>84</v>
      </c>
      <c r="H236" t="s">
        <v>110</v>
      </c>
      <c r="I236" t="s">
        <v>456</v>
      </c>
      <c r="J236" t="s">
        <v>467</v>
      </c>
      <c r="K236" t="s">
        <v>82</v>
      </c>
      <c r="L236">
        <v>9271</v>
      </c>
      <c r="M236" t="s">
        <v>83</v>
      </c>
      <c r="P236">
        <v>1</v>
      </c>
      <c r="T236">
        <v>1</v>
      </c>
      <c r="U236">
        <v>0</v>
      </c>
      <c r="V236">
        <v>0</v>
      </c>
      <c r="W236">
        <v>16903.666666666668</v>
      </c>
    </row>
    <row r="237" spans="1:25" x14ac:dyDescent="0.25">
      <c r="A237" t="s">
        <v>456</v>
      </c>
      <c r="B237">
        <v>1</v>
      </c>
      <c r="C237" t="s">
        <v>258</v>
      </c>
      <c r="D237" t="s">
        <v>423</v>
      </c>
      <c r="E237" t="s">
        <v>260</v>
      </c>
      <c r="F237" t="s">
        <v>261</v>
      </c>
      <c r="G237" t="s">
        <v>167</v>
      </c>
      <c r="H237" t="s">
        <v>110</v>
      </c>
      <c r="I237" t="s">
        <v>456</v>
      </c>
      <c r="J237" t="s">
        <v>468</v>
      </c>
      <c r="K237" t="s">
        <v>82</v>
      </c>
      <c r="L237">
        <v>20320</v>
      </c>
      <c r="M237" t="s">
        <v>83</v>
      </c>
      <c r="N237">
        <v>16903.666669999999</v>
      </c>
      <c r="U237">
        <v>0</v>
      </c>
      <c r="V237">
        <v>0</v>
      </c>
      <c r="W237">
        <v>16903.666666666668</v>
      </c>
      <c r="X237">
        <v>20320</v>
      </c>
      <c r="Y237">
        <v>20320</v>
      </c>
    </row>
    <row r="238" spans="1:25" x14ac:dyDescent="0.25">
      <c r="A238" t="s">
        <v>456</v>
      </c>
      <c r="B238">
        <v>0</v>
      </c>
      <c r="C238" t="s">
        <v>258</v>
      </c>
      <c r="D238" t="s">
        <v>423</v>
      </c>
      <c r="E238" t="s">
        <v>260</v>
      </c>
      <c r="F238" t="s">
        <v>261</v>
      </c>
      <c r="G238" t="s">
        <v>84</v>
      </c>
      <c r="H238" t="s">
        <v>110</v>
      </c>
      <c r="I238" t="s">
        <v>456</v>
      </c>
      <c r="J238" t="s">
        <v>469</v>
      </c>
      <c r="K238" t="s">
        <v>82</v>
      </c>
      <c r="L238">
        <v>21120</v>
      </c>
      <c r="M238" t="s">
        <v>83</v>
      </c>
      <c r="S238">
        <v>1</v>
      </c>
      <c r="U238">
        <v>0</v>
      </c>
      <c r="V238">
        <v>0</v>
      </c>
      <c r="W238">
        <v>16903.666666666668</v>
      </c>
    </row>
    <row r="239" spans="1:25" x14ac:dyDescent="0.25">
      <c r="A239" t="s">
        <v>456</v>
      </c>
      <c r="B239">
        <v>0</v>
      </c>
      <c r="C239" t="s">
        <v>258</v>
      </c>
      <c r="D239" t="s">
        <v>423</v>
      </c>
      <c r="E239" t="s">
        <v>260</v>
      </c>
      <c r="F239" t="s">
        <v>261</v>
      </c>
      <c r="G239" t="s">
        <v>84</v>
      </c>
      <c r="H239" t="s">
        <v>87</v>
      </c>
      <c r="I239" t="s">
        <v>456</v>
      </c>
      <c r="J239" t="s">
        <v>470</v>
      </c>
      <c r="K239" t="s">
        <v>82</v>
      </c>
      <c r="L239">
        <v>115561.25</v>
      </c>
      <c r="M239" t="s">
        <v>83</v>
      </c>
      <c r="T239">
        <v>1</v>
      </c>
      <c r="U239">
        <v>0</v>
      </c>
      <c r="V239">
        <v>0</v>
      </c>
      <c r="W239">
        <v>147026.44443333332</v>
      </c>
    </row>
    <row r="240" spans="1:25" x14ac:dyDescent="0.25">
      <c r="A240" t="s">
        <v>456</v>
      </c>
      <c r="B240">
        <v>1</v>
      </c>
      <c r="C240" t="s">
        <v>258</v>
      </c>
      <c r="D240" t="s">
        <v>423</v>
      </c>
      <c r="E240" t="s">
        <v>260</v>
      </c>
      <c r="F240" t="s">
        <v>261</v>
      </c>
      <c r="G240" t="s">
        <v>316</v>
      </c>
      <c r="H240" t="s">
        <v>87</v>
      </c>
      <c r="I240" t="s">
        <v>456</v>
      </c>
      <c r="J240" t="s">
        <v>471</v>
      </c>
      <c r="K240" t="s">
        <v>82</v>
      </c>
      <c r="L240">
        <v>173646.2</v>
      </c>
      <c r="M240" t="s">
        <v>83</v>
      </c>
      <c r="N240">
        <v>147026.44440000001</v>
      </c>
      <c r="Q240">
        <v>1</v>
      </c>
      <c r="U240">
        <v>0</v>
      </c>
      <c r="V240">
        <v>0</v>
      </c>
      <c r="W240">
        <v>147026.44443333332</v>
      </c>
      <c r="X240">
        <v>173646.2</v>
      </c>
      <c r="Y240">
        <v>173646.2</v>
      </c>
    </row>
    <row r="241" spans="1:25" x14ac:dyDescent="0.25">
      <c r="A241" t="s">
        <v>456</v>
      </c>
      <c r="B241">
        <v>0</v>
      </c>
      <c r="C241" t="s">
        <v>258</v>
      </c>
      <c r="D241" t="s">
        <v>423</v>
      </c>
      <c r="E241" t="s">
        <v>472</v>
      </c>
      <c r="F241" t="s">
        <v>261</v>
      </c>
      <c r="G241" t="s">
        <v>84</v>
      </c>
      <c r="H241" t="s">
        <v>87</v>
      </c>
      <c r="I241" t="s">
        <v>473</v>
      </c>
      <c r="J241" t="s">
        <v>474</v>
      </c>
      <c r="K241" t="s">
        <v>82</v>
      </c>
      <c r="L241">
        <v>151871.88329999999</v>
      </c>
      <c r="M241" t="s">
        <v>83</v>
      </c>
      <c r="U241">
        <v>0</v>
      </c>
      <c r="V241">
        <v>0</v>
      </c>
      <c r="W241">
        <v>147026.44443333332</v>
      </c>
    </row>
    <row r="242" spans="1:25" x14ac:dyDescent="0.25">
      <c r="A242" t="s">
        <v>456</v>
      </c>
      <c r="B242">
        <v>1</v>
      </c>
      <c r="C242" t="s">
        <v>258</v>
      </c>
      <c r="D242" t="s">
        <v>423</v>
      </c>
      <c r="E242" t="s">
        <v>472</v>
      </c>
      <c r="F242" t="s">
        <v>261</v>
      </c>
      <c r="G242" t="s">
        <v>289</v>
      </c>
      <c r="H242" t="s">
        <v>98</v>
      </c>
      <c r="I242" t="s">
        <v>475</v>
      </c>
      <c r="J242" t="s">
        <v>476</v>
      </c>
      <c r="K242" t="s">
        <v>82</v>
      </c>
      <c r="L242">
        <v>56650</v>
      </c>
      <c r="M242" t="s">
        <v>83</v>
      </c>
      <c r="N242">
        <v>36483.333330000001</v>
      </c>
      <c r="U242">
        <v>0</v>
      </c>
      <c r="V242">
        <v>0</v>
      </c>
      <c r="W242">
        <v>36483.333333333328</v>
      </c>
      <c r="X242">
        <v>56650</v>
      </c>
      <c r="Y242">
        <v>56650</v>
      </c>
    </row>
    <row r="243" spans="1:25" x14ac:dyDescent="0.25">
      <c r="A243" t="s">
        <v>456</v>
      </c>
      <c r="B243">
        <v>0</v>
      </c>
      <c r="C243" t="s">
        <v>258</v>
      </c>
      <c r="D243" t="s">
        <v>423</v>
      </c>
      <c r="E243" t="s">
        <v>472</v>
      </c>
      <c r="F243" t="s">
        <v>261</v>
      </c>
      <c r="G243" t="s">
        <v>84</v>
      </c>
      <c r="H243" t="s">
        <v>98</v>
      </c>
      <c r="I243" t="s">
        <v>477</v>
      </c>
      <c r="J243" t="s">
        <v>478</v>
      </c>
      <c r="K243" t="s">
        <v>82</v>
      </c>
      <c r="L243">
        <v>21950</v>
      </c>
      <c r="M243" t="s">
        <v>83</v>
      </c>
      <c r="U243">
        <v>0</v>
      </c>
      <c r="V243">
        <v>0</v>
      </c>
      <c r="W243">
        <v>36483.333333333328</v>
      </c>
    </row>
    <row r="244" spans="1:25" x14ac:dyDescent="0.25">
      <c r="A244" t="s">
        <v>456</v>
      </c>
      <c r="B244">
        <v>0</v>
      </c>
      <c r="C244" t="s">
        <v>258</v>
      </c>
      <c r="D244" t="s">
        <v>423</v>
      </c>
      <c r="E244" t="s">
        <v>472</v>
      </c>
      <c r="F244" t="s">
        <v>261</v>
      </c>
      <c r="G244" t="s">
        <v>84</v>
      </c>
      <c r="H244" t="s">
        <v>98</v>
      </c>
      <c r="I244" t="s">
        <v>479</v>
      </c>
      <c r="J244" t="s">
        <v>480</v>
      </c>
      <c r="K244" t="s">
        <v>82</v>
      </c>
      <c r="L244">
        <v>30850</v>
      </c>
      <c r="M244" t="s">
        <v>83</v>
      </c>
      <c r="S244">
        <v>1</v>
      </c>
      <c r="U244">
        <v>0</v>
      </c>
      <c r="V244">
        <v>0</v>
      </c>
      <c r="W244">
        <v>36483.333333333328</v>
      </c>
    </row>
    <row r="245" spans="1:25" x14ac:dyDescent="0.25">
      <c r="A245" t="s">
        <v>481</v>
      </c>
      <c r="B245">
        <v>1</v>
      </c>
      <c r="C245" t="s">
        <v>258</v>
      </c>
      <c r="D245" t="s">
        <v>423</v>
      </c>
      <c r="E245" t="s">
        <v>472</v>
      </c>
      <c r="F245" t="s">
        <v>261</v>
      </c>
      <c r="G245" t="s">
        <v>248</v>
      </c>
      <c r="H245" t="s">
        <v>80</v>
      </c>
      <c r="I245" t="s">
        <v>481</v>
      </c>
      <c r="J245" t="s">
        <v>482</v>
      </c>
      <c r="K245" t="s">
        <v>82</v>
      </c>
      <c r="L245">
        <v>1025091.738</v>
      </c>
      <c r="M245" t="s">
        <v>83</v>
      </c>
      <c r="N245">
        <v>791032.91899999999</v>
      </c>
      <c r="U245">
        <v>0</v>
      </c>
      <c r="V245">
        <v>0</v>
      </c>
      <c r="W245">
        <v>791032.91916666669</v>
      </c>
      <c r="X245">
        <v>1025091.738</v>
      </c>
      <c r="Y245">
        <v>1025091.738</v>
      </c>
    </row>
    <row r="246" spans="1:25" x14ac:dyDescent="0.25">
      <c r="A246" t="s">
        <v>481</v>
      </c>
      <c r="B246">
        <v>0</v>
      </c>
      <c r="C246" t="s">
        <v>258</v>
      </c>
      <c r="D246" t="s">
        <v>423</v>
      </c>
      <c r="E246" t="s">
        <v>472</v>
      </c>
      <c r="F246" t="s">
        <v>261</v>
      </c>
      <c r="G246" t="s">
        <v>84</v>
      </c>
      <c r="H246" t="s">
        <v>80</v>
      </c>
      <c r="I246" t="s">
        <v>481</v>
      </c>
      <c r="J246" t="s">
        <v>483</v>
      </c>
      <c r="K246" t="s">
        <v>82</v>
      </c>
      <c r="L246">
        <v>726861.22089999996</v>
      </c>
      <c r="M246" t="s">
        <v>83</v>
      </c>
      <c r="U246">
        <v>0</v>
      </c>
      <c r="V246">
        <v>0</v>
      </c>
      <c r="W246">
        <v>791032.91916666669</v>
      </c>
    </row>
    <row r="247" spans="1:25" x14ac:dyDescent="0.25">
      <c r="A247" t="s">
        <v>481</v>
      </c>
      <c r="B247">
        <v>0</v>
      </c>
      <c r="C247" t="s">
        <v>258</v>
      </c>
      <c r="D247" t="s">
        <v>423</v>
      </c>
      <c r="E247" t="s">
        <v>472</v>
      </c>
      <c r="F247" t="s">
        <v>261</v>
      </c>
      <c r="G247" t="s">
        <v>84</v>
      </c>
      <c r="H247" t="s">
        <v>80</v>
      </c>
      <c r="I247" t="s">
        <v>484</v>
      </c>
      <c r="J247" t="s">
        <v>485</v>
      </c>
      <c r="K247" t="s">
        <v>82</v>
      </c>
      <c r="L247">
        <v>621145.79859999998</v>
      </c>
      <c r="M247" t="s">
        <v>83</v>
      </c>
      <c r="U247">
        <v>0</v>
      </c>
      <c r="V247">
        <v>0</v>
      </c>
      <c r="W247">
        <v>791032.91916666669</v>
      </c>
    </row>
    <row r="248" spans="1:25" x14ac:dyDescent="0.25">
      <c r="A248" t="s">
        <v>481</v>
      </c>
      <c r="B248">
        <v>1</v>
      </c>
      <c r="C248" t="s">
        <v>258</v>
      </c>
      <c r="D248" t="s">
        <v>423</v>
      </c>
      <c r="E248" t="s">
        <v>472</v>
      </c>
      <c r="F248" t="s">
        <v>261</v>
      </c>
      <c r="G248" t="s">
        <v>182</v>
      </c>
      <c r="H248" t="s">
        <v>92</v>
      </c>
      <c r="I248" t="s">
        <v>486</v>
      </c>
      <c r="J248" t="s">
        <v>487</v>
      </c>
      <c r="K248" t="s">
        <v>82</v>
      </c>
      <c r="L248">
        <v>27850</v>
      </c>
      <c r="M248" t="s">
        <v>83</v>
      </c>
      <c r="N248">
        <v>38780</v>
      </c>
      <c r="R248">
        <v>1</v>
      </c>
      <c r="T248">
        <v>1</v>
      </c>
      <c r="U248">
        <v>0</v>
      </c>
      <c r="V248">
        <v>0</v>
      </c>
      <c r="W248">
        <v>38780</v>
      </c>
      <c r="X248">
        <v>27850</v>
      </c>
      <c r="Y248">
        <v>27850</v>
      </c>
    </row>
    <row r="249" spans="1:25" x14ac:dyDescent="0.25">
      <c r="A249" t="s">
        <v>481</v>
      </c>
      <c r="B249">
        <v>0</v>
      </c>
      <c r="C249" t="s">
        <v>258</v>
      </c>
      <c r="D249" t="s">
        <v>423</v>
      </c>
      <c r="E249" t="s">
        <v>472</v>
      </c>
      <c r="F249" t="s">
        <v>261</v>
      </c>
      <c r="G249" t="s">
        <v>84</v>
      </c>
      <c r="H249" t="s">
        <v>92</v>
      </c>
      <c r="I249" t="s">
        <v>488</v>
      </c>
      <c r="J249" t="s">
        <v>303</v>
      </c>
      <c r="K249" t="s">
        <v>82</v>
      </c>
      <c r="L249">
        <v>49710</v>
      </c>
      <c r="M249" t="s">
        <v>83</v>
      </c>
      <c r="Q249">
        <v>1</v>
      </c>
      <c r="R249">
        <v>1</v>
      </c>
      <c r="U249">
        <v>0</v>
      </c>
      <c r="V249">
        <v>0</v>
      </c>
      <c r="W249">
        <v>38780</v>
      </c>
    </row>
    <row r="250" spans="1:25" x14ac:dyDescent="0.25">
      <c r="A250" t="s">
        <v>481</v>
      </c>
      <c r="B250">
        <v>1</v>
      </c>
      <c r="C250" t="s">
        <v>258</v>
      </c>
      <c r="D250" t="s">
        <v>423</v>
      </c>
      <c r="E250" t="s">
        <v>472</v>
      </c>
      <c r="F250" t="s">
        <v>261</v>
      </c>
      <c r="G250" t="s">
        <v>248</v>
      </c>
      <c r="H250" t="s">
        <v>106</v>
      </c>
      <c r="I250" t="s">
        <v>481</v>
      </c>
      <c r="J250" t="s">
        <v>489</v>
      </c>
      <c r="K250" t="s">
        <v>82</v>
      </c>
      <c r="L250">
        <v>10327.4025</v>
      </c>
      <c r="M250" t="s">
        <v>83</v>
      </c>
      <c r="N250">
        <v>10028.057500000001</v>
      </c>
      <c r="U250">
        <v>0</v>
      </c>
      <c r="V250">
        <v>0</v>
      </c>
      <c r="W250">
        <v>10028.057500000001</v>
      </c>
      <c r="X250">
        <v>10327.4025</v>
      </c>
      <c r="Y250">
        <v>10327.4025</v>
      </c>
    </row>
    <row r="251" spans="1:25" x14ac:dyDescent="0.25">
      <c r="A251" t="s">
        <v>481</v>
      </c>
      <c r="B251">
        <v>0</v>
      </c>
      <c r="C251" t="s">
        <v>258</v>
      </c>
      <c r="D251" t="s">
        <v>423</v>
      </c>
      <c r="E251" t="s">
        <v>472</v>
      </c>
      <c r="F251" t="s">
        <v>261</v>
      </c>
      <c r="G251" t="s">
        <v>84</v>
      </c>
      <c r="H251" t="s">
        <v>106</v>
      </c>
      <c r="I251" t="s">
        <v>481</v>
      </c>
      <c r="J251" t="s">
        <v>490</v>
      </c>
      <c r="K251" t="s">
        <v>82</v>
      </c>
      <c r="L251">
        <v>6168.0825000000004</v>
      </c>
      <c r="M251" t="s">
        <v>83</v>
      </c>
      <c r="U251">
        <v>0</v>
      </c>
      <c r="V251">
        <v>0</v>
      </c>
      <c r="W251">
        <v>10028.057500000001</v>
      </c>
    </row>
    <row r="252" spans="1:25" x14ac:dyDescent="0.25">
      <c r="A252" t="s">
        <v>481</v>
      </c>
      <c r="B252">
        <v>0</v>
      </c>
      <c r="C252" t="s">
        <v>258</v>
      </c>
      <c r="D252" t="s">
        <v>423</v>
      </c>
      <c r="E252" t="s">
        <v>338</v>
      </c>
      <c r="F252" t="s">
        <v>261</v>
      </c>
      <c r="G252" t="s">
        <v>84</v>
      </c>
      <c r="H252" t="s">
        <v>106</v>
      </c>
      <c r="I252" t="s">
        <v>484</v>
      </c>
      <c r="J252" t="s">
        <v>491</v>
      </c>
      <c r="K252" t="s">
        <v>82</v>
      </c>
      <c r="L252">
        <v>13588.6875</v>
      </c>
      <c r="M252" t="s">
        <v>83</v>
      </c>
      <c r="U252">
        <v>0</v>
      </c>
      <c r="V252">
        <v>0</v>
      </c>
      <c r="W252">
        <v>10028.057500000001</v>
      </c>
    </row>
    <row r="253" spans="1:25" x14ac:dyDescent="0.25">
      <c r="A253" t="s">
        <v>481</v>
      </c>
      <c r="B253">
        <v>1</v>
      </c>
      <c r="C253" t="s">
        <v>258</v>
      </c>
      <c r="D253" t="s">
        <v>423</v>
      </c>
      <c r="E253" t="s">
        <v>338</v>
      </c>
      <c r="F253" t="s">
        <v>261</v>
      </c>
      <c r="G253" t="s">
        <v>248</v>
      </c>
      <c r="H253" t="s">
        <v>110</v>
      </c>
      <c r="I253" t="s">
        <v>481</v>
      </c>
      <c r="J253" t="s">
        <v>492</v>
      </c>
      <c r="K253" t="s">
        <v>82</v>
      </c>
      <c r="L253">
        <v>18576</v>
      </c>
      <c r="M253" t="s">
        <v>83</v>
      </c>
      <c r="N253">
        <v>16579.333330000001</v>
      </c>
      <c r="U253">
        <v>0</v>
      </c>
      <c r="V253">
        <v>0</v>
      </c>
      <c r="W253">
        <v>16579.333333333332</v>
      </c>
      <c r="X253">
        <v>18576</v>
      </c>
      <c r="Y253">
        <v>18576</v>
      </c>
    </row>
    <row r="254" spans="1:25" x14ac:dyDescent="0.25">
      <c r="A254" t="s">
        <v>481</v>
      </c>
      <c r="B254">
        <v>0</v>
      </c>
      <c r="C254" t="s">
        <v>258</v>
      </c>
      <c r="D254" t="s">
        <v>423</v>
      </c>
      <c r="E254" t="s">
        <v>338</v>
      </c>
      <c r="F254" t="s">
        <v>261</v>
      </c>
      <c r="G254" t="s">
        <v>84</v>
      </c>
      <c r="H254" t="s">
        <v>110</v>
      </c>
      <c r="I254" t="s">
        <v>481</v>
      </c>
      <c r="J254" t="s">
        <v>493</v>
      </c>
      <c r="K254" t="s">
        <v>82</v>
      </c>
      <c r="L254">
        <v>12474</v>
      </c>
      <c r="M254" t="s">
        <v>83</v>
      </c>
      <c r="U254">
        <v>0</v>
      </c>
      <c r="V254">
        <v>0</v>
      </c>
      <c r="W254">
        <v>16579.333333333332</v>
      </c>
    </row>
    <row r="255" spans="1:25" x14ac:dyDescent="0.25">
      <c r="A255" t="s">
        <v>481</v>
      </c>
      <c r="B255">
        <v>0</v>
      </c>
      <c r="C255" t="s">
        <v>258</v>
      </c>
      <c r="D255" t="s">
        <v>423</v>
      </c>
      <c r="E255" t="s">
        <v>338</v>
      </c>
      <c r="F255" t="s">
        <v>261</v>
      </c>
      <c r="G255" t="s">
        <v>84</v>
      </c>
      <c r="H255" t="s">
        <v>110</v>
      </c>
      <c r="I255" t="s">
        <v>484</v>
      </c>
      <c r="J255" t="s">
        <v>494</v>
      </c>
      <c r="K255" t="s">
        <v>82</v>
      </c>
      <c r="L255">
        <v>18688</v>
      </c>
      <c r="M255" t="s">
        <v>83</v>
      </c>
      <c r="U255">
        <v>0</v>
      </c>
      <c r="V255">
        <v>0</v>
      </c>
      <c r="W255">
        <v>16579.333333333332</v>
      </c>
    </row>
    <row r="256" spans="1:25" x14ac:dyDescent="0.25">
      <c r="A256" t="s">
        <v>481</v>
      </c>
      <c r="B256">
        <v>1</v>
      </c>
      <c r="C256" t="s">
        <v>258</v>
      </c>
      <c r="D256" t="s">
        <v>423</v>
      </c>
      <c r="E256" t="s">
        <v>338</v>
      </c>
      <c r="F256" t="s">
        <v>261</v>
      </c>
      <c r="G256" t="s">
        <v>495</v>
      </c>
      <c r="H256" t="s">
        <v>87</v>
      </c>
      <c r="I256" t="s">
        <v>481</v>
      </c>
      <c r="J256" t="s">
        <v>496</v>
      </c>
      <c r="K256" t="s">
        <v>82</v>
      </c>
      <c r="L256">
        <v>86910.833329999994</v>
      </c>
      <c r="M256" t="s">
        <v>83</v>
      </c>
      <c r="N256">
        <v>91396.2</v>
      </c>
      <c r="U256">
        <v>0</v>
      </c>
      <c r="V256">
        <v>0</v>
      </c>
      <c r="W256">
        <v>91396.2</v>
      </c>
      <c r="X256">
        <v>86910.833329999994</v>
      </c>
      <c r="Y256">
        <v>86910.833329999994</v>
      </c>
    </row>
    <row r="257" spans="1:25" x14ac:dyDescent="0.25">
      <c r="A257" t="s">
        <v>481</v>
      </c>
      <c r="B257">
        <v>0</v>
      </c>
      <c r="C257" t="s">
        <v>258</v>
      </c>
      <c r="D257" t="s">
        <v>423</v>
      </c>
      <c r="E257" t="s">
        <v>338</v>
      </c>
      <c r="F257" t="s">
        <v>261</v>
      </c>
      <c r="G257" t="s">
        <v>84</v>
      </c>
      <c r="H257" t="s">
        <v>87</v>
      </c>
      <c r="I257" t="s">
        <v>497</v>
      </c>
      <c r="J257" t="s">
        <v>498</v>
      </c>
      <c r="K257" t="s">
        <v>82</v>
      </c>
      <c r="L257">
        <v>95881.56667</v>
      </c>
      <c r="M257" t="s">
        <v>83</v>
      </c>
      <c r="U257">
        <v>0</v>
      </c>
      <c r="V257">
        <v>0</v>
      </c>
      <c r="W257">
        <v>91396.2</v>
      </c>
    </row>
    <row r="258" spans="1:25" x14ac:dyDescent="0.25">
      <c r="A258" t="s">
        <v>481</v>
      </c>
      <c r="B258">
        <v>0</v>
      </c>
      <c r="C258" t="s">
        <v>258</v>
      </c>
      <c r="D258" t="s">
        <v>423</v>
      </c>
      <c r="E258" t="s">
        <v>338</v>
      </c>
      <c r="F258" t="s">
        <v>261</v>
      </c>
      <c r="G258" t="s">
        <v>84</v>
      </c>
      <c r="H258" t="s">
        <v>98</v>
      </c>
      <c r="I258" t="s">
        <v>499</v>
      </c>
      <c r="J258" t="s">
        <v>500</v>
      </c>
      <c r="K258" t="s">
        <v>82</v>
      </c>
      <c r="L258">
        <v>36850</v>
      </c>
      <c r="M258" t="s">
        <v>83</v>
      </c>
      <c r="U258">
        <v>0</v>
      </c>
      <c r="V258">
        <v>0</v>
      </c>
      <c r="W258">
        <v>28966.666666666668</v>
      </c>
    </row>
    <row r="259" spans="1:25" x14ac:dyDescent="0.25">
      <c r="A259" t="s">
        <v>481</v>
      </c>
      <c r="B259">
        <v>1</v>
      </c>
      <c r="C259" t="s">
        <v>258</v>
      </c>
      <c r="D259" t="s">
        <v>423</v>
      </c>
      <c r="E259" t="s">
        <v>338</v>
      </c>
      <c r="F259" t="s">
        <v>261</v>
      </c>
      <c r="G259" t="s">
        <v>158</v>
      </c>
      <c r="H259" t="s">
        <v>98</v>
      </c>
      <c r="I259" t="s">
        <v>501</v>
      </c>
      <c r="J259" t="s">
        <v>502</v>
      </c>
      <c r="K259" t="s">
        <v>82</v>
      </c>
      <c r="L259">
        <v>29550</v>
      </c>
      <c r="M259" t="s">
        <v>83</v>
      </c>
      <c r="N259">
        <v>28966.666669999999</v>
      </c>
      <c r="Q259">
        <v>1</v>
      </c>
      <c r="S259">
        <v>1</v>
      </c>
      <c r="U259">
        <v>0</v>
      </c>
      <c r="V259">
        <v>0</v>
      </c>
      <c r="W259">
        <v>28966.666666666668</v>
      </c>
      <c r="X259">
        <v>29550</v>
      </c>
      <c r="Y259">
        <v>29550</v>
      </c>
    </row>
    <row r="260" spans="1:25" x14ac:dyDescent="0.25">
      <c r="A260" t="s">
        <v>481</v>
      </c>
      <c r="B260">
        <v>0</v>
      </c>
      <c r="C260" t="s">
        <v>258</v>
      </c>
      <c r="D260" t="s">
        <v>423</v>
      </c>
      <c r="E260" t="s">
        <v>338</v>
      </c>
      <c r="F260" t="s">
        <v>261</v>
      </c>
      <c r="G260" t="s">
        <v>84</v>
      </c>
      <c r="H260" t="s">
        <v>98</v>
      </c>
      <c r="I260" t="s">
        <v>503</v>
      </c>
      <c r="J260" t="s">
        <v>504</v>
      </c>
      <c r="K260" t="s">
        <v>82</v>
      </c>
      <c r="L260">
        <v>20500</v>
      </c>
      <c r="M260" t="s">
        <v>83</v>
      </c>
      <c r="R260">
        <v>1</v>
      </c>
      <c r="T260">
        <v>1</v>
      </c>
      <c r="U260">
        <v>0</v>
      </c>
      <c r="V260">
        <v>0</v>
      </c>
      <c r="W260">
        <v>28966.666666666668</v>
      </c>
    </row>
    <row r="261" spans="1:25" x14ac:dyDescent="0.25">
      <c r="A261" t="s">
        <v>505</v>
      </c>
      <c r="B261">
        <v>0</v>
      </c>
      <c r="C261" t="s">
        <v>507</v>
      </c>
      <c r="D261" t="s">
        <v>508</v>
      </c>
      <c r="E261" t="s">
        <v>338</v>
      </c>
      <c r="F261" t="s">
        <v>509</v>
      </c>
      <c r="G261" t="s">
        <v>84</v>
      </c>
      <c r="H261" t="s">
        <v>87</v>
      </c>
      <c r="I261" t="s">
        <v>505</v>
      </c>
      <c r="J261" t="s">
        <v>510</v>
      </c>
      <c r="K261" t="s">
        <v>82</v>
      </c>
      <c r="L261">
        <v>153774.6</v>
      </c>
      <c r="M261" t="s">
        <v>83</v>
      </c>
      <c r="U261">
        <v>0</v>
      </c>
      <c r="V261">
        <v>0</v>
      </c>
      <c r="W261">
        <v>143791.27776666667</v>
      </c>
    </row>
    <row r="262" spans="1:25" x14ac:dyDescent="0.25">
      <c r="A262" t="s">
        <v>505</v>
      </c>
      <c r="B262">
        <v>0</v>
      </c>
      <c r="C262" t="s">
        <v>507</v>
      </c>
      <c r="D262" t="s">
        <v>508</v>
      </c>
      <c r="E262" t="s">
        <v>338</v>
      </c>
      <c r="F262" t="s">
        <v>509</v>
      </c>
      <c r="G262" t="s">
        <v>84</v>
      </c>
      <c r="H262" t="s">
        <v>87</v>
      </c>
      <c r="I262" t="s">
        <v>505</v>
      </c>
      <c r="J262" t="s">
        <v>511</v>
      </c>
      <c r="K262" t="s">
        <v>82</v>
      </c>
      <c r="L262">
        <v>145154.79999999999</v>
      </c>
      <c r="M262" t="s">
        <v>83</v>
      </c>
      <c r="U262">
        <v>0</v>
      </c>
      <c r="V262">
        <v>0</v>
      </c>
      <c r="W262">
        <v>143791.27776666667</v>
      </c>
    </row>
    <row r="263" spans="1:25" x14ac:dyDescent="0.25">
      <c r="A263" t="s">
        <v>505</v>
      </c>
      <c r="B263">
        <v>1</v>
      </c>
      <c r="C263" t="s">
        <v>507</v>
      </c>
      <c r="D263" t="s">
        <v>508</v>
      </c>
      <c r="E263" t="s">
        <v>338</v>
      </c>
      <c r="F263" t="s">
        <v>509</v>
      </c>
      <c r="G263" t="s">
        <v>512</v>
      </c>
      <c r="H263" t="s">
        <v>87</v>
      </c>
      <c r="I263" t="s">
        <v>505</v>
      </c>
      <c r="J263" t="s">
        <v>513</v>
      </c>
      <c r="K263" t="s">
        <v>82</v>
      </c>
      <c r="L263">
        <v>132444.4333</v>
      </c>
      <c r="M263" t="s">
        <v>83</v>
      </c>
      <c r="N263">
        <v>143791.27780000001</v>
      </c>
      <c r="U263">
        <v>0</v>
      </c>
      <c r="V263">
        <v>0</v>
      </c>
      <c r="W263">
        <v>143791.27776666667</v>
      </c>
      <c r="X263">
        <v>132444.4333</v>
      </c>
      <c r="Y263">
        <v>132444.4333</v>
      </c>
    </row>
    <row r="264" spans="1:25" x14ac:dyDescent="0.25">
      <c r="A264" t="s">
        <v>514</v>
      </c>
      <c r="B264">
        <v>0</v>
      </c>
      <c r="C264" t="s">
        <v>507</v>
      </c>
      <c r="D264" t="s">
        <v>508</v>
      </c>
      <c r="E264" t="s">
        <v>338</v>
      </c>
      <c r="F264" t="s">
        <v>509</v>
      </c>
      <c r="G264" t="s">
        <v>84</v>
      </c>
      <c r="H264" t="s">
        <v>92</v>
      </c>
      <c r="I264" t="s">
        <v>515</v>
      </c>
      <c r="J264" t="s">
        <v>303</v>
      </c>
      <c r="K264" t="s">
        <v>82</v>
      </c>
      <c r="L264">
        <v>50780</v>
      </c>
      <c r="M264" t="s">
        <v>83</v>
      </c>
      <c r="U264">
        <v>0</v>
      </c>
      <c r="V264">
        <v>0</v>
      </c>
      <c r="W264">
        <v>52585</v>
      </c>
    </row>
    <row r="265" spans="1:25" x14ac:dyDescent="0.25">
      <c r="A265" t="s">
        <v>514</v>
      </c>
      <c r="B265">
        <v>1</v>
      </c>
      <c r="C265" t="s">
        <v>507</v>
      </c>
      <c r="D265" t="s">
        <v>508</v>
      </c>
      <c r="E265" t="s">
        <v>338</v>
      </c>
      <c r="F265" t="s">
        <v>509</v>
      </c>
      <c r="G265" t="s">
        <v>141</v>
      </c>
      <c r="H265" t="s">
        <v>92</v>
      </c>
      <c r="I265" t="s">
        <v>516</v>
      </c>
      <c r="J265" t="s">
        <v>517</v>
      </c>
      <c r="K265" t="s">
        <v>82</v>
      </c>
      <c r="L265">
        <v>54390</v>
      </c>
      <c r="M265" t="s">
        <v>83</v>
      </c>
      <c r="N265">
        <v>52585</v>
      </c>
      <c r="U265">
        <v>0</v>
      </c>
      <c r="V265">
        <v>0</v>
      </c>
      <c r="W265">
        <v>52585</v>
      </c>
      <c r="X265">
        <v>54390</v>
      </c>
      <c r="Y265">
        <v>54390</v>
      </c>
    </row>
    <row r="266" spans="1:25" x14ac:dyDescent="0.25">
      <c r="A266" t="s">
        <v>514</v>
      </c>
      <c r="B266">
        <v>0</v>
      </c>
      <c r="C266" t="s">
        <v>507</v>
      </c>
      <c r="D266" t="s">
        <v>508</v>
      </c>
      <c r="E266" t="s">
        <v>338</v>
      </c>
      <c r="F266" t="s">
        <v>509</v>
      </c>
      <c r="G266" t="s">
        <v>84</v>
      </c>
      <c r="H266" t="s">
        <v>80</v>
      </c>
      <c r="I266" t="s">
        <v>514</v>
      </c>
      <c r="J266" t="s">
        <v>518</v>
      </c>
      <c r="K266" t="s">
        <v>82</v>
      </c>
      <c r="L266">
        <v>766626.6825</v>
      </c>
      <c r="M266" t="s">
        <v>83</v>
      </c>
      <c r="P266">
        <v>1</v>
      </c>
      <c r="T266">
        <v>1</v>
      </c>
      <c r="U266">
        <v>0</v>
      </c>
      <c r="V266">
        <v>0</v>
      </c>
      <c r="W266">
        <v>825872.91529999999</v>
      </c>
    </row>
    <row r="267" spans="1:25" x14ac:dyDescent="0.25">
      <c r="A267" t="s">
        <v>514</v>
      </c>
      <c r="B267">
        <v>0</v>
      </c>
      <c r="C267" t="s">
        <v>507</v>
      </c>
      <c r="D267" t="s">
        <v>508</v>
      </c>
      <c r="E267" t="s">
        <v>338</v>
      </c>
      <c r="F267" t="s">
        <v>509</v>
      </c>
      <c r="G267" t="s">
        <v>84</v>
      </c>
      <c r="H267" t="s">
        <v>80</v>
      </c>
      <c r="I267" t="s">
        <v>514</v>
      </c>
      <c r="J267" t="s">
        <v>519</v>
      </c>
      <c r="K267" t="s">
        <v>82</v>
      </c>
      <c r="L267">
        <v>942912.96</v>
      </c>
      <c r="M267" t="s">
        <v>83</v>
      </c>
      <c r="U267">
        <v>0</v>
      </c>
      <c r="V267">
        <v>0</v>
      </c>
      <c r="W267">
        <v>825872.91529999999</v>
      </c>
    </row>
    <row r="268" spans="1:25" x14ac:dyDescent="0.25">
      <c r="A268" t="s">
        <v>514</v>
      </c>
      <c r="B268">
        <v>1</v>
      </c>
      <c r="C268" t="s">
        <v>507</v>
      </c>
      <c r="D268" t="s">
        <v>508</v>
      </c>
      <c r="E268" t="s">
        <v>338</v>
      </c>
      <c r="F268" t="s">
        <v>509</v>
      </c>
      <c r="G268" t="s">
        <v>326</v>
      </c>
      <c r="H268" t="s">
        <v>80</v>
      </c>
      <c r="I268" t="s">
        <v>514</v>
      </c>
      <c r="J268" t="s">
        <v>520</v>
      </c>
      <c r="K268" t="s">
        <v>82</v>
      </c>
      <c r="L268">
        <v>768079.10340000002</v>
      </c>
      <c r="M268" t="s">
        <v>83</v>
      </c>
      <c r="N268">
        <v>825872.91529999999</v>
      </c>
      <c r="P268">
        <v>1</v>
      </c>
      <c r="T268">
        <v>1</v>
      </c>
      <c r="U268">
        <v>0</v>
      </c>
      <c r="V268">
        <v>0</v>
      </c>
      <c r="W268">
        <v>825872.91529999999</v>
      </c>
      <c r="X268">
        <v>768079.10340000002</v>
      </c>
      <c r="Y268">
        <v>768079.10340000002</v>
      </c>
    </row>
    <row r="269" spans="1:25" x14ac:dyDescent="0.25">
      <c r="A269" t="s">
        <v>514</v>
      </c>
      <c r="B269">
        <v>0</v>
      </c>
      <c r="C269" t="s">
        <v>507</v>
      </c>
      <c r="D269" t="s">
        <v>508</v>
      </c>
      <c r="E269" t="s">
        <v>338</v>
      </c>
      <c r="F269" t="s">
        <v>509</v>
      </c>
      <c r="G269" t="s">
        <v>84</v>
      </c>
      <c r="H269" t="s">
        <v>106</v>
      </c>
      <c r="I269" t="s">
        <v>514</v>
      </c>
      <c r="J269" t="s">
        <v>521</v>
      </c>
      <c r="K269" t="s">
        <v>82</v>
      </c>
      <c r="L269">
        <v>11107.275</v>
      </c>
      <c r="M269" t="s">
        <v>83</v>
      </c>
      <c r="P269">
        <v>1</v>
      </c>
      <c r="T269">
        <v>1</v>
      </c>
      <c r="U269">
        <v>0</v>
      </c>
      <c r="V269">
        <v>0</v>
      </c>
      <c r="W269">
        <v>7738.3308333333334</v>
      </c>
    </row>
    <row r="270" spans="1:25" x14ac:dyDescent="0.25">
      <c r="A270" t="s">
        <v>514</v>
      </c>
      <c r="B270">
        <v>0</v>
      </c>
      <c r="C270" t="s">
        <v>507</v>
      </c>
      <c r="D270" t="s">
        <v>508</v>
      </c>
      <c r="E270" t="s">
        <v>338</v>
      </c>
      <c r="F270" t="s">
        <v>509</v>
      </c>
      <c r="G270" t="s">
        <v>84</v>
      </c>
      <c r="H270" t="s">
        <v>106</v>
      </c>
      <c r="I270" t="s">
        <v>514</v>
      </c>
      <c r="J270" t="s">
        <v>522</v>
      </c>
      <c r="K270" t="s">
        <v>82</v>
      </c>
      <c r="L270">
        <v>4852.54</v>
      </c>
      <c r="M270" t="s">
        <v>83</v>
      </c>
      <c r="U270">
        <v>0</v>
      </c>
      <c r="V270">
        <v>0</v>
      </c>
      <c r="W270">
        <v>7738.3308333333334</v>
      </c>
    </row>
    <row r="271" spans="1:25" x14ac:dyDescent="0.25">
      <c r="A271" t="s">
        <v>514</v>
      </c>
      <c r="B271">
        <v>1</v>
      </c>
      <c r="C271" t="s">
        <v>507</v>
      </c>
      <c r="D271" t="s">
        <v>508</v>
      </c>
      <c r="E271" t="s">
        <v>338</v>
      </c>
      <c r="F271" t="s">
        <v>509</v>
      </c>
      <c r="G271" t="s">
        <v>326</v>
      </c>
      <c r="H271" t="s">
        <v>106</v>
      </c>
      <c r="I271" t="s">
        <v>514</v>
      </c>
      <c r="J271" t="s">
        <v>523</v>
      </c>
      <c r="K271" t="s">
        <v>82</v>
      </c>
      <c r="L271">
        <v>7255.1774999999998</v>
      </c>
      <c r="M271" t="s">
        <v>83</v>
      </c>
      <c r="N271">
        <v>7738.330833</v>
      </c>
      <c r="P271">
        <v>1</v>
      </c>
      <c r="T271">
        <v>1</v>
      </c>
      <c r="U271">
        <v>0</v>
      </c>
      <c r="V271">
        <v>0</v>
      </c>
      <c r="W271">
        <v>7738.3308333333334</v>
      </c>
      <c r="X271">
        <v>7255.1774999999998</v>
      </c>
      <c r="Y271">
        <v>7255.1774999999998</v>
      </c>
    </row>
    <row r="272" spans="1:25" x14ac:dyDescent="0.25">
      <c r="A272" t="s">
        <v>514</v>
      </c>
      <c r="B272">
        <v>0</v>
      </c>
      <c r="C272" t="s">
        <v>507</v>
      </c>
      <c r="D272" t="s">
        <v>508</v>
      </c>
      <c r="E272" t="s">
        <v>338</v>
      </c>
      <c r="F272" t="s">
        <v>509</v>
      </c>
      <c r="G272" t="s">
        <v>84</v>
      </c>
      <c r="H272" t="s">
        <v>87</v>
      </c>
      <c r="I272" t="s">
        <v>524</v>
      </c>
      <c r="J272" t="s">
        <v>525</v>
      </c>
      <c r="K272" t="s">
        <v>82</v>
      </c>
      <c r="L272">
        <v>122741.675</v>
      </c>
      <c r="M272" t="s">
        <v>83</v>
      </c>
      <c r="R272">
        <v>1</v>
      </c>
      <c r="T272">
        <v>1</v>
      </c>
      <c r="U272">
        <v>0</v>
      </c>
      <c r="V272">
        <v>0</v>
      </c>
      <c r="W272">
        <v>133351.01110999999</v>
      </c>
    </row>
    <row r="273" spans="1:25" x14ac:dyDescent="0.25">
      <c r="A273" t="s">
        <v>514</v>
      </c>
      <c r="B273">
        <v>1</v>
      </c>
      <c r="C273" t="s">
        <v>507</v>
      </c>
      <c r="D273" t="s">
        <v>508</v>
      </c>
      <c r="E273" t="s">
        <v>338</v>
      </c>
      <c r="F273" t="s">
        <v>509</v>
      </c>
      <c r="G273" t="s">
        <v>207</v>
      </c>
      <c r="H273" t="s">
        <v>87</v>
      </c>
      <c r="I273" t="s">
        <v>514</v>
      </c>
      <c r="J273" t="s">
        <v>526</v>
      </c>
      <c r="K273" t="s">
        <v>82</v>
      </c>
      <c r="L273">
        <v>95547.083329999994</v>
      </c>
      <c r="M273" t="s">
        <v>83</v>
      </c>
      <c r="N273">
        <v>133351.0111</v>
      </c>
      <c r="S273">
        <v>1</v>
      </c>
      <c r="T273">
        <v>1</v>
      </c>
      <c r="U273">
        <v>0</v>
      </c>
      <c r="V273">
        <v>0</v>
      </c>
      <c r="W273">
        <v>133351.01110999999</v>
      </c>
      <c r="X273">
        <v>95547.083329999994</v>
      </c>
      <c r="Y273">
        <v>95547.083329999994</v>
      </c>
    </row>
    <row r="274" spans="1:25" x14ac:dyDescent="0.25">
      <c r="A274" t="s">
        <v>514</v>
      </c>
      <c r="B274">
        <v>0</v>
      </c>
      <c r="C274" t="s">
        <v>507</v>
      </c>
      <c r="D274" t="s">
        <v>508</v>
      </c>
      <c r="E274" t="s">
        <v>338</v>
      </c>
      <c r="F274" t="s">
        <v>509</v>
      </c>
      <c r="G274" t="s">
        <v>84</v>
      </c>
      <c r="H274" t="s">
        <v>87</v>
      </c>
      <c r="I274" t="s">
        <v>514</v>
      </c>
      <c r="J274" t="s">
        <v>527</v>
      </c>
      <c r="K274" t="s">
        <v>82</v>
      </c>
      <c r="L274">
        <v>181764.27499999999</v>
      </c>
      <c r="M274" t="s">
        <v>83</v>
      </c>
      <c r="U274">
        <v>0</v>
      </c>
      <c r="V274">
        <v>0</v>
      </c>
      <c r="W274">
        <v>133351.01110999999</v>
      </c>
    </row>
    <row r="275" spans="1:25" x14ac:dyDescent="0.25">
      <c r="A275" t="s">
        <v>514</v>
      </c>
      <c r="B275">
        <v>1</v>
      </c>
      <c r="C275" t="s">
        <v>507</v>
      </c>
      <c r="D275" t="s">
        <v>508</v>
      </c>
      <c r="E275" t="s">
        <v>338</v>
      </c>
      <c r="F275" t="s">
        <v>509</v>
      </c>
      <c r="G275" t="s">
        <v>528</v>
      </c>
      <c r="H275" t="s">
        <v>98</v>
      </c>
      <c r="I275" t="s">
        <v>529</v>
      </c>
      <c r="J275" t="s">
        <v>530</v>
      </c>
      <c r="K275" t="s">
        <v>82</v>
      </c>
      <c r="L275">
        <v>32300</v>
      </c>
      <c r="M275" t="s">
        <v>83</v>
      </c>
      <c r="N275">
        <v>30325</v>
      </c>
      <c r="Q275">
        <v>1</v>
      </c>
      <c r="U275">
        <v>0</v>
      </c>
      <c r="V275">
        <v>0</v>
      </c>
      <c r="W275">
        <v>30325</v>
      </c>
      <c r="X275">
        <v>32300</v>
      </c>
      <c r="Y275">
        <v>32300</v>
      </c>
    </row>
    <row r="276" spans="1:25" x14ac:dyDescent="0.25">
      <c r="A276" t="s">
        <v>514</v>
      </c>
      <c r="B276">
        <v>0</v>
      </c>
      <c r="C276" t="s">
        <v>507</v>
      </c>
      <c r="D276" t="s">
        <v>508</v>
      </c>
      <c r="E276" t="s">
        <v>338</v>
      </c>
      <c r="F276" t="s">
        <v>509</v>
      </c>
      <c r="G276" t="s">
        <v>84</v>
      </c>
      <c r="H276" t="s">
        <v>98</v>
      </c>
      <c r="I276" t="s">
        <v>531</v>
      </c>
      <c r="J276" t="s">
        <v>532</v>
      </c>
      <c r="K276" t="s">
        <v>82</v>
      </c>
      <c r="L276">
        <v>28350</v>
      </c>
      <c r="M276" t="s">
        <v>83</v>
      </c>
      <c r="R276">
        <v>1</v>
      </c>
      <c r="T276">
        <v>1</v>
      </c>
      <c r="U276">
        <v>0</v>
      </c>
      <c r="V276">
        <v>0</v>
      </c>
      <c r="W276">
        <v>30325</v>
      </c>
    </row>
    <row r="277" spans="1:25" x14ac:dyDescent="0.25">
      <c r="A277" t="s">
        <v>533</v>
      </c>
      <c r="B277">
        <v>0</v>
      </c>
      <c r="C277" t="s">
        <v>507</v>
      </c>
      <c r="D277" t="s">
        <v>508</v>
      </c>
      <c r="E277" t="s">
        <v>338</v>
      </c>
      <c r="F277" t="s">
        <v>509</v>
      </c>
      <c r="G277" t="s">
        <v>84</v>
      </c>
      <c r="H277" t="s">
        <v>87</v>
      </c>
      <c r="I277" t="s">
        <v>533</v>
      </c>
      <c r="J277" t="s">
        <v>534</v>
      </c>
      <c r="K277" t="s">
        <v>82</v>
      </c>
      <c r="L277">
        <v>144247.3083</v>
      </c>
      <c r="M277" t="s">
        <v>83</v>
      </c>
      <c r="U277">
        <v>0</v>
      </c>
      <c r="V277">
        <v>0</v>
      </c>
      <c r="W277">
        <v>138920.25</v>
      </c>
    </row>
    <row r="278" spans="1:25" x14ac:dyDescent="0.25">
      <c r="A278" t="s">
        <v>533</v>
      </c>
      <c r="B278">
        <v>1</v>
      </c>
      <c r="C278" t="s">
        <v>507</v>
      </c>
      <c r="D278" t="s">
        <v>508</v>
      </c>
      <c r="E278" t="s">
        <v>338</v>
      </c>
      <c r="F278" t="s">
        <v>509</v>
      </c>
      <c r="G278" t="s">
        <v>413</v>
      </c>
      <c r="H278" t="s">
        <v>87</v>
      </c>
      <c r="I278" t="s">
        <v>535</v>
      </c>
      <c r="J278" t="s">
        <v>536</v>
      </c>
      <c r="K278" t="s">
        <v>82</v>
      </c>
      <c r="L278">
        <v>161621.25</v>
      </c>
      <c r="M278" t="s">
        <v>83</v>
      </c>
      <c r="N278">
        <v>138920.25</v>
      </c>
      <c r="U278">
        <v>0</v>
      </c>
      <c r="V278">
        <v>0</v>
      </c>
      <c r="W278">
        <v>138920.25</v>
      </c>
      <c r="X278">
        <v>161621.25</v>
      </c>
      <c r="Y278">
        <v>161621.25</v>
      </c>
    </row>
    <row r="279" spans="1:25" x14ac:dyDescent="0.25">
      <c r="A279" t="s">
        <v>533</v>
      </c>
      <c r="B279">
        <v>0</v>
      </c>
      <c r="C279" t="s">
        <v>507</v>
      </c>
      <c r="D279" t="s">
        <v>508</v>
      </c>
      <c r="E279" t="s">
        <v>338</v>
      </c>
      <c r="F279" t="s">
        <v>509</v>
      </c>
      <c r="G279" t="s">
        <v>84</v>
      </c>
      <c r="H279" t="s">
        <v>87</v>
      </c>
      <c r="I279" t="s">
        <v>533</v>
      </c>
      <c r="J279" t="s">
        <v>537</v>
      </c>
      <c r="K279" t="s">
        <v>82</v>
      </c>
      <c r="L279">
        <v>110892.1917</v>
      </c>
      <c r="M279" t="s">
        <v>83</v>
      </c>
      <c r="U279">
        <v>0</v>
      </c>
      <c r="V279">
        <v>0</v>
      </c>
      <c r="W279">
        <v>138920.25</v>
      </c>
    </row>
    <row r="280" spans="1:25" x14ac:dyDescent="0.25">
      <c r="A280" t="s">
        <v>538</v>
      </c>
      <c r="B280">
        <v>0</v>
      </c>
      <c r="C280" t="s">
        <v>507</v>
      </c>
      <c r="D280" t="s">
        <v>539</v>
      </c>
      <c r="E280" t="s">
        <v>338</v>
      </c>
      <c r="F280" t="s">
        <v>509</v>
      </c>
      <c r="G280" t="s">
        <v>84</v>
      </c>
      <c r="H280" t="s">
        <v>92</v>
      </c>
      <c r="I280" t="s">
        <v>540</v>
      </c>
      <c r="J280" t="s">
        <v>541</v>
      </c>
      <c r="K280" t="s">
        <v>82</v>
      </c>
      <c r="L280">
        <v>13050</v>
      </c>
      <c r="M280" t="s">
        <v>83</v>
      </c>
      <c r="U280">
        <v>0</v>
      </c>
      <c r="V280">
        <v>0</v>
      </c>
      <c r="W280">
        <v>28613.333333333336</v>
      </c>
    </row>
    <row r="281" spans="1:25" x14ac:dyDescent="0.25">
      <c r="A281" t="s">
        <v>538</v>
      </c>
      <c r="B281">
        <v>1</v>
      </c>
      <c r="C281" t="s">
        <v>507</v>
      </c>
      <c r="D281" t="s">
        <v>539</v>
      </c>
      <c r="E281" t="s">
        <v>338</v>
      </c>
      <c r="F281" t="s">
        <v>509</v>
      </c>
      <c r="G281" t="s">
        <v>264</v>
      </c>
      <c r="H281" t="s">
        <v>92</v>
      </c>
      <c r="I281" t="s">
        <v>542</v>
      </c>
      <c r="J281" t="s">
        <v>543</v>
      </c>
      <c r="K281" t="s">
        <v>82</v>
      </c>
      <c r="L281">
        <v>27240</v>
      </c>
      <c r="M281" t="s">
        <v>83</v>
      </c>
      <c r="N281">
        <v>28613.333330000001</v>
      </c>
      <c r="U281">
        <v>0</v>
      </c>
      <c r="V281">
        <v>0</v>
      </c>
      <c r="W281">
        <v>28613.333333333336</v>
      </c>
      <c r="X281">
        <v>27240</v>
      </c>
      <c r="Y281">
        <v>27240</v>
      </c>
    </row>
    <row r="282" spans="1:25" x14ac:dyDescent="0.25">
      <c r="A282" t="s">
        <v>538</v>
      </c>
      <c r="B282">
        <v>0</v>
      </c>
      <c r="C282" t="s">
        <v>507</v>
      </c>
      <c r="D282" t="s">
        <v>539</v>
      </c>
      <c r="E282" t="s">
        <v>338</v>
      </c>
      <c r="F282" t="s">
        <v>509</v>
      </c>
      <c r="G282" t="s">
        <v>84</v>
      </c>
      <c r="H282" t="s">
        <v>92</v>
      </c>
      <c r="I282" t="s">
        <v>544</v>
      </c>
      <c r="J282" t="s">
        <v>181</v>
      </c>
      <c r="K282" t="s">
        <v>82</v>
      </c>
      <c r="L282">
        <v>45550</v>
      </c>
      <c r="M282" t="s">
        <v>83</v>
      </c>
      <c r="S282">
        <v>1</v>
      </c>
      <c r="U282">
        <v>0</v>
      </c>
      <c r="V282">
        <v>0</v>
      </c>
      <c r="W282">
        <v>28613.333333333336</v>
      </c>
    </row>
    <row r="283" spans="1:25" x14ac:dyDescent="0.25">
      <c r="A283" t="s">
        <v>538</v>
      </c>
      <c r="B283">
        <v>1</v>
      </c>
      <c r="C283" t="s">
        <v>507</v>
      </c>
      <c r="D283" t="s">
        <v>539</v>
      </c>
      <c r="E283" t="s">
        <v>338</v>
      </c>
      <c r="F283" t="s">
        <v>509</v>
      </c>
      <c r="G283" t="s">
        <v>289</v>
      </c>
      <c r="H283" t="s">
        <v>98</v>
      </c>
      <c r="I283" t="s">
        <v>545</v>
      </c>
      <c r="J283" t="s">
        <v>546</v>
      </c>
      <c r="K283" t="s">
        <v>82</v>
      </c>
      <c r="L283">
        <v>14200</v>
      </c>
      <c r="M283" t="s">
        <v>83</v>
      </c>
      <c r="N283">
        <v>23825</v>
      </c>
      <c r="Q283">
        <v>1</v>
      </c>
      <c r="R283">
        <v>1</v>
      </c>
      <c r="U283">
        <v>0</v>
      </c>
      <c r="V283">
        <v>0</v>
      </c>
      <c r="W283">
        <v>23825</v>
      </c>
      <c r="X283">
        <v>14200</v>
      </c>
      <c r="Y283">
        <v>14200</v>
      </c>
    </row>
    <row r="284" spans="1:25" x14ac:dyDescent="0.25">
      <c r="A284" t="s">
        <v>538</v>
      </c>
      <c r="B284">
        <v>0</v>
      </c>
      <c r="C284" t="s">
        <v>507</v>
      </c>
      <c r="D284" t="s">
        <v>539</v>
      </c>
      <c r="E284" t="s">
        <v>338</v>
      </c>
      <c r="F284" t="s">
        <v>509</v>
      </c>
      <c r="G284" t="s">
        <v>84</v>
      </c>
      <c r="H284" t="s">
        <v>98</v>
      </c>
      <c r="I284" t="s">
        <v>547</v>
      </c>
      <c r="J284" t="s">
        <v>548</v>
      </c>
      <c r="K284" t="s">
        <v>82</v>
      </c>
      <c r="L284">
        <v>33450</v>
      </c>
      <c r="M284" t="s">
        <v>83</v>
      </c>
      <c r="U284">
        <v>0</v>
      </c>
      <c r="V284">
        <v>0</v>
      </c>
      <c r="W284">
        <v>23825</v>
      </c>
    </row>
    <row r="285" spans="1:25" x14ac:dyDescent="0.25">
      <c r="A285" t="s">
        <v>538</v>
      </c>
      <c r="B285">
        <v>1</v>
      </c>
      <c r="C285" t="s">
        <v>507</v>
      </c>
      <c r="D285" t="s">
        <v>539</v>
      </c>
      <c r="E285" t="s">
        <v>338</v>
      </c>
      <c r="F285" t="s">
        <v>509</v>
      </c>
      <c r="G285" t="s">
        <v>495</v>
      </c>
      <c r="H285" t="s">
        <v>87</v>
      </c>
      <c r="I285" t="s">
        <v>538</v>
      </c>
      <c r="J285" t="s">
        <v>549</v>
      </c>
      <c r="K285" t="s">
        <v>82</v>
      </c>
      <c r="L285">
        <v>145993.75</v>
      </c>
      <c r="M285" t="s">
        <v>83</v>
      </c>
      <c r="N285">
        <v>127258.5708</v>
      </c>
      <c r="Q285">
        <v>1</v>
      </c>
      <c r="U285">
        <v>0</v>
      </c>
      <c r="V285">
        <v>0</v>
      </c>
      <c r="W285">
        <v>127258.57084999999</v>
      </c>
      <c r="X285">
        <v>145993.75</v>
      </c>
      <c r="Y285">
        <v>145993.75</v>
      </c>
    </row>
    <row r="286" spans="1:25" x14ac:dyDescent="0.25">
      <c r="A286" t="s">
        <v>538</v>
      </c>
      <c r="B286">
        <v>0</v>
      </c>
      <c r="C286" t="s">
        <v>507</v>
      </c>
      <c r="D286" t="s">
        <v>539</v>
      </c>
      <c r="E286" t="s">
        <v>338</v>
      </c>
      <c r="F286" t="s">
        <v>509</v>
      </c>
      <c r="G286" t="s">
        <v>84</v>
      </c>
      <c r="H286" t="s">
        <v>87</v>
      </c>
      <c r="I286" t="s">
        <v>538</v>
      </c>
      <c r="J286" t="s">
        <v>550</v>
      </c>
      <c r="K286" t="s">
        <v>82</v>
      </c>
      <c r="L286">
        <v>108523.39169999999</v>
      </c>
      <c r="M286" t="s">
        <v>83</v>
      </c>
      <c r="T286">
        <v>1</v>
      </c>
      <c r="U286">
        <v>0</v>
      </c>
      <c r="V286">
        <v>0</v>
      </c>
      <c r="W286">
        <v>127258.57084999999</v>
      </c>
    </row>
    <row r="287" spans="1:25" x14ac:dyDescent="0.25">
      <c r="A287" t="s">
        <v>538</v>
      </c>
      <c r="B287">
        <v>1</v>
      </c>
      <c r="C287" t="s">
        <v>507</v>
      </c>
      <c r="D287" t="s">
        <v>539</v>
      </c>
      <c r="E287" t="s">
        <v>338</v>
      </c>
      <c r="F287" t="s">
        <v>509</v>
      </c>
      <c r="G287" t="s">
        <v>79</v>
      </c>
      <c r="H287" t="s">
        <v>106</v>
      </c>
      <c r="I287" t="s">
        <v>538</v>
      </c>
      <c r="J287" t="s">
        <v>551</v>
      </c>
      <c r="K287" t="s">
        <v>82</v>
      </c>
      <c r="L287">
        <v>9350.5925000000007</v>
      </c>
      <c r="M287" t="s">
        <v>83</v>
      </c>
      <c r="N287">
        <v>8098.07</v>
      </c>
      <c r="U287">
        <v>0</v>
      </c>
      <c r="V287">
        <v>0</v>
      </c>
      <c r="W287">
        <v>8098.07</v>
      </c>
      <c r="X287">
        <v>9350.5925000000007</v>
      </c>
      <c r="Y287">
        <v>9350.5925000000007</v>
      </c>
    </row>
    <row r="288" spans="1:25" x14ac:dyDescent="0.25">
      <c r="A288" t="s">
        <v>538</v>
      </c>
      <c r="B288">
        <v>0</v>
      </c>
      <c r="C288" t="s">
        <v>507</v>
      </c>
      <c r="D288" t="s">
        <v>539</v>
      </c>
      <c r="E288" t="s">
        <v>552</v>
      </c>
      <c r="F288" t="s">
        <v>509</v>
      </c>
      <c r="G288" t="s">
        <v>84</v>
      </c>
      <c r="H288" t="s">
        <v>106</v>
      </c>
      <c r="I288" t="s">
        <v>538</v>
      </c>
      <c r="J288" t="s">
        <v>553</v>
      </c>
      <c r="K288" t="s">
        <v>82</v>
      </c>
      <c r="L288">
        <v>6845.5474999999997</v>
      </c>
      <c r="M288" t="s">
        <v>83</v>
      </c>
      <c r="S288">
        <v>1</v>
      </c>
      <c r="U288">
        <v>0</v>
      </c>
      <c r="V288">
        <v>0</v>
      </c>
      <c r="W288">
        <v>8098.07</v>
      </c>
    </row>
    <row r="289" spans="1:25" x14ac:dyDescent="0.25">
      <c r="A289" t="s">
        <v>538</v>
      </c>
      <c r="B289">
        <v>1</v>
      </c>
      <c r="C289" t="s">
        <v>507</v>
      </c>
      <c r="D289" t="s">
        <v>539</v>
      </c>
      <c r="E289" t="s">
        <v>552</v>
      </c>
      <c r="F289" t="s">
        <v>509</v>
      </c>
      <c r="G289" t="s">
        <v>79</v>
      </c>
      <c r="H289" t="s">
        <v>80</v>
      </c>
      <c r="I289" t="s">
        <v>538</v>
      </c>
      <c r="J289" t="s">
        <v>554</v>
      </c>
      <c r="K289" t="s">
        <v>82</v>
      </c>
      <c r="L289">
        <v>895921.25</v>
      </c>
      <c r="M289" t="s">
        <v>83</v>
      </c>
      <c r="N289">
        <v>775087.81499999994</v>
      </c>
      <c r="U289">
        <v>0</v>
      </c>
      <c r="V289">
        <v>0</v>
      </c>
      <c r="W289">
        <v>775087.81499999994</v>
      </c>
      <c r="X289">
        <v>895921.25</v>
      </c>
      <c r="Y289">
        <v>895921.25</v>
      </c>
    </row>
    <row r="290" spans="1:25" x14ac:dyDescent="0.25">
      <c r="A290" t="s">
        <v>538</v>
      </c>
      <c r="B290">
        <v>0</v>
      </c>
      <c r="C290" t="s">
        <v>507</v>
      </c>
      <c r="D290" t="s">
        <v>539</v>
      </c>
      <c r="E290" t="s">
        <v>552</v>
      </c>
      <c r="F290" t="s">
        <v>509</v>
      </c>
      <c r="G290" t="s">
        <v>84</v>
      </c>
      <c r="H290" t="s">
        <v>80</v>
      </c>
      <c r="I290" t="s">
        <v>538</v>
      </c>
      <c r="J290" t="s">
        <v>555</v>
      </c>
      <c r="K290" t="s">
        <v>82</v>
      </c>
      <c r="L290">
        <v>654254.38</v>
      </c>
      <c r="M290" t="s">
        <v>83</v>
      </c>
      <c r="S290">
        <v>1</v>
      </c>
      <c r="U290">
        <v>0</v>
      </c>
      <c r="V290">
        <v>0</v>
      </c>
      <c r="W290">
        <v>775087.81499999994</v>
      </c>
    </row>
    <row r="291" spans="1:25" x14ac:dyDescent="0.25">
      <c r="A291" t="s">
        <v>556</v>
      </c>
      <c r="B291">
        <v>0</v>
      </c>
      <c r="C291" t="s">
        <v>557</v>
      </c>
      <c r="D291" t="s">
        <v>558</v>
      </c>
      <c r="E291" t="s">
        <v>552</v>
      </c>
      <c r="F291" t="s">
        <v>559</v>
      </c>
      <c r="G291" t="s">
        <v>84</v>
      </c>
      <c r="H291" t="s">
        <v>92</v>
      </c>
      <c r="I291" t="s">
        <v>560</v>
      </c>
      <c r="J291" t="s">
        <v>543</v>
      </c>
      <c r="K291" t="s">
        <v>82</v>
      </c>
      <c r="L291">
        <v>34420</v>
      </c>
      <c r="M291" t="s">
        <v>83</v>
      </c>
      <c r="Q291">
        <v>1</v>
      </c>
      <c r="U291">
        <v>0</v>
      </c>
      <c r="V291">
        <v>0</v>
      </c>
      <c r="W291">
        <v>32550</v>
      </c>
    </row>
    <row r="292" spans="1:25" x14ac:dyDescent="0.25">
      <c r="A292" t="s">
        <v>556</v>
      </c>
      <c r="B292">
        <v>0</v>
      </c>
      <c r="C292" t="s">
        <v>557</v>
      </c>
      <c r="D292" t="s">
        <v>558</v>
      </c>
      <c r="E292" t="s">
        <v>552</v>
      </c>
      <c r="F292" t="s">
        <v>559</v>
      </c>
      <c r="G292" t="s">
        <v>84</v>
      </c>
      <c r="H292" t="s">
        <v>92</v>
      </c>
      <c r="I292" t="s">
        <v>561</v>
      </c>
      <c r="J292" t="s">
        <v>562</v>
      </c>
      <c r="K292" t="s">
        <v>82</v>
      </c>
      <c r="L292">
        <v>34780</v>
      </c>
      <c r="M292" t="s">
        <v>83</v>
      </c>
      <c r="P292">
        <v>1</v>
      </c>
      <c r="R292">
        <v>1</v>
      </c>
      <c r="U292">
        <v>0</v>
      </c>
      <c r="V292">
        <v>0</v>
      </c>
      <c r="W292">
        <v>32550</v>
      </c>
    </row>
    <row r="293" spans="1:25" x14ac:dyDescent="0.25">
      <c r="A293" t="s">
        <v>556</v>
      </c>
      <c r="B293">
        <v>1</v>
      </c>
      <c r="C293" t="s">
        <v>557</v>
      </c>
      <c r="D293" t="s">
        <v>558</v>
      </c>
      <c r="E293" t="s">
        <v>552</v>
      </c>
      <c r="F293" t="s">
        <v>559</v>
      </c>
      <c r="G293" t="s">
        <v>301</v>
      </c>
      <c r="H293" t="s">
        <v>92</v>
      </c>
      <c r="I293" t="s">
        <v>563</v>
      </c>
      <c r="J293" t="s">
        <v>303</v>
      </c>
      <c r="K293" t="s">
        <v>82</v>
      </c>
      <c r="L293">
        <v>28450</v>
      </c>
      <c r="M293" t="s">
        <v>83</v>
      </c>
      <c r="N293">
        <v>32550</v>
      </c>
      <c r="S293">
        <v>1</v>
      </c>
      <c r="U293">
        <v>0</v>
      </c>
      <c r="V293">
        <v>0</v>
      </c>
      <c r="W293">
        <v>32550</v>
      </c>
      <c r="X293">
        <v>28450</v>
      </c>
      <c r="Y293">
        <v>28450</v>
      </c>
    </row>
    <row r="294" spans="1:25" x14ac:dyDescent="0.25">
      <c r="A294" t="s">
        <v>556</v>
      </c>
      <c r="B294">
        <v>0</v>
      </c>
      <c r="C294" t="s">
        <v>557</v>
      </c>
      <c r="D294" t="s">
        <v>558</v>
      </c>
      <c r="E294" t="s">
        <v>552</v>
      </c>
      <c r="F294" t="s">
        <v>559</v>
      </c>
      <c r="G294" t="s">
        <v>84</v>
      </c>
      <c r="H294" t="s">
        <v>185</v>
      </c>
      <c r="I294" t="s">
        <v>556</v>
      </c>
      <c r="J294" t="s">
        <v>564</v>
      </c>
      <c r="K294" t="s">
        <v>82</v>
      </c>
      <c r="L294">
        <v>15439.9</v>
      </c>
      <c r="M294" t="s">
        <v>83</v>
      </c>
      <c r="U294">
        <v>0</v>
      </c>
      <c r="V294">
        <v>0</v>
      </c>
      <c r="W294">
        <v>16175.133333333333</v>
      </c>
    </row>
    <row r="295" spans="1:25" x14ac:dyDescent="0.25">
      <c r="A295" t="s">
        <v>556</v>
      </c>
      <c r="B295">
        <v>1</v>
      </c>
      <c r="C295" t="s">
        <v>557</v>
      </c>
      <c r="D295" t="s">
        <v>558</v>
      </c>
      <c r="E295" t="s">
        <v>552</v>
      </c>
      <c r="F295" t="s">
        <v>559</v>
      </c>
      <c r="G295" t="s">
        <v>79</v>
      </c>
      <c r="H295" t="s">
        <v>185</v>
      </c>
      <c r="I295" t="s">
        <v>556</v>
      </c>
      <c r="J295" t="s">
        <v>565</v>
      </c>
      <c r="K295" t="s">
        <v>82</v>
      </c>
      <c r="L295">
        <v>13549.3</v>
      </c>
      <c r="M295" t="s">
        <v>83</v>
      </c>
      <c r="N295">
        <v>16175.133330000001</v>
      </c>
      <c r="U295">
        <v>0</v>
      </c>
      <c r="V295">
        <v>0</v>
      </c>
      <c r="W295">
        <v>16175.133333333333</v>
      </c>
      <c r="X295">
        <v>13549.3</v>
      </c>
      <c r="Y295">
        <v>13549.3</v>
      </c>
    </row>
    <row r="296" spans="1:25" x14ac:dyDescent="0.25">
      <c r="A296" t="s">
        <v>556</v>
      </c>
      <c r="B296">
        <v>0</v>
      </c>
      <c r="C296" t="s">
        <v>557</v>
      </c>
      <c r="D296" t="s">
        <v>558</v>
      </c>
      <c r="E296" t="s">
        <v>552</v>
      </c>
      <c r="F296" t="s">
        <v>559</v>
      </c>
      <c r="G296" t="s">
        <v>84</v>
      </c>
      <c r="H296" t="s">
        <v>185</v>
      </c>
      <c r="I296" t="s">
        <v>556</v>
      </c>
      <c r="J296" t="s">
        <v>566</v>
      </c>
      <c r="K296" t="s">
        <v>82</v>
      </c>
      <c r="L296">
        <v>19536.2</v>
      </c>
      <c r="M296" t="s">
        <v>83</v>
      </c>
      <c r="U296">
        <v>0</v>
      </c>
      <c r="V296">
        <v>0</v>
      </c>
      <c r="W296">
        <v>16175.133333333333</v>
      </c>
    </row>
    <row r="297" spans="1:25" x14ac:dyDescent="0.25">
      <c r="A297" t="s">
        <v>556</v>
      </c>
      <c r="B297">
        <v>1</v>
      </c>
      <c r="C297" t="s">
        <v>557</v>
      </c>
      <c r="D297" t="s">
        <v>558</v>
      </c>
      <c r="E297" t="s">
        <v>552</v>
      </c>
      <c r="F297" t="s">
        <v>559</v>
      </c>
      <c r="G297" t="s">
        <v>203</v>
      </c>
      <c r="H297" t="s">
        <v>98</v>
      </c>
      <c r="I297" t="s">
        <v>567</v>
      </c>
      <c r="J297" t="s">
        <v>568</v>
      </c>
      <c r="K297" t="s">
        <v>82</v>
      </c>
      <c r="L297">
        <v>34400</v>
      </c>
      <c r="M297" t="s">
        <v>83</v>
      </c>
      <c r="N297">
        <v>30133.333330000001</v>
      </c>
      <c r="U297">
        <v>0</v>
      </c>
      <c r="V297">
        <v>0</v>
      </c>
      <c r="W297">
        <v>30133.333333333332</v>
      </c>
      <c r="X297">
        <v>34400</v>
      </c>
      <c r="Y297">
        <v>34400</v>
      </c>
    </row>
    <row r="298" spans="1:25" x14ac:dyDescent="0.25">
      <c r="A298" t="s">
        <v>556</v>
      </c>
      <c r="B298">
        <v>0</v>
      </c>
      <c r="C298" t="s">
        <v>557</v>
      </c>
      <c r="D298" t="s">
        <v>558</v>
      </c>
      <c r="E298" t="s">
        <v>552</v>
      </c>
      <c r="F298" t="s">
        <v>559</v>
      </c>
      <c r="G298" t="s">
        <v>84</v>
      </c>
      <c r="H298" t="s">
        <v>98</v>
      </c>
      <c r="I298" t="s">
        <v>569</v>
      </c>
      <c r="J298" t="s">
        <v>570</v>
      </c>
      <c r="K298" t="s">
        <v>82</v>
      </c>
      <c r="L298">
        <v>23350</v>
      </c>
      <c r="M298" t="s">
        <v>83</v>
      </c>
      <c r="S298">
        <v>1</v>
      </c>
      <c r="U298">
        <v>0</v>
      </c>
      <c r="V298">
        <v>0</v>
      </c>
      <c r="W298">
        <v>30133.333333333332</v>
      </c>
    </row>
    <row r="299" spans="1:25" x14ac:dyDescent="0.25">
      <c r="A299" t="s">
        <v>556</v>
      </c>
      <c r="B299">
        <v>0</v>
      </c>
      <c r="C299" t="s">
        <v>557</v>
      </c>
      <c r="D299" t="s">
        <v>558</v>
      </c>
      <c r="E299" t="s">
        <v>552</v>
      </c>
      <c r="F299" t="s">
        <v>559</v>
      </c>
      <c r="G299" t="s">
        <v>84</v>
      </c>
      <c r="H299" t="s">
        <v>98</v>
      </c>
      <c r="I299" t="s">
        <v>571</v>
      </c>
      <c r="J299" t="s">
        <v>572</v>
      </c>
      <c r="K299" t="s">
        <v>82</v>
      </c>
      <c r="L299">
        <v>32650</v>
      </c>
      <c r="M299" t="s">
        <v>83</v>
      </c>
      <c r="Q299">
        <v>1</v>
      </c>
      <c r="S299">
        <v>1</v>
      </c>
      <c r="U299">
        <v>0</v>
      </c>
      <c r="V299">
        <v>0</v>
      </c>
      <c r="W299">
        <v>30133.333333333332</v>
      </c>
    </row>
    <row r="300" spans="1:25" x14ac:dyDescent="0.25">
      <c r="A300" t="s">
        <v>556</v>
      </c>
      <c r="B300">
        <v>1</v>
      </c>
      <c r="C300" t="s">
        <v>557</v>
      </c>
      <c r="D300" t="s">
        <v>558</v>
      </c>
      <c r="E300" t="s">
        <v>552</v>
      </c>
      <c r="F300" t="s">
        <v>559</v>
      </c>
      <c r="G300" t="s">
        <v>384</v>
      </c>
      <c r="H300" t="s">
        <v>87</v>
      </c>
      <c r="I300" t="s">
        <v>556</v>
      </c>
      <c r="J300" t="s">
        <v>573</v>
      </c>
      <c r="K300" t="s">
        <v>82</v>
      </c>
      <c r="L300">
        <v>76794.083329999994</v>
      </c>
      <c r="M300" t="s">
        <v>83</v>
      </c>
      <c r="N300">
        <v>87986.9375</v>
      </c>
      <c r="R300">
        <v>1</v>
      </c>
      <c r="U300">
        <v>0</v>
      </c>
      <c r="V300">
        <v>0</v>
      </c>
      <c r="W300">
        <v>87986.9375</v>
      </c>
      <c r="X300">
        <v>76794.083329999994</v>
      </c>
      <c r="Y300">
        <v>76794.083329999994</v>
      </c>
    </row>
    <row r="301" spans="1:25" x14ac:dyDescent="0.25">
      <c r="A301" t="s">
        <v>556</v>
      </c>
      <c r="B301">
        <v>0</v>
      </c>
      <c r="C301" t="s">
        <v>557</v>
      </c>
      <c r="D301" t="s">
        <v>558</v>
      </c>
      <c r="E301" t="s">
        <v>552</v>
      </c>
      <c r="F301" t="s">
        <v>559</v>
      </c>
      <c r="G301" t="s">
        <v>84</v>
      </c>
      <c r="H301" t="s">
        <v>87</v>
      </c>
      <c r="I301" t="s">
        <v>556</v>
      </c>
      <c r="J301" t="s">
        <v>574</v>
      </c>
      <c r="K301" t="s">
        <v>82</v>
      </c>
      <c r="L301">
        <v>99179.791670000006</v>
      </c>
      <c r="M301" t="s">
        <v>83</v>
      </c>
      <c r="U301">
        <v>0</v>
      </c>
      <c r="V301">
        <v>0</v>
      </c>
      <c r="W301">
        <v>87986.9375</v>
      </c>
    </row>
    <row r="302" spans="1:25" x14ac:dyDescent="0.25">
      <c r="A302" t="s">
        <v>556</v>
      </c>
      <c r="B302">
        <v>0</v>
      </c>
      <c r="C302" t="s">
        <v>557</v>
      </c>
      <c r="D302" t="s">
        <v>558</v>
      </c>
      <c r="E302" t="s">
        <v>552</v>
      </c>
      <c r="F302" t="s">
        <v>559</v>
      </c>
      <c r="G302" t="s">
        <v>84</v>
      </c>
      <c r="H302" t="s">
        <v>110</v>
      </c>
      <c r="I302" t="s">
        <v>556</v>
      </c>
      <c r="J302" t="s">
        <v>575</v>
      </c>
      <c r="K302" t="s">
        <v>82</v>
      </c>
      <c r="L302">
        <v>12065</v>
      </c>
      <c r="M302" t="s">
        <v>83</v>
      </c>
      <c r="U302">
        <v>0</v>
      </c>
      <c r="V302">
        <v>0</v>
      </c>
      <c r="W302">
        <v>14816.666666666666</v>
      </c>
    </row>
    <row r="303" spans="1:25" x14ac:dyDescent="0.25">
      <c r="A303" t="s">
        <v>556</v>
      </c>
      <c r="B303">
        <v>1</v>
      </c>
      <c r="C303" t="s">
        <v>557</v>
      </c>
      <c r="D303" t="s">
        <v>558</v>
      </c>
      <c r="E303" t="s">
        <v>552</v>
      </c>
      <c r="F303" t="s">
        <v>559</v>
      </c>
      <c r="G303" t="s">
        <v>79</v>
      </c>
      <c r="H303" t="s">
        <v>110</v>
      </c>
      <c r="I303" t="s">
        <v>556</v>
      </c>
      <c r="J303" t="s">
        <v>576</v>
      </c>
      <c r="K303" t="s">
        <v>82</v>
      </c>
      <c r="L303">
        <v>18288</v>
      </c>
      <c r="M303" t="s">
        <v>83</v>
      </c>
      <c r="N303">
        <v>14816.666670000001</v>
      </c>
      <c r="U303">
        <v>0</v>
      </c>
      <c r="V303">
        <v>0</v>
      </c>
      <c r="W303">
        <v>14816.666666666666</v>
      </c>
      <c r="X303">
        <v>18288</v>
      </c>
      <c r="Y303">
        <v>18288</v>
      </c>
    </row>
    <row r="304" spans="1:25" x14ac:dyDescent="0.25">
      <c r="A304" t="s">
        <v>556</v>
      </c>
      <c r="B304">
        <v>0</v>
      </c>
      <c r="C304" t="s">
        <v>557</v>
      </c>
      <c r="D304" t="s">
        <v>558</v>
      </c>
      <c r="E304" t="s">
        <v>552</v>
      </c>
      <c r="F304" t="s">
        <v>559</v>
      </c>
      <c r="G304" t="s">
        <v>84</v>
      </c>
      <c r="H304" t="s">
        <v>110</v>
      </c>
      <c r="I304" t="s">
        <v>556</v>
      </c>
      <c r="J304" t="s">
        <v>577</v>
      </c>
      <c r="K304" t="s">
        <v>82</v>
      </c>
      <c r="L304">
        <v>14097</v>
      </c>
      <c r="M304" t="s">
        <v>83</v>
      </c>
      <c r="U304">
        <v>0</v>
      </c>
      <c r="V304">
        <v>0</v>
      </c>
      <c r="W304">
        <v>14816.666666666666</v>
      </c>
    </row>
    <row r="305" spans="1:25" x14ac:dyDescent="0.25">
      <c r="A305" t="s">
        <v>556</v>
      </c>
      <c r="B305">
        <v>0</v>
      </c>
      <c r="C305" t="s">
        <v>557</v>
      </c>
      <c r="D305" t="s">
        <v>558</v>
      </c>
      <c r="E305" t="s">
        <v>552</v>
      </c>
      <c r="F305" t="s">
        <v>559</v>
      </c>
      <c r="G305" t="s">
        <v>84</v>
      </c>
      <c r="H305" t="s">
        <v>106</v>
      </c>
      <c r="I305" t="s">
        <v>556</v>
      </c>
      <c r="J305" t="s">
        <v>578</v>
      </c>
      <c r="K305" t="s">
        <v>82</v>
      </c>
      <c r="L305">
        <v>10083.200000000001</v>
      </c>
      <c r="M305" t="s">
        <v>83</v>
      </c>
      <c r="U305">
        <v>0</v>
      </c>
      <c r="V305">
        <v>0</v>
      </c>
      <c r="W305">
        <v>7780.3441666666668</v>
      </c>
    </row>
    <row r="306" spans="1:25" x14ac:dyDescent="0.25">
      <c r="A306" t="s">
        <v>556</v>
      </c>
      <c r="B306">
        <v>1</v>
      </c>
      <c r="C306" t="s">
        <v>557</v>
      </c>
      <c r="D306" t="s">
        <v>558</v>
      </c>
      <c r="E306" t="s">
        <v>552</v>
      </c>
      <c r="F306" t="s">
        <v>559</v>
      </c>
      <c r="G306" t="s">
        <v>79</v>
      </c>
      <c r="H306" t="s">
        <v>106</v>
      </c>
      <c r="I306" t="s">
        <v>556</v>
      </c>
      <c r="J306" t="s">
        <v>579</v>
      </c>
      <c r="K306" t="s">
        <v>82</v>
      </c>
      <c r="L306">
        <v>8736.1474999999991</v>
      </c>
      <c r="M306" t="s">
        <v>83</v>
      </c>
      <c r="N306">
        <v>7780.3441670000002</v>
      </c>
      <c r="U306">
        <v>0</v>
      </c>
      <c r="V306">
        <v>0</v>
      </c>
      <c r="W306">
        <v>7780.3441666666668</v>
      </c>
      <c r="X306">
        <v>8736.1474999999991</v>
      </c>
      <c r="Y306">
        <v>8736.1474999999991</v>
      </c>
    </row>
    <row r="307" spans="1:25" x14ac:dyDescent="0.25">
      <c r="A307" t="s">
        <v>556</v>
      </c>
      <c r="B307">
        <v>0</v>
      </c>
      <c r="C307" t="s">
        <v>557</v>
      </c>
      <c r="D307" t="s">
        <v>558</v>
      </c>
      <c r="E307" t="s">
        <v>552</v>
      </c>
      <c r="F307" t="s">
        <v>559</v>
      </c>
      <c r="G307" t="s">
        <v>84</v>
      </c>
      <c r="H307" t="s">
        <v>106</v>
      </c>
      <c r="I307" t="s">
        <v>556</v>
      </c>
      <c r="J307" t="s">
        <v>580</v>
      </c>
      <c r="K307" t="s">
        <v>82</v>
      </c>
      <c r="L307">
        <v>4521.6850000000004</v>
      </c>
      <c r="M307" t="s">
        <v>83</v>
      </c>
      <c r="U307">
        <v>0</v>
      </c>
      <c r="V307">
        <v>0</v>
      </c>
      <c r="W307">
        <v>7780.3441666666668</v>
      </c>
    </row>
    <row r="308" spans="1:25" x14ac:dyDescent="0.25">
      <c r="A308" t="s">
        <v>556</v>
      </c>
      <c r="B308">
        <v>0</v>
      </c>
      <c r="C308" t="s">
        <v>557</v>
      </c>
      <c r="D308" t="s">
        <v>558</v>
      </c>
      <c r="E308" t="s">
        <v>552</v>
      </c>
      <c r="F308" t="s">
        <v>559</v>
      </c>
      <c r="G308" t="s">
        <v>84</v>
      </c>
      <c r="H308" t="s">
        <v>80</v>
      </c>
      <c r="I308" t="s">
        <v>556</v>
      </c>
      <c r="J308" t="s">
        <v>581</v>
      </c>
      <c r="K308" t="s">
        <v>82</v>
      </c>
      <c r="L308">
        <v>891654.0625</v>
      </c>
      <c r="M308" t="s">
        <v>83</v>
      </c>
      <c r="U308">
        <v>0</v>
      </c>
      <c r="V308">
        <v>0</v>
      </c>
      <c r="W308">
        <v>834064.01939999999</v>
      </c>
    </row>
    <row r="309" spans="1:25" x14ac:dyDescent="0.25">
      <c r="A309" t="s">
        <v>556</v>
      </c>
      <c r="B309">
        <v>1</v>
      </c>
      <c r="C309" t="s">
        <v>557</v>
      </c>
      <c r="D309" t="s">
        <v>558</v>
      </c>
      <c r="E309" t="s">
        <v>552</v>
      </c>
      <c r="F309" t="s">
        <v>559</v>
      </c>
      <c r="G309" t="s">
        <v>79</v>
      </c>
      <c r="H309" t="s">
        <v>80</v>
      </c>
      <c r="I309" t="s">
        <v>556</v>
      </c>
      <c r="J309" t="s">
        <v>582</v>
      </c>
      <c r="K309" t="s">
        <v>82</v>
      </c>
      <c r="L309">
        <v>805591.46250000002</v>
      </c>
      <c r="M309" t="s">
        <v>83</v>
      </c>
      <c r="N309">
        <v>834064.01939999999</v>
      </c>
      <c r="U309">
        <v>0</v>
      </c>
      <c r="V309">
        <v>0</v>
      </c>
      <c r="W309">
        <v>834064.01939999999</v>
      </c>
      <c r="X309">
        <v>805591.46250000002</v>
      </c>
      <c r="Y309">
        <v>805591.46250000002</v>
      </c>
    </row>
    <row r="310" spans="1:25" x14ac:dyDescent="0.25">
      <c r="A310" t="s">
        <v>556</v>
      </c>
      <c r="B310">
        <v>0</v>
      </c>
      <c r="C310" t="s">
        <v>557</v>
      </c>
      <c r="D310" t="s">
        <v>558</v>
      </c>
      <c r="E310" t="s">
        <v>552</v>
      </c>
      <c r="F310" t="s">
        <v>559</v>
      </c>
      <c r="G310" t="s">
        <v>84</v>
      </c>
      <c r="H310" t="s">
        <v>80</v>
      </c>
      <c r="I310" t="s">
        <v>556</v>
      </c>
      <c r="J310" t="s">
        <v>583</v>
      </c>
      <c r="K310" t="s">
        <v>82</v>
      </c>
      <c r="L310">
        <v>804946.53319999995</v>
      </c>
      <c r="M310" t="s">
        <v>83</v>
      </c>
      <c r="U310">
        <v>0</v>
      </c>
      <c r="V310">
        <v>0</v>
      </c>
      <c r="W310">
        <v>834064.01939999999</v>
      </c>
    </row>
    <row r="311" spans="1:25" x14ac:dyDescent="0.25">
      <c r="A311" t="s">
        <v>584</v>
      </c>
      <c r="B311">
        <v>1</v>
      </c>
      <c r="C311" t="s">
        <v>557</v>
      </c>
      <c r="D311" t="s">
        <v>585</v>
      </c>
      <c r="E311" t="s">
        <v>552</v>
      </c>
      <c r="F311" t="s">
        <v>559</v>
      </c>
      <c r="G311" t="s">
        <v>141</v>
      </c>
      <c r="H311" t="s">
        <v>92</v>
      </c>
      <c r="I311" t="s">
        <v>586</v>
      </c>
      <c r="J311" t="s">
        <v>587</v>
      </c>
      <c r="K311" t="s">
        <v>82</v>
      </c>
      <c r="L311">
        <v>30170</v>
      </c>
      <c r="M311" t="s">
        <v>83</v>
      </c>
      <c r="N311">
        <v>38485</v>
      </c>
      <c r="O311">
        <v>1</v>
      </c>
      <c r="U311">
        <v>30170</v>
      </c>
      <c r="V311">
        <v>30170</v>
      </c>
      <c r="W311">
        <v>38485</v>
      </c>
      <c r="X311">
        <v>30170</v>
      </c>
      <c r="Y311">
        <v>30170</v>
      </c>
    </row>
    <row r="312" spans="1:25" x14ac:dyDescent="0.25">
      <c r="A312" t="s">
        <v>584</v>
      </c>
      <c r="B312">
        <v>0</v>
      </c>
      <c r="C312" t="s">
        <v>557</v>
      </c>
      <c r="D312" t="s">
        <v>585</v>
      </c>
      <c r="E312" t="s">
        <v>552</v>
      </c>
      <c r="F312" t="s">
        <v>559</v>
      </c>
      <c r="G312" t="s">
        <v>84</v>
      </c>
      <c r="H312" t="s">
        <v>92</v>
      </c>
      <c r="I312" t="s">
        <v>543</v>
      </c>
      <c r="J312" t="s">
        <v>543</v>
      </c>
      <c r="K312" t="s">
        <v>82</v>
      </c>
      <c r="L312">
        <v>46800</v>
      </c>
      <c r="M312" t="s">
        <v>83</v>
      </c>
      <c r="U312">
        <v>0</v>
      </c>
      <c r="V312">
        <v>0</v>
      </c>
      <c r="W312">
        <v>38485</v>
      </c>
    </row>
    <row r="313" spans="1:25" x14ac:dyDescent="0.25">
      <c r="A313" t="s">
        <v>584</v>
      </c>
      <c r="B313">
        <v>0</v>
      </c>
      <c r="C313" t="s">
        <v>557</v>
      </c>
      <c r="D313" t="s">
        <v>585</v>
      </c>
      <c r="E313" t="s">
        <v>552</v>
      </c>
      <c r="F313" t="s">
        <v>559</v>
      </c>
      <c r="G313" t="s">
        <v>84</v>
      </c>
      <c r="H313" t="s">
        <v>80</v>
      </c>
      <c r="I313" t="s">
        <v>584</v>
      </c>
      <c r="J313" t="s">
        <v>588</v>
      </c>
      <c r="K313" t="s">
        <v>82</v>
      </c>
      <c r="L313">
        <v>767907.3125</v>
      </c>
      <c r="M313" t="s">
        <v>83</v>
      </c>
      <c r="P313">
        <v>1</v>
      </c>
      <c r="U313">
        <v>0</v>
      </c>
      <c r="V313">
        <v>0</v>
      </c>
      <c r="W313">
        <v>831311.73625000007</v>
      </c>
    </row>
    <row r="314" spans="1:25" x14ac:dyDescent="0.25">
      <c r="A314" t="s">
        <v>584</v>
      </c>
      <c r="B314">
        <v>1</v>
      </c>
      <c r="C314" t="s">
        <v>557</v>
      </c>
      <c r="D314" t="s">
        <v>585</v>
      </c>
      <c r="E314" t="s">
        <v>552</v>
      </c>
      <c r="F314" t="s">
        <v>559</v>
      </c>
      <c r="G314" t="s">
        <v>248</v>
      </c>
      <c r="H314" t="s">
        <v>80</v>
      </c>
      <c r="I314" t="s">
        <v>589</v>
      </c>
      <c r="J314" t="s">
        <v>590</v>
      </c>
      <c r="K314" t="s">
        <v>82</v>
      </c>
      <c r="L314">
        <v>894716.16</v>
      </c>
      <c r="M314" t="s">
        <v>83</v>
      </c>
      <c r="N314">
        <v>831311.73629999999</v>
      </c>
      <c r="U314">
        <v>0</v>
      </c>
      <c r="V314">
        <v>0</v>
      </c>
      <c r="W314">
        <v>831311.73625000007</v>
      </c>
      <c r="X314">
        <v>894716.16</v>
      </c>
      <c r="Y314">
        <v>894716.16</v>
      </c>
    </row>
    <row r="315" spans="1:25" x14ac:dyDescent="0.25">
      <c r="A315" t="s">
        <v>584</v>
      </c>
      <c r="B315">
        <v>0</v>
      </c>
      <c r="C315" t="s">
        <v>557</v>
      </c>
      <c r="D315" t="s">
        <v>585</v>
      </c>
      <c r="E315" t="s">
        <v>552</v>
      </c>
      <c r="F315" t="s">
        <v>559</v>
      </c>
      <c r="G315" t="s">
        <v>84</v>
      </c>
      <c r="H315" t="s">
        <v>87</v>
      </c>
      <c r="I315" t="s">
        <v>584</v>
      </c>
      <c r="J315" t="s">
        <v>591</v>
      </c>
      <c r="K315" t="s">
        <v>82</v>
      </c>
      <c r="L315">
        <v>103909.1667</v>
      </c>
      <c r="M315" t="s">
        <v>83</v>
      </c>
      <c r="Q315">
        <v>1</v>
      </c>
      <c r="U315">
        <v>0</v>
      </c>
      <c r="V315">
        <v>0</v>
      </c>
      <c r="W315">
        <v>122096.46946666666</v>
      </c>
    </row>
    <row r="316" spans="1:25" x14ac:dyDescent="0.25">
      <c r="A316" t="s">
        <v>584</v>
      </c>
      <c r="B316">
        <v>1</v>
      </c>
      <c r="C316" t="s">
        <v>557</v>
      </c>
      <c r="D316" t="s">
        <v>585</v>
      </c>
      <c r="E316" t="s">
        <v>552</v>
      </c>
      <c r="F316" t="s">
        <v>559</v>
      </c>
      <c r="G316" t="s">
        <v>495</v>
      </c>
      <c r="H316" t="s">
        <v>87</v>
      </c>
      <c r="I316" t="s">
        <v>584</v>
      </c>
      <c r="J316" t="s">
        <v>592</v>
      </c>
      <c r="K316" t="s">
        <v>82</v>
      </c>
      <c r="L316">
        <v>109025.1167</v>
      </c>
      <c r="M316" t="s">
        <v>83</v>
      </c>
      <c r="N316">
        <v>122096.4694</v>
      </c>
      <c r="U316">
        <v>0</v>
      </c>
      <c r="V316">
        <v>0</v>
      </c>
      <c r="W316">
        <v>122096.46946666666</v>
      </c>
      <c r="X316">
        <v>109025.1167</v>
      </c>
      <c r="Y316">
        <v>109025.1167</v>
      </c>
    </row>
    <row r="317" spans="1:25" x14ac:dyDescent="0.25">
      <c r="A317" t="s">
        <v>584</v>
      </c>
      <c r="B317">
        <v>0</v>
      </c>
      <c r="C317" t="s">
        <v>557</v>
      </c>
      <c r="D317" t="s">
        <v>585</v>
      </c>
      <c r="E317" t="s">
        <v>552</v>
      </c>
      <c r="F317" t="s">
        <v>559</v>
      </c>
      <c r="G317" t="s">
        <v>84</v>
      </c>
      <c r="H317" t="s">
        <v>87</v>
      </c>
      <c r="I317" t="s">
        <v>593</v>
      </c>
      <c r="J317" t="s">
        <v>594</v>
      </c>
      <c r="K317" t="s">
        <v>82</v>
      </c>
      <c r="L317">
        <v>153355.125</v>
      </c>
      <c r="M317" t="s">
        <v>83</v>
      </c>
      <c r="R317">
        <v>1</v>
      </c>
      <c r="T317">
        <v>1</v>
      </c>
      <c r="U317">
        <v>0</v>
      </c>
      <c r="V317">
        <v>0</v>
      </c>
      <c r="W317">
        <v>122096.46946666666</v>
      </c>
    </row>
    <row r="318" spans="1:25" x14ac:dyDescent="0.25">
      <c r="A318" t="s">
        <v>584</v>
      </c>
      <c r="B318">
        <v>0</v>
      </c>
      <c r="C318" t="s">
        <v>557</v>
      </c>
      <c r="D318" t="s">
        <v>585</v>
      </c>
      <c r="E318" t="s">
        <v>552</v>
      </c>
      <c r="F318" t="s">
        <v>559</v>
      </c>
      <c r="G318" t="s">
        <v>84</v>
      </c>
      <c r="H318" t="s">
        <v>98</v>
      </c>
      <c r="I318" t="s">
        <v>595</v>
      </c>
      <c r="J318" t="s">
        <v>596</v>
      </c>
      <c r="K318" t="s">
        <v>82</v>
      </c>
      <c r="L318">
        <v>16750</v>
      </c>
      <c r="M318" t="s">
        <v>83</v>
      </c>
      <c r="Q318">
        <v>1</v>
      </c>
      <c r="U318">
        <v>0</v>
      </c>
      <c r="V318">
        <v>0</v>
      </c>
      <c r="W318">
        <v>23066.666666666668</v>
      </c>
    </row>
    <row r="319" spans="1:25" x14ac:dyDescent="0.25">
      <c r="A319" t="s">
        <v>584</v>
      </c>
      <c r="B319">
        <v>1</v>
      </c>
      <c r="C319" t="s">
        <v>557</v>
      </c>
      <c r="D319" t="s">
        <v>585</v>
      </c>
      <c r="E319" t="s">
        <v>552</v>
      </c>
      <c r="F319" t="s">
        <v>559</v>
      </c>
      <c r="G319" t="s">
        <v>528</v>
      </c>
      <c r="H319" t="s">
        <v>98</v>
      </c>
      <c r="I319" t="s">
        <v>597</v>
      </c>
      <c r="J319" t="s">
        <v>598</v>
      </c>
      <c r="K319" t="s">
        <v>82</v>
      </c>
      <c r="L319">
        <v>30450</v>
      </c>
      <c r="M319" t="s">
        <v>83</v>
      </c>
      <c r="N319">
        <v>23066.666669999999</v>
      </c>
      <c r="U319">
        <v>0</v>
      </c>
      <c r="V319">
        <v>0</v>
      </c>
      <c r="W319">
        <v>23066.666666666668</v>
      </c>
      <c r="X319">
        <v>30450</v>
      </c>
      <c r="Y319">
        <v>30450</v>
      </c>
    </row>
    <row r="320" spans="1:25" x14ac:dyDescent="0.25">
      <c r="A320" t="s">
        <v>584</v>
      </c>
      <c r="B320">
        <v>0</v>
      </c>
      <c r="C320" t="s">
        <v>557</v>
      </c>
      <c r="D320" t="s">
        <v>585</v>
      </c>
      <c r="E320" t="s">
        <v>552</v>
      </c>
      <c r="F320" t="s">
        <v>559</v>
      </c>
      <c r="G320" t="s">
        <v>84</v>
      </c>
      <c r="H320" t="s">
        <v>98</v>
      </c>
      <c r="I320" t="s">
        <v>599</v>
      </c>
      <c r="J320" t="s">
        <v>600</v>
      </c>
      <c r="K320" t="s">
        <v>82</v>
      </c>
      <c r="L320">
        <v>22000</v>
      </c>
      <c r="M320" t="s">
        <v>83</v>
      </c>
      <c r="S320">
        <v>1</v>
      </c>
      <c r="U320">
        <v>0</v>
      </c>
      <c r="V320">
        <v>0</v>
      </c>
      <c r="W320">
        <v>23066.666666666668</v>
      </c>
    </row>
    <row r="321" spans="1:25" x14ac:dyDescent="0.25">
      <c r="A321" t="s">
        <v>584</v>
      </c>
      <c r="B321">
        <v>0</v>
      </c>
      <c r="C321" t="s">
        <v>557</v>
      </c>
      <c r="D321" t="s">
        <v>585</v>
      </c>
      <c r="E321" t="s">
        <v>552</v>
      </c>
      <c r="F321" t="s">
        <v>559</v>
      </c>
      <c r="G321" t="s">
        <v>84</v>
      </c>
      <c r="H321" t="s">
        <v>106</v>
      </c>
      <c r="I321" t="s">
        <v>584</v>
      </c>
      <c r="J321" t="s">
        <v>601</v>
      </c>
      <c r="K321" t="s">
        <v>82</v>
      </c>
      <c r="L321">
        <v>13147.547500000001</v>
      </c>
      <c r="M321" t="s">
        <v>83</v>
      </c>
      <c r="P321">
        <v>1</v>
      </c>
      <c r="U321">
        <v>0</v>
      </c>
      <c r="V321">
        <v>0</v>
      </c>
      <c r="W321">
        <v>9449.0612500000007</v>
      </c>
    </row>
    <row r="322" spans="1:25" x14ac:dyDescent="0.25">
      <c r="A322" t="s">
        <v>584</v>
      </c>
      <c r="B322">
        <v>1</v>
      </c>
      <c r="C322" t="s">
        <v>557</v>
      </c>
      <c r="D322" t="s">
        <v>585</v>
      </c>
      <c r="E322" t="s">
        <v>552</v>
      </c>
      <c r="F322" t="s">
        <v>559</v>
      </c>
      <c r="G322" t="s">
        <v>248</v>
      </c>
      <c r="H322" t="s">
        <v>106</v>
      </c>
      <c r="I322" t="s">
        <v>589</v>
      </c>
      <c r="J322" t="s">
        <v>602</v>
      </c>
      <c r="K322" t="s">
        <v>82</v>
      </c>
      <c r="L322">
        <v>5750.5749999999998</v>
      </c>
      <c r="M322" t="s">
        <v>83</v>
      </c>
      <c r="N322">
        <v>9449.0612500000007</v>
      </c>
      <c r="U322">
        <v>0</v>
      </c>
      <c r="V322">
        <v>0</v>
      </c>
      <c r="W322">
        <v>9449.0612500000007</v>
      </c>
      <c r="X322">
        <v>5750.5749999999998</v>
      </c>
      <c r="Y322">
        <v>5750.5749999999998</v>
      </c>
    </row>
    <row r="323" spans="1:25" x14ac:dyDescent="0.25">
      <c r="A323" t="s">
        <v>584</v>
      </c>
      <c r="B323">
        <v>0</v>
      </c>
      <c r="C323" t="s">
        <v>557</v>
      </c>
      <c r="D323" t="s">
        <v>585</v>
      </c>
      <c r="E323" t="s">
        <v>552</v>
      </c>
      <c r="F323" t="s">
        <v>559</v>
      </c>
      <c r="G323" t="s">
        <v>84</v>
      </c>
      <c r="H323" t="s">
        <v>110</v>
      </c>
      <c r="I323" t="s">
        <v>584</v>
      </c>
      <c r="J323" t="s">
        <v>603</v>
      </c>
      <c r="K323" t="s">
        <v>82</v>
      </c>
      <c r="L323">
        <v>7680</v>
      </c>
      <c r="M323" t="s">
        <v>83</v>
      </c>
      <c r="P323">
        <v>1</v>
      </c>
      <c r="U323">
        <v>0</v>
      </c>
      <c r="V323">
        <v>0</v>
      </c>
      <c r="W323">
        <v>13794</v>
      </c>
    </row>
    <row r="324" spans="1:25" x14ac:dyDescent="0.25">
      <c r="A324" t="s">
        <v>584</v>
      </c>
      <c r="B324">
        <v>1</v>
      </c>
      <c r="C324" t="s">
        <v>557</v>
      </c>
      <c r="D324" t="s">
        <v>585</v>
      </c>
      <c r="E324" t="s">
        <v>552</v>
      </c>
      <c r="F324" t="s">
        <v>559</v>
      </c>
      <c r="G324" t="s">
        <v>248</v>
      </c>
      <c r="H324" t="s">
        <v>110</v>
      </c>
      <c r="I324" t="s">
        <v>589</v>
      </c>
      <c r="J324" t="s">
        <v>604</v>
      </c>
      <c r="K324" t="s">
        <v>82</v>
      </c>
      <c r="L324">
        <v>19908</v>
      </c>
      <c r="M324" t="s">
        <v>83</v>
      </c>
      <c r="N324">
        <v>13794</v>
      </c>
      <c r="U324">
        <v>0</v>
      </c>
      <c r="V324">
        <v>0</v>
      </c>
      <c r="W324">
        <v>13794</v>
      </c>
      <c r="X324">
        <v>19908</v>
      </c>
      <c r="Y324">
        <v>19908</v>
      </c>
    </row>
    <row r="325" spans="1:25" x14ac:dyDescent="0.25">
      <c r="A325" t="s">
        <v>584</v>
      </c>
      <c r="B325">
        <v>0</v>
      </c>
      <c r="C325" t="s">
        <v>557</v>
      </c>
      <c r="D325" t="s">
        <v>585</v>
      </c>
      <c r="E325" t="s">
        <v>552</v>
      </c>
      <c r="F325" t="s">
        <v>559</v>
      </c>
      <c r="G325" t="s">
        <v>84</v>
      </c>
      <c r="H325" t="s">
        <v>185</v>
      </c>
      <c r="I325" t="s">
        <v>584</v>
      </c>
      <c r="J325" t="s">
        <v>605</v>
      </c>
      <c r="K325" t="s">
        <v>82</v>
      </c>
      <c r="L325">
        <v>19299.875</v>
      </c>
      <c r="M325" t="s">
        <v>83</v>
      </c>
      <c r="P325">
        <v>1</v>
      </c>
      <c r="U325">
        <v>0</v>
      </c>
      <c r="V325">
        <v>0</v>
      </c>
      <c r="W325">
        <v>20323.95</v>
      </c>
    </row>
    <row r="326" spans="1:25" x14ac:dyDescent="0.25">
      <c r="A326" t="s">
        <v>584</v>
      </c>
      <c r="B326">
        <v>1</v>
      </c>
      <c r="C326" t="s">
        <v>557</v>
      </c>
      <c r="D326" t="s">
        <v>585</v>
      </c>
      <c r="E326" t="s">
        <v>552</v>
      </c>
      <c r="F326" t="s">
        <v>559</v>
      </c>
      <c r="G326" t="s">
        <v>248</v>
      </c>
      <c r="H326" t="s">
        <v>185</v>
      </c>
      <c r="I326" t="s">
        <v>589</v>
      </c>
      <c r="J326" t="s">
        <v>606</v>
      </c>
      <c r="K326" t="s">
        <v>82</v>
      </c>
      <c r="L326">
        <v>21348.025000000001</v>
      </c>
      <c r="M326" t="s">
        <v>83</v>
      </c>
      <c r="N326">
        <v>20323.95</v>
      </c>
      <c r="U326">
        <v>0</v>
      </c>
      <c r="V326">
        <v>0</v>
      </c>
      <c r="W326">
        <v>20323.95</v>
      </c>
      <c r="X326">
        <v>21348.025000000001</v>
      </c>
      <c r="Y326">
        <v>21348.025000000001</v>
      </c>
    </row>
    <row r="327" spans="1:25" x14ac:dyDescent="0.25">
      <c r="A327" t="s">
        <v>607</v>
      </c>
      <c r="B327">
        <v>0</v>
      </c>
      <c r="C327" t="s">
        <v>608</v>
      </c>
      <c r="D327" t="s">
        <v>609</v>
      </c>
      <c r="E327" t="s">
        <v>552</v>
      </c>
      <c r="F327" t="s">
        <v>610</v>
      </c>
      <c r="G327" t="s">
        <v>84</v>
      </c>
      <c r="H327" t="s">
        <v>92</v>
      </c>
      <c r="I327" t="s">
        <v>611</v>
      </c>
      <c r="J327" t="s">
        <v>612</v>
      </c>
      <c r="K327" t="s">
        <v>82</v>
      </c>
      <c r="L327">
        <v>77780</v>
      </c>
      <c r="M327" t="s">
        <v>83</v>
      </c>
      <c r="Q327">
        <v>1</v>
      </c>
      <c r="T327">
        <v>1</v>
      </c>
      <c r="U327">
        <v>0</v>
      </c>
      <c r="V327">
        <v>0</v>
      </c>
      <c r="W327">
        <v>65180</v>
      </c>
    </row>
    <row r="328" spans="1:25" x14ac:dyDescent="0.25">
      <c r="A328" t="s">
        <v>607</v>
      </c>
      <c r="B328">
        <v>1</v>
      </c>
      <c r="C328" t="s">
        <v>608</v>
      </c>
      <c r="D328" t="s">
        <v>609</v>
      </c>
      <c r="E328" t="s">
        <v>552</v>
      </c>
      <c r="F328" t="s">
        <v>610</v>
      </c>
      <c r="G328" t="s">
        <v>221</v>
      </c>
      <c r="H328" t="s">
        <v>92</v>
      </c>
      <c r="I328" t="s">
        <v>613</v>
      </c>
      <c r="J328" t="s">
        <v>221</v>
      </c>
      <c r="K328" t="s">
        <v>82</v>
      </c>
      <c r="L328">
        <v>52580</v>
      </c>
      <c r="M328" t="s">
        <v>83</v>
      </c>
      <c r="N328">
        <v>65180</v>
      </c>
      <c r="U328">
        <v>0</v>
      </c>
      <c r="V328">
        <v>0</v>
      </c>
      <c r="W328">
        <v>65180</v>
      </c>
      <c r="X328">
        <v>52580</v>
      </c>
      <c r="Y328">
        <v>52580</v>
      </c>
    </row>
    <row r="329" spans="1:25" x14ac:dyDescent="0.25">
      <c r="A329" t="s">
        <v>607</v>
      </c>
      <c r="B329">
        <v>0</v>
      </c>
      <c r="C329" t="s">
        <v>608</v>
      </c>
      <c r="D329" t="s">
        <v>609</v>
      </c>
      <c r="E329" t="s">
        <v>552</v>
      </c>
      <c r="F329" t="s">
        <v>610</v>
      </c>
      <c r="G329" t="s">
        <v>84</v>
      </c>
      <c r="H329" t="s">
        <v>98</v>
      </c>
      <c r="I329" t="s">
        <v>614</v>
      </c>
      <c r="J329" t="s">
        <v>615</v>
      </c>
      <c r="K329" t="s">
        <v>82</v>
      </c>
      <c r="L329">
        <v>29750</v>
      </c>
      <c r="M329" t="s">
        <v>83</v>
      </c>
      <c r="U329">
        <v>0</v>
      </c>
      <c r="V329">
        <v>0</v>
      </c>
      <c r="W329">
        <v>36666.666666666664</v>
      </c>
    </row>
    <row r="330" spans="1:25" x14ac:dyDescent="0.25">
      <c r="A330" t="s">
        <v>607</v>
      </c>
      <c r="B330">
        <v>0</v>
      </c>
      <c r="C330" t="s">
        <v>608</v>
      </c>
      <c r="D330" t="s">
        <v>609</v>
      </c>
      <c r="E330" t="s">
        <v>552</v>
      </c>
      <c r="F330" t="s">
        <v>610</v>
      </c>
      <c r="G330" t="s">
        <v>84</v>
      </c>
      <c r="H330" t="s">
        <v>98</v>
      </c>
      <c r="I330" t="s">
        <v>616</v>
      </c>
      <c r="J330" t="s">
        <v>617</v>
      </c>
      <c r="K330" t="s">
        <v>82</v>
      </c>
      <c r="L330">
        <v>16600</v>
      </c>
      <c r="M330" t="s">
        <v>83</v>
      </c>
      <c r="S330">
        <v>1</v>
      </c>
      <c r="U330">
        <v>0</v>
      </c>
      <c r="V330">
        <v>0</v>
      </c>
      <c r="W330">
        <v>36666.666666666664</v>
      </c>
    </row>
    <row r="331" spans="1:25" x14ac:dyDescent="0.25">
      <c r="A331" t="s">
        <v>607</v>
      </c>
      <c r="B331">
        <v>1</v>
      </c>
      <c r="C331" t="s">
        <v>608</v>
      </c>
      <c r="D331" t="s">
        <v>609</v>
      </c>
      <c r="E331" t="s">
        <v>552</v>
      </c>
      <c r="F331" t="s">
        <v>610</v>
      </c>
      <c r="G331" t="s">
        <v>103</v>
      </c>
      <c r="H331" t="s">
        <v>98</v>
      </c>
      <c r="I331" t="s">
        <v>618</v>
      </c>
      <c r="J331" t="s">
        <v>619</v>
      </c>
      <c r="K331" t="s">
        <v>82</v>
      </c>
      <c r="L331">
        <v>63650</v>
      </c>
      <c r="M331" t="s">
        <v>83</v>
      </c>
      <c r="N331">
        <v>36666.666669999999</v>
      </c>
      <c r="R331">
        <v>1</v>
      </c>
      <c r="T331">
        <v>1</v>
      </c>
      <c r="U331">
        <v>0</v>
      </c>
      <c r="V331">
        <v>0</v>
      </c>
      <c r="W331">
        <v>36666.666666666664</v>
      </c>
      <c r="X331">
        <v>63650</v>
      </c>
      <c r="Y331">
        <v>63650</v>
      </c>
    </row>
    <row r="332" spans="1:25" x14ac:dyDescent="0.25">
      <c r="A332" t="s">
        <v>607</v>
      </c>
      <c r="B332">
        <v>0</v>
      </c>
      <c r="C332" t="s">
        <v>608</v>
      </c>
      <c r="D332" t="s">
        <v>609</v>
      </c>
      <c r="E332" t="s">
        <v>552</v>
      </c>
      <c r="F332" t="s">
        <v>610</v>
      </c>
      <c r="G332" t="s">
        <v>84</v>
      </c>
      <c r="H332" t="s">
        <v>87</v>
      </c>
      <c r="I332" t="s">
        <v>620</v>
      </c>
      <c r="J332" t="s">
        <v>621</v>
      </c>
      <c r="K332" t="s">
        <v>82</v>
      </c>
      <c r="L332">
        <v>110045.01669999999</v>
      </c>
      <c r="M332" t="s">
        <v>83</v>
      </c>
      <c r="U332">
        <v>0</v>
      </c>
      <c r="V332">
        <v>0</v>
      </c>
      <c r="W332">
        <v>116541.85279999999</v>
      </c>
    </row>
    <row r="333" spans="1:25" x14ac:dyDescent="0.25">
      <c r="A333" t="s">
        <v>607</v>
      </c>
      <c r="B333">
        <v>1</v>
      </c>
      <c r="C333" t="s">
        <v>608</v>
      </c>
      <c r="D333" t="s">
        <v>609</v>
      </c>
      <c r="E333" t="s">
        <v>552</v>
      </c>
      <c r="F333" t="s">
        <v>610</v>
      </c>
      <c r="G333" t="s">
        <v>413</v>
      </c>
      <c r="H333" t="s">
        <v>87</v>
      </c>
      <c r="I333" t="s">
        <v>622</v>
      </c>
      <c r="J333" t="s">
        <v>623</v>
      </c>
      <c r="K333" t="s">
        <v>82</v>
      </c>
      <c r="L333">
        <v>112271.25</v>
      </c>
      <c r="M333" t="s">
        <v>83</v>
      </c>
      <c r="N333">
        <v>116541.85279999999</v>
      </c>
      <c r="U333">
        <v>0</v>
      </c>
      <c r="V333">
        <v>0</v>
      </c>
      <c r="W333">
        <v>116541.85279999999</v>
      </c>
      <c r="X333">
        <v>112271.25</v>
      </c>
      <c r="Y333">
        <v>112271.25</v>
      </c>
    </row>
    <row r="334" spans="1:25" x14ac:dyDescent="0.25">
      <c r="A334" t="s">
        <v>607</v>
      </c>
      <c r="B334">
        <v>0</v>
      </c>
      <c r="C334" t="s">
        <v>608</v>
      </c>
      <c r="D334" t="s">
        <v>609</v>
      </c>
      <c r="E334" t="s">
        <v>552</v>
      </c>
      <c r="F334" t="s">
        <v>610</v>
      </c>
      <c r="G334" t="s">
        <v>84</v>
      </c>
      <c r="H334" t="s">
        <v>87</v>
      </c>
      <c r="I334" t="s">
        <v>624</v>
      </c>
      <c r="J334" t="s">
        <v>625</v>
      </c>
      <c r="K334" t="s">
        <v>82</v>
      </c>
      <c r="L334">
        <v>127309.2917</v>
      </c>
      <c r="M334" t="s">
        <v>83</v>
      </c>
      <c r="Q334">
        <v>1</v>
      </c>
      <c r="R334">
        <v>1</v>
      </c>
      <c r="U334">
        <v>0</v>
      </c>
      <c r="V334">
        <v>0</v>
      </c>
      <c r="W334">
        <v>116541.85279999999</v>
      </c>
    </row>
    <row r="335" spans="1:25" x14ac:dyDescent="0.25">
      <c r="A335" t="s">
        <v>607</v>
      </c>
      <c r="B335">
        <v>1</v>
      </c>
      <c r="C335" t="s">
        <v>608</v>
      </c>
      <c r="D335" t="s">
        <v>609</v>
      </c>
      <c r="E335" t="s">
        <v>552</v>
      </c>
      <c r="F335" t="s">
        <v>610</v>
      </c>
      <c r="G335" t="s">
        <v>626</v>
      </c>
      <c r="H335" t="s">
        <v>80</v>
      </c>
      <c r="I335" t="s">
        <v>607</v>
      </c>
      <c r="J335" t="s">
        <v>627</v>
      </c>
      <c r="K335" t="s">
        <v>82</v>
      </c>
      <c r="L335">
        <v>696940.44</v>
      </c>
      <c r="M335" t="s">
        <v>83</v>
      </c>
      <c r="N335">
        <v>729332.05169999995</v>
      </c>
      <c r="U335">
        <v>0</v>
      </c>
      <c r="V335">
        <v>0</v>
      </c>
      <c r="W335">
        <v>729332.05169999995</v>
      </c>
      <c r="X335">
        <v>696940.44</v>
      </c>
      <c r="Y335">
        <v>696940.44</v>
      </c>
    </row>
    <row r="336" spans="1:25" x14ac:dyDescent="0.25">
      <c r="A336" t="s">
        <v>607</v>
      </c>
      <c r="B336">
        <v>0</v>
      </c>
      <c r="C336" t="s">
        <v>608</v>
      </c>
      <c r="D336" t="s">
        <v>609</v>
      </c>
      <c r="E336" t="s">
        <v>552</v>
      </c>
      <c r="F336" t="s">
        <v>610</v>
      </c>
      <c r="G336" t="s">
        <v>84</v>
      </c>
      <c r="H336" t="s">
        <v>80</v>
      </c>
      <c r="I336" t="s">
        <v>628</v>
      </c>
      <c r="J336" t="s">
        <v>629</v>
      </c>
      <c r="K336" t="s">
        <v>82</v>
      </c>
      <c r="L336">
        <v>761723.66339999996</v>
      </c>
      <c r="M336" t="s">
        <v>83</v>
      </c>
      <c r="U336">
        <v>0</v>
      </c>
      <c r="V336">
        <v>0</v>
      </c>
      <c r="W336">
        <v>729332.05169999995</v>
      </c>
    </row>
    <row r="337" spans="1:25" x14ac:dyDescent="0.25">
      <c r="A337" t="s">
        <v>630</v>
      </c>
      <c r="B337">
        <v>1</v>
      </c>
      <c r="C337" t="s">
        <v>608</v>
      </c>
      <c r="D337" t="s">
        <v>609</v>
      </c>
      <c r="E337" t="s">
        <v>552</v>
      </c>
      <c r="F337" t="s">
        <v>610</v>
      </c>
      <c r="G337" t="s">
        <v>181</v>
      </c>
      <c r="H337" t="s">
        <v>92</v>
      </c>
      <c r="I337" t="s">
        <v>631</v>
      </c>
      <c r="J337" t="s">
        <v>181</v>
      </c>
      <c r="K337" t="s">
        <v>82</v>
      </c>
      <c r="L337">
        <v>31110</v>
      </c>
      <c r="M337" t="s">
        <v>83</v>
      </c>
      <c r="N337">
        <v>29100</v>
      </c>
      <c r="U337">
        <v>0</v>
      </c>
      <c r="V337">
        <v>0</v>
      </c>
      <c r="W337">
        <v>29100</v>
      </c>
      <c r="X337">
        <v>31110</v>
      </c>
      <c r="Y337">
        <v>31110</v>
      </c>
    </row>
    <row r="338" spans="1:25" x14ac:dyDescent="0.25">
      <c r="A338" t="s">
        <v>630</v>
      </c>
      <c r="B338">
        <v>0</v>
      </c>
      <c r="C338" t="s">
        <v>608</v>
      </c>
      <c r="D338" t="s">
        <v>609</v>
      </c>
      <c r="E338" t="s">
        <v>552</v>
      </c>
      <c r="F338" t="s">
        <v>610</v>
      </c>
      <c r="G338" t="s">
        <v>84</v>
      </c>
      <c r="H338" t="s">
        <v>92</v>
      </c>
      <c r="I338" t="s">
        <v>632</v>
      </c>
      <c r="J338" t="s">
        <v>633</v>
      </c>
      <c r="K338" t="s">
        <v>82</v>
      </c>
      <c r="L338">
        <v>27090</v>
      </c>
      <c r="M338" t="s">
        <v>83</v>
      </c>
      <c r="U338">
        <v>0</v>
      </c>
      <c r="V338">
        <v>0</v>
      </c>
      <c r="W338">
        <v>29100</v>
      </c>
    </row>
    <row r="339" spans="1:25" x14ac:dyDescent="0.25">
      <c r="A339" t="s">
        <v>630</v>
      </c>
      <c r="B339">
        <v>0</v>
      </c>
      <c r="C339" t="s">
        <v>608</v>
      </c>
      <c r="D339" t="s">
        <v>609</v>
      </c>
      <c r="E339" t="s">
        <v>552</v>
      </c>
      <c r="F339" t="s">
        <v>610</v>
      </c>
      <c r="G339" t="s">
        <v>84</v>
      </c>
      <c r="H339" t="s">
        <v>98</v>
      </c>
      <c r="I339" t="s">
        <v>634</v>
      </c>
      <c r="J339" t="s">
        <v>635</v>
      </c>
      <c r="K339" t="s">
        <v>82</v>
      </c>
      <c r="L339">
        <v>34400</v>
      </c>
      <c r="M339" t="s">
        <v>83</v>
      </c>
      <c r="S339">
        <v>1</v>
      </c>
      <c r="U339">
        <v>0</v>
      </c>
      <c r="V339">
        <v>0</v>
      </c>
      <c r="W339">
        <v>30216.666666666668</v>
      </c>
    </row>
    <row r="340" spans="1:25" x14ac:dyDescent="0.25">
      <c r="A340" t="s">
        <v>630</v>
      </c>
      <c r="B340">
        <v>1</v>
      </c>
      <c r="C340" t="s">
        <v>608</v>
      </c>
      <c r="D340" t="s">
        <v>609</v>
      </c>
      <c r="E340" t="s">
        <v>552</v>
      </c>
      <c r="F340" t="s">
        <v>610</v>
      </c>
      <c r="G340" t="s">
        <v>289</v>
      </c>
      <c r="H340" t="s">
        <v>98</v>
      </c>
      <c r="I340" t="s">
        <v>636</v>
      </c>
      <c r="J340" t="s">
        <v>637</v>
      </c>
      <c r="K340" t="s">
        <v>82</v>
      </c>
      <c r="L340">
        <v>35000</v>
      </c>
      <c r="M340" t="s">
        <v>83</v>
      </c>
      <c r="N340">
        <v>30216.666669999999</v>
      </c>
      <c r="U340">
        <v>0</v>
      </c>
      <c r="V340">
        <v>0</v>
      </c>
      <c r="W340">
        <v>30216.666666666668</v>
      </c>
      <c r="X340">
        <v>35000</v>
      </c>
      <c r="Y340">
        <v>35000</v>
      </c>
    </row>
    <row r="341" spans="1:25" x14ac:dyDescent="0.25">
      <c r="A341" t="s">
        <v>630</v>
      </c>
      <c r="B341">
        <v>0</v>
      </c>
      <c r="C341" t="s">
        <v>608</v>
      </c>
      <c r="D341" t="s">
        <v>609</v>
      </c>
      <c r="E341" t="s">
        <v>552</v>
      </c>
      <c r="F341" t="s">
        <v>610</v>
      </c>
      <c r="G341" t="s">
        <v>84</v>
      </c>
      <c r="H341" t="s">
        <v>98</v>
      </c>
      <c r="I341" t="s">
        <v>638</v>
      </c>
      <c r="J341" t="s">
        <v>639</v>
      </c>
      <c r="K341" t="s">
        <v>82</v>
      </c>
      <c r="L341">
        <v>21250</v>
      </c>
      <c r="M341" t="s">
        <v>83</v>
      </c>
      <c r="U341">
        <v>0</v>
      </c>
      <c r="V341">
        <v>0</v>
      </c>
      <c r="W341">
        <v>30216.666666666668</v>
      </c>
    </row>
    <row r="342" spans="1:25" x14ac:dyDescent="0.25">
      <c r="A342" t="s">
        <v>630</v>
      </c>
      <c r="B342">
        <v>0</v>
      </c>
      <c r="C342" t="s">
        <v>608</v>
      </c>
      <c r="D342" t="s">
        <v>609</v>
      </c>
      <c r="E342" t="s">
        <v>552</v>
      </c>
      <c r="F342" t="s">
        <v>610</v>
      </c>
      <c r="G342" t="s">
        <v>84</v>
      </c>
      <c r="H342" t="s">
        <v>87</v>
      </c>
      <c r="I342" t="s">
        <v>630</v>
      </c>
      <c r="J342" t="s">
        <v>640</v>
      </c>
      <c r="K342" t="s">
        <v>82</v>
      </c>
      <c r="L342">
        <v>101570.52499999999</v>
      </c>
      <c r="M342" t="s">
        <v>83</v>
      </c>
      <c r="S342">
        <v>1</v>
      </c>
      <c r="T342">
        <v>1</v>
      </c>
      <c r="U342">
        <v>0</v>
      </c>
      <c r="V342">
        <v>0</v>
      </c>
      <c r="W342">
        <v>109087.2611</v>
      </c>
    </row>
    <row r="343" spans="1:25" x14ac:dyDescent="0.25">
      <c r="A343" t="s">
        <v>630</v>
      </c>
      <c r="B343">
        <v>1</v>
      </c>
      <c r="C343" t="s">
        <v>608</v>
      </c>
      <c r="D343" t="s">
        <v>609</v>
      </c>
      <c r="E343" t="s">
        <v>552</v>
      </c>
      <c r="F343" t="s">
        <v>610</v>
      </c>
      <c r="G343" t="s">
        <v>495</v>
      </c>
      <c r="H343" t="s">
        <v>87</v>
      </c>
      <c r="I343" t="s">
        <v>630</v>
      </c>
      <c r="J343" t="s">
        <v>641</v>
      </c>
      <c r="K343" t="s">
        <v>82</v>
      </c>
      <c r="L343">
        <v>109992.925</v>
      </c>
      <c r="M343" t="s">
        <v>83</v>
      </c>
      <c r="N343">
        <v>109087.2611</v>
      </c>
      <c r="U343">
        <v>0</v>
      </c>
      <c r="V343">
        <v>0</v>
      </c>
      <c r="W343">
        <v>109087.2611</v>
      </c>
      <c r="X343">
        <v>109992.925</v>
      </c>
      <c r="Y343">
        <v>109992.925</v>
      </c>
    </row>
    <row r="344" spans="1:25" x14ac:dyDescent="0.25">
      <c r="A344" t="s">
        <v>630</v>
      </c>
      <c r="B344">
        <v>0</v>
      </c>
      <c r="C344" t="s">
        <v>608</v>
      </c>
      <c r="D344" t="s">
        <v>609</v>
      </c>
      <c r="E344" t="s">
        <v>552</v>
      </c>
      <c r="F344" t="s">
        <v>610</v>
      </c>
      <c r="G344" t="s">
        <v>84</v>
      </c>
      <c r="H344" t="s">
        <v>87</v>
      </c>
      <c r="I344" t="s">
        <v>642</v>
      </c>
      <c r="J344" t="s">
        <v>643</v>
      </c>
      <c r="K344" t="s">
        <v>82</v>
      </c>
      <c r="L344">
        <v>115698.3333</v>
      </c>
      <c r="M344" t="s">
        <v>83</v>
      </c>
      <c r="T344">
        <v>1</v>
      </c>
      <c r="U344">
        <v>0</v>
      </c>
      <c r="V344">
        <v>0</v>
      </c>
      <c r="W344">
        <v>109087.2611</v>
      </c>
    </row>
    <row r="345" spans="1:25" x14ac:dyDescent="0.25">
      <c r="A345" t="s">
        <v>630</v>
      </c>
      <c r="B345">
        <v>0</v>
      </c>
      <c r="C345" t="s">
        <v>608</v>
      </c>
      <c r="D345" t="s">
        <v>609</v>
      </c>
      <c r="E345" t="s">
        <v>552</v>
      </c>
      <c r="F345" t="s">
        <v>610</v>
      </c>
      <c r="G345" t="s">
        <v>84</v>
      </c>
      <c r="H345" t="s">
        <v>80</v>
      </c>
      <c r="I345" t="s">
        <v>630</v>
      </c>
      <c r="J345" t="s">
        <v>644</v>
      </c>
      <c r="K345" t="s">
        <v>82</v>
      </c>
      <c r="L345">
        <v>797565.82929999998</v>
      </c>
      <c r="M345" t="s">
        <v>83</v>
      </c>
      <c r="U345">
        <v>0</v>
      </c>
      <c r="V345">
        <v>0</v>
      </c>
      <c r="W345">
        <v>801505.2209666667</v>
      </c>
    </row>
    <row r="346" spans="1:25" x14ac:dyDescent="0.25">
      <c r="A346" t="s">
        <v>630</v>
      </c>
      <c r="B346">
        <v>0</v>
      </c>
      <c r="C346" t="s">
        <v>608</v>
      </c>
      <c r="D346" t="s">
        <v>609</v>
      </c>
      <c r="E346" t="s">
        <v>552</v>
      </c>
      <c r="F346" t="s">
        <v>610</v>
      </c>
      <c r="G346" t="s">
        <v>84</v>
      </c>
      <c r="H346" t="s">
        <v>80</v>
      </c>
      <c r="I346" t="s">
        <v>630</v>
      </c>
      <c r="J346" t="s">
        <v>645</v>
      </c>
      <c r="K346" t="s">
        <v>82</v>
      </c>
      <c r="L346">
        <v>808227.59360000002</v>
      </c>
      <c r="M346" t="s">
        <v>83</v>
      </c>
      <c r="U346">
        <v>0</v>
      </c>
      <c r="V346">
        <v>0</v>
      </c>
      <c r="W346">
        <v>801505.2209666667</v>
      </c>
    </row>
    <row r="347" spans="1:25" x14ac:dyDescent="0.25">
      <c r="A347" t="s">
        <v>630</v>
      </c>
      <c r="B347">
        <v>1</v>
      </c>
      <c r="C347" t="s">
        <v>608</v>
      </c>
      <c r="D347" t="s">
        <v>609</v>
      </c>
      <c r="E347" t="s">
        <v>552</v>
      </c>
      <c r="F347" t="s">
        <v>610</v>
      </c>
      <c r="G347" t="s">
        <v>167</v>
      </c>
      <c r="H347" t="s">
        <v>80</v>
      </c>
      <c r="I347" t="s">
        <v>630</v>
      </c>
      <c r="J347" t="s">
        <v>646</v>
      </c>
      <c r="K347" t="s">
        <v>82</v>
      </c>
      <c r="L347">
        <v>798722.24</v>
      </c>
      <c r="M347" t="s">
        <v>83</v>
      </c>
      <c r="N347">
        <v>801505.22100000002</v>
      </c>
      <c r="U347">
        <v>0</v>
      </c>
      <c r="V347">
        <v>0</v>
      </c>
      <c r="W347">
        <v>801505.2209666667</v>
      </c>
      <c r="X347">
        <v>798722.24</v>
      </c>
      <c r="Y347">
        <v>798722.24</v>
      </c>
    </row>
    <row r="348" spans="1:25" x14ac:dyDescent="0.25">
      <c r="A348" t="s">
        <v>647</v>
      </c>
      <c r="B348">
        <v>0</v>
      </c>
      <c r="C348" t="s">
        <v>608</v>
      </c>
      <c r="D348" t="s">
        <v>648</v>
      </c>
      <c r="E348" t="s">
        <v>552</v>
      </c>
      <c r="F348" t="s">
        <v>610</v>
      </c>
      <c r="G348" t="s">
        <v>84</v>
      </c>
      <c r="H348" t="s">
        <v>92</v>
      </c>
      <c r="I348" t="s">
        <v>649</v>
      </c>
      <c r="J348" t="s">
        <v>181</v>
      </c>
      <c r="K348" t="s">
        <v>82</v>
      </c>
      <c r="L348">
        <v>38480</v>
      </c>
      <c r="M348" t="s">
        <v>83</v>
      </c>
      <c r="P348">
        <v>1</v>
      </c>
      <c r="U348">
        <v>0</v>
      </c>
      <c r="V348">
        <v>0</v>
      </c>
      <c r="W348">
        <v>48485</v>
      </c>
    </row>
    <row r="349" spans="1:25" x14ac:dyDescent="0.25">
      <c r="A349" t="s">
        <v>647</v>
      </c>
      <c r="B349">
        <v>1</v>
      </c>
      <c r="C349" t="s">
        <v>608</v>
      </c>
      <c r="D349" t="s">
        <v>648</v>
      </c>
      <c r="E349" t="s">
        <v>552</v>
      </c>
      <c r="F349" t="s">
        <v>610</v>
      </c>
      <c r="G349" t="s">
        <v>301</v>
      </c>
      <c r="H349" t="s">
        <v>92</v>
      </c>
      <c r="I349" t="s">
        <v>650</v>
      </c>
      <c r="J349" t="s">
        <v>303</v>
      </c>
      <c r="K349" t="s">
        <v>82</v>
      </c>
      <c r="L349">
        <v>58490</v>
      </c>
      <c r="M349" t="s">
        <v>83</v>
      </c>
      <c r="N349">
        <v>48485</v>
      </c>
      <c r="O349">
        <v>1</v>
      </c>
      <c r="R349">
        <v>1</v>
      </c>
      <c r="S349">
        <v>1</v>
      </c>
      <c r="U349">
        <v>58490</v>
      </c>
      <c r="V349">
        <v>58490</v>
      </c>
      <c r="W349">
        <v>48485</v>
      </c>
      <c r="X349">
        <v>58490</v>
      </c>
      <c r="Y349">
        <v>58490</v>
      </c>
    </row>
    <row r="350" spans="1:25" x14ac:dyDescent="0.25">
      <c r="A350" t="s">
        <v>647</v>
      </c>
      <c r="B350">
        <v>1</v>
      </c>
      <c r="C350" t="s">
        <v>608</v>
      </c>
      <c r="D350" t="s">
        <v>648</v>
      </c>
      <c r="E350" t="s">
        <v>552</v>
      </c>
      <c r="F350" t="s">
        <v>610</v>
      </c>
      <c r="G350" t="s">
        <v>238</v>
      </c>
      <c r="H350" t="s">
        <v>98</v>
      </c>
      <c r="I350" t="s">
        <v>651</v>
      </c>
      <c r="J350" t="s">
        <v>652</v>
      </c>
      <c r="K350" t="s">
        <v>82</v>
      </c>
      <c r="L350">
        <v>47100</v>
      </c>
      <c r="M350" t="s">
        <v>83</v>
      </c>
      <c r="N350">
        <v>29333.333330000001</v>
      </c>
      <c r="U350">
        <v>0</v>
      </c>
      <c r="V350">
        <v>0</v>
      </c>
      <c r="W350">
        <v>29333.333333333332</v>
      </c>
      <c r="X350">
        <v>47100</v>
      </c>
      <c r="Y350">
        <v>47100</v>
      </c>
    </row>
    <row r="351" spans="1:25" x14ac:dyDescent="0.25">
      <c r="A351" t="s">
        <v>647</v>
      </c>
      <c r="B351">
        <v>0</v>
      </c>
      <c r="C351" t="s">
        <v>608</v>
      </c>
      <c r="D351" t="s">
        <v>648</v>
      </c>
      <c r="E351" t="s">
        <v>552</v>
      </c>
      <c r="F351" t="s">
        <v>610</v>
      </c>
      <c r="G351" t="s">
        <v>84</v>
      </c>
      <c r="H351" t="s">
        <v>98</v>
      </c>
      <c r="I351" t="s">
        <v>653</v>
      </c>
      <c r="J351" t="s">
        <v>654</v>
      </c>
      <c r="K351" t="s">
        <v>82</v>
      </c>
      <c r="L351">
        <v>22650</v>
      </c>
      <c r="M351" t="s">
        <v>83</v>
      </c>
      <c r="S351">
        <v>1</v>
      </c>
      <c r="U351">
        <v>0</v>
      </c>
      <c r="V351">
        <v>0</v>
      </c>
      <c r="W351">
        <v>29333.333333333332</v>
      </c>
    </row>
    <row r="352" spans="1:25" x14ac:dyDescent="0.25">
      <c r="A352" t="s">
        <v>647</v>
      </c>
      <c r="B352">
        <v>0</v>
      </c>
      <c r="C352" t="s">
        <v>608</v>
      </c>
      <c r="D352" t="s">
        <v>648</v>
      </c>
      <c r="E352" t="s">
        <v>552</v>
      </c>
      <c r="F352" t="s">
        <v>610</v>
      </c>
      <c r="G352" t="s">
        <v>84</v>
      </c>
      <c r="H352" t="s">
        <v>98</v>
      </c>
      <c r="I352" t="s">
        <v>655</v>
      </c>
      <c r="J352" t="s">
        <v>656</v>
      </c>
      <c r="K352" t="s">
        <v>82</v>
      </c>
      <c r="L352">
        <v>18250</v>
      </c>
      <c r="M352" t="s">
        <v>83</v>
      </c>
      <c r="R352">
        <v>1</v>
      </c>
      <c r="U352">
        <v>0</v>
      </c>
      <c r="V352">
        <v>0</v>
      </c>
      <c r="W352">
        <v>29333.333333333332</v>
      </c>
    </row>
    <row r="353" spans="1:25" x14ac:dyDescent="0.25">
      <c r="A353" t="s">
        <v>647</v>
      </c>
      <c r="B353">
        <v>1</v>
      </c>
      <c r="C353" t="s">
        <v>608</v>
      </c>
      <c r="D353" t="s">
        <v>648</v>
      </c>
      <c r="E353" t="s">
        <v>552</v>
      </c>
      <c r="F353" t="s">
        <v>610</v>
      </c>
      <c r="G353" t="s">
        <v>413</v>
      </c>
      <c r="H353" t="s">
        <v>87</v>
      </c>
      <c r="I353" t="s">
        <v>657</v>
      </c>
      <c r="J353" t="s">
        <v>658</v>
      </c>
      <c r="K353" t="s">
        <v>82</v>
      </c>
      <c r="L353">
        <v>128682.8667</v>
      </c>
      <c r="M353" t="s">
        <v>83</v>
      </c>
      <c r="N353">
        <v>128325.07919999999</v>
      </c>
      <c r="U353">
        <v>0</v>
      </c>
      <c r="V353">
        <v>0</v>
      </c>
      <c r="W353">
        <v>128325.07920000001</v>
      </c>
      <c r="X353">
        <v>128682.8667</v>
      </c>
      <c r="Y353">
        <v>128682.8667</v>
      </c>
    </row>
    <row r="354" spans="1:25" x14ac:dyDescent="0.25">
      <c r="A354" t="s">
        <v>647</v>
      </c>
      <c r="B354">
        <v>0</v>
      </c>
      <c r="C354" t="s">
        <v>608</v>
      </c>
      <c r="D354" t="s">
        <v>648</v>
      </c>
      <c r="E354" t="s">
        <v>552</v>
      </c>
      <c r="F354" t="s">
        <v>610</v>
      </c>
      <c r="G354" t="s">
        <v>84</v>
      </c>
      <c r="H354" t="s">
        <v>87</v>
      </c>
      <c r="I354" t="s">
        <v>647</v>
      </c>
      <c r="J354" t="s">
        <v>659</v>
      </c>
      <c r="K354" t="s">
        <v>82</v>
      </c>
      <c r="L354">
        <v>127967.2917</v>
      </c>
      <c r="M354" t="s">
        <v>83</v>
      </c>
      <c r="U354">
        <v>0</v>
      </c>
      <c r="V354">
        <v>0</v>
      </c>
      <c r="W354">
        <v>128325.07920000001</v>
      </c>
    </row>
    <row r="355" spans="1:25" x14ac:dyDescent="0.25">
      <c r="A355" t="s">
        <v>647</v>
      </c>
      <c r="B355">
        <v>0</v>
      </c>
      <c r="C355" t="s">
        <v>608</v>
      </c>
      <c r="D355" t="s">
        <v>648</v>
      </c>
      <c r="E355" t="s">
        <v>552</v>
      </c>
      <c r="F355" t="s">
        <v>610</v>
      </c>
      <c r="G355" t="s">
        <v>84</v>
      </c>
      <c r="H355" t="s">
        <v>80</v>
      </c>
      <c r="I355" t="s">
        <v>660</v>
      </c>
      <c r="J355" t="s">
        <v>661</v>
      </c>
      <c r="K355" t="s">
        <v>82</v>
      </c>
      <c r="L355">
        <v>921879.46180000005</v>
      </c>
      <c r="M355" t="s">
        <v>83</v>
      </c>
      <c r="U355">
        <v>0</v>
      </c>
      <c r="V355">
        <v>0</v>
      </c>
      <c r="W355">
        <v>752620.27560000005</v>
      </c>
    </row>
    <row r="356" spans="1:25" x14ac:dyDescent="0.25">
      <c r="A356" t="s">
        <v>647</v>
      </c>
      <c r="B356">
        <v>0</v>
      </c>
      <c r="C356" t="s">
        <v>608</v>
      </c>
      <c r="D356" t="s">
        <v>648</v>
      </c>
      <c r="E356" t="s">
        <v>552</v>
      </c>
      <c r="F356" t="s">
        <v>610</v>
      </c>
      <c r="G356" t="s">
        <v>84</v>
      </c>
      <c r="H356" t="s">
        <v>80</v>
      </c>
      <c r="I356" t="s">
        <v>662</v>
      </c>
      <c r="J356" t="s">
        <v>663</v>
      </c>
      <c r="K356" t="s">
        <v>82</v>
      </c>
      <c r="L356">
        <v>664739.125</v>
      </c>
      <c r="M356" t="s">
        <v>83</v>
      </c>
      <c r="S356">
        <v>1</v>
      </c>
      <c r="U356">
        <v>0</v>
      </c>
      <c r="V356">
        <v>0</v>
      </c>
      <c r="W356">
        <v>752620.27560000005</v>
      </c>
    </row>
    <row r="357" spans="1:25" x14ac:dyDescent="0.25">
      <c r="A357" t="s">
        <v>647</v>
      </c>
      <c r="B357">
        <v>1</v>
      </c>
      <c r="C357" t="s">
        <v>608</v>
      </c>
      <c r="D357" t="s">
        <v>648</v>
      </c>
      <c r="E357" t="s">
        <v>552</v>
      </c>
      <c r="F357" t="s">
        <v>610</v>
      </c>
      <c r="G357" t="s">
        <v>326</v>
      </c>
      <c r="H357" t="s">
        <v>80</v>
      </c>
      <c r="I357" t="s">
        <v>664</v>
      </c>
      <c r="J357" t="s">
        <v>665</v>
      </c>
      <c r="K357" t="s">
        <v>82</v>
      </c>
      <c r="L357">
        <v>671242.23999999999</v>
      </c>
      <c r="M357" t="s">
        <v>83</v>
      </c>
      <c r="N357">
        <v>752620.27560000005</v>
      </c>
      <c r="P357">
        <v>1</v>
      </c>
      <c r="T357">
        <v>1</v>
      </c>
      <c r="U357">
        <v>0</v>
      </c>
      <c r="V357">
        <v>0</v>
      </c>
      <c r="W357">
        <v>752620.27560000005</v>
      </c>
      <c r="X357">
        <v>671242.23999999999</v>
      </c>
      <c r="Y357">
        <v>671242.23999999999</v>
      </c>
    </row>
    <row r="358" spans="1:25" x14ac:dyDescent="0.25">
      <c r="A358" t="s">
        <v>666</v>
      </c>
      <c r="B358">
        <v>0</v>
      </c>
      <c r="C358" t="s">
        <v>608</v>
      </c>
      <c r="D358" t="s">
        <v>648</v>
      </c>
      <c r="E358" t="s">
        <v>552</v>
      </c>
      <c r="F358" t="s">
        <v>610</v>
      </c>
      <c r="G358" t="s">
        <v>84</v>
      </c>
      <c r="H358" t="s">
        <v>92</v>
      </c>
      <c r="I358" t="s">
        <v>667</v>
      </c>
      <c r="J358" t="s">
        <v>543</v>
      </c>
      <c r="K358" t="s">
        <v>82</v>
      </c>
      <c r="L358">
        <v>38410</v>
      </c>
      <c r="M358" t="s">
        <v>83</v>
      </c>
      <c r="R358">
        <v>1</v>
      </c>
      <c r="S358">
        <v>1</v>
      </c>
      <c r="U358">
        <v>0</v>
      </c>
      <c r="V358">
        <v>0</v>
      </c>
      <c r="W358">
        <v>40866.666666666664</v>
      </c>
    </row>
    <row r="359" spans="1:25" x14ac:dyDescent="0.25">
      <c r="A359" t="s">
        <v>666</v>
      </c>
      <c r="B359">
        <v>1</v>
      </c>
      <c r="C359" t="s">
        <v>608</v>
      </c>
      <c r="D359" t="s">
        <v>648</v>
      </c>
      <c r="E359" t="s">
        <v>552</v>
      </c>
      <c r="F359" t="s">
        <v>610</v>
      </c>
      <c r="G359" t="s">
        <v>221</v>
      </c>
      <c r="H359" t="s">
        <v>92</v>
      </c>
      <c r="I359" t="s">
        <v>221</v>
      </c>
      <c r="J359" t="s">
        <v>221</v>
      </c>
      <c r="K359" t="s">
        <v>82</v>
      </c>
      <c r="L359">
        <v>55620</v>
      </c>
      <c r="M359" t="s">
        <v>83</v>
      </c>
      <c r="N359">
        <v>40866.666669999999</v>
      </c>
      <c r="O359">
        <v>1</v>
      </c>
      <c r="R359">
        <v>1</v>
      </c>
      <c r="U359">
        <v>55620</v>
      </c>
      <c r="V359">
        <v>55620</v>
      </c>
      <c r="W359">
        <v>40866.666666666664</v>
      </c>
      <c r="X359">
        <v>55620</v>
      </c>
      <c r="Y359">
        <v>55620</v>
      </c>
    </row>
    <row r="360" spans="1:25" x14ac:dyDescent="0.25">
      <c r="A360" t="s">
        <v>666</v>
      </c>
      <c r="B360">
        <v>0</v>
      </c>
      <c r="C360" t="s">
        <v>608</v>
      </c>
      <c r="D360" t="s">
        <v>648</v>
      </c>
      <c r="E360" t="s">
        <v>552</v>
      </c>
      <c r="F360" t="s">
        <v>610</v>
      </c>
      <c r="G360" t="s">
        <v>84</v>
      </c>
      <c r="H360" t="s">
        <v>92</v>
      </c>
      <c r="I360" t="s">
        <v>668</v>
      </c>
      <c r="J360" t="s">
        <v>343</v>
      </c>
      <c r="K360" t="s">
        <v>82</v>
      </c>
      <c r="L360">
        <v>28570</v>
      </c>
      <c r="M360" t="s">
        <v>83</v>
      </c>
      <c r="P360">
        <v>1</v>
      </c>
      <c r="R360">
        <v>1</v>
      </c>
      <c r="T360">
        <v>1</v>
      </c>
      <c r="U360">
        <v>0</v>
      </c>
      <c r="V360">
        <v>0</v>
      </c>
      <c r="W360">
        <v>40866.666666666664</v>
      </c>
    </row>
    <row r="361" spans="1:25" x14ac:dyDescent="0.25">
      <c r="A361" t="s">
        <v>666</v>
      </c>
      <c r="B361">
        <v>0</v>
      </c>
      <c r="C361" t="s">
        <v>608</v>
      </c>
      <c r="D361" t="s">
        <v>648</v>
      </c>
      <c r="E361" t="s">
        <v>552</v>
      </c>
      <c r="F361" t="s">
        <v>610</v>
      </c>
      <c r="G361" t="s">
        <v>84</v>
      </c>
      <c r="H361" t="s">
        <v>98</v>
      </c>
      <c r="I361" t="s">
        <v>669</v>
      </c>
      <c r="J361" t="s">
        <v>670</v>
      </c>
      <c r="K361" t="s">
        <v>82</v>
      </c>
      <c r="L361">
        <v>20550</v>
      </c>
      <c r="M361" t="s">
        <v>83</v>
      </c>
      <c r="R361">
        <v>1</v>
      </c>
      <c r="T361">
        <v>1</v>
      </c>
      <c r="U361">
        <v>0</v>
      </c>
      <c r="V361">
        <v>0</v>
      </c>
      <c r="W361">
        <v>27483.333333333332</v>
      </c>
    </row>
    <row r="362" spans="1:25" x14ac:dyDescent="0.25">
      <c r="A362" t="s">
        <v>666</v>
      </c>
      <c r="B362">
        <v>1</v>
      </c>
      <c r="C362" t="s">
        <v>608</v>
      </c>
      <c r="D362" t="s">
        <v>648</v>
      </c>
      <c r="E362" t="s">
        <v>552</v>
      </c>
      <c r="F362" t="s">
        <v>610</v>
      </c>
      <c r="G362" t="s">
        <v>289</v>
      </c>
      <c r="H362" t="s">
        <v>98</v>
      </c>
      <c r="I362" t="s">
        <v>671</v>
      </c>
      <c r="J362" t="s">
        <v>672</v>
      </c>
      <c r="K362" t="s">
        <v>82</v>
      </c>
      <c r="L362">
        <v>28950</v>
      </c>
      <c r="M362" t="s">
        <v>83</v>
      </c>
      <c r="N362">
        <v>27483.333330000001</v>
      </c>
      <c r="U362">
        <v>0</v>
      </c>
      <c r="V362">
        <v>0</v>
      </c>
      <c r="W362">
        <v>27483.333333333332</v>
      </c>
      <c r="X362">
        <v>28950</v>
      </c>
      <c r="Y362">
        <v>28950</v>
      </c>
    </row>
    <row r="363" spans="1:25" x14ac:dyDescent="0.25">
      <c r="A363" t="s">
        <v>666</v>
      </c>
      <c r="B363">
        <v>0</v>
      </c>
      <c r="C363" t="s">
        <v>608</v>
      </c>
      <c r="D363" t="s">
        <v>648</v>
      </c>
      <c r="E363" t="s">
        <v>552</v>
      </c>
      <c r="F363" t="s">
        <v>610</v>
      </c>
      <c r="G363" t="s">
        <v>84</v>
      </c>
      <c r="H363" t="s">
        <v>98</v>
      </c>
      <c r="I363" t="s">
        <v>673</v>
      </c>
      <c r="J363" t="s">
        <v>674</v>
      </c>
      <c r="K363" t="s">
        <v>82</v>
      </c>
      <c r="L363">
        <v>32950</v>
      </c>
      <c r="M363" t="s">
        <v>83</v>
      </c>
      <c r="U363">
        <v>0</v>
      </c>
      <c r="V363">
        <v>0</v>
      </c>
      <c r="W363">
        <v>27483.333333333332</v>
      </c>
    </row>
    <row r="364" spans="1:25" x14ac:dyDescent="0.25">
      <c r="A364" t="s">
        <v>666</v>
      </c>
      <c r="B364">
        <v>0</v>
      </c>
      <c r="C364" t="s">
        <v>608</v>
      </c>
      <c r="D364" t="s">
        <v>648</v>
      </c>
      <c r="E364" t="s">
        <v>552</v>
      </c>
      <c r="F364" t="s">
        <v>610</v>
      </c>
      <c r="G364" t="s">
        <v>84</v>
      </c>
      <c r="H364" t="s">
        <v>87</v>
      </c>
      <c r="I364" t="s">
        <v>666</v>
      </c>
      <c r="J364" t="s">
        <v>675</v>
      </c>
      <c r="K364" t="s">
        <v>82</v>
      </c>
      <c r="L364">
        <v>96361.358330000003</v>
      </c>
      <c r="M364" t="s">
        <v>83</v>
      </c>
      <c r="Q364">
        <v>1</v>
      </c>
      <c r="U364">
        <v>0</v>
      </c>
      <c r="V364">
        <v>0</v>
      </c>
      <c r="W364">
        <v>112854.31111</v>
      </c>
    </row>
    <row r="365" spans="1:25" x14ac:dyDescent="0.25">
      <c r="A365" t="s">
        <v>666</v>
      </c>
      <c r="B365">
        <v>0</v>
      </c>
      <c r="C365" t="s">
        <v>608</v>
      </c>
      <c r="D365" t="s">
        <v>648</v>
      </c>
      <c r="E365" t="s">
        <v>552</v>
      </c>
      <c r="F365" t="s">
        <v>610</v>
      </c>
      <c r="G365" t="s">
        <v>84</v>
      </c>
      <c r="H365" t="s">
        <v>87</v>
      </c>
      <c r="I365" t="s">
        <v>676</v>
      </c>
      <c r="J365" t="s">
        <v>677</v>
      </c>
      <c r="K365" t="s">
        <v>82</v>
      </c>
      <c r="L365">
        <v>169632.4</v>
      </c>
      <c r="M365" t="s">
        <v>83</v>
      </c>
      <c r="Q365">
        <v>1</v>
      </c>
      <c r="U365">
        <v>0</v>
      </c>
      <c r="V365">
        <v>0</v>
      </c>
      <c r="W365">
        <v>112854.31111</v>
      </c>
    </row>
    <row r="366" spans="1:25" x14ac:dyDescent="0.25">
      <c r="A366" t="s">
        <v>666</v>
      </c>
      <c r="B366">
        <v>1</v>
      </c>
      <c r="C366" t="s">
        <v>608</v>
      </c>
      <c r="D366" t="s">
        <v>648</v>
      </c>
      <c r="E366" t="s">
        <v>552</v>
      </c>
      <c r="F366" t="s">
        <v>610</v>
      </c>
      <c r="G366" t="s">
        <v>163</v>
      </c>
      <c r="H366" t="s">
        <v>87</v>
      </c>
      <c r="I366" t="s">
        <v>666</v>
      </c>
      <c r="J366" t="s">
        <v>678</v>
      </c>
      <c r="K366" t="s">
        <v>82</v>
      </c>
      <c r="L366">
        <v>72569.175000000003</v>
      </c>
      <c r="M366" t="s">
        <v>83</v>
      </c>
      <c r="N366">
        <v>112854.31110000001</v>
      </c>
      <c r="T366">
        <v>1</v>
      </c>
      <c r="U366">
        <v>0</v>
      </c>
      <c r="V366">
        <v>0</v>
      </c>
      <c r="W366">
        <v>112854.31111</v>
      </c>
      <c r="X366">
        <v>72569.175000000003</v>
      </c>
      <c r="Y366">
        <v>72569.175000000003</v>
      </c>
    </row>
    <row r="367" spans="1:25" x14ac:dyDescent="0.25">
      <c r="A367" t="s">
        <v>666</v>
      </c>
      <c r="B367">
        <v>0</v>
      </c>
      <c r="C367" t="s">
        <v>608</v>
      </c>
      <c r="D367" t="s">
        <v>648</v>
      </c>
      <c r="E367" t="s">
        <v>552</v>
      </c>
      <c r="F367" t="s">
        <v>610</v>
      </c>
      <c r="G367" t="s">
        <v>84</v>
      </c>
      <c r="H367" t="s">
        <v>80</v>
      </c>
      <c r="I367" t="s">
        <v>666</v>
      </c>
      <c r="J367" t="s">
        <v>679</v>
      </c>
      <c r="K367" t="s">
        <v>82</v>
      </c>
      <c r="L367">
        <v>718279.31240000005</v>
      </c>
      <c r="M367" t="s">
        <v>83</v>
      </c>
      <c r="U367">
        <v>0</v>
      </c>
      <c r="V367">
        <v>0</v>
      </c>
      <c r="W367">
        <v>815339.00746666675</v>
      </c>
    </row>
    <row r="368" spans="1:25" x14ac:dyDescent="0.25">
      <c r="A368" t="s">
        <v>666</v>
      </c>
      <c r="B368">
        <v>1</v>
      </c>
      <c r="C368" t="s">
        <v>608</v>
      </c>
      <c r="D368" t="s">
        <v>648</v>
      </c>
      <c r="E368" t="s">
        <v>552</v>
      </c>
      <c r="F368" t="s">
        <v>610</v>
      </c>
      <c r="G368" t="s">
        <v>680</v>
      </c>
      <c r="H368" t="s">
        <v>80</v>
      </c>
      <c r="I368" t="s">
        <v>681</v>
      </c>
      <c r="J368" t="s">
        <v>682</v>
      </c>
      <c r="K368" t="s">
        <v>82</v>
      </c>
      <c r="L368">
        <v>787930.41</v>
      </c>
      <c r="M368" t="s">
        <v>83</v>
      </c>
      <c r="N368">
        <v>815339.00749999995</v>
      </c>
      <c r="P368">
        <v>1</v>
      </c>
      <c r="U368">
        <v>0</v>
      </c>
      <c r="V368">
        <v>0</v>
      </c>
      <c r="W368">
        <v>815339.00746666675</v>
      </c>
      <c r="X368">
        <v>787930.41</v>
      </c>
      <c r="Y368">
        <v>787930.41</v>
      </c>
    </row>
    <row r="369" spans="1:25" x14ac:dyDescent="0.25">
      <c r="A369" t="s">
        <v>666</v>
      </c>
      <c r="B369">
        <v>0</v>
      </c>
      <c r="C369" t="s">
        <v>608</v>
      </c>
      <c r="D369" t="s">
        <v>648</v>
      </c>
      <c r="E369" t="s">
        <v>552</v>
      </c>
      <c r="F369" t="s">
        <v>610</v>
      </c>
      <c r="G369" t="s">
        <v>84</v>
      </c>
      <c r="H369" t="s">
        <v>80</v>
      </c>
      <c r="I369" t="s">
        <v>683</v>
      </c>
      <c r="J369" t="s">
        <v>684</v>
      </c>
      <c r="K369" t="s">
        <v>82</v>
      </c>
      <c r="L369">
        <v>939807.3</v>
      </c>
      <c r="M369" t="s">
        <v>83</v>
      </c>
      <c r="U369">
        <v>0</v>
      </c>
      <c r="V369">
        <v>0</v>
      </c>
      <c r="W369">
        <v>815339.00746666675</v>
      </c>
    </row>
    <row r="370" spans="1:25" x14ac:dyDescent="0.25">
      <c r="A370" t="s">
        <v>685</v>
      </c>
      <c r="B370">
        <v>1</v>
      </c>
      <c r="C370" t="s">
        <v>608</v>
      </c>
      <c r="D370" t="s">
        <v>686</v>
      </c>
      <c r="E370" t="s">
        <v>552</v>
      </c>
      <c r="F370" t="s">
        <v>610</v>
      </c>
      <c r="G370" t="s">
        <v>140</v>
      </c>
      <c r="H370" t="s">
        <v>92</v>
      </c>
      <c r="I370" t="s">
        <v>140</v>
      </c>
      <c r="J370" t="s">
        <v>140</v>
      </c>
      <c r="K370" t="s">
        <v>82</v>
      </c>
      <c r="L370">
        <v>39180</v>
      </c>
      <c r="M370" t="s">
        <v>83</v>
      </c>
      <c r="N370">
        <v>39333.333330000001</v>
      </c>
      <c r="O370">
        <v>1</v>
      </c>
      <c r="U370">
        <v>39180</v>
      </c>
      <c r="V370">
        <v>39180</v>
      </c>
      <c r="W370">
        <v>39333.333333333336</v>
      </c>
      <c r="X370">
        <v>39180</v>
      </c>
      <c r="Y370">
        <v>39180</v>
      </c>
    </row>
    <row r="371" spans="1:25" x14ac:dyDescent="0.25">
      <c r="A371" t="s">
        <v>685</v>
      </c>
      <c r="B371">
        <v>0</v>
      </c>
      <c r="C371" t="s">
        <v>608</v>
      </c>
      <c r="D371" t="s">
        <v>686</v>
      </c>
      <c r="E371" t="s">
        <v>552</v>
      </c>
      <c r="F371" t="s">
        <v>610</v>
      </c>
      <c r="G371" t="s">
        <v>84</v>
      </c>
      <c r="H371" t="s">
        <v>92</v>
      </c>
      <c r="I371" t="s">
        <v>687</v>
      </c>
      <c r="J371" t="s">
        <v>303</v>
      </c>
      <c r="K371" t="s">
        <v>82</v>
      </c>
      <c r="L371">
        <v>41010</v>
      </c>
      <c r="M371" t="s">
        <v>83</v>
      </c>
      <c r="O371">
        <v>1</v>
      </c>
      <c r="P371">
        <v>1</v>
      </c>
      <c r="Q371">
        <v>1</v>
      </c>
      <c r="R371">
        <v>1</v>
      </c>
      <c r="S371">
        <v>1</v>
      </c>
      <c r="T371">
        <v>1</v>
      </c>
      <c r="U371">
        <v>41010</v>
      </c>
      <c r="V371">
        <v>0</v>
      </c>
      <c r="W371">
        <v>39333.333333333336</v>
      </c>
    </row>
    <row r="372" spans="1:25" x14ac:dyDescent="0.25">
      <c r="A372" t="s">
        <v>685</v>
      </c>
      <c r="B372">
        <v>0</v>
      </c>
      <c r="C372" t="s">
        <v>608</v>
      </c>
      <c r="D372" t="s">
        <v>686</v>
      </c>
      <c r="E372" t="s">
        <v>552</v>
      </c>
      <c r="F372" t="s">
        <v>610</v>
      </c>
      <c r="G372" t="s">
        <v>84</v>
      </c>
      <c r="H372" t="s">
        <v>92</v>
      </c>
      <c r="I372" t="s">
        <v>688</v>
      </c>
      <c r="J372" t="s">
        <v>181</v>
      </c>
      <c r="K372" t="s">
        <v>82</v>
      </c>
      <c r="L372">
        <v>37810</v>
      </c>
      <c r="M372" t="s">
        <v>83</v>
      </c>
      <c r="U372">
        <v>0</v>
      </c>
      <c r="V372">
        <v>0</v>
      </c>
      <c r="W372">
        <v>39333.333333333336</v>
      </c>
    </row>
    <row r="373" spans="1:25" x14ac:dyDescent="0.25">
      <c r="A373" t="s">
        <v>685</v>
      </c>
      <c r="B373">
        <v>0</v>
      </c>
      <c r="C373" t="s">
        <v>608</v>
      </c>
      <c r="D373" t="s">
        <v>686</v>
      </c>
      <c r="E373" t="s">
        <v>552</v>
      </c>
      <c r="F373" t="s">
        <v>610</v>
      </c>
      <c r="G373" t="s">
        <v>84</v>
      </c>
      <c r="H373" t="s">
        <v>98</v>
      </c>
      <c r="I373" t="s">
        <v>689</v>
      </c>
      <c r="J373" t="s">
        <v>690</v>
      </c>
      <c r="K373" t="s">
        <v>82</v>
      </c>
      <c r="L373">
        <v>21400</v>
      </c>
      <c r="M373" t="s">
        <v>83</v>
      </c>
      <c r="S373">
        <v>1</v>
      </c>
      <c r="U373">
        <v>0</v>
      </c>
      <c r="V373">
        <v>0</v>
      </c>
      <c r="W373">
        <v>34116.666666666664</v>
      </c>
    </row>
    <row r="374" spans="1:25" x14ac:dyDescent="0.25">
      <c r="A374" t="s">
        <v>685</v>
      </c>
      <c r="B374">
        <v>0</v>
      </c>
      <c r="C374" t="s">
        <v>608</v>
      </c>
      <c r="D374" t="s">
        <v>686</v>
      </c>
      <c r="E374" t="s">
        <v>552</v>
      </c>
      <c r="F374" t="s">
        <v>610</v>
      </c>
      <c r="G374" t="s">
        <v>84</v>
      </c>
      <c r="H374" t="s">
        <v>98</v>
      </c>
      <c r="I374" t="s">
        <v>691</v>
      </c>
      <c r="J374" t="s">
        <v>692</v>
      </c>
      <c r="K374" t="s">
        <v>82</v>
      </c>
      <c r="L374">
        <v>30950</v>
      </c>
      <c r="M374" t="s">
        <v>83</v>
      </c>
      <c r="Q374">
        <v>1</v>
      </c>
      <c r="R374">
        <v>1</v>
      </c>
      <c r="U374">
        <v>0</v>
      </c>
      <c r="V374">
        <v>0</v>
      </c>
      <c r="W374">
        <v>34116.666666666664</v>
      </c>
    </row>
    <row r="375" spans="1:25" x14ac:dyDescent="0.25">
      <c r="A375" t="s">
        <v>685</v>
      </c>
      <c r="B375">
        <v>1</v>
      </c>
      <c r="C375" t="s">
        <v>608</v>
      </c>
      <c r="D375" t="s">
        <v>686</v>
      </c>
      <c r="E375" t="s">
        <v>552</v>
      </c>
      <c r="F375" t="s">
        <v>610</v>
      </c>
      <c r="G375" t="s">
        <v>693</v>
      </c>
      <c r="H375" t="s">
        <v>98</v>
      </c>
      <c r="I375" t="s">
        <v>694</v>
      </c>
      <c r="J375" t="s">
        <v>695</v>
      </c>
      <c r="K375" t="s">
        <v>82</v>
      </c>
      <c r="L375">
        <v>50000</v>
      </c>
      <c r="M375" t="s">
        <v>83</v>
      </c>
      <c r="N375">
        <v>34116.666669999999</v>
      </c>
      <c r="S375">
        <v>1</v>
      </c>
      <c r="U375">
        <v>0</v>
      </c>
      <c r="V375">
        <v>0</v>
      </c>
      <c r="W375">
        <v>34116.666666666664</v>
      </c>
      <c r="X375">
        <v>50000</v>
      </c>
      <c r="Y375">
        <v>50000</v>
      </c>
    </row>
    <row r="376" spans="1:25" x14ac:dyDescent="0.25">
      <c r="A376" t="s">
        <v>685</v>
      </c>
      <c r="B376">
        <v>0</v>
      </c>
      <c r="C376" t="s">
        <v>608</v>
      </c>
      <c r="D376" t="s">
        <v>686</v>
      </c>
      <c r="E376" t="s">
        <v>552</v>
      </c>
      <c r="F376" t="s">
        <v>610</v>
      </c>
      <c r="G376" t="s">
        <v>84</v>
      </c>
      <c r="H376" t="s">
        <v>87</v>
      </c>
      <c r="I376" t="s">
        <v>685</v>
      </c>
      <c r="J376" t="s">
        <v>696</v>
      </c>
      <c r="K376" t="s">
        <v>82</v>
      </c>
      <c r="L376">
        <v>114637.3083</v>
      </c>
      <c r="M376" t="s">
        <v>83</v>
      </c>
      <c r="U376">
        <v>0</v>
      </c>
      <c r="V376">
        <v>0</v>
      </c>
      <c r="W376">
        <v>100280.11387666667</v>
      </c>
    </row>
    <row r="377" spans="1:25" x14ac:dyDescent="0.25">
      <c r="A377" t="s">
        <v>685</v>
      </c>
      <c r="B377">
        <v>0</v>
      </c>
      <c r="C377" t="s">
        <v>608</v>
      </c>
      <c r="D377" t="s">
        <v>686</v>
      </c>
      <c r="E377" t="s">
        <v>552</v>
      </c>
      <c r="F377" t="s">
        <v>610</v>
      </c>
      <c r="G377" t="s">
        <v>84</v>
      </c>
      <c r="H377" t="s">
        <v>87</v>
      </c>
      <c r="I377" t="s">
        <v>697</v>
      </c>
      <c r="J377" t="s">
        <v>698</v>
      </c>
      <c r="K377" t="s">
        <v>82</v>
      </c>
      <c r="L377">
        <v>101759.7</v>
      </c>
      <c r="M377" t="s">
        <v>83</v>
      </c>
      <c r="U377">
        <v>0</v>
      </c>
      <c r="V377">
        <v>0</v>
      </c>
      <c r="W377">
        <v>100280.11387666667</v>
      </c>
    </row>
    <row r="378" spans="1:25" x14ac:dyDescent="0.25">
      <c r="A378" t="s">
        <v>685</v>
      </c>
      <c r="B378">
        <v>1</v>
      </c>
      <c r="C378" t="s">
        <v>608</v>
      </c>
      <c r="D378" t="s">
        <v>686</v>
      </c>
      <c r="E378" t="s">
        <v>552</v>
      </c>
      <c r="F378" t="s">
        <v>610</v>
      </c>
      <c r="G378" t="s">
        <v>316</v>
      </c>
      <c r="H378" t="s">
        <v>87</v>
      </c>
      <c r="I378" t="s">
        <v>685</v>
      </c>
      <c r="J378" t="s">
        <v>699</v>
      </c>
      <c r="K378" t="s">
        <v>82</v>
      </c>
      <c r="L378">
        <v>84443.333329999994</v>
      </c>
      <c r="M378" t="s">
        <v>83</v>
      </c>
      <c r="N378">
        <v>100280.1139</v>
      </c>
      <c r="U378">
        <v>0</v>
      </c>
      <c r="V378">
        <v>0</v>
      </c>
      <c r="W378">
        <v>100280.11387666667</v>
      </c>
      <c r="X378">
        <v>84443.333329999994</v>
      </c>
      <c r="Y378">
        <v>84443.333329999994</v>
      </c>
    </row>
    <row r="379" spans="1:25" x14ac:dyDescent="0.25">
      <c r="A379" t="s">
        <v>685</v>
      </c>
      <c r="B379">
        <v>1</v>
      </c>
      <c r="C379" t="s">
        <v>608</v>
      </c>
      <c r="D379" t="s">
        <v>686</v>
      </c>
      <c r="E379" t="s">
        <v>552</v>
      </c>
      <c r="F379" t="s">
        <v>610</v>
      </c>
      <c r="G379" t="s">
        <v>700</v>
      </c>
      <c r="H379" t="s">
        <v>80</v>
      </c>
      <c r="I379" t="s">
        <v>685</v>
      </c>
      <c r="J379" t="s">
        <v>701</v>
      </c>
      <c r="K379" t="s">
        <v>82</v>
      </c>
      <c r="L379">
        <v>695741.97759999998</v>
      </c>
      <c r="M379" t="s">
        <v>83</v>
      </c>
      <c r="N379">
        <v>747040.61529999995</v>
      </c>
      <c r="S379">
        <v>1</v>
      </c>
      <c r="U379">
        <v>0</v>
      </c>
      <c r="V379">
        <v>0</v>
      </c>
      <c r="W379">
        <v>747040.61526666663</v>
      </c>
      <c r="X379">
        <v>695741.97759999998</v>
      </c>
      <c r="Y379">
        <v>695741.97759999998</v>
      </c>
    </row>
    <row r="380" spans="1:25" x14ac:dyDescent="0.25">
      <c r="A380" t="s">
        <v>685</v>
      </c>
      <c r="B380">
        <v>0</v>
      </c>
      <c r="C380" t="s">
        <v>608</v>
      </c>
      <c r="D380" t="s">
        <v>686</v>
      </c>
      <c r="E380" t="s">
        <v>552</v>
      </c>
      <c r="F380" t="s">
        <v>610</v>
      </c>
      <c r="G380" t="s">
        <v>84</v>
      </c>
      <c r="H380" t="s">
        <v>80</v>
      </c>
      <c r="I380" t="s">
        <v>685</v>
      </c>
      <c r="J380" t="s">
        <v>702</v>
      </c>
      <c r="K380" t="s">
        <v>82</v>
      </c>
      <c r="L380">
        <v>873108.54399999999</v>
      </c>
      <c r="M380" t="s">
        <v>83</v>
      </c>
      <c r="P380">
        <v>1</v>
      </c>
      <c r="U380">
        <v>0</v>
      </c>
      <c r="V380">
        <v>0</v>
      </c>
      <c r="W380">
        <v>747040.61526666663</v>
      </c>
    </row>
    <row r="381" spans="1:25" x14ac:dyDescent="0.25">
      <c r="A381" t="s">
        <v>685</v>
      </c>
      <c r="B381">
        <v>0</v>
      </c>
      <c r="C381" t="s">
        <v>608</v>
      </c>
      <c r="D381" t="s">
        <v>686</v>
      </c>
      <c r="E381" t="s">
        <v>552</v>
      </c>
      <c r="F381" t="s">
        <v>610</v>
      </c>
      <c r="G381" t="s">
        <v>84</v>
      </c>
      <c r="H381" t="s">
        <v>80</v>
      </c>
      <c r="I381" t="s">
        <v>685</v>
      </c>
      <c r="J381" t="s">
        <v>703</v>
      </c>
      <c r="K381" t="s">
        <v>82</v>
      </c>
      <c r="L381">
        <v>672271.32420000003</v>
      </c>
      <c r="M381" t="s">
        <v>83</v>
      </c>
      <c r="O381">
        <v>1</v>
      </c>
      <c r="U381">
        <v>672271.32420000003</v>
      </c>
      <c r="V381">
        <v>0</v>
      </c>
      <c r="W381">
        <v>747040.61526666663</v>
      </c>
    </row>
    <row r="382" spans="1:25" x14ac:dyDescent="0.25">
      <c r="A382" t="s">
        <v>685</v>
      </c>
      <c r="B382">
        <v>1</v>
      </c>
      <c r="C382" t="s">
        <v>608</v>
      </c>
      <c r="D382" t="s">
        <v>686</v>
      </c>
      <c r="E382" t="s">
        <v>552</v>
      </c>
      <c r="F382" t="s">
        <v>610</v>
      </c>
      <c r="G382" t="s">
        <v>700</v>
      </c>
      <c r="H382" t="s">
        <v>106</v>
      </c>
      <c r="I382" t="s">
        <v>685</v>
      </c>
      <c r="J382" t="s">
        <v>704</v>
      </c>
      <c r="K382" t="s">
        <v>82</v>
      </c>
      <c r="L382">
        <v>13817.135</v>
      </c>
      <c r="M382" t="s">
        <v>83</v>
      </c>
      <c r="N382">
        <v>10621.49583</v>
      </c>
      <c r="S382">
        <v>1</v>
      </c>
      <c r="U382">
        <v>0</v>
      </c>
      <c r="V382">
        <v>0</v>
      </c>
      <c r="W382">
        <v>10621.495833333334</v>
      </c>
      <c r="X382">
        <v>13817.135</v>
      </c>
      <c r="Y382">
        <v>13817.135</v>
      </c>
    </row>
    <row r="383" spans="1:25" x14ac:dyDescent="0.25">
      <c r="A383" t="s">
        <v>685</v>
      </c>
      <c r="B383">
        <v>0</v>
      </c>
      <c r="C383" t="s">
        <v>608</v>
      </c>
      <c r="D383" t="s">
        <v>686</v>
      </c>
      <c r="E383" t="s">
        <v>552</v>
      </c>
      <c r="F383" t="s">
        <v>610</v>
      </c>
      <c r="G383" t="s">
        <v>84</v>
      </c>
      <c r="H383" t="s">
        <v>106</v>
      </c>
      <c r="I383" t="s">
        <v>685</v>
      </c>
      <c r="J383" t="s">
        <v>705</v>
      </c>
      <c r="K383" t="s">
        <v>82</v>
      </c>
      <c r="L383">
        <v>9098.5125000000007</v>
      </c>
      <c r="M383" t="s">
        <v>83</v>
      </c>
      <c r="P383">
        <v>1</v>
      </c>
      <c r="U383">
        <v>0</v>
      </c>
      <c r="V383">
        <v>0</v>
      </c>
      <c r="W383">
        <v>10621.495833333334</v>
      </c>
    </row>
    <row r="384" spans="1:25" x14ac:dyDescent="0.25">
      <c r="A384" t="s">
        <v>685</v>
      </c>
      <c r="B384">
        <v>0</v>
      </c>
      <c r="C384" t="s">
        <v>608</v>
      </c>
      <c r="D384" t="s">
        <v>686</v>
      </c>
      <c r="E384" t="s">
        <v>552</v>
      </c>
      <c r="F384" t="s">
        <v>610</v>
      </c>
      <c r="G384" t="s">
        <v>84</v>
      </c>
      <c r="H384" t="s">
        <v>106</v>
      </c>
      <c r="I384" t="s">
        <v>685</v>
      </c>
      <c r="J384" t="s">
        <v>706</v>
      </c>
      <c r="K384" t="s">
        <v>82</v>
      </c>
      <c r="L384">
        <v>8948.84</v>
      </c>
      <c r="M384" t="s">
        <v>83</v>
      </c>
      <c r="O384">
        <v>1</v>
      </c>
      <c r="U384">
        <v>8948.84</v>
      </c>
      <c r="V384">
        <v>0</v>
      </c>
      <c r="W384">
        <v>10621.495833333334</v>
      </c>
    </row>
    <row r="385" spans="1:25" x14ac:dyDescent="0.25">
      <c r="A385" t="s">
        <v>685</v>
      </c>
      <c r="B385">
        <v>1</v>
      </c>
      <c r="C385" t="s">
        <v>608</v>
      </c>
      <c r="D385" t="s">
        <v>686</v>
      </c>
      <c r="E385" t="s">
        <v>552</v>
      </c>
      <c r="F385" t="s">
        <v>610</v>
      </c>
      <c r="G385" t="s">
        <v>700</v>
      </c>
      <c r="H385" t="s">
        <v>110</v>
      </c>
      <c r="I385" t="s">
        <v>685</v>
      </c>
      <c r="J385" t="s">
        <v>707</v>
      </c>
      <c r="K385" t="s">
        <v>82</v>
      </c>
      <c r="L385">
        <v>9300</v>
      </c>
      <c r="M385" t="s">
        <v>83</v>
      </c>
      <c r="N385">
        <v>11143.333329999999</v>
      </c>
      <c r="S385">
        <v>1</v>
      </c>
      <c r="U385">
        <v>0</v>
      </c>
      <c r="V385">
        <v>0</v>
      </c>
      <c r="W385">
        <v>11143.333333333334</v>
      </c>
      <c r="X385">
        <v>9300</v>
      </c>
      <c r="Y385">
        <v>9300</v>
      </c>
    </row>
    <row r="386" spans="1:25" x14ac:dyDescent="0.25">
      <c r="A386" t="s">
        <v>685</v>
      </c>
      <c r="B386">
        <v>0</v>
      </c>
      <c r="C386" t="s">
        <v>608</v>
      </c>
      <c r="D386" t="s">
        <v>686</v>
      </c>
      <c r="E386" t="s">
        <v>552</v>
      </c>
      <c r="F386" t="s">
        <v>610</v>
      </c>
      <c r="G386" t="s">
        <v>84</v>
      </c>
      <c r="H386" t="s">
        <v>110</v>
      </c>
      <c r="I386" t="s">
        <v>685</v>
      </c>
      <c r="J386" t="s">
        <v>708</v>
      </c>
      <c r="K386" t="s">
        <v>82</v>
      </c>
      <c r="L386">
        <v>9250</v>
      </c>
      <c r="M386" t="s">
        <v>83</v>
      </c>
      <c r="P386">
        <v>1</v>
      </c>
      <c r="U386">
        <v>0</v>
      </c>
      <c r="V386">
        <v>0</v>
      </c>
      <c r="W386">
        <v>11143.333333333334</v>
      </c>
    </row>
    <row r="387" spans="1:25" x14ac:dyDescent="0.25">
      <c r="A387" t="s">
        <v>685</v>
      </c>
      <c r="B387">
        <v>0</v>
      </c>
      <c r="C387" t="s">
        <v>608</v>
      </c>
      <c r="D387" t="s">
        <v>686</v>
      </c>
      <c r="E387" t="s">
        <v>552</v>
      </c>
      <c r="F387" t="s">
        <v>610</v>
      </c>
      <c r="G387" t="s">
        <v>84</v>
      </c>
      <c r="H387" t="s">
        <v>110</v>
      </c>
      <c r="I387" t="s">
        <v>685</v>
      </c>
      <c r="J387" t="s">
        <v>709</v>
      </c>
      <c r="K387" t="s">
        <v>82</v>
      </c>
      <c r="L387">
        <v>14880</v>
      </c>
      <c r="M387" t="s">
        <v>83</v>
      </c>
      <c r="O387">
        <v>1</v>
      </c>
      <c r="U387">
        <v>14880</v>
      </c>
      <c r="V387">
        <v>0</v>
      </c>
      <c r="W387">
        <v>11143.333333333334</v>
      </c>
    </row>
    <row r="388" spans="1:25" x14ac:dyDescent="0.25">
      <c r="A388" t="s">
        <v>710</v>
      </c>
      <c r="B388">
        <v>1</v>
      </c>
      <c r="C388" t="s">
        <v>608</v>
      </c>
      <c r="D388" t="s">
        <v>686</v>
      </c>
      <c r="E388" t="s">
        <v>552</v>
      </c>
      <c r="F388" t="s">
        <v>610</v>
      </c>
      <c r="G388" t="s">
        <v>140</v>
      </c>
      <c r="H388" t="s">
        <v>92</v>
      </c>
      <c r="I388" t="s">
        <v>711</v>
      </c>
      <c r="J388" t="s">
        <v>140</v>
      </c>
      <c r="K388" t="s">
        <v>82</v>
      </c>
      <c r="L388">
        <v>28890</v>
      </c>
      <c r="M388" t="s">
        <v>83</v>
      </c>
      <c r="N388">
        <v>37863.333330000001</v>
      </c>
      <c r="R388">
        <v>1</v>
      </c>
      <c r="U388">
        <v>0</v>
      </c>
      <c r="V388">
        <v>0</v>
      </c>
      <c r="W388">
        <v>37863.333333333336</v>
      </c>
      <c r="X388">
        <v>28890</v>
      </c>
      <c r="Y388">
        <v>28890</v>
      </c>
    </row>
    <row r="389" spans="1:25" x14ac:dyDescent="0.25">
      <c r="A389" t="s">
        <v>710</v>
      </c>
      <c r="B389">
        <v>0</v>
      </c>
      <c r="C389" t="s">
        <v>608</v>
      </c>
      <c r="D389" t="s">
        <v>686</v>
      </c>
      <c r="E389" t="s">
        <v>552</v>
      </c>
      <c r="F389" t="s">
        <v>610</v>
      </c>
      <c r="G389" t="s">
        <v>84</v>
      </c>
      <c r="H389" t="s">
        <v>92</v>
      </c>
      <c r="I389" t="s">
        <v>712</v>
      </c>
      <c r="J389" t="s">
        <v>713</v>
      </c>
      <c r="K389" t="s">
        <v>82</v>
      </c>
      <c r="L389">
        <v>43020</v>
      </c>
      <c r="M389" t="s">
        <v>83</v>
      </c>
      <c r="Q389">
        <v>1</v>
      </c>
      <c r="U389">
        <v>0</v>
      </c>
      <c r="V389">
        <v>0</v>
      </c>
      <c r="W389">
        <v>37863.333333333336</v>
      </c>
    </row>
    <row r="390" spans="1:25" x14ac:dyDescent="0.25">
      <c r="A390" t="s">
        <v>710</v>
      </c>
      <c r="B390">
        <v>0</v>
      </c>
      <c r="C390" t="s">
        <v>608</v>
      </c>
      <c r="D390" t="s">
        <v>686</v>
      </c>
      <c r="E390" t="s">
        <v>552</v>
      </c>
      <c r="F390" t="s">
        <v>610</v>
      </c>
      <c r="G390" t="s">
        <v>84</v>
      </c>
      <c r="H390" t="s">
        <v>92</v>
      </c>
      <c r="I390" t="s">
        <v>714</v>
      </c>
      <c r="J390" t="s">
        <v>221</v>
      </c>
      <c r="K390" t="s">
        <v>82</v>
      </c>
      <c r="L390">
        <v>41680</v>
      </c>
      <c r="M390" t="s">
        <v>83</v>
      </c>
      <c r="U390">
        <v>0</v>
      </c>
      <c r="V390">
        <v>0</v>
      </c>
      <c r="W390">
        <v>37863.333333333336</v>
      </c>
    </row>
    <row r="391" spans="1:25" x14ac:dyDescent="0.25">
      <c r="A391" t="s">
        <v>710</v>
      </c>
      <c r="B391">
        <v>0</v>
      </c>
      <c r="C391" t="s">
        <v>608</v>
      </c>
      <c r="D391" t="s">
        <v>686</v>
      </c>
      <c r="E391" t="s">
        <v>552</v>
      </c>
      <c r="F391" t="s">
        <v>610</v>
      </c>
      <c r="G391" t="s">
        <v>84</v>
      </c>
      <c r="H391" t="s">
        <v>98</v>
      </c>
      <c r="I391" t="s">
        <v>715</v>
      </c>
      <c r="J391" t="s">
        <v>716</v>
      </c>
      <c r="K391" t="s">
        <v>82</v>
      </c>
      <c r="L391">
        <v>26750</v>
      </c>
      <c r="M391" t="s">
        <v>83</v>
      </c>
      <c r="S391">
        <v>1</v>
      </c>
      <c r="U391">
        <v>0</v>
      </c>
      <c r="V391">
        <v>0</v>
      </c>
      <c r="W391">
        <v>31400</v>
      </c>
    </row>
    <row r="392" spans="1:25" x14ac:dyDescent="0.25">
      <c r="A392" t="s">
        <v>710</v>
      </c>
      <c r="B392">
        <v>1</v>
      </c>
      <c r="C392" t="s">
        <v>608</v>
      </c>
      <c r="D392" t="s">
        <v>686</v>
      </c>
      <c r="E392" t="s">
        <v>552</v>
      </c>
      <c r="F392" t="s">
        <v>610</v>
      </c>
      <c r="G392" t="s">
        <v>238</v>
      </c>
      <c r="H392" t="s">
        <v>98</v>
      </c>
      <c r="I392" t="s">
        <v>717</v>
      </c>
      <c r="J392" t="s">
        <v>718</v>
      </c>
      <c r="K392" t="s">
        <v>82</v>
      </c>
      <c r="L392">
        <v>36050</v>
      </c>
      <c r="M392" t="s">
        <v>83</v>
      </c>
      <c r="N392">
        <v>31400</v>
      </c>
      <c r="U392">
        <v>0</v>
      </c>
      <c r="V392">
        <v>0</v>
      </c>
      <c r="W392">
        <v>31400</v>
      </c>
      <c r="X392">
        <v>36050</v>
      </c>
      <c r="Y392">
        <v>36050</v>
      </c>
    </row>
    <row r="393" spans="1:25" x14ac:dyDescent="0.25">
      <c r="A393" t="s">
        <v>710</v>
      </c>
      <c r="B393">
        <v>0</v>
      </c>
      <c r="C393" t="s">
        <v>608</v>
      </c>
      <c r="D393" t="s">
        <v>686</v>
      </c>
      <c r="E393" t="s">
        <v>552</v>
      </c>
      <c r="F393" t="s">
        <v>610</v>
      </c>
      <c r="G393" t="s">
        <v>84</v>
      </c>
      <c r="H393" t="s">
        <v>87</v>
      </c>
      <c r="I393" t="s">
        <v>719</v>
      </c>
      <c r="J393" t="s">
        <v>720</v>
      </c>
      <c r="K393" t="s">
        <v>82</v>
      </c>
      <c r="L393">
        <v>154630</v>
      </c>
      <c r="M393" t="s">
        <v>83</v>
      </c>
      <c r="Q393">
        <v>1</v>
      </c>
      <c r="T393">
        <v>1</v>
      </c>
      <c r="U393">
        <v>0</v>
      </c>
      <c r="V393">
        <v>0</v>
      </c>
      <c r="W393">
        <v>154258.96113333333</v>
      </c>
    </row>
    <row r="394" spans="1:25" x14ac:dyDescent="0.25">
      <c r="A394" t="s">
        <v>710</v>
      </c>
      <c r="B394">
        <v>1</v>
      </c>
      <c r="C394" t="s">
        <v>608</v>
      </c>
      <c r="D394" t="s">
        <v>686</v>
      </c>
      <c r="E394" t="s">
        <v>552</v>
      </c>
      <c r="F394" t="s">
        <v>610</v>
      </c>
      <c r="G394" t="s">
        <v>413</v>
      </c>
      <c r="H394" t="s">
        <v>87</v>
      </c>
      <c r="I394" t="s">
        <v>721</v>
      </c>
      <c r="J394" t="s">
        <v>722</v>
      </c>
      <c r="K394" t="s">
        <v>82</v>
      </c>
      <c r="L394">
        <v>135575.4167</v>
      </c>
      <c r="M394" t="s">
        <v>83</v>
      </c>
      <c r="N394">
        <v>154258.96109999999</v>
      </c>
      <c r="U394">
        <v>0</v>
      </c>
      <c r="V394">
        <v>0</v>
      </c>
      <c r="W394">
        <v>154258.96113333333</v>
      </c>
      <c r="X394">
        <v>135575.4167</v>
      </c>
      <c r="Y394">
        <v>135575.4167</v>
      </c>
    </row>
    <row r="395" spans="1:25" x14ac:dyDescent="0.25">
      <c r="A395" t="s">
        <v>710</v>
      </c>
      <c r="B395">
        <v>0</v>
      </c>
      <c r="C395" t="s">
        <v>608</v>
      </c>
      <c r="D395" t="s">
        <v>686</v>
      </c>
      <c r="E395" t="s">
        <v>552</v>
      </c>
      <c r="F395" t="s">
        <v>610</v>
      </c>
      <c r="G395" t="s">
        <v>84</v>
      </c>
      <c r="H395" t="s">
        <v>87</v>
      </c>
      <c r="I395" t="s">
        <v>710</v>
      </c>
      <c r="J395" t="s">
        <v>723</v>
      </c>
      <c r="K395" t="s">
        <v>82</v>
      </c>
      <c r="L395">
        <v>172571.46669999999</v>
      </c>
      <c r="M395" t="s">
        <v>83</v>
      </c>
      <c r="S395">
        <v>1</v>
      </c>
      <c r="T395">
        <v>1</v>
      </c>
      <c r="U395">
        <v>0</v>
      </c>
      <c r="V395">
        <v>0</v>
      </c>
      <c r="W395">
        <v>154258.96113333333</v>
      </c>
    </row>
    <row r="396" spans="1:25" x14ac:dyDescent="0.25">
      <c r="A396" t="s">
        <v>710</v>
      </c>
      <c r="B396">
        <v>0</v>
      </c>
      <c r="C396" t="s">
        <v>608</v>
      </c>
      <c r="D396" t="s">
        <v>686</v>
      </c>
      <c r="E396" t="s">
        <v>552</v>
      </c>
      <c r="F396" t="s">
        <v>610</v>
      </c>
      <c r="G396" t="s">
        <v>84</v>
      </c>
      <c r="H396" t="s">
        <v>110</v>
      </c>
      <c r="I396" t="s">
        <v>724</v>
      </c>
      <c r="J396" t="s">
        <v>725</v>
      </c>
      <c r="K396" t="s">
        <v>82</v>
      </c>
      <c r="L396">
        <v>12750</v>
      </c>
      <c r="M396" t="s">
        <v>83</v>
      </c>
      <c r="P396">
        <v>1</v>
      </c>
      <c r="T396">
        <v>1</v>
      </c>
      <c r="U396">
        <v>0</v>
      </c>
      <c r="V396">
        <v>0</v>
      </c>
      <c r="W396">
        <v>15299.666666666666</v>
      </c>
    </row>
    <row r="397" spans="1:25" x14ac:dyDescent="0.25">
      <c r="A397" t="s">
        <v>710</v>
      </c>
      <c r="B397">
        <v>1</v>
      </c>
      <c r="C397" t="s">
        <v>608</v>
      </c>
      <c r="D397" t="s">
        <v>686</v>
      </c>
      <c r="E397" t="s">
        <v>552</v>
      </c>
      <c r="F397" t="s">
        <v>610</v>
      </c>
      <c r="G397" t="s">
        <v>188</v>
      </c>
      <c r="H397" t="s">
        <v>110</v>
      </c>
      <c r="I397" t="s">
        <v>710</v>
      </c>
      <c r="J397" t="s">
        <v>726</v>
      </c>
      <c r="K397" t="s">
        <v>82</v>
      </c>
      <c r="L397">
        <v>14375</v>
      </c>
      <c r="M397" t="s">
        <v>83</v>
      </c>
      <c r="N397">
        <v>15299.666670000001</v>
      </c>
      <c r="P397">
        <v>1</v>
      </c>
      <c r="T397">
        <v>1</v>
      </c>
      <c r="U397">
        <v>0</v>
      </c>
      <c r="V397">
        <v>0</v>
      </c>
      <c r="W397">
        <v>15299.666666666666</v>
      </c>
      <c r="X397">
        <v>14375</v>
      </c>
      <c r="Y397">
        <v>14375</v>
      </c>
    </row>
    <row r="398" spans="1:25" x14ac:dyDescent="0.25">
      <c r="A398" t="s">
        <v>710</v>
      </c>
      <c r="B398">
        <v>0</v>
      </c>
      <c r="C398" t="s">
        <v>608</v>
      </c>
      <c r="D398" t="s">
        <v>686</v>
      </c>
      <c r="E398" t="s">
        <v>552</v>
      </c>
      <c r="F398" t="s">
        <v>610</v>
      </c>
      <c r="G398" t="s">
        <v>84</v>
      </c>
      <c r="H398" t="s">
        <v>110</v>
      </c>
      <c r="I398" t="s">
        <v>710</v>
      </c>
      <c r="J398" t="s">
        <v>84</v>
      </c>
      <c r="K398" t="s">
        <v>82</v>
      </c>
      <c r="L398">
        <v>18774</v>
      </c>
      <c r="M398" t="s">
        <v>83</v>
      </c>
      <c r="S398">
        <v>1</v>
      </c>
      <c r="U398">
        <v>0</v>
      </c>
      <c r="V398">
        <v>0</v>
      </c>
      <c r="W398">
        <v>15299.666666666666</v>
      </c>
    </row>
    <row r="399" spans="1:25" x14ac:dyDescent="0.25">
      <c r="A399" t="s">
        <v>710</v>
      </c>
      <c r="B399">
        <v>0</v>
      </c>
      <c r="C399" t="s">
        <v>608</v>
      </c>
      <c r="D399" t="s">
        <v>686</v>
      </c>
      <c r="E399" t="s">
        <v>552</v>
      </c>
      <c r="F399" t="s">
        <v>610</v>
      </c>
      <c r="G399" t="s">
        <v>84</v>
      </c>
      <c r="H399" t="s">
        <v>106</v>
      </c>
      <c r="I399" t="s">
        <v>724</v>
      </c>
      <c r="J399" t="s">
        <v>727</v>
      </c>
      <c r="K399" t="s">
        <v>82</v>
      </c>
      <c r="L399">
        <v>10839.44</v>
      </c>
      <c r="M399" t="s">
        <v>83</v>
      </c>
      <c r="P399">
        <v>1</v>
      </c>
      <c r="T399">
        <v>1</v>
      </c>
      <c r="U399">
        <v>0</v>
      </c>
      <c r="V399">
        <v>0</v>
      </c>
      <c r="W399">
        <v>10064.819166666666</v>
      </c>
    </row>
    <row r="400" spans="1:25" x14ac:dyDescent="0.25">
      <c r="A400" t="s">
        <v>710</v>
      </c>
      <c r="B400">
        <v>1</v>
      </c>
      <c r="C400" t="s">
        <v>608</v>
      </c>
      <c r="D400" t="s">
        <v>686</v>
      </c>
      <c r="E400" t="s">
        <v>552</v>
      </c>
      <c r="F400" t="s">
        <v>610</v>
      </c>
      <c r="G400" t="s">
        <v>188</v>
      </c>
      <c r="H400" t="s">
        <v>106</v>
      </c>
      <c r="I400" t="s">
        <v>710</v>
      </c>
      <c r="J400" t="s">
        <v>728</v>
      </c>
      <c r="K400" t="s">
        <v>82</v>
      </c>
      <c r="L400">
        <v>10926.092500000001</v>
      </c>
      <c r="M400" t="s">
        <v>83</v>
      </c>
      <c r="N400">
        <v>10064.819170000001</v>
      </c>
      <c r="P400">
        <v>1</v>
      </c>
      <c r="T400">
        <v>1</v>
      </c>
      <c r="U400">
        <v>0</v>
      </c>
      <c r="V400">
        <v>0</v>
      </c>
      <c r="W400">
        <v>10064.819166666666</v>
      </c>
      <c r="X400">
        <v>10926.092500000001</v>
      </c>
      <c r="Y400">
        <v>10926.092500000001</v>
      </c>
    </row>
    <row r="401" spans="1:25" x14ac:dyDescent="0.25">
      <c r="A401" t="s">
        <v>710</v>
      </c>
      <c r="B401">
        <v>0</v>
      </c>
      <c r="C401" t="s">
        <v>608</v>
      </c>
      <c r="D401" t="s">
        <v>686</v>
      </c>
      <c r="E401" t="s">
        <v>552</v>
      </c>
      <c r="F401" t="s">
        <v>610</v>
      </c>
      <c r="G401" t="s">
        <v>84</v>
      </c>
      <c r="H401" t="s">
        <v>106</v>
      </c>
      <c r="I401" t="s">
        <v>710</v>
      </c>
      <c r="J401" t="s">
        <v>729</v>
      </c>
      <c r="K401" t="s">
        <v>82</v>
      </c>
      <c r="L401">
        <v>8428.9249999999993</v>
      </c>
      <c r="M401" t="s">
        <v>83</v>
      </c>
      <c r="S401">
        <v>1</v>
      </c>
      <c r="U401">
        <v>0</v>
      </c>
      <c r="V401">
        <v>0</v>
      </c>
      <c r="W401">
        <v>10064.819166666666</v>
      </c>
    </row>
    <row r="402" spans="1:25" x14ac:dyDescent="0.25">
      <c r="A402" t="s">
        <v>710</v>
      </c>
      <c r="B402">
        <v>0</v>
      </c>
      <c r="C402" t="s">
        <v>608</v>
      </c>
      <c r="D402" t="s">
        <v>686</v>
      </c>
      <c r="E402" t="s">
        <v>552</v>
      </c>
      <c r="F402" t="s">
        <v>610</v>
      </c>
      <c r="G402" t="s">
        <v>84</v>
      </c>
      <c r="H402" t="s">
        <v>80</v>
      </c>
      <c r="I402" t="s">
        <v>724</v>
      </c>
      <c r="J402" t="s">
        <v>730</v>
      </c>
      <c r="K402" t="s">
        <v>82</v>
      </c>
      <c r="L402">
        <v>654508.57499999995</v>
      </c>
      <c r="M402" t="s">
        <v>83</v>
      </c>
      <c r="P402">
        <v>1</v>
      </c>
      <c r="T402">
        <v>1</v>
      </c>
      <c r="U402">
        <v>0</v>
      </c>
      <c r="V402">
        <v>0</v>
      </c>
      <c r="W402">
        <v>706387.15280000004</v>
      </c>
    </row>
    <row r="403" spans="1:25" x14ac:dyDescent="0.25">
      <c r="A403" t="s">
        <v>710</v>
      </c>
      <c r="B403">
        <v>1</v>
      </c>
      <c r="C403" t="s">
        <v>608</v>
      </c>
      <c r="D403" t="s">
        <v>686</v>
      </c>
      <c r="E403" t="s">
        <v>552</v>
      </c>
      <c r="F403" t="s">
        <v>610</v>
      </c>
      <c r="G403" t="s">
        <v>188</v>
      </c>
      <c r="H403" t="s">
        <v>80</v>
      </c>
      <c r="I403" t="s">
        <v>710</v>
      </c>
      <c r="J403" t="s">
        <v>731</v>
      </c>
      <c r="K403" t="s">
        <v>82</v>
      </c>
      <c r="L403">
        <v>831998.99340000004</v>
      </c>
      <c r="M403" t="s">
        <v>83</v>
      </c>
      <c r="N403">
        <v>706387.15280000004</v>
      </c>
      <c r="P403">
        <v>1</v>
      </c>
      <c r="T403">
        <v>1</v>
      </c>
      <c r="U403">
        <v>0</v>
      </c>
      <c r="V403">
        <v>0</v>
      </c>
      <c r="W403">
        <v>706387.15280000004</v>
      </c>
      <c r="X403">
        <v>831998.99340000004</v>
      </c>
      <c r="Y403">
        <v>831998.99340000004</v>
      </c>
    </row>
    <row r="404" spans="1:25" x14ac:dyDescent="0.25">
      <c r="A404" t="s">
        <v>710</v>
      </c>
      <c r="B404">
        <v>0</v>
      </c>
      <c r="C404" t="s">
        <v>608</v>
      </c>
      <c r="D404" t="s">
        <v>686</v>
      </c>
      <c r="E404" t="s">
        <v>552</v>
      </c>
      <c r="F404" t="s">
        <v>610</v>
      </c>
      <c r="G404" t="s">
        <v>84</v>
      </c>
      <c r="H404" t="s">
        <v>80</v>
      </c>
      <c r="I404" t="s">
        <v>710</v>
      </c>
      <c r="J404" t="s">
        <v>732</v>
      </c>
      <c r="K404" t="s">
        <v>82</v>
      </c>
      <c r="L404">
        <v>632653.89</v>
      </c>
      <c r="M404" t="s">
        <v>83</v>
      </c>
      <c r="S404">
        <v>1</v>
      </c>
      <c r="U404">
        <v>0</v>
      </c>
      <c r="V404">
        <v>0</v>
      </c>
      <c r="W404">
        <v>706387.15280000004</v>
      </c>
    </row>
    <row r="405" spans="1:25" x14ac:dyDescent="0.25">
      <c r="A405" t="s">
        <v>733</v>
      </c>
      <c r="B405">
        <v>0</v>
      </c>
      <c r="C405" t="s">
        <v>735</v>
      </c>
      <c r="D405" t="s">
        <v>736</v>
      </c>
      <c r="E405" t="s">
        <v>179</v>
      </c>
      <c r="F405" t="s">
        <v>737</v>
      </c>
      <c r="G405" t="s">
        <v>84</v>
      </c>
      <c r="H405" t="s">
        <v>92</v>
      </c>
      <c r="I405" t="s">
        <v>738</v>
      </c>
      <c r="J405" t="s">
        <v>181</v>
      </c>
      <c r="K405" t="s">
        <v>82</v>
      </c>
      <c r="L405">
        <v>26570</v>
      </c>
      <c r="M405" t="s">
        <v>83</v>
      </c>
      <c r="U405">
        <v>0</v>
      </c>
      <c r="V405">
        <v>0</v>
      </c>
      <c r="W405">
        <v>46565</v>
      </c>
    </row>
    <row r="406" spans="1:25" x14ac:dyDescent="0.25">
      <c r="A406" t="s">
        <v>733</v>
      </c>
      <c r="B406">
        <v>1</v>
      </c>
      <c r="C406" t="s">
        <v>735</v>
      </c>
      <c r="D406" t="s">
        <v>736</v>
      </c>
      <c r="E406" t="s">
        <v>179</v>
      </c>
      <c r="F406" t="s">
        <v>737</v>
      </c>
      <c r="G406" t="s">
        <v>221</v>
      </c>
      <c r="H406" t="s">
        <v>92</v>
      </c>
      <c r="I406" t="s">
        <v>739</v>
      </c>
      <c r="J406" t="s">
        <v>221</v>
      </c>
      <c r="K406" t="s">
        <v>82</v>
      </c>
      <c r="L406">
        <v>66560</v>
      </c>
      <c r="M406" t="s">
        <v>83</v>
      </c>
      <c r="N406">
        <v>46565</v>
      </c>
      <c r="U406">
        <v>0</v>
      </c>
      <c r="V406">
        <v>0</v>
      </c>
      <c r="W406">
        <v>46565</v>
      </c>
      <c r="X406">
        <v>66560</v>
      </c>
      <c r="Y406">
        <v>66560</v>
      </c>
    </row>
    <row r="407" spans="1:25" x14ac:dyDescent="0.25">
      <c r="A407" t="s">
        <v>733</v>
      </c>
      <c r="B407">
        <v>1</v>
      </c>
      <c r="C407" t="s">
        <v>735</v>
      </c>
      <c r="D407" t="s">
        <v>736</v>
      </c>
      <c r="E407" t="s">
        <v>179</v>
      </c>
      <c r="F407" t="s">
        <v>737</v>
      </c>
      <c r="G407" t="s">
        <v>700</v>
      </c>
      <c r="H407" t="s">
        <v>114</v>
      </c>
      <c r="I407" t="s">
        <v>733</v>
      </c>
      <c r="J407" t="s">
        <v>740</v>
      </c>
      <c r="K407" t="s">
        <v>82</v>
      </c>
      <c r="L407">
        <v>42850</v>
      </c>
      <c r="M407" t="s">
        <v>83</v>
      </c>
      <c r="N407">
        <v>31316.666669999999</v>
      </c>
      <c r="S407">
        <v>1</v>
      </c>
      <c r="U407">
        <v>0</v>
      </c>
      <c r="V407">
        <v>0</v>
      </c>
      <c r="W407">
        <v>31316.666666666664</v>
      </c>
      <c r="X407">
        <v>42850</v>
      </c>
      <c r="Y407">
        <v>42850</v>
      </c>
    </row>
    <row r="408" spans="1:25" x14ac:dyDescent="0.25">
      <c r="A408" t="s">
        <v>733</v>
      </c>
      <c r="B408">
        <v>0</v>
      </c>
      <c r="C408" t="s">
        <v>735</v>
      </c>
      <c r="D408" t="s">
        <v>736</v>
      </c>
      <c r="E408" t="s">
        <v>179</v>
      </c>
      <c r="F408" t="s">
        <v>737</v>
      </c>
      <c r="G408" t="s">
        <v>84</v>
      </c>
      <c r="H408" t="s">
        <v>114</v>
      </c>
      <c r="I408" t="s">
        <v>741</v>
      </c>
      <c r="J408" t="s">
        <v>742</v>
      </c>
      <c r="K408" t="s">
        <v>82</v>
      </c>
      <c r="L408">
        <v>23200</v>
      </c>
      <c r="M408" t="s">
        <v>83</v>
      </c>
      <c r="O408">
        <v>1</v>
      </c>
      <c r="U408">
        <v>23200</v>
      </c>
      <c r="V408">
        <v>0</v>
      </c>
      <c r="W408">
        <v>31316.666666666664</v>
      </c>
    </row>
    <row r="409" spans="1:25" x14ac:dyDescent="0.25">
      <c r="A409" t="s">
        <v>733</v>
      </c>
      <c r="B409">
        <v>0</v>
      </c>
      <c r="C409" t="s">
        <v>735</v>
      </c>
      <c r="D409" t="s">
        <v>736</v>
      </c>
      <c r="E409" t="s">
        <v>179</v>
      </c>
      <c r="F409" t="s">
        <v>737</v>
      </c>
      <c r="G409" t="s">
        <v>84</v>
      </c>
      <c r="H409" t="s">
        <v>114</v>
      </c>
      <c r="I409" t="s">
        <v>733</v>
      </c>
      <c r="J409" t="s">
        <v>743</v>
      </c>
      <c r="K409" t="s">
        <v>82</v>
      </c>
      <c r="L409">
        <v>27900</v>
      </c>
      <c r="M409" t="s">
        <v>83</v>
      </c>
      <c r="P409">
        <v>1</v>
      </c>
      <c r="T409">
        <v>1</v>
      </c>
      <c r="U409">
        <v>0</v>
      </c>
      <c r="V409">
        <v>0</v>
      </c>
      <c r="W409">
        <v>31316.666666666664</v>
      </c>
    </row>
    <row r="410" spans="1:25" x14ac:dyDescent="0.25">
      <c r="A410" t="s">
        <v>733</v>
      </c>
      <c r="B410">
        <v>1</v>
      </c>
      <c r="C410" t="s">
        <v>735</v>
      </c>
      <c r="D410" t="s">
        <v>736</v>
      </c>
      <c r="E410" t="s">
        <v>179</v>
      </c>
      <c r="F410" t="s">
        <v>737</v>
      </c>
      <c r="G410" t="s">
        <v>700</v>
      </c>
      <c r="H410" t="s">
        <v>121</v>
      </c>
      <c r="I410" t="s">
        <v>733</v>
      </c>
      <c r="J410" t="s">
        <v>744</v>
      </c>
      <c r="K410" t="s">
        <v>82</v>
      </c>
      <c r="L410">
        <v>193795.97099999999</v>
      </c>
      <c r="M410" t="s">
        <v>83</v>
      </c>
      <c r="N410">
        <v>182920.4215</v>
      </c>
      <c r="S410">
        <v>1</v>
      </c>
      <c r="U410">
        <v>0</v>
      </c>
      <c r="V410">
        <v>0</v>
      </c>
      <c r="W410">
        <v>182920.4215</v>
      </c>
      <c r="X410">
        <v>193795.97099999999</v>
      </c>
      <c r="Y410">
        <v>193795.97099999999</v>
      </c>
    </row>
    <row r="411" spans="1:25" x14ac:dyDescent="0.25">
      <c r="A411" t="s">
        <v>733</v>
      </c>
      <c r="B411">
        <v>0</v>
      </c>
      <c r="C411" t="s">
        <v>735</v>
      </c>
      <c r="D411" t="s">
        <v>736</v>
      </c>
      <c r="E411" t="s">
        <v>179</v>
      </c>
      <c r="F411" t="s">
        <v>737</v>
      </c>
      <c r="G411" t="s">
        <v>84</v>
      </c>
      <c r="H411" t="s">
        <v>121</v>
      </c>
      <c r="I411" t="s">
        <v>741</v>
      </c>
      <c r="J411" t="s">
        <v>745</v>
      </c>
      <c r="K411" t="s">
        <v>82</v>
      </c>
      <c r="L411">
        <v>170725.97829999999</v>
      </c>
      <c r="M411" t="s">
        <v>83</v>
      </c>
      <c r="O411">
        <v>1</v>
      </c>
      <c r="U411">
        <v>170725.97829999999</v>
      </c>
      <c r="V411">
        <v>0</v>
      </c>
      <c r="W411">
        <v>182920.4215</v>
      </c>
    </row>
    <row r="412" spans="1:25" x14ac:dyDescent="0.25">
      <c r="A412" t="s">
        <v>733</v>
      </c>
      <c r="B412">
        <v>0</v>
      </c>
      <c r="C412" t="s">
        <v>735</v>
      </c>
      <c r="D412" t="s">
        <v>736</v>
      </c>
      <c r="E412" t="s">
        <v>179</v>
      </c>
      <c r="F412" t="s">
        <v>737</v>
      </c>
      <c r="G412" t="s">
        <v>84</v>
      </c>
      <c r="H412" t="s">
        <v>121</v>
      </c>
      <c r="I412" t="s">
        <v>733</v>
      </c>
      <c r="J412" t="s">
        <v>746</v>
      </c>
      <c r="K412" t="s">
        <v>82</v>
      </c>
      <c r="L412">
        <v>184239.31520000001</v>
      </c>
      <c r="M412" t="s">
        <v>83</v>
      </c>
      <c r="P412">
        <v>1</v>
      </c>
      <c r="T412">
        <v>1</v>
      </c>
      <c r="U412">
        <v>0</v>
      </c>
      <c r="V412">
        <v>0</v>
      </c>
      <c r="W412">
        <v>182920.4215</v>
      </c>
    </row>
    <row r="413" spans="1:25" x14ac:dyDescent="0.25">
      <c r="A413" t="s">
        <v>733</v>
      </c>
      <c r="B413">
        <v>0</v>
      </c>
      <c r="C413" t="s">
        <v>735</v>
      </c>
      <c r="D413" t="s">
        <v>736</v>
      </c>
      <c r="E413" t="s">
        <v>179</v>
      </c>
      <c r="F413" t="s">
        <v>737</v>
      </c>
      <c r="G413" t="s">
        <v>84</v>
      </c>
      <c r="H413" t="s">
        <v>151</v>
      </c>
      <c r="I413" t="s">
        <v>747</v>
      </c>
      <c r="J413" t="s">
        <v>748</v>
      </c>
      <c r="K413" t="s">
        <v>82</v>
      </c>
      <c r="L413">
        <v>108745</v>
      </c>
      <c r="M413" t="s">
        <v>83</v>
      </c>
      <c r="U413">
        <v>0</v>
      </c>
      <c r="V413">
        <v>0</v>
      </c>
      <c r="W413">
        <v>98085</v>
      </c>
    </row>
    <row r="414" spans="1:25" x14ac:dyDescent="0.25">
      <c r="A414" t="s">
        <v>733</v>
      </c>
      <c r="B414">
        <v>1</v>
      </c>
      <c r="C414" t="s">
        <v>735</v>
      </c>
      <c r="D414" t="s">
        <v>736</v>
      </c>
      <c r="E414" t="s">
        <v>179</v>
      </c>
      <c r="F414" t="s">
        <v>737</v>
      </c>
      <c r="G414" t="s">
        <v>229</v>
      </c>
      <c r="H414" t="s">
        <v>151</v>
      </c>
      <c r="I414" t="s">
        <v>749</v>
      </c>
      <c r="J414" t="s">
        <v>750</v>
      </c>
      <c r="K414" t="s">
        <v>82</v>
      </c>
      <c r="L414">
        <v>87425</v>
      </c>
      <c r="M414" t="s">
        <v>83</v>
      </c>
      <c r="N414">
        <v>98085</v>
      </c>
      <c r="U414">
        <v>0</v>
      </c>
      <c r="V414">
        <v>0</v>
      </c>
      <c r="W414">
        <v>98085</v>
      </c>
      <c r="X414">
        <v>87425</v>
      </c>
      <c r="Y414">
        <v>87425</v>
      </c>
    </row>
    <row r="415" spans="1:25" x14ac:dyDescent="0.25">
      <c r="A415" t="s">
        <v>733</v>
      </c>
      <c r="B415">
        <v>1</v>
      </c>
      <c r="C415" t="s">
        <v>735</v>
      </c>
      <c r="D415" t="s">
        <v>736</v>
      </c>
      <c r="E415" t="s">
        <v>179</v>
      </c>
      <c r="F415" t="s">
        <v>737</v>
      </c>
      <c r="G415" t="s">
        <v>203</v>
      </c>
      <c r="H415" t="s">
        <v>98</v>
      </c>
      <c r="I415" t="s">
        <v>751</v>
      </c>
      <c r="J415" t="s">
        <v>752</v>
      </c>
      <c r="K415" t="s">
        <v>82</v>
      </c>
      <c r="L415">
        <v>51900</v>
      </c>
      <c r="M415" t="s">
        <v>83</v>
      </c>
      <c r="N415">
        <v>44125</v>
      </c>
      <c r="Q415">
        <v>1</v>
      </c>
      <c r="U415">
        <v>0</v>
      </c>
      <c r="V415">
        <v>0</v>
      </c>
      <c r="W415">
        <v>44125</v>
      </c>
      <c r="X415">
        <v>51900</v>
      </c>
      <c r="Y415">
        <v>51900</v>
      </c>
    </row>
    <row r="416" spans="1:25" x14ac:dyDescent="0.25">
      <c r="A416" t="s">
        <v>733</v>
      </c>
      <c r="B416">
        <v>0</v>
      </c>
      <c r="C416" t="s">
        <v>735</v>
      </c>
      <c r="D416" t="s">
        <v>736</v>
      </c>
      <c r="E416" t="s">
        <v>179</v>
      </c>
      <c r="F416" t="s">
        <v>737</v>
      </c>
      <c r="G416" t="s">
        <v>84</v>
      </c>
      <c r="H416" t="s">
        <v>98</v>
      </c>
      <c r="I416" t="s">
        <v>753</v>
      </c>
      <c r="J416" t="s">
        <v>754</v>
      </c>
      <c r="K416" t="s">
        <v>82</v>
      </c>
      <c r="L416">
        <v>36350</v>
      </c>
      <c r="M416" t="s">
        <v>83</v>
      </c>
      <c r="U416">
        <v>0</v>
      </c>
      <c r="V416">
        <v>0</v>
      </c>
      <c r="W416">
        <v>44125</v>
      </c>
    </row>
    <row r="417" spans="1:25" x14ac:dyDescent="0.25">
      <c r="A417" t="s">
        <v>733</v>
      </c>
      <c r="B417">
        <v>0</v>
      </c>
      <c r="C417" t="s">
        <v>735</v>
      </c>
      <c r="D417" t="s">
        <v>736</v>
      </c>
      <c r="E417" t="s">
        <v>179</v>
      </c>
      <c r="F417" t="s">
        <v>737</v>
      </c>
      <c r="G417" t="s">
        <v>84</v>
      </c>
      <c r="H417" t="s">
        <v>87</v>
      </c>
      <c r="I417" t="s">
        <v>733</v>
      </c>
      <c r="J417" t="s">
        <v>755</v>
      </c>
      <c r="K417" t="s">
        <v>82</v>
      </c>
      <c r="L417">
        <v>125431.25</v>
      </c>
      <c r="M417" t="s">
        <v>83</v>
      </c>
      <c r="U417">
        <v>0</v>
      </c>
      <c r="V417">
        <v>0</v>
      </c>
      <c r="W417">
        <v>97059.569433333338</v>
      </c>
    </row>
    <row r="418" spans="1:25" x14ac:dyDescent="0.25">
      <c r="A418" t="s">
        <v>733</v>
      </c>
      <c r="B418">
        <v>0</v>
      </c>
      <c r="C418" t="s">
        <v>735</v>
      </c>
      <c r="D418" t="s">
        <v>736</v>
      </c>
      <c r="E418" t="s">
        <v>179</v>
      </c>
      <c r="F418" t="s">
        <v>737</v>
      </c>
      <c r="G418" t="s">
        <v>84</v>
      </c>
      <c r="H418" t="s">
        <v>87</v>
      </c>
      <c r="I418" t="s">
        <v>733</v>
      </c>
      <c r="J418" t="s">
        <v>756</v>
      </c>
      <c r="K418" t="s">
        <v>82</v>
      </c>
      <c r="L418">
        <v>65076.2</v>
      </c>
      <c r="M418" t="s">
        <v>83</v>
      </c>
      <c r="U418">
        <v>0</v>
      </c>
      <c r="V418">
        <v>0</v>
      </c>
      <c r="W418">
        <v>97059.569433333338</v>
      </c>
    </row>
    <row r="419" spans="1:25" x14ac:dyDescent="0.25">
      <c r="A419" t="s">
        <v>733</v>
      </c>
      <c r="B419">
        <v>1</v>
      </c>
      <c r="C419" t="s">
        <v>735</v>
      </c>
      <c r="D419" t="s">
        <v>736</v>
      </c>
      <c r="E419" t="s">
        <v>179</v>
      </c>
      <c r="F419" t="s">
        <v>737</v>
      </c>
      <c r="G419" t="s">
        <v>413</v>
      </c>
      <c r="H419" t="s">
        <v>87</v>
      </c>
      <c r="I419" t="s">
        <v>757</v>
      </c>
      <c r="J419" t="s">
        <v>758</v>
      </c>
      <c r="K419" t="s">
        <v>82</v>
      </c>
      <c r="L419">
        <v>100671.2583</v>
      </c>
      <c r="M419" t="s">
        <v>83</v>
      </c>
      <c r="N419">
        <v>97059.569440000007</v>
      </c>
      <c r="U419">
        <v>0</v>
      </c>
      <c r="V419">
        <v>0</v>
      </c>
      <c r="W419">
        <v>97059.569433333338</v>
      </c>
      <c r="X419">
        <v>100671.2583</v>
      </c>
      <c r="Y419">
        <v>100671.2583</v>
      </c>
    </row>
    <row r="420" spans="1:25" x14ac:dyDescent="0.25">
      <c r="A420" t="s">
        <v>733</v>
      </c>
      <c r="B420">
        <v>0</v>
      </c>
      <c r="C420" t="s">
        <v>735</v>
      </c>
      <c r="D420" t="s">
        <v>736</v>
      </c>
      <c r="E420" t="s">
        <v>179</v>
      </c>
      <c r="F420" t="s">
        <v>737</v>
      </c>
      <c r="G420" t="s">
        <v>84</v>
      </c>
      <c r="H420" t="s">
        <v>110</v>
      </c>
      <c r="I420" t="s">
        <v>733</v>
      </c>
      <c r="J420" t="s">
        <v>759</v>
      </c>
      <c r="K420" t="s">
        <v>82</v>
      </c>
      <c r="L420">
        <v>11532</v>
      </c>
      <c r="M420" t="s">
        <v>83</v>
      </c>
      <c r="P420">
        <v>1</v>
      </c>
      <c r="T420">
        <v>1</v>
      </c>
      <c r="U420">
        <v>0</v>
      </c>
      <c r="V420">
        <v>0</v>
      </c>
      <c r="W420">
        <v>10374.666666666666</v>
      </c>
    </row>
    <row r="421" spans="1:25" x14ac:dyDescent="0.25">
      <c r="A421" t="s">
        <v>733</v>
      </c>
      <c r="B421">
        <v>1</v>
      </c>
      <c r="C421" t="s">
        <v>735</v>
      </c>
      <c r="D421" t="s">
        <v>736</v>
      </c>
      <c r="E421" t="s">
        <v>179</v>
      </c>
      <c r="F421" t="s">
        <v>737</v>
      </c>
      <c r="G421" t="s">
        <v>79</v>
      </c>
      <c r="H421" t="s">
        <v>110</v>
      </c>
      <c r="I421" t="s">
        <v>733</v>
      </c>
      <c r="J421" t="s">
        <v>760</v>
      </c>
      <c r="K421" t="s">
        <v>82</v>
      </c>
      <c r="L421">
        <v>12032</v>
      </c>
      <c r="M421" t="s">
        <v>83</v>
      </c>
      <c r="N421">
        <v>10374.666670000001</v>
      </c>
      <c r="P421">
        <v>1</v>
      </c>
      <c r="U421">
        <v>0</v>
      </c>
      <c r="V421">
        <v>0</v>
      </c>
      <c r="W421">
        <v>10374.666666666666</v>
      </c>
      <c r="X421">
        <v>12032</v>
      </c>
      <c r="Y421">
        <v>12032</v>
      </c>
    </row>
    <row r="422" spans="1:25" x14ac:dyDescent="0.25">
      <c r="A422" t="s">
        <v>733</v>
      </c>
      <c r="B422">
        <v>0</v>
      </c>
      <c r="C422" t="s">
        <v>735</v>
      </c>
      <c r="D422" t="s">
        <v>736</v>
      </c>
      <c r="E422" t="s">
        <v>179</v>
      </c>
      <c r="F422" t="s">
        <v>737</v>
      </c>
      <c r="G422" t="s">
        <v>84</v>
      </c>
      <c r="H422" t="s">
        <v>110</v>
      </c>
      <c r="I422" t="s">
        <v>733</v>
      </c>
      <c r="J422" t="s">
        <v>761</v>
      </c>
      <c r="K422" t="s">
        <v>82</v>
      </c>
      <c r="L422">
        <v>7560</v>
      </c>
      <c r="M422" t="s">
        <v>83</v>
      </c>
      <c r="U422">
        <v>0</v>
      </c>
      <c r="V422">
        <v>0</v>
      </c>
      <c r="W422">
        <v>10374.666666666666</v>
      </c>
    </row>
    <row r="423" spans="1:25" x14ac:dyDescent="0.25">
      <c r="A423" t="s">
        <v>733</v>
      </c>
      <c r="B423">
        <v>0</v>
      </c>
      <c r="C423" t="s">
        <v>735</v>
      </c>
      <c r="D423" t="s">
        <v>736</v>
      </c>
      <c r="E423" t="s">
        <v>179</v>
      </c>
      <c r="F423" t="s">
        <v>737</v>
      </c>
      <c r="G423" t="s">
        <v>84</v>
      </c>
      <c r="H423" t="s">
        <v>106</v>
      </c>
      <c r="I423" t="s">
        <v>733</v>
      </c>
      <c r="J423" t="s">
        <v>762</v>
      </c>
      <c r="K423" t="s">
        <v>82</v>
      </c>
      <c r="L423">
        <v>5340.9449999999997</v>
      </c>
      <c r="M423" t="s">
        <v>83</v>
      </c>
      <c r="P423">
        <v>1</v>
      </c>
      <c r="T423">
        <v>1</v>
      </c>
      <c r="U423">
        <v>0</v>
      </c>
      <c r="V423">
        <v>0</v>
      </c>
      <c r="W423">
        <v>7102.8791666666666</v>
      </c>
    </row>
    <row r="424" spans="1:25" x14ac:dyDescent="0.25">
      <c r="A424" t="s">
        <v>733</v>
      </c>
      <c r="B424">
        <v>1</v>
      </c>
      <c r="C424" t="s">
        <v>735</v>
      </c>
      <c r="D424" t="s">
        <v>736</v>
      </c>
      <c r="E424" t="s">
        <v>179</v>
      </c>
      <c r="F424" t="s">
        <v>737</v>
      </c>
      <c r="G424" t="s">
        <v>79</v>
      </c>
      <c r="H424" t="s">
        <v>106</v>
      </c>
      <c r="I424" t="s">
        <v>733</v>
      </c>
      <c r="J424" t="s">
        <v>763</v>
      </c>
      <c r="K424" t="s">
        <v>82</v>
      </c>
      <c r="L424">
        <v>10996.99</v>
      </c>
      <c r="M424" t="s">
        <v>83</v>
      </c>
      <c r="N424">
        <v>7102.8791670000001</v>
      </c>
      <c r="P424">
        <v>1</v>
      </c>
      <c r="U424">
        <v>0</v>
      </c>
      <c r="V424">
        <v>0</v>
      </c>
      <c r="W424">
        <v>7102.8791666666666</v>
      </c>
      <c r="X424">
        <v>10996.99</v>
      </c>
      <c r="Y424">
        <v>10996.99</v>
      </c>
    </row>
    <row r="425" spans="1:25" x14ac:dyDescent="0.25">
      <c r="A425" t="s">
        <v>733</v>
      </c>
      <c r="B425">
        <v>0</v>
      </c>
      <c r="C425" t="s">
        <v>735</v>
      </c>
      <c r="D425" t="s">
        <v>736</v>
      </c>
      <c r="E425" t="s">
        <v>179</v>
      </c>
      <c r="F425" t="s">
        <v>737</v>
      </c>
      <c r="G425" t="s">
        <v>84</v>
      </c>
      <c r="H425" t="s">
        <v>106</v>
      </c>
      <c r="I425" t="s">
        <v>733</v>
      </c>
      <c r="J425" t="s">
        <v>764</v>
      </c>
      <c r="K425" t="s">
        <v>82</v>
      </c>
      <c r="L425">
        <v>4970.7025000000003</v>
      </c>
      <c r="M425" t="s">
        <v>83</v>
      </c>
      <c r="U425">
        <v>0</v>
      </c>
      <c r="V425">
        <v>0</v>
      </c>
      <c r="W425">
        <v>7102.8791666666666</v>
      </c>
    </row>
    <row r="426" spans="1:25" x14ac:dyDescent="0.25">
      <c r="A426" t="s">
        <v>733</v>
      </c>
      <c r="B426">
        <v>0</v>
      </c>
      <c r="C426" t="s">
        <v>735</v>
      </c>
      <c r="D426" t="s">
        <v>736</v>
      </c>
      <c r="E426" t="s">
        <v>179</v>
      </c>
      <c r="F426" t="s">
        <v>737</v>
      </c>
      <c r="G426" t="s">
        <v>84</v>
      </c>
      <c r="H426" t="s">
        <v>80</v>
      </c>
      <c r="I426" t="s">
        <v>733</v>
      </c>
      <c r="J426" t="s">
        <v>765</v>
      </c>
      <c r="K426" t="s">
        <v>82</v>
      </c>
      <c r="L426">
        <v>804761.98400000005</v>
      </c>
      <c r="M426" t="s">
        <v>83</v>
      </c>
      <c r="P426">
        <v>1</v>
      </c>
      <c r="T426">
        <v>1</v>
      </c>
      <c r="U426">
        <v>0</v>
      </c>
      <c r="V426">
        <v>0</v>
      </c>
      <c r="W426">
        <v>823789.01633333333</v>
      </c>
    </row>
    <row r="427" spans="1:25" x14ac:dyDescent="0.25">
      <c r="A427" t="s">
        <v>733</v>
      </c>
      <c r="B427">
        <v>1</v>
      </c>
      <c r="C427" t="s">
        <v>735</v>
      </c>
      <c r="D427" t="s">
        <v>736</v>
      </c>
      <c r="E427" t="s">
        <v>179</v>
      </c>
      <c r="F427" t="s">
        <v>737</v>
      </c>
      <c r="G427" t="s">
        <v>79</v>
      </c>
      <c r="H427" t="s">
        <v>80</v>
      </c>
      <c r="I427" t="s">
        <v>733</v>
      </c>
      <c r="J427" t="s">
        <v>766</v>
      </c>
      <c r="K427" t="s">
        <v>82</v>
      </c>
      <c r="L427">
        <v>881024.64</v>
      </c>
      <c r="M427" t="s">
        <v>83</v>
      </c>
      <c r="N427">
        <v>823789.01630000002</v>
      </c>
      <c r="P427">
        <v>1</v>
      </c>
      <c r="U427">
        <v>0</v>
      </c>
      <c r="V427">
        <v>0</v>
      </c>
      <c r="W427">
        <v>823789.01633333333</v>
      </c>
      <c r="X427">
        <v>881024.64</v>
      </c>
      <c r="Y427">
        <v>881024.64</v>
      </c>
    </row>
    <row r="428" spans="1:25" x14ac:dyDescent="0.25">
      <c r="A428" t="s">
        <v>733</v>
      </c>
      <c r="B428">
        <v>0</v>
      </c>
      <c r="C428" t="s">
        <v>735</v>
      </c>
      <c r="D428" t="s">
        <v>736</v>
      </c>
      <c r="E428" t="s">
        <v>179</v>
      </c>
      <c r="F428" t="s">
        <v>737</v>
      </c>
      <c r="G428" t="s">
        <v>84</v>
      </c>
      <c r="H428" t="s">
        <v>80</v>
      </c>
      <c r="I428" t="s">
        <v>733</v>
      </c>
      <c r="J428" t="s">
        <v>767</v>
      </c>
      <c r="K428" t="s">
        <v>82</v>
      </c>
      <c r="L428">
        <v>785580.42500000005</v>
      </c>
      <c r="M428" t="s">
        <v>83</v>
      </c>
      <c r="U428">
        <v>0</v>
      </c>
      <c r="V428">
        <v>0</v>
      </c>
      <c r="W428">
        <v>823789.01633333333</v>
      </c>
    </row>
    <row r="429" spans="1:25" x14ac:dyDescent="0.25">
      <c r="A429" t="s">
        <v>768</v>
      </c>
      <c r="B429">
        <v>0</v>
      </c>
      <c r="C429" t="s">
        <v>735</v>
      </c>
      <c r="D429" t="s">
        <v>736</v>
      </c>
      <c r="E429" t="s">
        <v>179</v>
      </c>
      <c r="F429" t="s">
        <v>737</v>
      </c>
      <c r="G429" t="s">
        <v>84</v>
      </c>
      <c r="H429" t="s">
        <v>92</v>
      </c>
      <c r="I429" t="s">
        <v>221</v>
      </c>
      <c r="J429" t="s">
        <v>221</v>
      </c>
      <c r="K429" t="s">
        <v>82</v>
      </c>
      <c r="L429">
        <v>32510</v>
      </c>
      <c r="M429" t="s">
        <v>83</v>
      </c>
      <c r="Q429">
        <v>1</v>
      </c>
      <c r="S429">
        <v>1</v>
      </c>
      <c r="U429">
        <v>0</v>
      </c>
      <c r="V429">
        <v>0</v>
      </c>
      <c r="W429">
        <v>26410</v>
      </c>
    </row>
    <row r="430" spans="1:25" x14ac:dyDescent="0.25">
      <c r="A430" t="s">
        <v>768</v>
      </c>
      <c r="B430">
        <v>1</v>
      </c>
      <c r="C430" t="s">
        <v>735</v>
      </c>
      <c r="D430" t="s">
        <v>736</v>
      </c>
      <c r="E430" t="s">
        <v>179</v>
      </c>
      <c r="F430" t="s">
        <v>737</v>
      </c>
      <c r="G430" t="s">
        <v>141</v>
      </c>
      <c r="H430" t="s">
        <v>92</v>
      </c>
      <c r="I430" t="s">
        <v>769</v>
      </c>
      <c r="J430" t="s">
        <v>770</v>
      </c>
      <c r="K430" t="s">
        <v>82</v>
      </c>
      <c r="L430">
        <v>20310</v>
      </c>
      <c r="M430" t="s">
        <v>83</v>
      </c>
      <c r="N430">
        <v>26410</v>
      </c>
      <c r="Q430">
        <v>1</v>
      </c>
      <c r="T430">
        <v>1</v>
      </c>
      <c r="U430">
        <v>0</v>
      </c>
      <c r="V430">
        <v>0</v>
      </c>
      <c r="W430">
        <v>26410</v>
      </c>
      <c r="X430">
        <v>20310</v>
      </c>
      <c r="Y430">
        <v>20310</v>
      </c>
    </row>
    <row r="431" spans="1:25" x14ac:dyDescent="0.25">
      <c r="A431" t="s">
        <v>768</v>
      </c>
      <c r="B431">
        <v>0</v>
      </c>
      <c r="C431" t="s">
        <v>735</v>
      </c>
      <c r="D431" t="s">
        <v>736</v>
      </c>
      <c r="E431" t="s">
        <v>179</v>
      </c>
      <c r="F431" t="s">
        <v>737</v>
      </c>
      <c r="G431" t="s">
        <v>84</v>
      </c>
      <c r="H431" t="s">
        <v>185</v>
      </c>
      <c r="I431" t="s">
        <v>768</v>
      </c>
      <c r="J431" t="s">
        <v>771</v>
      </c>
      <c r="K431" t="s">
        <v>82</v>
      </c>
      <c r="L431">
        <v>17960.7</v>
      </c>
      <c r="M431" t="s">
        <v>83</v>
      </c>
      <c r="U431">
        <v>0</v>
      </c>
      <c r="V431">
        <v>0</v>
      </c>
      <c r="W431">
        <v>19142.325000000001</v>
      </c>
    </row>
    <row r="432" spans="1:25" x14ac:dyDescent="0.25">
      <c r="A432" t="s">
        <v>768</v>
      </c>
      <c r="B432">
        <v>1</v>
      </c>
      <c r="C432" t="s">
        <v>735</v>
      </c>
      <c r="D432" t="s">
        <v>736</v>
      </c>
      <c r="E432" t="s">
        <v>179</v>
      </c>
      <c r="F432" t="s">
        <v>737</v>
      </c>
      <c r="G432" t="s">
        <v>79</v>
      </c>
      <c r="H432" t="s">
        <v>185</v>
      </c>
      <c r="I432" t="s">
        <v>772</v>
      </c>
      <c r="J432" t="s">
        <v>773</v>
      </c>
      <c r="K432" t="s">
        <v>82</v>
      </c>
      <c r="L432">
        <v>20323.95</v>
      </c>
      <c r="M432" t="s">
        <v>83</v>
      </c>
      <c r="N432">
        <v>19142.325000000001</v>
      </c>
      <c r="P432">
        <v>1</v>
      </c>
      <c r="U432">
        <v>0</v>
      </c>
      <c r="V432">
        <v>0</v>
      </c>
      <c r="W432">
        <v>19142.325000000001</v>
      </c>
      <c r="X432">
        <v>20323.95</v>
      </c>
      <c r="Y432">
        <v>20323.95</v>
      </c>
    </row>
    <row r="433" spans="1:25" x14ac:dyDescent="0.25">
      <c r="A433" t="s">
        <v>768</v>
      </c>
      <c r="B433">
        <v>1</v>
      </c>
      <c r="C433" t="s">
        <v>735</v>
      </c>
      <c r="D433" t="s">
        <v>736</v>
      </c>
      <c r="E433" t="s">
        <v>179</v>
      </c>
      <c r="F433" t="s">
        <v>737</v>
      </c>
      <c r="G433" t="s">
        <v>700</v>
      </c>
      <c r="H433" t="s">
        <v>121</v>
      </c>
      <c r="I433" t="s">
        <v>768</v>
      </c>
      <c r="J433" t="s">
        <v>774</v>
      </c>
      <c r="K433" t="s">
        <v>82</v>
      </c>
      <c r="L433">
        <v>145024.3322</v>
      </c>
      <c r="M433" t="s">
        <v>83</v>
      </c>
      <c r="N433">
        <v>151042.9981</v>
      </c>
      <c r="S433">
        <v>1</v>
      </c>
      <c r="U433">
        <v>0</v>
      </c>
      <c r="V433">
        <v>0</v>
      </c>
      <c r="W433">
        <v>151042.9981</v>
      </c>
      <c r="X433">
        <v>145024.3322</v>
      </c>
      <c r="Y433">
        <v>145024.3322</v>
      </c>
    </row>
    <row r="434" spans="1:25" x14ac:dyDescent="0.25">
      <c r="A434" t="s">
        <v>768</v>
      </c>
      <c r="B434">
        <v>0</v>
      </c>
      <c r="C434" t="s">
        <v>735</v>
      </c>
      <c r="D434" t="s">
        <v>736</v>
      </c>
      <c r="E434" t="s">
        <v>179</v>
      </c>
      <c r="F434" t="s">
        <v>737</v>
      </c>
      <c r="G434" t="s">
        <v>84</v>
      </c>
      <c r="H434" t="s">
        <v>121</v>
      </c>
      <c r="I434" t="s">
        <v>775</v>
      </c>
      <c r="J434" t="s">
        <v>776</v>
      </c>
      <c r="K434" t="s">
        <v>82</v>
      </c>
      <c r="L434">
        <v>157061.66399999999</v>
      </c>
      <c r="M434" t="s">
        <v>83</v>
      </c>
      <c r="O434">
        <v>1</v>
      </c>
      <c r="U434">
        <v>157061.66399999999</v>
      </c>
      <c r="V434">
        <v>0</v>
      </c>
      <c r="W434">
        <v>151042.9981</v>
      </c>
    </row>
    <row r="435" spans="1:25" x14ac:dyDescent="0.25">
      <c r="A435" t="s">
        <v>768</v>
      </c>
      <c r="B435">
        <v>1</v>
      </c>
      <c r="C435" t="s">
        <v>735</v>
      </c>
      <c r="D435" t="s">
        <v>736</v>
      </c>
      <c r="E435" t="s">
        <v>179</v>
      </c>
      <c r="F435" t="s">
        <v>737</v>
      </c>
      <c r="G435" t="s">
        <v>441</v>
      </c>
      <c r="H435" t="s">
        <v>151</v>
      </c>
      <c r="I435" t="s">
        <v>768</v>
      </c>
      <c r="J435" t="s">
        <v>777</v>
      </c>
      <c r="K435" t="s">
        <v>82</v>
      </c>
      <c r="L435">
        <v>87009</v>
      </c>
      <c r="M435" t="s">
        <v>83</v>
      </c>
      <c r="N435">
        <v>127887.5</v>
      </c>
      <c r="U435">
        <v>0</v>
      </c>
      <c r="V435">
        <v>0</v>
      </c>
      <c r="W435">
        <v>127887.5</v>
      </c>
      <c r="X435">
        <v>87009</v>
      </c>
      <c r="Y435">
        <v>87009</v>
      </c>
    </row>
    <row r="436" spans="1:25" x14ac:dyDescent="0.25">
      <c r="A436" t="s">
        <v>768</v>
      </c>
      <c r="B436">
        <v>0</v>
      </c>
      <c r="C436" t="s">
        <v>735</v>
      </c>
      <c r="D436" t="s">
        <v>736</v>
      </c>
      <c r="E436" t="s">
        <v>179</v>
      </c>
      <c r="F436" t="s">
        <v>737</v>
      </c>
      <c r="G436" t="s">
        <v>84</v>
      </c>
      <c r="H436" t="s">
        <v>151</v>
      </c>
      <c r="I436" t="s">
        <v>778</v>
      </c>
      <c r="J436" t="s">
        <v>779</v>
      </c>
      <c r="K436" t="s">
        <v>82</v>
      </c>
      <c r="L436">
        <v>168766</v>
      </c>
      <c r="M436" t="s">
        <v>83</v>
      </c>
      <c r="U436">
        <v>0</v>
      </c>
      <c r="V436">
        <v>0</v>
      </c>
      <c r="W436">
        <v>127887.5</v>
      </c>
    </row>
    <row r="437" spans="1:25" x14ac:dyDescent="0.25">
      <c r="A437" t="s">
        <v>768</v>
      </c>
      <c r="B437">
        <v>0</v>
      </c>
      <c r="C437" t="s">
        <v>735</v>
      </c>
      <c r="D437" t="s">
        <v>736</v>
      </c>
      <c r="E437" t="s">
        <v>179</v>
      </c>
      <c r="F437" t="s">
        <v>737</v>
      </c>
      <c r="G437" t="s">
        <v>84</v>
      </c>
      <c r="H437" t="s">
        <v>98</v>
      </c>
      <c r="I437" t="s">
        <v>780</v>
      </c>
      <c r="J437" t="s">
        <v>781</v>
      </c>
      <c r="K437" t="s">
        <v>82</v>
      </c>
      <c r="L437">
        <v>34500</v>
      </c>
      <c r="M437" t="s">
        <v>83</v>
      </c>
      <c r="Q437">
        <v>1</v>
      </c>
      <c r="R437">
        <v>1</v>
      </c>
      <c r="U437">
        <v>0</v>
      </c>
      <c r="V437">
        <v>0</v>
      </c>
      <c r="W437">
        <v>39187.5</v>
      </c>
    </row>
    <row r="438" spans="1:25" x14ac:dyDescent="0.25">
      <c r="A438" t="s">
        <v>768</v>
      </c>
      <c r="B438">
        <v>1</v>
      </c>
      <c r="C438" t="s">
        <v>735</v>
      </c>
      <c r="D438" t="s">
        <v>736</v>
      </c>
      <c r="E438" t="s">
        <v>179</v>
      </c>
      <c r="F438" t="s">
        <v>737</v>
      </c>
      <c r="G438" t="s">
        <v>158</v>
      </c>
      <c r="H438" t="s">
        <v>98</v>
      </c>
      <c r="I438" t="s">
        <v>782</v>
      </c>
      <c r="J438" t="s">
        <v>783</v>
      </c>
      <c r="K438" t="s">
        <v>82</v>
      </c>
      <c r="L438">
        <v>35150</v>
      </c>
      <c r="M438" t="s">
        <v>83</v>
      </c>
      <c r="N438">
        <v>39187.5</v>
      </c>
      <c r="Q438">
        <v>1</v>
      </c>
      <c r="S438">
        <v>1</v>
      </c>
      <c r="U438">
        <v>0</v>
      </c>
      <c r="V438">
        <v>0</v>
      </c>
      <c r="W438">
        <v>39187.5</v>
      </c>
      <c r="X438">
        <v>35150</v>
      </c>
      <c r="Y438">
        <v>35150</v>
      </c>
    </row>
    <row r="439" spans="1:25" x14ac:dyDescent="0.25">
      <c r="A439" t="s">
        <v>768</v>
      </c>
      <c r="B439">
        <v>0</v>
      </c>
      <c r="C439" t="s">
        <v>735</v>
      </c>
      <c r="D439" t="s">
        <v>736</v>
      </c>
      <c r="E439" t="s">
        <v>179</v>
      </c>
      <c r="F439" t="s">
        <v>737</v>
      </c>
      <c r="G439" t="s">
        <v>84</v>
      </c>
      <c r="H439" t="s">
        <v>98</v>
      </c>
      <c r="I439" t="s">
        <v>784</v>
      </c>
      <c r="J439" t="s">
        <v>785</v>
      </c>
      <c r="K439" t="s">
        <v>82</v>
      </c>
      <c r="L439">
        <v>43550</v>
      </c>
      <c r="M439" t="s">
        <v>83</v>
      </c>
      <c r="U439">
        <v>0</v>
      </c>
      <c r="V439">
        <v>0</v>
      </c>
      <c r="W439">
        <v>39187.5</v>
      </c>
    </row>
    <row r="440" spans="1:25" x14ac:dyDescent="0.25">
      <c r="A440" t="s">
        <v>768</v>
      </c>
      <c r="B440">
        <v>0</v>
      </c>
      <c r="C440" t="s">
        <v>735</v>
      </c>
      <c r="D440" t="s">
        <v>736</v>
      </c>
      <c r="E440" t="s">
        <v>179</v>
      </c>
      <c r="F440" t="s">
        <v>737</v>
      </c>
      <c r="G440" t="s">
        <v>84</v>
      </c>
      <c r="H440" t="s">
        <v>98</v>
      </c>
      <c r="I440" t="s">
        <v>784</v>
      </c>
      <c r="J440" t="s">
        <v>785</v>
      </c>
      <c r="K440" t="s">
        <v>82</v>
      </c>
      <c r="L440">
        <v>43550</v>
      </c>
      <c r="M440" t="s">
        <v>83</v>
      </c>
      <c r="U440">
        <v>0</v>
      </c>
      <c r="V440">
        <v>0</v>
      </c>
      <c r="W440">
        <v>39187.5</v>
      </c>
    </row>
    <row r="441" spans="1:25" x14ac:dyDescent="0.25">
      <c r="A441" t="s">
        <v>768</v>
      </c>
      <c r="B441">
        <v>1</v>
      </c>
      <c r="C441" t="s">
        <v>735</v>
      </c>
      <c r="D441" t="s">
        <v>736</v>
      </c>
      <c r="E441" t="s">
        <v>179</v>
      </c>
      <c r="F441" t="s">
        <v>737</v>
      </c>
      <c r="G441" t="s">
        <v>163</v>
      </c>
      <c r="H441" t="s">
        <v>87</v>
      </c>
      <c r="I441" t="s">
        <v>768</v>
      </c>
      <c r="J441" t="s">
        <v>786</v>
      </c>
      <c r="K441" t="s">
        <v>82</v>
      </c>
      <c r="L441">
        <v>131994.79999999999</v>
      </c>
      <c r="M441" t="s">
        <v>83</v>
      </c>
      <c r="N441">
        <v>92026.783330000006</v>
      </c>
      <c r="T441">
        <v>1</v>
      </c>
      <c r="U441">
        <v>0</v>
      </c>
      <c r="V441">
        <v>0</v>
      </c>
      <c r="W441">
        <v>92026.783334999986</v>
      </c>
      <c r="X441">
        <v>131994.79999999999</v>
      </c>
      <c r="Y441">
        <v>131994.79999999999</v>
      </c>
    </row>
    <row r="442" spans="1:25" x14ac:dyDescent="0.25">
      <c r="A442" t="s">
        <v>768</v>
      </c>
      <c r="B442">
        <v>0</v>
      </c>
      <c r="C442" t="s">
        <v>735</v>
      </c>
      <c r="D442" t="s">
        <v>736</v>
      </c>
      <c r="E442" t="s">
        <v>179</v>
      </c>
      <c r="F442" t="s">
        <v>737</v>
      </c>
      <c r="G442" t="s">
        <v>84</v>
      </c>
      <c r="H442" t="s">
        <v>87</v>
      </c>
      <c r="I442" t="s">
        <v>772</v>
      </c>
      <c r="J442" t="s">
        <v>787</v>
      </c>
      <c r="K442" t="s">
        <v>82</v>
      </c>
      <c r="L442">
        <v>52058.766669999997</v>
      </c>
      <c r="M442" t="s">
        <v>83</v>
      </c>
      <c r="S442">
        <v>1</v>
      </c>
      <c r="T442">
        <v>1</v>
      </c>
      <c r="U442">
        <v>0</v>
      </c>
      <c r="V442">
        <v>0</v>
      </c>
      <c r="W442">
        <v>92026.783334999986</v>
      </c>
    </row>
    <row r="443" spans="1:25" x14ac:dyDescent="0.25">
      <c r="A443" t="s">
        <v>768</v>
      </c>
      <c r="B443">
        <v>0</v>
      </c>
      <c r="C443" t="s">
        <v>735</v>
      </c>
      <c r="D443" t="s">
        <v>736</v>
      </c>
      <c r="E443" t="s">
        <v>179</v>
      </c>
      <c r="F443" t="s">
        <v>737</v>
      </c>
      <c r="G443" t="s">
        <v>84</v>
      </c>
      <c r="H443" t="s">
        <v>80</v>
      </c>
      <c r="I443" t="s">
        <v>768</v>
      </c>
      <c r="J443" t="s">
        <v>788</v>
      </c>
      <c r="K443" t="s">
        <v>82</v>
      </c>
      <c r="L443">
        <v>814542.45</v>
      </c>
      <c r="M443" t="s">
        <v>83</v>
      </c>
      <c r="U443">
        <v>0</v>
      </c>
      <c r="V443">
        <v>0</v>
      </c>
      <c r="W443">
        <v>865895.91999999993</v>
      </c>
    </row>
    <row r="444" spans="1:25" x14ac:dyDescent="0.25">
      <c r="A444" t="s">
        <v>768</v>
      </c>
      <c r="B444">
        <v>1</v>
      </c>
      <c r="C444" t="s">
        <v>735</v>
      </c>
      <c r="D444" t="s">
        <v>736</v>
      </c>
      <c r="E444" t="s">
        <v>179</v>
      </c>
      <c r="F444" t="s">
        <v>737</v>
      </c>
      <c r="G444" t="s">
        <v>79</v>
      </c>
      <c r="H444" t="s">
        <v>80</v>
      </c>
      <c r="I444" t="s">
        <v>772</v>
      </c>
      <c r="J444" t="s">
        <v>789</v>
      </c>
      <c r="K444" t="s">
        <v>82</v>
      </c>
      <c r="L444">
        <v>917249.39</v>
      </c>
      <c r="M444" t="s">
        <v>83</v>
      </c>
      <c r="N444">
        <v>865895.92</v>
      </c>
      <c r="P444">
        <v>1</v>
      </c>
      <c r="U444">
        <v>0</v>
      </c>
      <c r="V444">
        <v>0</v>
      </c>
      <c r="W444">
        <v>865895.91999999993</v>
      </c>
      <c r="X444">
        <v>917249.39</v>
      </c>
      <c r="Y444">
        <v>917249.39</v>
      </c>
    </row>
    <row r="445" spans="1:25" x14ac:dyDescent="0.25">
      <c r="A445" t="s">
        <v>768</v>
      </c>
      <c r="B445">
        <v>0</v>
      </c>
      <c r="C445" t="s">
        <v>735</v>
      </c>
      <c r="D445" t="s">
        <v>736</v>
      </c>
      <c r="E445" t="s">
        <v>179</v>
      </c>
      <c r="F445" t="s">
        <v>737</v>
      </c>
      <c r="G445" t="s">
        <v>84</v>
      </c>
      <c r="H445" t="s">
        <v>106</v>
      </c>
      <c r="I445" t="s">
        <v>768</v>
      </c>
      <c r="J445" t="s">
        <v>790</v>
      </c>
      <c r="K445" t="s">
        <v>82</v>
      </c>
      <c r="L445">
        <v>9334.8374999999996</v>
      </c>
      <c r="M445" t="s">
        <v>83</v>
      </c>
      <c r="U445">
        <v>0</v>
      </c>
      <c r="V445">
        <v>0</v>
      </c>
      <c r="W445">
        <v>8224.11</v>
      </c>
    </row>
    <row r="446" spans="1:25" x14ac:dyDescent="0.25">
      <c r="A446" t="s">
        <v>768</v>
      </c>
      <c r="B446">
        <v>1</v>
      </c>
      <c r="C446" t="s">
        <v>735</v>
      </c>
      <c r="D446" t="s">
        <v>736</v>
      </c>
      <c r="E446" t="s">
        <v>179</v>
      </c>
      <c r="F446" t="s">
        <v>737</v>
      </c>
      <c r="G446" t="s">
        <v>79</v>
      </c>
      <c r="H446" t="s">
        <v>106</v>
      </c>
      <c r="I446" t="s">
        <v>772</v>
      </c>
      <c r="J446" t="s">
        <v>791</v>
      </c>
      <c r="K446" t="s">
        <v>82</v>
      </c>
      <c r="L446">
        <v>7113.3824999999997</v>
      </c>
      <c r="M446" t="s">
        <v>83</v>
      </c>
      <c r="N446">
        <v>8224.11</v>
      </c>
      <c r="P446">
        <v>1</v>
      </c>
      <c r="U446">
        <v>0</v>
      </c>
      <c r="V446">
        <v>0</v>
      </c>
      <c r="W446">
        <v>8224.11</v>
      </c>
      <c r="X446">
        <v>7113.3824999999997</v>
      </c>
      <c r="Y446">
        <v>7113.3824999999997</v>
      </c>
    </row>
    <row r="447" spans="1:25" x14ac:dyDescent="0.25">
      <c r="A447" t="s">
        <v>768</v>
      </c>
      <c r="B447">
        <v>0</v>
      </c>
      <c r="C447" t="s">
        <v>735</v>
      </c>
      <c r="D447" t="s">
        <v>736</v>
      </c>
      <c r="E447" t="s">
        <v>179</v>
      </c>
      <c r="F447" t="s">
        <v>737</v>
      </c>
      <c r="G447" t="s">
        <v>84</v>
      </c>
      <c r="H447" t="s">
        <v>110</v>
      </c>
      <c r="I447" t="s">
        <v>768</v>
      </c>
      <c r="J447" t="s">
        <v>792</v>
      </c>
      <c r="K447" t="s">
        <v>82</v>
      </c>
      <c r="L447">
        <v>13335</v>
      </c>
      <c r="M447" t="s">
        <v>83</v>
      </c>
      <c r="U447">
        <v>0</v>
      </c>
      <c r="V447">
        <v>0</v>
      </c>
      <c r="W447">
        <v>17917.5</v>
      </c>
    </row>
    <row r="448" spans="1:25" x14ac:dyDescent="0.25">
      <c r="A448" t="s">
        <v>768</v>
      </c>
      <c r="B448">
        <v>1</v>
      </c>
      <c r="C448" t="s">
        <v>735</v>
      </c>
      <c r="D448" t="s">
        <v>736</v>
      </c>
      <c r="E448" t="s">
        <v>179</v>
      </c>
      <c r="F448" t="s">
        <v>737</v>
      </c>
      <c r="G448" t="s">
        <v>79</v>
      </c>
      <c r="H448" t="s">
        <v>110</v>
      </c>
      <c r="I448" t="s">
        <v>772</v>
      </c>
      <c r="J448" t="s">
        <v>793</v>
      </c>
      <c r="K448" t="s">
        <v>82</v>
      </c>
      <c r="L448">
        <v>22500</v>
      </c>
      <c r="M448" t="s">
        <v>83</v>
      </c>
      <c r="N448">
        <v>17917.5</v>
      </c>
      <c r="P448">
        <v>1</v>
      </c>
      <c r="U448">
        <v>0</v>
      </c>
      <c r="V448">
        <v>0</v>
      </c>
      <c r="W448">
        <v>17917.5</v>
      </c>
      <c r="X448">
        <v>22500</v>
      </c>
      <c r="Y448">
        <v>22500</v>
      </c>
    </row>
    <row r="449" spans="1:25" x14ac:dyDescent="0.25">
      <c r="A449" t="s">
        <v>768</v>
      </c>
      <c r="B449">
        <v>1</v>
      </c>
      <c r="C449" t="s">
        <v>735</v>
      </c>
      <c r="D449" t="s">
        <v>736</v>
      </c>
      <c r="E449" t="s">
        <v>179</v>
      </c>
      <c r="F449" t="s">
        <v>737</v>
      </c>
      <c r="G449" t="s">
        <v>700</v>
      </c>
      <c r="H449" t="s">
        <v>114</v>
      </c>
      <c r="I449" t="s">
        <v>768</v>
      </c>
      <c r="J449" t="s">
        <v>794</v>
      </c>
      <c r="K449" t="s">
        <v>82</v>
      </c>
      <c r="L449">
        <v>46350</v>
      </c>
      <c r="M449" t="s">
        <v>83</v>
      </c>
      <c r="N449">
        <v>46475</v>
      </c>
      <c r="S449">
        <v>1</v>
      </c>
      <c r="U449">
        <v>0</v>
      </c>
      <c r="V449">
        <v>0</v>
      </c>
      <c r="W449">
        <v>46475</v>
      </c>
      <c r="X449">
        <v>46350</v>
      </c>
      <c r="Y449">
        <v>46350</v>
      </c>
    </row>
    <row r="450" spans="1:25" x14ac:dyDescent="0.25">
      <c r="A450" t="s">
        <v>768</v>
      </c>
      <c r="B450">
        <v>0</v>
      </c>
      <c r="C450" t="s">
        <v>735</v>
      </c>
      <c r="D450" t="s">
        <v>736</v>
      </c>
      <c r="E450" t="s">
        <v>179</v>
      </c>
      <c r="F450" t="s">
        <v>737</v>
      </c>
      <c r="G450" t="s">
        <v>84</v>
      </c>
      <c r="H450" t="s">
        <v>114</v>
      </c>
      <c r="I450" t="s">
        <v>775</v>
      </c>
      <c r="J450" t="s">
        <v>795</v>
      </c>
      <c r="K450" t="s">
        <v>82</v>
      </c>
      <c r="L450">
        <v>46600</v>
      </c>
      <c r="M450" t="s">
        <v>83</v>
      </c>
      <c r="O450">
        <v>1</v>
      </c>
      <c r="U450">
        <v>46600</v>
      </c>
      <c r="V450">
        <v>0</v>
      </c>
      <c r="W450">
        <v>46475</v>
      </c>
    </row>
    <row r="451" spans="1:25" x14ac:dyDescent="0.25">
      <c r="A451" t="s">
        <v>796</v>
      </c>
      <c r="B451">
        <v>0</v>
      </c>
      <c r="C451" t="s">
        <v>797</v>
      </c>
      <c r="D451" t="s">
        <v>798</v>
      </c>
      <c r="E451" t="s">
        <v>260</v>
      </c>
      <c r="F451" t="s">
        <v>799</v>
      </c>
      <c r="G451" t="s">
        <v>84</v>
      </c>
      <c r="H451" t="s">
        <v>92</v>
      </c>
      <c r="I451" t="s">
        <v>800</v>
      </c>
      <c r="J451" t="s">
        <v>801</v>
      </c>
      <c r="K451" t="s">
        <v>82</v>
      </c>
      <c r="L451">
        <v>27510</v>
      </c>
      <c r="M451" t="s">
        <v>83</v>
      </c>
      <c r="U451">
        <v>0</v>
      </c>
      <c r="V451">
        <v>0</v>
      </c>
      <c r="W451">
        <v>28400</v>
      </c>
    </row>
    <row r="452" spans="1:25" x14ac:dyDescent="0.25">
      <c r="A452" t="s">
        <v>796</v>
      </c>
      <c r="B452">
        <v>1</v>
      </c>
      <c r="C452" t="s">
        <v>797</v>
      </c>
      <c r="D452" t="s">
        <v>798</v>
      </c>
      <c r="E452" t="s">
        <v>260</v>
      </c>
      <c r="F452" t="s">
        <v>799</v>
      </c>
      <c r="G452" t="s">
        <v>181</v>
      </c>
      <c r="H452" t="s">
        <v>92</v>
      </c>
      <c r="I452" t="s">
        <v>181</v>
      </c>
      <c r="J452" t="s">
        <v>181</v>
      </c>
      <c r="K452" t="s">
        <v>82</v>
      </c>
      <c r="L452">
        <v>29290</v>
      </c>
      <c r="M452" t="s">
        <v>83</v>
      </c>
      <c r="N452">
        <v>28400</v>
      </c>
      <c r="U452">
        <v>0</v>
      </c>
      <c r="V452">
        <v>0</v>
      </c>
      <c r="W452">
        <v>28400</v>
      </c>
      <c r="X452">
        <v>29290</v>
      </c>
      <c r="Y452">
        <v>29290</v>
      </c>
    </row>
    <row r="453" spans="1:25" x14ac:dyDescent="0.25">
      <c r="A453" t="s">
        <v>796</v>
      </c>
      <c r="B453">
        <v>0</v>
      </c>
      <c r="C453" t="s">
        <v>797</v>
      </c>
      <c r="D453" t="s">
        <v>798</v>
      </c>
      <c r="E453" t="s">
        <v>260</v>
      </c>
      <c r="F453" t="s">
        <v>799</v>
      </c>
      <c r="G453" t="s">
        <v>84</v>
      </c>
      <c r="H453" t="s">
        <v>151</v>
      </c>
      <c r="I453" t="s">
        <v>802</v>
      </c>
      <c r="J453" t="s">
        <v>803</v>
      </c>
      <c r="K453" t="s">
        <v>82</v>
      </c>
      <c r="L453">
        <v>118137.5</v>
      </c>
      <c r="M453" t="s">
        <v>83</v>
      </c>
      <c r="S453">
        <v>1</v>
      </c>
      <c r="U453">
        <v>0</v>
      </c>
      <c r="V453">
        <v>0</v>
      </c>
      <c r="W453">
        <v>98628.833333333328</v>
      </c>
    </row>
    <row r="454" spans="1:25" x14ac:dyDescent="0.25">
      <c r="A454" t="s">
        <v>796</v>
      </c>
      <c r="B454">
        <v>0</v>
      </c>
      <c r="C454" t="s">
        <v>797</v>
      </c>
      <c r="D454" t="s">
        <v>798</v>
      </c>
      <c r="E454" t="s">
        <v>260</v>
      </c>
      <c r="F454" t="s">
        <v>799</v>
      </c>
      <c r="G454" t="s">
        <v>84</v>
      </c>
      <c r="H454" t="s">
        <v>151</v>
      </c>
      <c r="I454" t="s">
        <v>796</v>
      </c>
      <c r="J454" t="s">
        <v>804</v>
      </c>
      <c r="K454" t="s">
        <v>82</v>
      </c>
      <c r="L454">
        <v>75952.5</v>
      </c>
      <c r="M454" t="s">
        <v>83</v>
      </c>
      <c r="U454">
        <v>0</v>
      </c>
      <c r="V454">
        <v>0</v>
      </c>
      <c r="W454">
        <v>98628.833333333328</v>
      </c>
    </row>
    <row r="455" spans="1:25" x14ac:dyDescent="0.25">
      <c r="A455" t="s">
        <v>796</v>
      </c>
      <c r="B455">
        <v>1</v>
      </c>
      <c r="C455" t="s">
        <v>797</v>
      </c>
      <c r="D455" t="s">
        <v>798</v>
      </c>
      <c r="E455" t="s">
        <v>260</v>
      </c>
      <c r="F455" t="s">
        <v>799</v>
      </c>
      <c r="G455" t="s">
        <v>805</v>
      </c>
      <c r="H455" t="s">
        <v>151</v>
      </c>
      <c r="I455" t="s">
        <v>806</v>
      </c>
      <c r="J455" t="s">
        <v>807</v>
      </c>
      <c r="K455" t="s">
        <v>82</v>
      </c>
      <c r="L455">
        <v>101796.5</v>
      </c>
      <c r="M455" t="s">
        <v>83</v>
      </c>
      <c r="N455">
        <v>98628.833329999994</v>
      </c>
      <c r="U455">
        <v>0</v>
      </c>
      <c r="V455">
        <v>0</v>
      </c>
      <c r="W455">
        <v>98628.833333333328</v>
      </c>
      <c r="X455">
        <v>101796.5</v>
      </c>
      <c r="Y455">
        <v>101796.5</v>
      </c>
    </row>
    <row r="456" spans="1:25" x14ac:dyDescent="0.25">
      <c r="A456" t="s">
        <v>796</v>
      </c>
      <c r="B456">
        <v>0</v>
      </c>
      <c r="C456" t="s">
        <v>797</v>
      </c>
      <c r="D456" t="s">
        <v>798</v>
      </c>
      <c r="E456" t="s">
        <v>260</v>
      </c>
      <c r="F456" t="s">
        <v>799</v>
      </c>
      <c r="G456" t="s">
        <v>84</v>
      </c>
      <c r="H456" t="s">
        <v>98</v>
      </c>
      <c r="I456" t="s">
        <v>808</v>
      </c>
      <c r="J456" t="s">
        <v>809</v>
      </c>
      <c r="K456" t="s">
        <v>82</v>
      </c>
      <c r="L456">
        <v>31800</v>
      </c>
      <c r="M456" t="s">
        <v>83</v>
      </c>
      <c r="U456">
        <v>0</v>
      </c>
      <c r="V456">
        <v>0</v>
      </c>
      <c r="W456">
        <v>38150</v>
      </c>
    </row>
    <row r="457" spans="1:25" x14ac:dyDescent="0.25">
      <c r="A457" t="s">
        <v>796</v>
      </c>
      <c r="B457">
        <v>0</v>
      </c>
      <c r="C457" t="s">
        <v>797</v>
      </c>
      <c r="D457" t="s">
        <v>798</v>
      </c>
      <c r="E457" t="s">
        <v>260</v>
      </c>
      <c r="F457" t="s">
        <v>799</v>
      </c>
      <c r="G457" t="s">
        <v>84</v>
      </c>
      <c r="H457" t="s">
        <v>98</v>
      </c>
      <c r="I457" t="s">
        <v>810</v>
      </c>
      <c r="J457" t="s">
        <v>811</v>
      </c>
      <c r="K457" t="s">
        <v>82</v>
      </c>
      <c r="L457">
        <v>17250</v>
      </c>
      <c r="M457" t="s">
        <v>83</v>
      </c>
      <c r="S457">
        <v>1</v>
      </c>
      <c r="U457">
        <v>0</v>
      </c>
      <c r="V457">
        <v>0</v>
      </c>
      <c r="W457">
        <v>38150</v>
      </c>
    </row>
    <row r="458" spans="1:25" x14ac:dyDescent="0.25">
      <c r="A458" t="s">
        <v>796</v>
      </c>
      <c r="B458">
        <v>1</v>
      </c>
      <c r="C458" t="s">
        <v>797</v>
      </c>
      <c r="D458" t="s">
        <v>798</v>
      </c>
      <c r="E458" t="s">
        <v>260</v>
      </c>
      <c r="F458" t="s">
        <v>799</v>
      </c>
      <c r="G458" t="s">
        <v>103</v>
      </c>
      <c r="H458" t="s">
        <v>98</v>
      </c>
      <c r="I458" t="s">
        <v>812</v>
      </c>
      <c r="J458" t="s">
        <v>813</v>
      </c>
      <c r="K458" t="s">
        <v>82</v>
      </c>
      <c r="L458">
        <v>65400</v>
      </c>
      <c r="M458" t="s">
        <v>83</v>
      </c>
      <c r="N458">
        <v>38150</v>
      </c>
      <c r="R458">
        <v>1</v>
      </c>
      <c r="T458">
        <v>1</v>
      </c>
      <c r="U458">
        <v>0</v>
      </c>
      <c r="V458">
        <v>0</v>
      </c>
      <c r="W458">
        <v>38150</v>
      </c>
      <c r="X458">
        <v>65400</v>
      </c>
      <c r="Y458">
        <v>65400</v>
      </c>
    </row>
    <row r="459" spans="1:25" x14ac:dyDescent="0.25">
      <c r="A459" t="s">
        <v>796</v>
      </c>
      <c r="B459">
        <v>0</v>
      </c>
      <c r="C459" t="s">
        <v>797</v>
      </c>
      <c r="D459" t="s">
        <v>798</v>
      </c>
      <c r="E459" t="s">
        <v>260</v>
      </c>
      <c r="F459" t="s">
        <v>799</v>
      </c>
      <c r="G459" t="s">
        <v>84</v>
      </c>
      <c r="H459" t="s">
        <v>87</v>
      </c>
      <c r="I459" t="s">
        <v>796</v>
      </c>
      <c r="J459" t="s">
        <v>814</v>
      </c>
      <c r="K459" t="s">
        <v>82</v>
      </c>
      <c r="L459">
        <v>160661.6667</v>
      </c>
      <c r="M459" t="s">
        <v>83</v>
      </c>
      <c r="R459">
        <v>1</v>
      </c>
      <c r="U459">
        <v>0</v>
      </c>
      <c r="V459">
        <v>0</v>
      </c>
      <c r="W459">
        <v>127133.82501</v>
      </c>
    </row>
    <row r="460" spans="1:25" x14ac:dyDescent="0.25">
      <c r="A460" t="s">
        <v>796</v>
      </c>
      <c r="B460">
        <v>0</v>
      </c>
      <c r="C460" t="s">
        <v>797</v>
      </c>
      <c r="D460" t="s">
        <v>798</v>
      </c>
      <c r="E460" t="s">
        <v>260</v>
      </c>
      <c r="F460" t="s">
        <v>799</v>
      </c>
      <c r="G460" t="s">
        <v>84</v>
      </c>
      <c r="H460" t="s">
        <v>87</v>
      </c>
      <c r="I460" t="s">
        <v>796</v>
      </c>
      <c r="J460" t="s">
        <v>815</v>
      </c>
      <c r="K460" t="s">
        <v>82</v>
      </c>
      <c r="L460">
        <v>124164.6</v>
      </c>
      <c r="M460" t="s">
        <v>83</v>
      </c>
      <c r="T460">
        <v>1</v>
      </c>
      <c r="U460">
        <v>0</v>
      </c>
      <c r="V460">
        <v>0</v>
      </c>
      <c r="W460">
        <v>127133.82501</v>
      </c>
    </row>
    <row r="461" spans="1:25" x14ac:dyDescent="0.25">
      <c r="A461" t="s">
        <v>796</v>
      </c>
      <c r="B461">
        <v>1</v>
      </c>
      <c r="C461" t="s">
        <v>797</v>
      </c>
      <c r="D461" t="s">
        <v>798</v>
      </c>
      <c r="E461" t="s">
        <v>260</v>
      </c>
      <c r="F461" t="s">
        <v>799</v>
      </c>
      <c r="G461" t="s">
        <v>316</v>
      </c>
      <c r="H461" t="s">
        <v>87</v>
      </c>
      <c r="I461" t="s">
        <v>796</v>
      </c>
      <c r="J461" t="s">
        <v>816</v>
      </c>
      <c r="K461" t="s">
        <v>82</v>
      </c>
      <c r="L461">
        <v>96575.208329999994</v>
      </c>
      <c r="M461" t="s">
        <v>83</v>
      </c>
      <c r="N461">
        <v>127133.825</v>
      </c>
      <c r="U461">
        <v>0</v>
      </c>
      <c r="V461">
        <v>0</v>
      </c>
      <c r="W461">
        <v>127133.82501</v>
      </c>
      <c r="X461">
        <v>96575.208329999994</v>
      </c>
      <c r="Y461">
        <v>96575.208329999994</v>
      </c>
    </row>
    <row r="462" spans="1:25" x14ac:dyDescent="0.25">
      <c r="A462" t="s">
        <v>796</v>
      </c>
      <c r="B462">
        <v>0</v>
      </c>
      <c r="C462" t="s">
        <v>797</v>
      </c>
      <c r="D462" t="s">
        <v>798</v>
      </c>
      <c r="E462" t="s">
        <v>260</v>
      </c>
      <c r="F462" t="s">
        <v>799</v>
      </c>
      <c r="G462" t="s">
        <v>84</v>
      </c>
      <c r="H462" t="s">
        <v>110</v>
      </c>
      <c r="I462" t="s">
        <v>796</v>
      </c>
      <c r="J462" t="s">
        <v>817</v>
      </c>
      <c r="K462" t="s">
        <v>82</v>
      </c>
      <c r="L462">
        <v>16380</v>
      </c>
      <c r="M462" t="s">
        <v>83</v>
      </c>
      <c r="P462">
        <v>1</v>
      </c>
      <c r="U462">
        <v>0</v>
      </c>
      <c r="V462">
        <v>0</v>
      </c>
      <c r="W462">
        <v>12223</v>
      </c>
    </row>
    <row r="463" spans="1:25" x14ac:dyDescent="0.25">
      <c r="A463" t="s">
        <v>796</v>
      </c>
      <c r="B463">
        <v>1</v>
      </c>
      <c r="C463" t="s">
        <v>797</v>
      </c>
      <c r="D463" t="s">
        <v>798</v>
      </c>
      <c r="E463" t="s">
        <v>260</v>
      </c>
      <c r="F463" t="s">
        <v>799</v>
      </c>
      <c r="G463" t="s">
        <v>680</v>
      </c>
      <c r="H463" t="s">
        <v>110</v>
      </c>
      <c r="I463" t="s">
        <v>796</v>
      </c>
      <c r="J463" t="s">
        <v>818</v>
      </c>
      <c r="K463" t="s">
        <v>82</v>
      </c>
      <c r="L463">
        <v>9625</v>
      </c>
      <c r="M463" t="s">
        <v>83</v>
      </c>
      <c r="N463">
        <v>12223</v>
      </c>
      <c r="U463">
        <v>0</v>
      </c>
      <c r="V463">
        <v>0</v>
      </c>
      <c r="W463">
        <v>12223</v>
      </c>
      <c r="X463">
        <v>9625</v>
      </c>
      <c r="Y463">
        <v>9625</v>
      </c>
    </row>
    <row r="464" spans="1:25" x14ac:dyDescent="0.25">
      <c r="A464" t="s">
        <v>796</v>
      </c>
      <c r="B464">
        <v>0</v>
      </c>
      <c r="C464" t="s">
        <v>797</v>
      </c>
      <c r="D464" t="s">
        <v>798</v>
      </c>
      <c r="E464" t="s">
        <v>260</v>
      </c>
      <c r="F464" t="s">
        <v>799</v>
      </c>
      <c r="G464" t="s">
        <v>84</v>
      </c>
      <c r="H464" t="s">
        <v>110</v>
      </c>
      <c r="I464" t="s">
        <v>796</v>
      </c>
      <c r="J464" t="s">
        <v>819</v>
      </c>
      <c r="K464" t="s">
        <v>82</v>
      </c>
      <c r="L464">
        <v>10664</v>
      </c>
      <c r="M464" t="s">
        <v>83</v>
      </c>
      <c r="U464">
        <v>0</v>
      </c>
      <c r="V464">
        <v>0</v>
      </c>
      <c r="W464">
        <v>12223</v>
      </c>
    </row>
    <row r="465" spans="1:25" x14ac:dyDescent="0.25">
      <c r="A465" t="s">
        <v>796</v>
      </c>
      <c r="B465">
        <v>0</v>
      </c>
      <c r="C465" t="s">
        <v>797</v>
      </c>
      <c r="D465" t="s">
        <v>798</v>
      </c>
      <c r="E465" t="s">
        <v>260</v>
      </c>
      <c r="F465" t="s">
        <v>799</v>
      </c>
      <c r="G465" t="s">
        <v>84</v>
      </c>
      <c r="H465" t="s">
        <v>106</v>
      </c>
      <c r="I465" t="s">
        <v>796</v>
      </c>
      <c r="J465" t="s">
        <v>820</v>
      </c>
      <c r="K465" t="s">
        <v>82</v>
      </c>
      <c r="L465">
        <v>12036.82</v>
      </c>
      <c r="M465" t="s">
        <v>83</v>
      </c>
      <c r="P465">
        <v>1</v>
      </c>
      <c r="U465">
        <v>0</v>
      </c>
      <c r="V465">
        <v>0</v>
      </c>
      <c r="W465">
        <v>11025.874166666666</v>
      </c>
    </row>
    <row r="466" spans="1:25" x14ac:dyDescent="0.25">
      <c r="A466" t="s">
        <v>796</v>
      </c>
      <c r="B466">
        <v>1</v>
      </c>
      <c r="C466" t="s">
        <v>797</v>
      </c>
      <c r="D466" t="s">
        <v>798</v>
      </c>
      <c r="E466" t="s">
        <v>260</v>
      </c>
      <c r="F466" t="s">
        <v>799</v>
      </c>
      <c r="G466" t="s">
        <v>680</v>
      </c>
      <c r="H466" t="s">
        <v>106</v>
      </c>
      <c r="I466" t="s">
        <v>796</v>
      </c>
      <c r="J466" t="s">
        <v>821</v>
      </c>
      <c r="K466" t="s">
        <v>82</v>
      </c>
      <c r="L466">
        <v>11824.127500000001</v>
      </c>
      <c r="M466" t="s">
        <v>83</v>
      </c>
      <c r="N466">
        <v>11025.874169999999</v>
      </c>
      <c r="U466">
        <v>0</v>
      </c>
      <c r="V466">
        <v>0</v>
      </c>
      <c r="W466">
        <v>11025.874166666666</v>
      </c>
      <c r="X466">
        <v>11824.127500000001</v>
      </c>
      <c r="Y466">
        <v>11824.127500000001</v>
      </c>
    </row>
    <row r="467" spans="1:25" x14ac:dyDescent="0.25">
      <c r="A467" t="s">
        <v>796</v>
      </c>
      <c r="B467">
        <v>0</v>
      </c>
      <c r="C467" t="s">
        <v>797</v>
      </c>
      <c r="D467" t="s">
        <v>798</v>
      </c>
      <c r="E467" t="s">
        <v>260</v>
      </c>
      <c r="F467" t="s">
        <v>799</v>
      </c>
      <c r="G467" t="s">
        <v>84</v>
      </c>
      <c r="H467" t="s">
        <v>106</v>
      </c>
      <c r="I467" t="s">
        <v>796</v>
      </c>
      <c r="J467" t="s">
        <v>822</v>
      </c>
      <c r="K467" t="s">
        <v>82</v>
      </c>
      <c r="L467">
        <v>9216.6749999999993</v>
      </c>
      <c r="M467" t="s">
        <v>83</v>
      </c>
      <c r="U467">
        <v>0</v>
      </c>
      <c r="V467">
        <v>0</v>
      </c>
      <c r="W467">
        <v>11025.874166666666</v>
      </c>
    </row>
    <row r="468" spans="1:25" x14ac:dyDescent="0.25">
      <c r="A468" t="s">
        <v>796</v>
      </c>
      <c r="B468">
        <v>0</v>
      </c>
      <c r="C468" t="s">
        <v>797</v>
      </c>
      <c r="D468" t="s">
        <v>798</v>
      </c>
      <c r="E468" t="s">
        <v>260</v>
      </c>
      <c r="F468" t="s">
        <v>799</v>
      </c>
      <c r="G468" t="s">
        <v>84</v>
      </c>
      <c r="H468" t="s">
        <v>80</v>
      </c>
      <c r="I468" t="s">
        <v>796</v>
      </c>
      <c r="J468" t="s">
        <v>823</v>
      </c>
      <c r="K468" t="s">
        <v>82</v>
      </c>
      <c r="L468">
        <v>727670.19180000003</v>
      </c>
      <c r="M468" t="s">
        <v>83</v>
      </c>
      <c r="P468">
        <v>1</v>
      </c>
      <c r="U468">
        <v>0</v>
      </c>
      <c r="V468">
        <v>0</v>
      </c>
      <c r="W468">
        <v>723920.4031</v>
      </c>
    </row>
    <row r="469" spans="1:25" x14ac:dyDescent="0.25">
      <c r="A469" t="s">
        <v>796</v>
      </c>
      <c r="B469">
        <v>1</v>
      </c>
      <c r="C469" t="s">
        <v>797</v>
      </c>
      <c r="D469" t="s">
        <v>798</v>
      </c>
      <c r="E469" t="s">
        <v>260</v>
      </c>
      <c r="F469" t="s">
        <v>799</v>
      </c>
      <c r="G469" t="s">
        <v>680</v>
      </c>
      <c r="H469" t="s">
        <v>80</v>
      </c>
      <c r="I469" t="s">
        <v>796</v>
      </c>
      <c r="J469" t="s">
        <v>824</v>
      </c>
      <c r="K469" t="s">
        <v>82</v>
      </c>
      <c r="L469">
        <v>798377.58</v>
      </c>
      <c r="M469" t="s">
        <v>83</v>
      </c>
      <c r="N469">
        <v>723920.4031</v>
      </c>
      <c r="U469">
        <v>0</v>
      </c>
      <c r="V469">
        <v>0</v>
      </c>
      <c r="W469">
        <v>723920.4031</v>
      </c>
      <c r="X469">
        <v>798377.58</v>
      </c>
      <c r="Y469">
        <v>798377.58</v>
      </c>
    </row>
    <row r="470" spans="1:25" x14ac:dyDescent="0.25">
      <c r="A470" t="s">
        <v>796</v>
      </c>
      <c r="B470">
        <v>0</v>
      </c>
      <c r="C470" t="s">
        <v>797</v>
      </c>
      <c r="D470" t="s">
        <v>798</v>
      </c>
      <c r="E470" t="s">
        <v>260</v>
      </c>
      <c r="F470" t="s">
        <v>799</v>
      </c>
      <c r="G470" t="s">
        <v>84</v>
      </c>
      <c r="H470" t="s">
        <v>80</v>
      </c>
      <c r="I470" t="s">
        <v>796</v>
      </c>
      <c r="J470" t="s">
        <v>825</v>
      </c>
      <c r="K470" t="s">
        <v>82</v>
      </c>
      <c r="L470">
        <v>645713.4375</v>
      </c>
      <c r="M470" t="s">
        <v>83</v>
      </c>
      <c r="U470">
        <v>0</v>
      </c>
      <c r="V470">
        <v>0</v>
      </c>
      <c r="W470">
        <v>723920.4031</v>
      </c>
    </row>
    <row r="471" spans="1:25" x14ac:dyDescent="0.25">
      <c r="A471" t="s">
        <v>826</v>
      </c>
      <c r="B471">
        <v>0</v>
      </c>
      <c r="C471" t="s">
        <v>797</v>
      </c>
      <c r="D471" t="s">
        <v>827</v>
      </c>
      <c r="E471" t="s">
        <v>260</v>
      </c>
      <c r="F471" t="s">
        <v>828</v>
      </c>
      <c r="G471" t="s">
        <v>84</v>
      </c>
      <c r="H471" t="s">
        <v>92</v>
      </c>
      <c r="I471" t="s">
        <v>543</v>
      </c>
      <c r="J471" t="s">
        <v>543</v>
      </c>
      <c r="K471" t="s">
        <v>82</v>
      </c>
      <c r="L471">
        <v>44140</v>
      </c>
      <c r="M471" t="s">
        <v>83</v>
      </c>
      <c r="P471">
        <v>1</v>
      </c>
      <c r="Q471">
        <v>1</v>
      </c>
      <c r="R471">
        <v>1</v>
      </c>
      <c r="S471">
        <v>1</v>
      </c>
      <c r="U471">
        <v>0</v>
      </c>
      <c r="V471">
        <v>0</v>
      </c>
      <c r="W471">
        <v>33080</v>
      </c>
    </row>
    <row r="472" spans="1:25" x14ac:dyDescent="0.25">
      <c r="A472" t="s">
        <v>826</v>
      </c>
      <c r="B472">
        <v>1</v>
      </c>
      <c r="C472" t="s">
        <v>797</v>
      </c>
      <c r="D472" t="s">
        <v>827</v>
      </c>
      <c r="E472" t="s">
        <v>260</v>
      </c>
      <c r="F472" t="s">
        <v>828</v>
      </c>
      <c r="G472" t="s">
        <v>301</v>
      </c>
      <c r="H472" t="s">
        <v>92</v>
      </c>
      <c r="I472" t="s">
        <v>829</v>
      </c>
      <c r="J472" t="s">
        <v>303</v>
      </c>
      <c r="K472" t="s">
        <v>82</v>
      </c>
      <c r="L472">
        <v>36360</v>
      </c>
      <c r="M472" t="s">
        <v>83</v>
      </c>
      <c r="N472">
        <v>33080</v>
      </c>
      <c r="U472">
        <v>0</v>
      </c>
      <c r="V472">
        <v>0</v>
      </c>
      <c r="W472">
        <v>33080</v>
      </c>
      <c r="X472">
        <v>36360</v>
      </c>
      <c r="Y472">
        <v>36360</v>
      </c>
    </row>
    <row r="473" spans="1:25" x14ac:dyDescent="0.25">
      <c r="A473" t="s">
        <v>826</v>
      </c>
      <c r="B473">
        <v>0</v>
      </c>
      <c r="C473" t="s">
        <v>797</v>
      </c>
      <c r="D473" t="s">
        <v>827</v>
      </c>
      <c r="E473" t="s">
        <v>260</v>
      </c>
      <c r="F473" t="s">
        <v>828</v>
      </c>
      <c r="G473" t="s">
        <v>84</v>
      </c>
      <c r="H473" t="s">
        <v>92</v>
      </c>
      <c r="I473" t="s">
        <v>830</v>
      </c>
      <c r="J473" t="s">
        <v>140</v>
      </c>
      <c r="K473" t="s">
        <v>82</v>
      </c>
      <c r="L473">
        <v>18740</v>
      </c>
      <c r="M473" t="s">
        <v>83</v>
      </c>
      <c r="O473">
        <v>1</v>
      </c>
      <c r="P473">
        <v>1</v>
      </c>
      <c r="R473">
        <v>1</v>
      </c>
      <c r="U473">
        <v>18740</v>
      </c>
      <c r="V473">
        <v>0</v>
      </c>
      <c r="W473">
        <v>33080</v>
      </c>
    </row>
    <row r="474" spans="1:25" x14ac:dyDescent="0.25">
      <c r="A474" t="s">
        <v>826</v>
      </c>
      <c r="B474">
        <v>0</v>
      </c>
      <c r="C474" t="s">
        <v>797</v>
      </c>
      <c r="D474" t="s">
        <v>827</v>
      </c>
      <c r="E474" t="s">
        <v>260</v>
      </c>
      <c r="F474" t="s">
        <v>828</v>
      </c>
      <c r="G474" t="s">
        <v>84</v>
      </c>
      <c r="H474" t="s">
        <v>80</v>
      </c>
      <c r="I474" t="s">
        <v>826</v>
      </c>
      <c r="J474" t="s">
        <v>831</v>
      </c>
      <c r="K474" t="s">
        <v>82</v>
      </c>
      <c r="L474">
        <v>923882.24</v>
      </c>
      <c r="M474" t="s">
        <v>83</v>
      </c>
      <c r="P474">
        <v>1</v>
      </c>
      <c r="T474">
        <v>1</v>
      </c>
      <c r="U474">
        <v>0</v>
      </c>
      <c r="V474">
        <v>0</v>
      </c>
      <c r="W474">
        <v>884250.9711666666</v>
      </c>
    </row>
    <row r="475" spans="1:25" x14ac:dyDescent="0.25">
      <c r="A475" t="s">
        <v>826</v>
      </c>
      <c r="B475">
        <v>1</v>
      </c>
      <c r="C475" t="s">
        <v>797</v>
      </c>
      <c r="D475" t="s">
        <v>827</v>
      </c>
      <c r="E475" t="s">
        <v>260</v>
      </c>
      <c r="F475" t="s">
        <v>828</v>
      </c>
      <c r="G475" t="s">
        <v>680</v>
      </c>
      <c r="H475" t="s">
        <v>80</v>
      </c>
      <c r="I475" t="s">
        <v>826</v>
      </c>
      <c r="J475" t="s">
        <v>832</v>
      </c>
      <c r="K475" t="s">
        <v>82</v>
      </c>
      <c r="L475">
        <v>955820.34</v>
      </c>
      <c r="M475" t="s">
        <v>83</v>
      </c>
      <c r="N475">
        <v>884250.97120000003</v>
      </c>
      <c r="U475">
        <v>0</v>
      </c>
      <c r="V475">
        <v>0</v>
      </c>
      <c r="W475">
        <v>884250.9711666666</v>
      </c>
      <c r="X475">
        <v>955820.34</v>
      </c>
      <c r="Y475">
        <v>955820.34</v>
      </c>
    </row>
    <row r="476" spans="1:25" x14ac:dyDescent="0.25">
      <c r="A476" t="s">
        <v>826</v>
      </c>
      <c r="B476">
        <v>0</v>
      </c>
      <c r="C476" t="s">
        <v>797</v>
      </c>
      <c r="D476" t="s">
        <v>827</v>
      </c>
      <c r="E476" t="s">
        <v>260</v>
      </c>
      <c r="F476" t="s">
        <v>828</v>
      </c>
      <c r="G476" t="s">
        <v>84</v>
      </c>
      <c r="H476" t="s">
        <v>80</v>
      </c>
      <c r="I476" t="s">
        <v>826</v>
      </c>
      <c r="J476" t="s">
        <v>833</v>
      </c>
      <c r="K476" t="s">
        <v>82</v>
      </c>
      <c r="L476">
        <v>773050.33349999995</v>
      </c>
      <c r="M476" t="s">
        <v>83</v>
      </c>
      <c r="U476">
        <v>0</v>
      </c>
      <c r="V476">
        <v>0</v>
      </c>
      <c r="W476">
        <v>884250.9711666666</v>
      </c>
    </row>
    <row r="477" spans="1:25" x14ac:dyDescent="0.25">
      <c r="A477" t="s">
        <v>826</v>
      </c>
      <c r="B477">
        <v>0</v>
      </c>
      <c r="C477" t="s">
        <v>797</v>
      </c>
      <c r="D477" t="s">
        <v>827</v>
      </c>
      <c r="E477" t="s">
        <v>260</v>
      </c>
      <c r="F477" t="s">
        <v>828</v>
      </c>
      <c r="G477" t="s">
        <v>84</v>
      </c>
      <c r="H477" t="s">
        <v>106</v>
      </c>
      <c r="I477" t="s">
        <v>826</v>
      </c>
      <c r="J477" t="s">
        <v>834</v>
      </c>
      <c r="K477" t="s">
        <v>82</v>
      </c>
      <c r="L477">
        <v>8578.5974999999999</v>
      </c>
      <c r="M477" t="s">
        <v>83</v>
      </c>
      <c r="P477">
        <v>1</v>
      </c>
      <c r="T477">
        <v>1</v>
      </c>
      <c r="U477">
        <v>0</v>
      </c>
      <c r="V477">
        <v>0</v>
      </c>
      <c r="W477">
        <v>6467.4274999999998</v>
      </c>
    </row>
    <row r="478" spans="1:25" x14ac:dyDescent="0.25">
      <c r="A478" t="s">
        <v>826</v>
      </c>
      <c r="B478">
        <v>1</v>
      </c>
      <c r="C478" t="s">
        <v>797</v>
      </c>
      <c r="D478" t="s">
        <v>827</v>
      </c>
      <c r="E478" t="s">
        <v>260</v>
      </c>
      <c r="F478" t="s">
        <v>828</v>
      </c>
      <c r="G478" t="s">
        <v>680</v>
      </c>
      <c r="H478" t="s">
        <v>106</v>
      </c>
      <c r="I478" t="s">
        <v>826</v>
      </c>
      <c r="J478" t="s">
        <v>835</v>
      </c>
      <c r="K478" t="s">
        <v>82</v>
      </c>
      <c r="L478">
        <v>8255.6200000000008</v>
      </c>
      <c r="M478" t="s">
        <v>83</v>
      </c>
      <c r="N478">
        <v>6467.4274999999998</v>
      </c>
      <c r="U478">
        <v>0</v>
      </c>
      <c r="V478">
        <v>0</v>
      </c>
      <c r="W478">
        <v>6467.4274999999998</v>
      </c>
      <c r="X478">
        <v>8255.6200000000008</v>
      </c>
      <c r="Y478">
        <v>8255.6200000000008</v>
      </c>
    </row>
    <row r="479" spans="1:25" x14ac:dyDescent="0.25">
      <c r="A479" t="s">
        <v>826</v>
      </c>
      <c r="B479">
        <v>0</v>
      </c>
      <c r="C479" t="s">
        <v>797</v>
      </c>
      <c r="D479" t="s">
        <v>827</v>
      </c>
      <c r="E479" t="s">
        <v>260</v>
      </c>
      <c r="F479" t="s">
        <v>828</v>
      </c>
      <c r="G479" t="s">
        <v>84</v>
      </c>
      <c r="H479" t="s">
        <v>106</v>
      </c>
      <c r="I479" t="s">
        <v>826</v>
      </c>
      <c r="J479" t="s">
        <v>836</v>
      </c>
      <c r="K479" t="s">
        <v>82</v>
      </c>
      <c r="L479">
        <v>2568.0650000000001</v>
      </c>
      <c r="M479" t="s">
        <v>83</v>
      </c>
      <c r="U479">
        <v>0</v>
      </c>
      <c r="V479">
        <v>0</v>
      </c>
      <c r="W479">
        <v>6467.4274999999998</v>
      </c>
    </row>
    <row r="480" spans="1:25" x14ac:dyDescent="0.25">
      <c r="A480" t="s">
        <v>826</v>
      </c>
      <c r="B480">
        <v>0</v>
      </c>
      <c r="C480" t="s">
        <v>797</v>
      </c>
      <c r="D480" t="s">
        <v>827</v>
      </c>
      <c r="E480" t="s">
        <v>260</v>
      </c>
      <c r="F480" t="s">
        <v>828</v>
      </c>
      <c r="G480" t="s">
        <v>84</v>
      </c>
      <c r="H480" t="s">
        <v>110</v>
      </c>
      <c r="I480" t="s">
        <v>826</v>
      </c>
      <c r="J480" t="s">
        <v>837</v>
      </c>
      <c r="K480" t="s">
        <v>82</v>
      </c>
      <c r="L480">
        <v>9198</v>
      </c>
      <c r="M480" t="s">
        <v>83</v>
      </c>
      <c r="P480">
        <v>1</v>
      </c>
      <c r="T480">
        <v>1</v>
      </c>
      <c r="U480">
        <v>0</v>
      </c>
      <c r="V480">
        <v>0</v>
      </c>
      <c r="W480">
        <v>9930</v>
      </c>
    </row>
    <row r="481" spans="1:25" x14ac:dyDescent="0.25">
      <c r="A481" t="s">
        <v>826</v>
      </c>
      <c r="B481">
        <v>1</v>
      </c>
      <c r="C481" t="s">
        <v>797</v>
      </c>
      <c r="D481" t="s">
        <v>827</v>
      </c>
      <c r="E481" t="s">
        <v>260</v>
      </c>
      <c r="F481" t="s">
        <v>828</v>
      </c>
      <c r="G481" t="s">
        <v>680</v>
      </c>
      <c r="H481" t="s">
        <v>110</v>
      </c>
      <c r="I481" t="s">
        <v>826</v>
      </c>
      <c r="J481" t="s">
        <v>838</v>
      </c>
      <c r="K481" t="s">
        <v>82</v>
      </c>
      <c r="L481">
        <v>11592</v>
      </c>
      <c r="M481" t="s">
        <v>83</v>
      </c>
      <c r="N481">
        <v>9930</v>
      </c>
      <c r="U481">
        <v>0</v>
      </c>
      <c r="V481">
        <v>0</v>
      </c>
      <c r="W481">
        <v>9930</v>
      </c>
      <c r="X481">
        <v>11592</v>
      </c>
      <c r="Y481">
        <v>11592</v>
      </c>
    </row>
    <row r="482" spans="1:25" x14ac:dyDescent="0.25">
      <c r="A482" t="s">
        <v>826</v>
      </c>
      <c r="B482">
        <v>0</v>
      </c>
      <c r="C482" t="s">
        <v>797</v>
      </c>
      <c r="D482" t="s">
        <v>827</v>
      </c>
      <c r="E482" t="s">
        <v>260</v>
      </c>
      <c r="F482" t="s">
        <v>828</v>
      </c>
      <c r="G482" t="s">
        <v>84</v>
      </c>
      <c r="H482" t="s">
        <v>110</v>
      </c>
      <c r="I482" t="s">
        <v>826</v>
      </c>
      <c r="J482" t="s">
        <v>839</v>
      </c>
      <c r="K482" t="s">
        <v>82</v>
      </c>
      <c r="L482">
        <v>9000</v>
      </c>
      <c r="M482" t="s">
        <v>83</v>
      </c>
      <c r="U482">
        <v>0</v>
      </c>
      <c r="V482">
        <v>0</v>
      </c>
      <c r="W482">
        <v>9930</v>
      </c>
    </row>
    <row r="483" spans="1:25" x14ac:dyDescent="0.25">
      <c r="A483" t="s">
        <v>826</v>
      </c>
      <c r="B483">
        <v>1</v>
      </c>
      <c r="C483" t="s">
        <v>797</v>
      </c>
      <c r="D483" t="s">
        <v>827</v>
      </c>
      <c r="E483" t="s">
        <v>260</v>
      </c>
      <c r="F483" t="s">
        <v>828</v>
      </c>
      <c r="G483" t="s">
        <v>316</v>
      </c>
      <c r="H483" t="s">
        <v>87</v>
      </c>
      <c r="I483" t="s">
        <v>840</v>
      </c>
      <c r="J483" t="s">
        <v>841</v>
      </c>
      <c r="K483" t="s">
        <v>82</v>
      </c>
      <c r="L483">
        <v>120548.3417</v>
      </c>
      <c r="M483" t="s">
        <v>83</v>
      </c>
      <c r="N483">
        <v>135828.56390000001</v>
      </c>
      <c r="R483">
        <v>1</v>
      </c>
      <c r="U483">
        <v>0</v>
      </c>
      <c r="V483">
        <v>0</v>
      </c>
      <c r="W483">
        <v>135828.56390000001</v>
      </c>
      <c r="X483">
        <v>120548.3417</v>
      </c>
      <c r="Y483">
        <v>120548.3417</v>
      </c>
    </row>
    <row r="484" spans="1:25" x14ac:dyDescent="0.25">
      <c r="A484" t="s">
        <v>826</v>
      </c>
      <c r="B484">
        <v>0</v>
      </c>
      <c r="C484" t="s">
        <v>797</v>
      </c>
      <c r="D484" t="s">
        <v>827</v>
      </c>
      <c r="E484" t="s">
        <v>260</v>
      </c>
      <c r="F484" t="s">
        <v>828</v>
      </c>
      <c r="G484" t="s">
        <v>84</v>
      </c>
      <c r="H484" t="s">
        <v>87</v>
      </c>
      <c r="I484" t="s">
        <v>826</v>
      </c>
      <c r="J484" t="s">
        <v>842</v>
      </c>
      <c r="K484" t="s">
        <v>82</v>
      </c>
      <c r="L484">
        <v>124425.0583</v>
      </c>
      <c r="M484" t="s">
        <v>83</v>
      </c>
      <c r="S484">
        <v>1</v>
      </c>
      <c r="T484">
        <v>1</v>
      </c>
      <c r="U484">
        <v>0</v>
      </c>
      <c r="V484">
        <v>0</v>
      </c>
      <c r="W484">
        <v>135828.56390000001</v>
      </c>
    </row>
    <row r="485" spans="1:25" x14ac:dyDescent="0.25">
      <c r="A485" t="s">
        <v>826</v>
      </c>
      <c r="B485">
        <v>0</v>
      </c>
      <c r="C485" t="s">
        <v>797</v>
      </c>
      <c r="D485" t="s">
        <v>827</v>
      </c>
      <c r="E485" t="s">
        <v>260</v>
      </c>
      <c r="F485" t="s">
        <v>828</v>
      </c>
      <c r="G485" t="s">
        <v>84</v>
      </c>
      <c r="H485" t="s">
        <v>87</v>
      </c>
      <c r="I485" t="s">
        <v>843</v>
      </c>
      <c r="J485" t="s">
        <v>844</v>
      </c>
      <c r="K485" t="s">
        <v>82</v>
      </c>
      <c r="L485">
        <v>162512.2917</v>
      </c>
      <c r="M485" t="s">
        <v>83</v>
      </c>
      <c r="T485">
        <v>1</v>
      </c>
      <c r="U485">
        <v>0</v>
      </c>
      <c r="V485">
        <v>0</v>
      </c>
      <c r="W485">
        <v>135828.56390000001</v>
      </c>
    </row>
    <row r="486" spans="1:25" x14ac:dyDescent="0.25">
      <c r="A486" t="s">
        <v>826</v>
      </c>
      <c r="B486">
        <v>1</v>
      </c>
      <c r="C486" t="s">
        <v>797</v>
      </c>
      <c r="D486" t="s">
        <v>827</v>
      </c>
      <c r="E486" t="s">
        <v>260</v>
      </c>
      <c r="F486" t="s">
        <v>828</v>
      </c>
      <c r="G486" t="s">
        <v>158</v>
      </c>
      <c r="H486" t="s">
        <v>98</v>
      </c>
      <c r="I486" t="s">
        <v>845</v>
      </c>
      <c r="J486" t="s">
        <v>846</v>
      </c>
      <c r="K486" t="s">
        <v>82</v>
      </c>
      <c r="L486">
        <v>22550</v>
      </c>
      <c r="M486" t="s">
        <v>83</v>
      </c>
      <c r="N486">
        <v>21600</v>
      </c>
      <c r="S486">
        <v>1</v>
      </c>
      <c r="U486">
        <v>0</v>
      </c>
      <c r="V486">
        <v>0</v>
      </c>
      <c r="W486">
        <v>21600</v>
      </c>
      <c r="X486">
        <v>22550</v>
      </c>
      <c r="Y486">
        <v>22550</v>
      </c>
    </row>
    <row r="487" spans="1:25" x14ac:dyDescent="0.25">
      <c r="A487" t="s">
        <v>826</v>
      </c>
      <c r="B487">
        <v>0</v>
      </c>
      <c r="C487" t="s">
        <v>797</v>
      </c>
      <c r="D487" t="s">
        <v>827</v>
      </c>
      <c r="E487" t="s">
        <v>260</v>
      </c>
      <c r="F487" t="s">
        <v>828</v>
      </c>
      <c r="G487" t="s">
        <v>84</v>
      </c>
      <c r="H487" t="s">
        <v>98</v>
      </c>
      <c r="I487" t="s">
        <v>847</v>
      </c>
      <c r="J487" t="s">
        <v>848</v>
      </c>
      <c r="K487" t="s">
        <v>82</v>
      </c>
      <c r="L487">
        <v>20650</v>
      </c>
      <c r="M487" t="s">
        <v>83</v>
      </c>
      <c r="U487">
        <v>0</v>
      </c>
      <c r="V487">
        <v>0</v>
      </c>
      <c r="W487">
        <v>21600</v>
      </c>
    </row>
    <row r="488" spans="1:25" x14ac:dyDescent="0.25">
      <c r="A488" t="s">
        <v>826</v>
      </c>
      <c r="B488">
        <v>1</v>
      </c>
      <c r="C488" t="s">
        <v>797</v>
      </c>
      <c r="D488" t="s">
        <v>827</v>
      </c>
      <c r="E488" t="s">
        <v>260</v>
      </c>
      <c r="F488" t="s">
        <v>828</v>
      </c>
      <c r="G488" t="s">
        <v>267</v>
      </c>
      <c r="H488" t="s">
        <v>121</v>
      </c>
      <c r="I488" t="s">
        <v>849</v>
      </c>
      <c r="J488" t="s">
        <v>850</v>
      </c>
      <c r="K488" t="s">
        <v>82</v>
      </c>
      <c r="L488">
        <v>187823.6317</v>
      </c>
      <c r="M488" t="s">
        <v>83</v>
      </c>
      <c r="N488">
        <v>151739.2697</v>
      </c>
      <c r="O488">
        <v>1</v>
      </c>
      <c r="U488">
        <v>187823.6317</v>
      </c>
      <c r="V488">
        <v>187823.6317</v>
      </c>
      <c r="W488">
        <v>151739.2697</v>
      </c>
      <c r="X488">
        <v>187823.6317</v>
      </c>
      <c r="Y488">
        <v>187823.6317</v>
      </c>
    </row>
    <row r="489" spans="1:25" x14ac:dyDescent="0.25">
      <c r="A489" t="s">
        <v>826</v>
      </c>
      <c r="B489">
        <v>0</v>
      </c>
      <c r="C489" t="s">
        <v>797</v>
      </c>
      <c r="D489" t="s">
        <v>827</v>
      </c>
      <c r="E489" t="s">
        <v>260</v>
      </c>
      <c r="F489" t="s">
        <v>828</v>
      </c>
      <c r="G489" t="s">
        <v>84</v>
      </c>
      <c r="H489" t="s">
        <v>121</v>
      </c>
      <c r="I489" t="s">
        <v>826</v>
      </c>
      <c r="J489" t="s">
        <v>851</v>
      </c>
      <c r="K489" t="s">
        <v>82</v>
      </c>
      <c r="L489">
        <v>115654.9077</v>
      </c>
      <c r="M489" t="s">
        <v>83</v>
      </c>
      <c r="S489">
        <v>1</v>
      </c>
      <c r="U489">
        <v>0</v>
      </c>
      <c r="V489">
        <v>0</v>
      </c>
      <c r="W489">
        <v>151739.2697</v>
      </c>
    </row>
    <row r="490" spans="1:25" x14ac:dyDescent="0.25">
      <c r="A490" t="s">
        <v>826</v>
      </c>
      <c r="B490">
        <v>1</v>
      </c>
      <c r="C490" t="s">
        <v>797</v>
      </c>
      <c r="D490" t="s">
        <v>827</v>
      </c>
      <c r="E490" t="s">
        <v>260</v>
      </c>
      <c r="F490" t="s">
        <v>828</v>
      </c>
      <c r="G490" t="s">
        <v>267</v>
      </c>
      <c r="H490" t="s">
        <v>114</v>
      </c>
      <c r="I490" t="s">
        <v>849</v>
      </c>
      <c r="J490" t="s">
        <v>852</v>
      </c>
      <c r="K490" t="s">
        <v>82</v>
      </c>
      <c r="L490">
        <v>12500</v>
      </c>
      <c r="M490" t="s">
        <v>83</v>
      </c>
      <c r="N490">
        <v>26250</v>
      </c>
      <c r="O490">
        <v>1</v>
      </c>
      <c r="U490">
        <v>12500</v>
      </c>
      <c r="V490">
        <v>12500</v>
      </c>
      <c r="W490">
        <v>26250</v>
      </c>
      <c r="X490">
        <v>12500</v>
      </c>
      <c r="Y490">
        <v>12500</v>
      </c>
    </row>
    <row r="491" spans="1:25" x14ac:dyDescent="0.25">
      <c r="A491" t="s">
        <v>826</v>
      </c>
      <c r="B491">
        <v>0</v>
      </c>
      <c r="C491" t="s">
        <v>797</v>
      </c>
      <c r="D491" t="s">
        <v>827</v>
      </c>
      <c r="E491" t="s">
        <v>260</v>
      </c>
      <c r="F491" t="s">
        <v>828</v>
      </c>
      <c r="G491" t="s">
        <v>84</v>
      </c>
      <c r="H491" t="s">
        <v>114</v>
      </c>
      <c r="I491" t="s">
        <v>826</v>
      </c>
      <c r="J491" t="s">
        <v>853</v>
      </c>
      <c r="K491" t="s">
        <v>82</v>
      </c>
      <c r="L491">
        <v>40000</v>
      </c>
      <c r="M491" t="s">
        <v>83</v>
      </c>
      <c r="S491">
        <v>1</v>
      </c>
      <c r="U491">
        <v>0</v>
      </c>
      <c r="V491">
        <v>0</v>
      </c>
      <c r="W491">
        <v>26250</v>
      </c>
    </row>
    <row r="492" spans="1:25" x14ac:dyDescent="0.25">
      <c r="A492" t="s">
        <v>854</v>
      </c>
      <c r="B492">
        <v>0</v>
      </c>
      <c r="C492" t="s">
        <v>855</v>
      </c>
      <c r="D492" t="s">
        <v>856</v>
      </c>
      <c r="E492" t="s">
        <v>179</v>
      </c>
      <c r="F492" t="s">
        <v>857</v>
      </c>
      <c r="G492" t="s">
        <v>84</v>
      </c>
      <c r="H492" t="s">
        <v>92</v>
      </c>
      <c r="I492" t="s">
        <v>858</v>
      </c>
      <c r="J492" t="s">
        <v>303</v>
      </c>
      <c r="K492" t="s">
        <v>82</v>
      </c>
      <c r="L492">
        <v>21840</v>
      </c>
      <c r="M492" t="s">
        <v>83</v>
      </c>
      <c r="Q492">
        <v>1</v>
      </c>
      <c r="U492">
        <v>0</v>
      </c>
      <c r="V492">
        <v>0</v>
      </c>
      <c r="W492">
        <v>37666.666666666664</v>
      </c>
    </row>
    <row r="493" spans="1:25" x14ac:dyDescent="0.25">
      <c r="A493" t="s">
        <v>854</v>
      </c>
      <c r="B493">
        <v>0</v>
      </c>
      <c r="C493" t="s">
        <v>855</v>
      </c>
      <c r="D493" t="s">
        <v>856</v>
      </c>
      <c r="E493" t="s">
        <v>179</v>
      </c>
      <c r="F493" t="s">
        <v>857</v>
      </c>
      <c r="G493" t="s">
        <v>84</v>
      </c>
      <c r="H493" t="s">
        <v>92</v>
      </c>
      <c r="I493" t="s">
        <v>859</v>
      </c>
      <c r="J493" t="s">
        <v>140</v>
      </c>
      <c r="K493" t="s">
        <v>82</v>
      </c>
      <c r="L493">
        <v>23630</v>
      </c>
      <c r="M493" t="s">
        <v>83</v>
      </c>
      <c r="Q493">
        <v>1</v>
      </c>
      <c r="S493">
        <v>1</v>
      </c>
      <c r="T493">
        <v>1</v>
      </c>
      <c r="U493">
        <v>0</v>
      </c>
      <c r="V493">
        <v>0</v>
      </c>
      <c r="W493">
        <v>37666.666666666664</v>
      </c>
    </row>
    <row r="494" spans="1:25" x14ac:dyDescent="0.25">
      <c r="A494" t="s">
        <v>854</v>
      </c>
      <c r="B494">
        <v>1</v>
      </c>
      <c r="C494" t="s">
        <v>855</v>
      </c>
      <c r="D494" t="s">
        <v>856</v>
      </c>
      <c r="E494" t="s">
        <v>179</v>
      </c>
      <c r="F494" t="s">
        <v>857</v>
      </c>
      <c r="G494" t="s">
        <v>181</v>
      </c>
      <c r="H494" t="s">
        <v>92</v>
      </c>
      <c r="I494" t="s">
        <v>860</v>
      </c>
      <c r="J494" t="s">
        <v>181</v>
      </c>
      <c r="K494" t="s">
        <v>82</v>
      </c>
      <c r="L494">
        <v>67530</v>
      </c>
      <c r="M494" t="s">
        <v>83</v>
      </c>
      <c r="N494">
        <v>37666.666669999999</v>
      </c>
      <c r="U494">
        <v>0</v>
      </c>
      <c r="V494">
        <v>0</v>
      </c>
      <c r="W494">
        <v>37666.666666666664</v>
      </c>
      <c r="X494">
        <v>67530</v>
      </c>
      <c r="Y494">
        <v>67530</v>
      </c>
    </row>
    <row r="495" spans="1:25" x14ac:dyDescent="0.25">
      <c r="A495" t="s">
        <v>854</v>
      </c>
      <c r="B495">
        <v>1</v>
      </c>
      <c r="C495" t="s">
        <v>855</v>
      </c>
      <c r="D495" t="s">
        <v>856</v>
      </c>
      <c r="E495" t="s">
        <v>179</v>
      </c>
      <c r="F495" t="s">
        <v>857</v>
      </c>
      <c r="G495" t="s">
        <v>326</v>
      </c>
      <c r="H495" t="s">
        <v>114</v>
      </c>
      <c r="I495" t="s">
        <v>861</v>
      </c>
      <c r="J495" t="s">
        <v>862</v>
      </c>
      <c r="K495" t="s">
        <v>82</v>
      </c>
      <c r="L495">
        <v>40100</v>
      </c>
      <c r="M495" t="s">
        <v>83</v>
      </c>
      <c r="N495">
        <v>39225</v>
      </c>
      <c r="T495">
        <v>1</v>
      </c>
      <c r="U495">
        <v>0</v>
      </c>
      <c r="V495">
        <v>0</v>
      </c>
      <c r="W495">
        <v>39225</v>
      </c>
      <c r="X495">
        <v>40100</v>
      </c>
      <c r="Y495">
        <v>40100</v>
      </c>
    </row>
    <row r="496" spans="1:25" x14ac:dyDescent="0.25">
      <c r="A496" t="s">
        <v>854</v>
      </c>
      <c r="B496">
        <v>0</v>
      </c>
      <c r="C496" t="s">
        <v>855</v>
      </c>
      <c r="D496" t="s">
        <v>856</v>
      </c>
      <c r="E496" t="s">
        <v>179</v>
      </c>
      <c r="F496" t="s">
        <v>857</v>
      </c>
      <c r="G496" t="s">
        <v>84</v>
      </c>
      <c r="H496" t="s">
        <v>114</v>
      </c>
      <c r="I496" t="s">
        <v>854</v>
      </c>
      <c r="J496" t="s">
        <v>863</v>
      </c>
      <c r="K496" t="s">
        <v>82</v>
      </c>
      <c r="L496">
        <v>38350</v>
      </c>
      <c r="M496" t="s">
        <v>83</v>
      </c>
      <c r="S496">
        <v>1</v>
      </c>
      <c r="U496">
        <v>0</v>
      </c>
      <c r="V496">
        <v>0</v>
      </c>
      <c r="W496">
        <v>39225</v>
      </c>
    </row>
    <row r="497" spans="1:25" x14ac:dyDescent="0.25">
      <c r="A497" t="s">
        <v>854</v>
      </c>
      <c r="B497">
        <v>1</v>
      </c>
      <c r="C497" t="s">
        <v>855</v>
      </c>
      <c r="D497" t="s">
        <v>856</v>
      </c>
      <c r="E497" t="s">
        <v>179</v>
      </c>
      <c r="F497" t="s">
        <v>857</v>
      </c>
      <c r="G497" t="s">
        <v>326</v>
      </c>
      <c r="H497" t="s">
        <v>121</v>
      </c>
      <c r="I497" t="s">
        <v>861</v>
      </c>
      <c r="J497" t="s">
        <v>864</v>
      </c>
      <c r="K497" t="s">
        <v>82</v>
      </c>
      <c r="L497">
        <v>151817.5208</v>
      </c>
      <c r="M497" t="s">
        <v>83</v>
      </c>
      <c r="N497">
        <v>142410.3443</v>
      </c>
      <c r="T497">
        <v>1</v>
      </c>
      <c r="U497">
        <v>0</v>
      </c>
      <c r="V497">
        <v>0</v>
      </c>
      <c r="W497">
        <v>142410.3443</v>
      </c>
      <c r="X497">
        <v>151817.5208</v>
      </c>
      <c r="Y497">
        <v>151817.5208</v>
      </c>
    </row>
    <row r="498" spans="1:25" x14ac:dyDescent="0.25">
      <c r="A498" t="s">
        <v>854</v>
      </c>
      <c r="B498">
        <v>0</v>
      </c>
      <c r="C498" t="s">
        <v>855</v>
      </c>
      <c r="D498" t="s">
        <v>856</v>
      </c>
      <c r="E498" t="s">
        <v>179</v>
      </c>
      <c r="F498" t="s">
        <v>857</v>
      </c>
      <c r="G498" t="s">
        <v>84</v>
      </c>
      <c r="H498" t="s">
        <v>121</v>
      </c>
      <c r="I498" t="s">
        <v>854</v>
      </c>
      <c r="J498" t="s">
        <v>865</v>
      </c>
      <c r="K498" t="s">
        <v>82</v>
      </c>
      <c r="L498">
        <v>133003.1678</v>
      </c>
      <c r="M498" t="s">
        <v>83</v>
      </c>
      <c r="S498">
        <v>1</v>
      </c>
      <c r="U498">
        <v>0</v>
      </c>
      <c r="V498">
        <v>0</v>
      </c>
      <c r="W498">
        <v>142410.3443</v>
      </c>
    </row>
    <row r="499" spans="1:25" x14ac:dyDescent="0.25">
      <c r="A499" t="s">
        <v>854</v>
      </c>
      <c r="B499">
        <v>1</v>
      </c>
      <c r="C499" t="s">
        <v>855</v>
      </c>
      <c r="D499" t="s">
        <v>856</v>
      </c>
      <c r="E499" t="s">
        <v>179</v>
      </c>
      <c r="F499" t="s">
        <v>857</v>
      </c>
      <c r="G499" t="s">
        <v>130</v>
      </c>
      <c r="H499" t="s">
        <v>125</v>
      </c>
      <c r="I499" t="s">
        <v>866</v>
      </c>
      <c r="J499" t="s">
        <v>867</v>
      </c>
      <c r="K499" t="s">
        <v>82</v>
      </c>
      <c r="L499">
        <v>40800</v>
      </c>
      <c r="M499" t="s">
        <v>83</v>
      </c>
      <c r="N499">
        <v>30116.666669999999</v>
      </c>
      <c r="T499">
        <v>1</v>
      </c>
      <c r="U499">
        <v>0</v>
      </c>
      <c r="V499">
        <v>0</v>
      </c>
      <c r="W499">
        <v>30116.666666666664</v>
      </c>
      <c r="X499">
        <v>40800</v>
      </c>
      <c r="Y499">
        <v>40800</v>
      </c>
    </row>
    <row r="500" spans="1:25" x14ac:dyDescent="0.25">
      <c r="A500" t="s">
        <v>854</v>
      </c>
      <c r="B500">
        <v>0</v>
      </c>
      <c r="C500" t="s">
        <v>855</v>
      </c>
      <c r="D500" t="s">
        <v>856</v>
      </c>
      <c r="E500" t="s">
        <v>179</v>
      </c>
      <c r="F500" t="s">
        <v>857</v>
      </c>
      <c r="G500" t="s">
        <v>84</v>
      </c>
      <c r="H500" t="s">
        <v>125</v>
      </c>
      <c r="I500" t="s">
        <v>868</v>
      </c>
      <c r="J500" t="s">
        <v>869</v>
      </c>
      <c r="K500" t="s">
        <v>82</v>
      </c>
      <c r="L500">
        <v>22400</v>
      </c>
      <c r="M500" t="s">
        <v>83</v>
      </c>
      <c r="U500">
        <v>0</v>
      </c>
      <c r="V500">
        <v>0</v>
      </c>
      <c r="W500">
        <v>30116.666666666664</v>
      </c>
    </row>
    <row r="501" spans="1:25" x14ac:dyDescent="0.25">
      <c r="A501" t="s">
        <v>854</v>
      </c>
      <c r="B501">
        <v>0</v>
      </c>
      <c r="C501" t="s">
        <v>855</v>
      </c>
      <c r="D501" t="s">
        <v>856</v>
      </c>
      <c r="E501" t="s">
        <v>179</v>
      </c>
      <c r="F501" t="s">
        <v>857</v>
      </c>
      <c r="G501" t="s">
        <v>84</v>
      </c>
      <c r="H501" t="s">
        <v>125</v>
      </c>
      <c r="I501" t="s">
        <v>870</v>
      </c>
      <c r="J501" t="s">
        <v>871</v>
      </c>
      <c r="K501" t="s">
        <v>82</v>
      </c>
      <c r="L501">
        <v>27150</v>
      </c>
      <c r="M501" t="s">
        <v>83</v>
      </c>
      <c r="U501">
        <v>0</v>
      </c>
      <c r="V501">
        <v>0</v>
      </c>
      <c r="W501">
        <v>30116.666666666664</v>
      </c>
    </row>
    <row r="502" spans="1:25" x14ac:dyDescent="0.25">
      <c r="A502" t="s">
        <v>854</v>
      </c>
      <c r="B502">
        <v>0</v>
      </c>
      <c r="C502" t="s">
        <v>855</v>
      </c>
      <c r="D502" t="s">
        <v>856</v>
      </c>
      <c r="E502" t="s">
        <v>179</v>
      </c>
      <c r="F502" t="s">
        <v>857</v>
      </c>
      <c r="G502" t="s">
        <v>84</v>
      </c>
      <c r="H502" t="s">
        <v>98</v>
      </c>
      <c r="I502" t="s">
        <v>872</v>
      </c>
      <c r="J502" t="s">
        <v>873</v>
      </c>
      <c r="K502" t="s">
        <v>82</v>
      </c>
      <c r="L502">
        <v>27450</v>
      </c>
      <c r="M502" t="s">
        <v>83</v>
      </c>
      <c r="U502">
        <v>0</v>
      </c>
      <c r="V502">
        <v>0</v>
      </c>
      <c r="W502">
        <v>33800</v>
      </c>
    </row>
    <row r="503" spans="1:25" x14ac:dyDescent="0.25">
      <c r="A503" t="s">
        <v>854</v>
      </c>
      <c r="B503">
        <v>1</v>
      </c>
      <c r="C503" t="s">
        <v>855</v>
      </c>
      <c r="D503" t="s">
        <v>856</v>
      </c>
      <c r="E503" t="s">
        <v>179</v>
      </c>
      <c r="F503" t="s">
        <v>857</v>
      </c>
      <c r="G503" t="s">
        <v>693</v>
      </c>
      <c r="H503" t="s">
        <v>98</v>
      </c>
      <c r="I503" t="s">
        <v>874</v>
      </c>
      <c r="J503" t="s">
        <v>875</v>
      </c>
      <c r="K503" t="s">
        <v>82</v>
      </c>
      <c r="L503">
        <v>40150</v>
      </c>
      <c r="M503" t="s">
        <v>83</v>
      </c>
      <c r="N503">
        <v>33800</v>
      </c>
      <c r="S503">
        <v>1</v>
      </c>
      <c r="U503">
        <v>0</v>
      </c>
      <c r="V503">
        <v>0</v>
      </c>
      <c r="W503">
        <v>33800</v>
      </c>
      <c r="X503">
        <v>40150</v>
      </c>
      <c r="Y503">
        <v>40150</v>
      </c>
    </row>
    <row r="504" spans="1:25" x14ac:dyDescent="0.25">
      <c r="A504" t="s">
        <v>854</v>
      </c>
      <c r="B504">
        <v>0</v>
      </c>
      <c r="C504" t="s">
        <v>855</v>
      </c>
      <c r="D504" t="s">
        <v>856</v>
      </c>
      <c r="E504" t="s">
        <v>179</v>
      </c>
      <c r="F504" t="s">
        <v>857</v>
      </c>
      <c r="G504" t="s">
        <v>84</v>
      </c>
      <c r="H504" t="s">
        <v>87</v>
      </c>
      <c r="I504" t="s">
        <v>854</v>
      </c>
      <c r="J504" t="s">
        <v>876</v>
      </c>
      <c r="K504" t="s">
        <v>82</v>
      </c>
      <c r="L504">
        <v>119010.26669999999</v>
      </c>
      <c r="M504" t="s">
        <v>83</v>
      </c>
      <c r="R504">
        <v>1</v>
      </c>
      <c r="U504">
        <v>0</v>
      </c>
      <c r="V504">
        <v>0</v>
      </c>
      <c r="W504">
        <v>112430.26669999999</v>
      </c>
    </row>
    <row r="505" spans="1:25" x14ac:dyDescent="0.25">
      <c r="A505" t="s">
        <v>854</v>
      </c>
      <c r="B505">
        <v>1</v>
      </c>
      <c r="C505" t="s">
        <v>855</v>
      </c>
      <c r="D505" t="s">
        <v>856</v>
      </c>
      <c r="E505" t="s">
        <v>179</v>
      </c>
      <c r="F505" t="s">
        <v>857</v>
      </c>
      <c r="G505" t="s">
        <v>163</v>
      </c>
      <c r="H505" t="s">
        <v>87</v>
      </c>
      <c r="I505" t="s">
        <v>854</v>
      </c>
      <c r="J505" t="s">
        <v>877</v>
      </c>
      <c r="K505" t="s">
        <v>82</v>
      </c>
      <c r="L505">
        <v>105850.26669999999</v>
      </c>
      <c r="M505" t="s">
        <v>83</v>
      </c>
      <c r="N505">
        <v>112430.26669999999</v>
      </c>
      <c r="T505">
        <v>1</v>
      </c>
      <c r="U505">
        <v>0</v>
      </c>
      <c r="V505">
        <v>0</v>
      </c>
      <c r="W505">
        <v>112430.26669999999</v>
      </c>
      <c r="X505">
        <v>105850.26669999999</v>
      </c>
      <c r="Y505">
        <v>105850.26669999999</v>
      </c>
    </row>
    <row r="506" spans="1:25" x14ac:dyDescent="0.25">
      <c r="A506" t="s">
        <v>854</v>
      </c>
      <c r="B506">
        <v>0</v>
      </c>
      <c r="C506" t="s">
        <v>855</v>
      </c>
      <c r="D506" t="s">
        <v>856</v>
      </c>
      <c r="E506" t="s">
        <v>179</v>
      </c>
      <c r="F506" t="s">
        <v>857</v>
      </c>
      <c r="G506" t="s">
        <v>84</v>
      </c>
      <c r="H506" t="s">
        <v>110</v>
      </c>
      <c r="I506" t="s">
        <v>854</v>
      </c>
      <c r="J506" t="s">
        <v>878</v>
      </c>
      <c r="K506" t="s">
        <v>82</v>
      </c>
      <c r="L506">
        <v>13986</v>
      </c>
      <c r="M506" t="s">
        <v>83</v>
      </c>
      <c r="U506">
        <v>0</v>
      </c>
      <c r="V506">
        <v>0</v>
      </c>
      <c r="W506">
        <v>12233</v>
      </c>
    </row>
    <row r="507" spans="1:25" x14ac:dyDescent="0.25">
      <c r="A507" t="s">
        <v>854</v>
      </c>
      <c r="B507">
        <v>1</v>
      </c>
      <c r="C507" t="s">
        <v>855</v>
      </c>
      <c r="D507" t="s">
        <v>856</v>
      </c>
      <c r="E507" t="s">
        <v>179</v>
      </c>
      <c r="F507" t="s">
        <v>857</v>
      </c>
      <c r="G507" t="s">
        <v>188</v>
      </c>
      <c r="H507" t="s">
        <v>110</v>
      </c>
      <c r="I507" t="s">
        <v>854</v>
      </c>
      <c r="J507" t="s">
        <v>879</v>
      </c>
      <c r="K507" t="s">
        <v>82</v>
      </c>
      <c r="L507">
        <v>11088</v>
      </c>
      <c r="M507" t="s">
        <v>83</v>
      </c>
      <c r="N507">
        <v>12233</v>
      </c>
      <c r="P507">
        <v>1</v>
      </c>
      <c r="T507">
        <v>1</v>
      </c>
      <c r="U507">
        <v>0</v>
      </c>
      <c r="V507">
        <v>0</v>
      </c>
      <c r="W507">
        <v>12233</v>
      </c>
      <c r="X507">
        <v>11088</v>
      </c>
      <c r="Y507">
        <v>11088</v>
      </c>
    </row>
    <row r="508" spans="1:25" x14ac:dyDescent="0.25">
      <c r="A508" t="s">
        <v>854</v>
      </c>
      <c r="B508">
        <v>0</v>
      </c>
      <c r="C508" t="s">
        <v>855</v>
      </c>
      <c r="D508" t="s">
        <v>856</v>
      </c>
      <c r="E508" t="s">
        <v>179</v>
      </c>
      <c r="F508" t="s">
        <v>857</v>
      </c>
      <c r="G508" t="s">
        <v>84</v>
      </c>
      <c r="H508" t="s">
        <v>110</v>
      </c>
      <c r="I508" t="s">
        <v>854</v>
      </c>
      <c r="J508" t="s">
        <v>880</v>
      </c>
      <c r="K508" t="s">
        <v>82</v>
      </c>
      <c r="L508">
        <v>11625</v>
      </c>
      <c r="M508" t="s">
        <v>83</v>
      </c>
      <c r="U508">
        <v>0</v>
      </c>
      <c r="V508">
        <v>0</v>
      </c>
      <c r="W508">
        <v>12233</v>
      </c>
    </row>
    <row r="509" spans="1:25" x14ac:dyDescent="0.25">
      <c r="A509" t="s">
        <v>854</v>
      </c>
      <c r="B509">
        <v>0</v>
      </c>
      <c r="C509" t="s">
        <v>855</v>
      </c>
      <c r="D509" t="s">
        <v>856</v>
      </c>
      <c r="E509" t="s">
        <v>179</v>
      </c>
      <c r="F509" t="s">
        <v>857</v>
      </c>
      <c r="G509" t="s">
        <v>84</v>
      </c>
      <c r="H509" t="s">
        <v>106</v>
      </c>
      <c r="I509" t="s">
        <v>854</v>
      </c>
      <c r="J509" t="s">
        <v>881</v>
      </c>
      <c r="K509" t="s">
        <v>82</v>
      </c>
      <c r="L509">
        <v>7010.9750000000004</v>
      </c>
      <c r="M509" t="s">
        <v>83</v>
      </c>
      <c r="U509">
        <v>0</v>
      </c>
      <c r="V509">
        <v>0</v>
      </c>
      <c r="W509">
        <v>7084.498333333333</v>
      </c>
    </row>
    <row r="510" spans="1:25" x14ac:dyDescent="0.25">
      <c r="A510" t="s">
        <v>854</v>
      </c>
      <c r="B510">
        <v>1</v>
      </c>
      <c r="C510" t="s">
        <v>855</v>
      </c>
      <c r="D510" t="s">
        <v>856</v>
      </c>
      <c r="E510" t="s">
        <v>179</v>
      </c>
      <c r="F510" t="s">
        <v>857</v>
      </c>
      <c r="G510" t="s">
        <v>188</v>
      </c>
      <c r="H510" t="s">
        <v>106</v>
      </c>
      <c r="I510" t="s">
        <v>854</v>
      </c>
      <c r="J510" t="s">
        <v>882</v>
      </c>
      <c r="K510" t="s">
        <v>82</v>
      </c>
      <c r="L510">
        <v>3552.7525000000001</v>
      </c>
      <c r="M510" t="s">
        <v>83</v>
      </c>
      <c r="N510">
        <v>7084.4983329999995</v>
      </c>
      <c r="P510">
        <v>1</v>
      </c>
      <c r="T510">
        <v>1</v>
      </c>
      <c r="U510">
        <v>0</v>
      </c>
      <c r="V510">
        <v>0</v>
      </c>
      <c r="W510">
        <v>7084.498333333333</v>
      </c>
      <c r="X510">
        <v>3552.7525000000001</v>
      </c>
      <c r="Y510">
        <v>3552.7525000000001</v>
      </c>
    </row>
    <row r="511" spans="1:25" x14ac:dyDescent="0.25">
      <c r="A511" t="s">
        <v>854</v>
      </c>
      <c r="B511">
        <v>0</v>
      </c>
      <c r="C511" t="s">
        <v>855</v>
      </c>
      <c r="D511" t="s">
        <v>856</v>
      </c>
      <c r="E511" t="s">
        <v>179</v>
      </c>
      <c r="F511" t="s">
        <v>857</v>
      </c>
      <c r="G511" t="s">
        <v>84</v>
      </c>
      <c r="H511" t="s">
        <v>106</v>
      </c>
      <c r="I511" t="s">
        <v>854</v>
      </c>
      <c r="J511" t="s">
        <v>883</v>
      </c>
      <c r="K511" t="s">
        <v>82</v>
      </c>
      <c r="L511">
        <v>10689.7675</v>
      </c>
      <c r="M511" t="s">
        <v>83</v>
      </c>
      <c r="U511">
        <v>0</v>
      </c>
      <c r="V511">
        <v>0</v>
      </c>
      <c r="W511">
        <v>7084.498333333333</v>
      </c>
    </row>
    <row r="512" spans="1:25" x14ac:dyDescent="0.25">
      <c r="A512" t="s">
        <v>854</v>
      </c>
      <c r="B512">
        <v>0</v>
      </c>
      <c r="C512" t="s">
        <v>855</v>
      </c>
      <c r="D512" t="s">
        <v>856</v>
      </c>
      <c r="E512" t="s">
        <v>179</v>
      </c>
      <c r="F512" t="s">
        <v>857</v>
      </c>
      <c r="G512" t="s">
        <v>84</v>
      </c>
      <c r="H512" t="s">
        <v>80</v>
      </c>
      <c r="I512" t="s">
        <v>854</v>
      </c>
      <c r="J512" t="s">
        <v>884</v>
      </c>
      <c r="K512" t="s">
        <v>82</v>
      </c>
      <c r="L512">
        <v>609308.48</v>
      </c>
      <c r="M512" t="s">
        <v>83</v>
      </c>
      <c r="U512">
        <v>0</v>
      </c>
      <c r="V512">
        <v>0</v>
      </c>
      <c r="W512">
        <v>706071.20166666666</v>
      </c>
    </row>
    <row r="513" spans="1:25" x14ac:dyDescent="0.25">
      <c r="A513" t="s">
        <v>854</v>
      </c>
      <c r="B513">
        <v>1</v>
      </c>
      <c r="C513" t="s">
        <v>855</v>
      </c>
      <c r="D513" t="s">
        <v>856</v>
      </c>
      <c r="E513" t="s">
        <v>179</v>
      </c>
      <c r="F513" t="s">
        <v>857</v>
      </c>
      <c r="G513" t="s">
        <v>188</v>
      </c>
      <c r="H513" t="s">
        <v>80</v>
      </c>
      <c r="I513" t="s">
        <v>854</v>
      </c>
      <c r="J513" t="s">
        <v>885</v>
      </c>
      <c r="K513" t="s">
        <v>82</v>
      </c>
      <c r="L513">
        <v>650063.18000000005</v>
      </c>
      <c r="M513" t="s">
        <v>83</v>
      </c>
      <c r="N513">
        <v>706071.20169999998</v>
      </c>
      <c r="P513">
        <v>1</v>
      </c>
      <c r="T513">
        <v>1</v>
      </c>
      <c r="U513">
        <v>0</v>
      </c>
      <c r="V513">
        <v>0</v>
      </c>
      <c r="W513">
        <v>706071.20166666666</v>
      </c>
      <c r="X513">
        <v>650063.18000000005</v>
      </c>
      <c r="Y513">
        <v>650063.18000000005</v>
      </c>
    </row>
    <row r="514" spans="1:25" x14ac:dyDescent="0.25">
      <c r="A514" t="s">
        <v>854</v>
      </c>
      <c r="B514">
        <v>0</v>
      </c>
      <c r="C514" t="s">
        <v>855</v>
      </c>
      <c r="D514" t="s">
        <v>856</v>
      </c>
      <c r="E514" t="s">
        <v>179</v>
      </c>
      <c r="F514" t="s">
        <v>857</v>
      </c>
      <c r="G514" t="s">
        <v>84</v>
      </c>
      <c r="H514" t="s">
        <v>80</v>
      </c>
      <c r="I514" t="s">
        <v>854</v>
      </c>
      <c r="J514" t="s">
        <v>886</v>
      </c>
      <c r="K514" t="s">
        <v>82</v>
      </c>
      <c r="L514">
        <v>858841.94499999995</v>
      </c>
      <c r="M514" t="s">
        <v>83</v>
      </c>
      <c r="U514">
        <v>0</v>
      </c>
      <c r="V514">
        <v>0</v>
      </c>
      <c r="W514">
        <v>706071.20166666666</v>
      </c>
    </row>
    <row r="515" spans="1:25" x14ac:dyDescent="0.25">
      <c r="A515" t="s">
        <v>887</v>
      </c>
      <c r="B515">
        <v>1</v>
      </c>
      <c r="C515" t="s">
        <v>855</v>
      </c>
      <c r="D515" t="s">
        <v>888</v>
      </c>
      <c r="E515" t="s">
        <v>179</v>
      </c>
      <c r="F515" t="s">
        <v>889</v>
      </c>
      <c r="G515" t="s">
        <v>182</v>
      </c>
      <c r="H515" t="s">
        <v>92</v>
      </c>
      <c r="I515" t="s">
        <v>890</v>
      </c>
      <c r="J515" t="s">
        <v>891</v>
      </c>
      <c r="K515" t="s">
        <v>82</v>
      </c>
      <c r="L515">
        <v>16840</v>
      </c>
      <c r="M515" t="s">
        <v>83</v>
      </c>
      <c r="N515">
        <v>39090</v>
      </c>
      <c r="P515">
        <v>1</v>
      </c>
      <c r="Q515">
        <v>1</v>
      </c>
      <c r="R515">
        <v>1</v>
      </c>
      <c r="T515">
        <v>1</v>
      </c>
      <c r="U515">
        <v>0</v>
      </c>
      <c r="V515">
        <v>0</v>
      </c>
      <c r="W515">
        <v>39090</v>
      </c>
      <c r="X515">
        <v>16840</v>
      </c>
      <c r="Y515">
        <v>16840</v>
      </c>
    </row>
    <row r="516" spans="1:25" x14ac:dyDescent="0.25">
      <c r="A516" t="s">
        <v>887</v>
      </c>
      <c r="B516">
        <v>0</v>
      </c>
      <c r="C516" t="s">
        <v>855</v>
      </c>
      <c r="D516" t="s">
        <v>888</v>
      </c>
      <c r="E516" t="s">
        <v>179</v>
      </c>
      <c r="F516" t="s">
        <v>889</v>
      </c>
      <c r="G516" t="s">
        <v>84</v>
      </c>
      <c r="H516" t="s">
        <v>92</v>
      </c>
      <c r="I516" t="s">
        <v>892</v>
      </c>
      <c r="J516" t="s">
        <v>893</v>
      </c>
      <c r="K516" t="s">
        <v>82</v>
      </c>
      <c r="L516">
        <v>61340</v>
      </c>
      <c r="M516" t="s">
        <v>83</v>
      </c>
      <c r="O516">
        <v>1</v>
      </c>
      <c r="R516">
        <v>1</v>
      </c>
      <c r="U516">
        <v>61340</v>
      </c>
      <c r="V516">
        <v>0</v>
      </c>
      <c r="W516">
        <v>39090</v>
      </c>
    </row>
    <row r="517" spans="1:25" x14ac:dyDescent="0.25">
      <c r="A517" t="s">
        <v>887</v>
      </c>
      <c r="B517">
        <v>0</v>
      </c>
      <c r="C517" t="s">
        <v>855</v>
      </c>
      <c r="D517" t="s">
        <v>888</v>
      </c>
      <c r="E517" t="s">
        <v>179</v>
      </c>
      <c r="F517" t="s">
        <v>889</v>
      </c>
      <c r="G517" t="s">
        <v>84</v>
      </c>
      <c r="H517" t="s">
        <v>80</v>
      </c>
      <c r="I517" t="s">
        <v>887</v>
      </c>
      <c r="J517" t="s">
        <v>894</v>
      </c>
      <c r="K517" t="s">
        <v>82</v>
      </c>
      <c r="L517">
        <v>845325.12</v>
      </c>
      <c r="M517" t="s">
        <v>83</v>
      </c>
      <c r="U517">
        <v>0</v>
      </c>
      <c r="V517">
        <v>0</v>
      </c>
      <c r="W517">
        <v>887785.07706666668</v>
      </c>
    </row>
    <row r="518" spans="1:25" x14ac:dyDescent="0.25">
      <c r="A518" t="s">
        <v>887</v>
      </c>
      <c r="B518">
        <v>1</v>
      </c>
      <c r="C518" t="s">
        <v>855</v>
      </c>
      <c r="D518" t="s">
        <v>888</v>
      </c>
      <c r="E518" t="s">
        <v>179</v>
      </c>
      <c r="F518" t="s">
        <v>889</v>
      </c>
      <c r="G518" t="s">
        <v>79</v>
      </c>
      <c r="H518" t="s">
        <v>80</v>
      </c>
      <c r="I518" t="s">
        <v>887</v>
      </c>
      <c r="J518" t="s">
        <v>895</v>
      </c>
      <c r="K518" t="s">
        <v>82</v>
      </c>
      <c r="L518">
        <v>924169.75</v>
      </c>
      <c r="M518" t="s">
        <v>83</v>
      </c>
      <c r="N518">
        <v>887785.07709999999</v>
      </c>
      <c r="U518">
        <v>0</v>
      </c>
      <c r="V518">
        <v>0</v>
      </c>
      <c r="W518">
        <v>887785.07706666668</v>
      </c>
      <c r="X518">
        <v>924169.75</v>
      </c>
      <c r="Y518">
        <v>924169.75</v>
      </c>
    </row>
    <row r="519" spans="1:25" x14ac:dyDescent="0.25">
      <c r="A519" t="s">
        <v>887</v>
      </c>
      <c r="B519">
        <v>0</v>
      </c>
      <c r="C519" t="s">
        <v>855</v>
      </c>
      <c r="D519" t="s">
        <v>888</v>
      </c>
      <c r="E519" t="s">
        <v>179</v>
      </c>
      <c r="F519" t="s">
        <v>889</v>
      </c>
      <c r="G519" t="s">
        <v>84</v>
      </c>
      <c r="H519" t="s">
        <v>80</v>
      </c>
      <c r="I519" t="s">
        <v>887</v>
      </c>
      <c r="J519" t="s">
        <v>896</v>
      </c>
      <c r="K519" t="s">
        <v>82</v>
      </c>
      <c r="L519">
        <v>893860.36120000004</v>
      </c>
      <c r="M519" t="s">
        <v>83</v>
      </c>
      <c r="U519">
        <v>0</v>
      </c>
      <c r="V519">
        <v>0</v>
      </c>
      <c r="W519">
        <v>887785.07706666668</v>
      </c>
    </row>
    <row r="520" spans="1:25" x14ac:dyDescent="0.25">
      <c r="A520" t="s">
        <v>887</v>
      </c>
      <c r="B520">
        <v>0</v>
      </c>
      <c r="C520" t="s">
        <v>855</v>
      </c>
      <c r="D520" t="s">
        <v>888</v>
      </c>
      <c r="E520" t="s">
        <v>179</v>
      </c>
      <c r="F520" t="s">
        <v>889</v>
      </c>
      <c r="G520" t="s">
        <v>84</v>
      </c>
      <c r="H520" t="s">
        <v>106</v>
      </c>
      <c r="I520" t="s">
        <v>887</v>
      </c>
      <c r="J520" t="s">
        <v>897</v>
      </c>
      <c r="K520" t="s">
        <v>82</v>
      </c>
      <c r="L520">
        <v>1339.175</v>
      </c>
      <c r="M520" t="s">
        <v>83</v>
      </c>
      <c r="U520">
        <v>0</v>
      </c>
      <c r="V520">
        <v>0</v>
      </c>
      <c r="W520">
        <v>7530.8900000000012</v>
      </c>
    </row>
    <row r="521" spans="1:25" x14ac:dyDescent="0.25">
      <c r="A521" t="s">
        <v>887</v>
      </c>
      <c r="B521">
        <v>1</v>
      </c>
      <c r="C521" t="s">
        <v>855</v>
      </c>
      <c r="D521" t="s">
        <v>888</v>
      </c>
      <c r="E521" t="s">
        <v>179</v>
      </c>
      <c r="F521" t="s">
        <v>889</v>
      </c>
      <c r="G521" t="s">
        <v>79</v>
      </c>
      <c r="H521" t="s">
        <v>106</v>
      </c>
      <c r="I521" t="s">
        <v>887</v>
      </c>
      <c r="J521" t="s">
        <v>898</v>
      </c>
      <c r="K521" t="s">
        <v>82</v>
      </c>
      <c r="L521">
        <v>9886.2625000000007</v>
      </c>
      <c r="M521" t="s">
        <v>83</v>
      </c>
      <c r="N521">
        <v>7530.89</v>
      </c>
      <c r="U521">
        <v>0</v>
      </c>
      <c r="V521">
        <v>0</v>
      </c>
      <c r="W521">
        <v>7530.8900000000012</v>
      </c>
      <c r="X521">
        <v>9886.2625000000007</v>
      </c>
      <c r="Y521">
        <v>9886.2625000000007</v>
      </c>
    </row>
    <row r="522" spans="1:25" x14ac:dyDescent="0.25">
      <c r="A522" t="s">
        <v>887</v>
      </c>
      <c r="B522">
        <v>0</v>
      </c>
      <c r="C522" t="s">
        <v>855</v>
      </c>
      <c r="D522" t="s">
        <v>888</v>
      </c>
      <c r="E522" t="s">
        <v>179</v>
      </c>
      <c r="F522" t="s">
        <v>889</v>
      </c>
      <c r="G522" t="s">
        <v>84</v>
      </c>
      <c r="H522" t="s">
        <v>106</v>
      </c>
      <c r="I522" t="s">
        <v>887</v>
      </c>
      <c r="J522" t="s">
        <v>899</v>
      </c>
      <c r="K522" t="s">
        <v>82</v>
      </c>
      <c r="L522">
        <v>11367.2325</v>
      </c>
      <c r="M522" t="s">
        <v>83</v>
      </c>
      <c r="U522">
        <v>0</v>
      </c>
      <c r="V522">
        <v>0</v>
      </c>
      <c r="W522">
        <v>7530.8900000000012</v>
      </c>
    </row>
    <row r="523" spans="1:25" x14ac:dyDescent="0.25">
      <c r="A523" t="s">
        <v>887</v>
      </c>
      <c r="B523">
        <v>0</v>
      </c>
      <c r="C523" t="s">
        <v>855</v>
      </c>
      <c r="D523" t="s">
        <v>888</v>
      </c>
      <c r="E523" t="s">
        <v>179</v>
      </c>
      <c r="F523" t="s">
        <v>889</v>
      </c>
      <c r="G523" t="s">
        <v>84</v>
      </c>
      <c r="H523" t="s">
        <v>110</v>
      </c>
      <c r="I523" t="s">
        <v>887</v>
      </c>
      <c r="J523" t="s">
        <v>900</v>
      </c>
      <c r="K523" t="s">
        <v>82</v>
      </c>
      <c r="L523">
        <v>20736</v>
      </c>
      <c r="M523" t="s">
        <v>83</v>
      </c>
      <c r="U523">
        <v>0</v>
      </c>
      <c r="V523">
        <v>0</v>
      </c>
      <c r="W523">
        <v>12357</v>
      </c>
    </row>
    <row r="524" spans="1:25" x14ac:dyDescent="0.25">
      <c r="A524" t="s">
        <v>887</v>
      </c>
      <c r="B524">
        <v>1</v>
      </c>
      <c r="C524" t="s">
        <v>855</v>
      </c>
      <c r="D524" t="s">
        <v>888</v>
      </c>
      <c r="E524" t="s">
        <v>179</v>
      </c>
      <c r="F524" t="s">
        <v>889</v>
      </c>
      <c r="G524" t="s">
        <v>79</v>
      </c>
      <c r="H524" t="s">
        <v>110</v>
      </c>
      <c r="I524" t="s">
        <v>887</v>
      </c>
      <c r="J524" t="s">
        <v>901</v>
      </c>
      <c r="K524" t="s">
        <v>82</v>
      </c>
      <c r="L524">
        <v>7434</v>
      </c>
      <c r="M524" t="s">
        <v>83</v>
      </c>
      <c r="N524">
        <v>12357</v>
      </c>
      <c r="U524">
        <v>0</v>
      </c>
      <c r="V524">
        <v>0</v>
      </c>
      <c r="W524">
        <v>12357</v>
      </c>
      <c r="X524">
        <v>7434</v>
      </c>
      <c r="Y524">
        <v>7434</v>
      </c>
    </row>
    <row r="525" spans="1:25" x14ac:dyDescent="0.25">
      <c r="A525" t="s">
        <v>887</v>
      </c>
      <c r="B525">
        <v>0</v>
      </c>
      <c r="C525" t="s">
        <v>855</v>
      </c>
      <c r="D525" t="s">
        <v>888</v>
      </c>
      <c r="E525" t="s">
        <v>179</v>
      </c>
      <c r="F525" t="s">
        <v>889</v>
      </c>
      <c r="G525" t="s">
        <v>84</v>
      </c>
      <c r="H525" t="s">
        <v>110</v>
      </c>
      <c r="I525" t="s">
        <v>887</v>
      </c>
      <c r="J525" t="s">
        <v>902</v>
      </c>
      <c r="K525" t="s">
        <v>82</v>
      </c>
      <c r="L525">
        <v>8901</v>
      </c>
      <c r="M525" t="s">
        <v>83</v>
      </c>
      <c r="U525">
        <v>0</v>
      </c>
      <c r="V525">
        <v>0</v>
      </c>
      <c r="W525">
        <v>12357</v>
      </c>
    </row>
    <row r="526" spans="1:25" x14ac:dyDescent="0.25">
      <c r="A526" t="s">
        <v>887</v>
      </c>
      <c r="B526">
        <v>0</v>
      </c>
      <c r="C526" t="s">
        <v>855</v>
      </c>
      <c r="D526" t="s">
        <v>888</v>
      </c>
      <c r="E526" t="s">
        <v>179</v>
      </c>
      <c r="F526" t="s">
        <v>889</v>
      </c>
      <c r="G526" t="s">
        <v>84</v>
      </c>
      <c r="H526" t="s">
        <v>87</v>
      </c>
      <c r="I526" t="s">
        <v>903</v>
      </c>
      <c r="J526" t="s">
        <v>904</v>
      </c>
      <c r="K526" t="s">
        <v>82</v>
      </c>
      <c r="L526">
        <v>113916.25</v>
      </c>
      <c r="M526" t="s">
        <v>83</v>
      </c>
      <c r="U526">
        <v>0</v>
      </c>
      <c r="V526">
        <v>0</v>
      </c>
      <c r="W526">
        <v>114682.08887666666</v>
      </c>
    </row>
    <row r="527" spans="1:25" x14ac:dyDescent="0.25">
      <c r="A527" t="s">
        <v>887</v>
      </c>
      <c r="B527">
        <v>0</v>
      </c>
      <c r="C527" t="s">
        <v>855</v>
      </c>
      <c r="D527" t="s">
        <v>888</v>
      </c>
      <c r="E527" t="s">
        <v>179</v>
      </c>
      <c r="F527" t="s">
        <v>889</v>
      </c>
      <c r="G527" t="s">
        <v>84</v>
      </c>
      <c r="H527" t="s">
        <v>87</v>
      </c>
      <c r="I527" t="s">
        <v>887</v>
      </c>
      <c r="J527" t="s">
        <v>905</v>
      </c>
      <c r="K527" t="s">
        <v>82</v>
      </c>
      <c r="L527">
        <v>42051.68333</v>
      </c>
      <c r="M527" t="s">
        <v>83</v>
      </c>
      <c r="U527">
        <v>0</v>
      </c>
      <c r="V527">
        <v>0</v>
      </c>
      <c r="W527">
        <v>114682.08887666666</v>
      </c>
    </row>
    <row r="528" spans="1:25" x14ac:dyDescent="0.25">
      <c r="A528" t="s">
        <v>887</v>
      </c>
      <c r="B528">
        <v>1</v>
      </c>
      <c r="C528" t="s">
        <v>855</v>
      </c>
      <c r="D528" t="s">
        <v>888</v>
      </c>
      <c r="E528" t="s">
        <v>179</v>
      </c>
      <c r="F528" t="s">
        <v>889</v>
      </c>
      <c r="G528" t="s">
        <v>316</v>
      </c>
      <c r="H528" t="s">
        <v>87</v>
      </c>
      <c r="I528" t="s">
        <v>887</v>
      </c>
      <c r="J528" t="s">
        <v>906</v>
      </c>
      <c r="K528" t="s">
        <v>82</v>
      </c>
      <c r="L528">
        <v>188078.3333</v>
      </c>
      <c r="M528" t="s">
        <v>83</v>
      </c>
      <c r="N528">
        <v>114682.0889</v>
      </c>
      <c r="R528">
        <v>1</v>
      </c>
      <c r="U528">
        <v>0</v>
      </c>
      <c r="V528">
        <v>0</v>
      </c>
      <c r="W528">
        <v>114682.08887666666</v>
      </c>
      <c r="X528">
        <v>188078.3333</v>
      </c>
      <c r="Y528">
        <v>188078.3333</v>
      </c>
    </row>
    <row r="529" spans="1:25" x14ac:dyDescent="0.25">
      <c r="A529" t="s">
        <v>887</v>
      </c>
      <c r="B529">
        <v>0</v>
      </c>
      <c r="C529" t="s">
        <v>855</v>
      </c>
      <c r="D529" t="s">
        <v>888</v>
      </c>
      <c r="E529" t="s">
        <v>179</v>
      </c>
      <c r="F529" t="s">
        <v>889</v>
      </c>
      <c r="G529" t="s">
        <v>84</v>
      </c>
      <c r="H529" t="s">
        <v>98</v>
      </c>
      <c r="I529" t="s">
        <v>907</v>
      </c>
      <c r="J529" t="s">
        <v>908</v>
      </c>
      <c r="K529" t="s">
        <v>82</v>
      </c>
      <c r="L529">
        <v>50400</v>
      </c>
      <c r="M529" t="s">
        <v>83</v>
      </c>
      <c r="U529">
        <v>0</v>
      </c>
      <c r="V529">
        <v>0</v>
      </c>
      <c r="W529">
        <v>35100</v>
      </c>
    </row>
    <row r="530" spans="1:25" x14ac:dyDescent="0.25">
      <c r="A530" t="s">
        <v>887</v>
      </c>
      <c r="B530">
        <v>1</v>
      </c>
      <c r="C530" t="s">
        <v>855</v>
      </c>
      <c r="D530" t="s">
        <v>888</v>
      </c>
      <c r="E530" t="s">
        <v>179</v>
      </c>
      <c r="F530" t="s">
        <v>889</v>
      </c>
      <c r="G530" t="s">
        <v>909</v>
      </c>
      <c r="H530" t="s">
        <v>98</v>
      </c>
      <c r="I530" t="s">
        <v>910</v>
      </c>
      <c r="J530" t="s">
        <v>911</v>
      </c>
      <c r="K530" t="s">
        <v>82</v>
      </c>
      <c r="L530">
        <v>19800</v>
      </c>
      <c r="M530" t="s">
        <v>83</v>
      </c>
      <c r="N530">
        <v>35100</v>
      </c>
      <c r="U530">
        <v>0</v>
      </c>
      <c r="V530">
        <v>0</v>
      </c>
      <c r="W530">
        <v>35100</v>
      </c>
      <c r="X530">
        <v>19800</v>
      </c>
      <c r="Y530">
        <v>19800</v>
      </c>
    </row>
    <row r="531" spans="1:25" x14ac:dyDescent="0.25">
      <c r="A531" t="s">
        <v>912</v>
      </c>
      <c r="B531">
        <v>1</v>
      </c>
      <c r="C531" t="s">
        <v>855</v>
      </c>
      <c r="D531" t="s">
        <v>913</v>
      </c>
      <c r="E531" t="s">
        <v>179</v>
      </c>
      <c r="F531" t="s">
        <v>914</v>
      </c>
      <c r="G531" t="s">
        <v>221</v>
      </c>
      <c r="H531" t="s">
        <v>92</v>
      </c>
      <c r="I531" t="s">
        <v>915</v>
      </c>
      <c r="J531" t="s">
        <v>221</v>
      </c>
      <c r="K531" t="s">
        <v>82</v>
      </c>
      <c r="L531">
        <v>26860</v>
      </c>
      <c r="M531" t="s">
        <v>83</v>
      </c>
      <c r="N531">
        <v>29703.333330000001</v>
      </c>
      <c r="U531">
        <v>0</v>
      </c>
      <c r="V531">
        <v>0</v>
      </c>
      <c r="W531">
        <v>29703.333333333332</v>
      </c>
      <c r="X531">
        <v>26860</v>
      </c>
      <c r="Y531">
        <v>26860</v>
      </c>
    </row>
    <row r="532" spans="1:25" x14ac:dyDescent="0.25">
      <c r="A532" t="s">
        <v>912</v>
      </c>
      <c r="B532">
        <v>0</v>
      </c>
      <c r="C532" t="s">
        <v>855</v>
      </c>
      <c r="D532" t="s">
        <v>913</v>
      </c>
      <c r="E532" t="s">
        <v>179</v>
      </c>
      <c r="F532" t="s">
        <v>914</v>
      </c>
      <c r="G532" t="s">
        <v>84</v>
      </c>
      <c r="H532" t="s">
        <v>92</v>
      </c>
      <c r="I532" t="s">
        <v>181</v>
      </c>
      <c r="J532" t="s">
        <v>181</v>
      </c>
      <c r="K532" t="s">
        <v>82</v>
      </c>
      <c r="L532">
        <v>35140</v>
      </c>
      <c r="M532" t="s">
        <v>83</v>
      </c>
      <c r="U532">
        <v>0</v>
      </c>
      <c r="V532">
        <v>0</v>
      </c>
      <c r="W532">
        <v>29703.333333333332</v>
      </c>
    </row>
    <row r="533" spans="1:25" x14ac:dyDescent="0.25">
      <c r="A533" t="s">
        <v>912</v>
      </c>
      <c r="B533">
        <v>0</v>
      </c>
      <c r="C533" t="s">
        <v>855</v>
      </c>
      <c r="D533" t="s">
        <v>913</v>
      </c>
      <c r="E533" t="s">
        <v>179</v>
      </c>
      <c r="F533" t="s">
        <v>914</v>
      </c>
      <c r="G533" t="s">
        <v>84</v>
      </c>
      <c r="H533" t="s">
        <v>92</v>
      </c>
      <c r="I533" t="s">
        <v>916</v>
      </c>
      <c r="J533" t="s">
        <v>140</v>
      </c>
      <c r="K533" t="s">
        <v>82</v>
      </c>
      <c r="L533">
        <v>27110</v>
      </c>
      <c r="M533" t="s">
        <v>83</v>
      </c>
      <c r="S533">
        <v>1</v>
      </c>
      <c r="T533">
        <v>1</v>
      </c>
      <c r="U533">
        <v>0</v>
      </c>
      <c r="V533">
        <v>0</v>
      </c>
      <c r="W533">
        <v>29703.333333333332</v>
      </c>
    </row>
    <row r="534" spans="1:25" x14ac:dyDescent="0.25">
      <c r="A534" t="s">
        <v>912</v>
      </c>
      <c r="B534">
        <v>0</v>
      </c>
      <c r="C534" t="s">
        <v>855</v>
      </c>
      <c r="D534" t="s">
        <v>913</v>
      </c>
      <c r="E534" t="s">
        <v>179</v>
      </c>
      <c r="F534" t="s">
        <v>914</v>
      </c>
      <c r="G534" t="s">
        <v>84</v>
      </c>
      <c r="H534" t="s">
        <v>80</v>
      </c>
      <c r="I534" t="s">
        <v>912</v>
      </c>
      <c r="J534" t="s">
        <v>917</v>
      </c>
      <c r="K534" t="s">
        <v>82</v>
      </c>
      <c r="L534">
        <v>747478.50249999994</v>
      </c>
      <c r="M534" t="s">
        <v>83</v>
      </c>
      <c r="T534">
        <v>1</v>
      </c>
      <c r="U534">
        <v>0</v>
      </c>
      <c r="V534">
        <v>0</v>
      </c>
      <c r="W534">
        <v>874857.81183333334</v>
      </c>
    </row>
    <row r="535" spans="1:25" x14ac:dyDescent="0.25">
      <c r="A535" t="s">
        <v>912</v>
      </c>
      <c r="B535">
        <v>1</v>
      </c>
      <c r="C535" t="s">
        <v>855</v>
      </c>
      <c r="D535" t="s">
        <v>913</v>
      </c>
      <c r="E535" t="s">
        <v>179</v>
      </c>
      <c r="F535" t="s">
        <v>914</v>
      </c>
      <c r="G535" t="s">
        <v>167</v>
      </c>
      <c r="H535" t="s">
        <v>80</v>
      </c>
      <c r="I535" t="s">
        <v>912</v>
      </c>
      <c r="J535" t="s">
        <v>918</v>
      </c>
      <c r="K535" t="s">
        <v>82</v>
      </c>
      <c r="L535">
        <v>1004959.898</v>
      </c>
      <c r="M535" t="s">
        <v>83</v>
      </c>
      <c r="N535">
        <v>874857.81169999996</v>
      </c>
      <c r="U535">
        <v>0</v>
      </c>
      <c r="V535">
        <v>0</v>
      </c>
      <c r="W535">
        <v>874857.81183333334</v>
      </c>
      <c r="X535">
        <v>1004959.898</v>
      </c>
      <c r="Y535">
        <v>1004959.898</v>
      </c>
    </row>
    <row r="536" spans="1:25" x14ac:dyDescent="0.25">
      <c r="A536" t="s">
        <v>912</v>
      </c>
      <c r="B536">
        <v>0</v>
      </c>
      <c r="C536" t="s">
        <v>855</v>
      </c>
      <c r="D536" t="s">
        <v>913</v>
      </c>
      <c r="E536" t="s">
        <v>179</v>
      </c>
      <c r="F536" t="s">
        <v>914</v>
      </c>
      <c r="G536" t="s">
        <v>84</v>
      </c>
      <c r="H536" t="s">
        <v>80</v>
      </c>
      <c r="I536" t="s">
        <v>912</v>
      </c>
      <c r="J536" t="s">
        <v>919</v>
      </c>
      <c r="K536" t="s">
        <v>82</v>
      </c>
      <c r="L536">
        <v>872135.03500000003</v>
      </c>
      <c r="M536" t="s">
        <v>83</v>
      </c>
      <c r="U536">
        <v>0</v>
      </c>
      <c r="V536">
        <v>0</v>
      </c>
      <c r="W536">
        <v>874857.81183333334</v>
      </c>
    </row>
    <row r="537" spans="1:25" x14ac:dyDescent="0.25">
      <c r="A537" t="s">
        <v>912</v>
      </c>
      <c r="B537">
        <v>0</v>
      </c>
      <c r="C537" t="s">
        <v>855</v>
      </c>
      <c r="D537" t="s">
        <v>913</v>
      </c>
      <c r="E537" t="s">
        <v>179</v>
      </c>
      <c r="F537" t="s">
        <v>914</v>
      </c>
      <c r="G537" t="s">
        <v>84</v>
      </c>
      <c r="H537" t="s">
        <v>106</v>
      </c>
      <c r="I537" t="s">
        <v>912</v>
      </c>
      <c r="J537" t="s">
        <v>920</v>
      </c>
      <c r="K537" t="s">
        <v>82</v>
      </c>
      <c r="L537">
        <v>7089.75</v>
      </c>
      <c r="M537" t="s">
        <v>83</v>
      </c>
      <c r="T537">
        <v>1</v>
      </c>
      <c r="U537">
        <v>0</v>
      </c>
      <c r="V537">
        <v>0</v>
      </c>
      <c r="W537">
        <v>9665.6924999999992</v>
      </c>
    </row>
    <row r="538" spans="1:25" x14ac:dyDescent="0.25">
      <c r="A538" t="s">
        <v>912</v>
      </c>
      <c r="B538">
        <v>1</v>
      </c>
      <c r="C538" t="s">
        <v>855</v>
      </c>
      <c r="D538" t="s">
        <v>913</v>
      </c>
      <c r="E538" t="s">
        <v>179</v>
      </c>
      <c r="F538" t="s">
        <v>914</v>
      </c>
      <c r="G538" t="s">
        <v>167</v>
      </c>
      <c r="H538" t="s">
        <v>106</v>
      </c>
      <c r="I538" t="s">
        <v>912</v>
      </c>
      <c r="J538" t="s">
        <v>921</v>
      </c>
      <c r="K538" t="s">
        <v>82</v>
      </c>
      <c r="L538">
        <v>11453.885</v>
      </c>
      <c r="M538" t="s">
        <v>83</v>
      </c>
      <c r="N538">
        <v>9665.6924999999992</v>
      </c>
      <c r="U538">
        <v>0</v>
      </c>
      <c r="V538">
        <v>0</v>
      </c>
      <c r="W538">
        <v>9665.6924999999992</v>
      </c>
      <c r="X538">
        <v>11453.885</v>
      </c>
      <c r="Y538">
        <v>11453.885</v>
      </c>
    </row>
    <row r="539" spans="1:25" x14ac:dyDescent="0.25">
      <c r="A539" t="s">
        <v>912</v>
      </c>
      <c r="B539">
        <v>0</v>
      </c>
      <c r="C539" t="s">
        <v>855</v>
      </c>
      <c r="D539" t="s">
        <v>913</v>
      </c>
      <c r="E539" t="s">
        <v>179</v>
      </c>
      <c r="F539" t="s">
        <v>914</v>
      </c>
      <c r="G539" t="s">
        <v>84</v>
      </c>
      <c r="H539" t="s">
        <v>106</v>
      </c>
      <c r="I539" t="s">
        <v>912</v>
      </c>
      <c r="J539" t="s">
        <v>922</v>
      </c>
      <c r="K539" t="s">
        <v>82</v>
      </c>
      <c r="L539">
        <v>10453.442499999999</v>
      </c>
      <c r="M539" t="s">
        <v>83</v>
      </c>
      <c r="U539">
        <v>0</v>
      </c>
      <c r="V539">
        <v>0</v>
      </c>
      <c r="W539">
        <v>9665.6924999999992</v>
      </c>
    </row>
    <row r="540" spans="1:25" x14ac:dyDescent="0.25">
      <c r="A540" t="s">
        <v>912</v>
      </c>
      <c r="B540">
        <v>0</v>
      </c>
      <c r="C540" t="s">
        <v>855</v>
      </c>
      <c r="D540" t="s">
        <v>913</v>
      </c>
      <c r="E540" t="s">
        <v>179</v>
      </c>
      <c r="F540" t="s">
        <v>914</v>
      </c>
      <c r="G540" t="s">
        <v>84</v>
      </c>
      <c r="H540" t="s">
        <v>110</v>
      </c>
      <c r="I540" t="s">
        <v>912</v>
      </c>
      <c r="J540" t="s">
        <v>923</v>
      </c>
      <c r="K540" t="s">
        <v>82</v>
      </c>
      <c r="L540">
        <v>16256</v>
      </c>
      <c r="M540" t="s">
        <v>83</v>
      </c>
      <c r="T540">
        <v>1</v>
      </c>
      <c r="U540">
        <v>0</v>
      </c>
      <c r="V540">
        <v>0</v>
      </c>
      <c r="W540">
        <v>13940.666666666666</v>
      </c>
    </row>
    <row r="541" spans="1:25" x14ac:dyDescent="0.25">
      <c r="A541" t="s">
        <v>912</v>
      </c>
      <c r="B541">
        <v>1</v>
      </c>
      <c r="C541" t="s">
        <v>855</v>
      </c>
      <c r="D541" t="s">
        <v>913</v>
      </c>
      <c r="E541" t="s">
        <v>179</v>
      </c>
      <c r="F541" t="s">
        <v>914</v>
      </c>
      <c r="G541" t="s">
        <v>167</v>
      </c>
      <c r="H541" t="s">
        <v>110</v>
      </c>
      <c r="I541" t="s">
        <v>912</v>
      </c>
      <c r="J541" t="s">
        <v>924</v>
      </c>
      <c r="K541" t="s">
        <v>82</v>
      </c>
      <c r="L541">
        <v>9828</v>
      </c>
      <c r="M541" t="s">
        <v>83</v>
      </c>
      <c r="N541">
        <v>13940.666670000001</v>
      </c>
      <c r="U541">
        <v>0</v>
      </c>
      <c r="V541">
        <v>0</v>
      </c>
      <c r="W541">
        <v>13940.666666666666</v>
      </c>
      <c r="X541">
        <v>9828</v>
      </c>
      <c r="Y541">
        <v>9828</v>
      </c>
    </row>
    <row r="542" spans="1:25" x14ac:dyDescent="0.25">
      <c r="A542" t="s">
        <v>912</v>
      </c>
      <c r="B542">
        <v>0</v>
      </c>
      <c r="C542" t="s">
        <v>855</v>
      </c>
      <c r="D542" t="s">
        <v>913</v>
      </c>
      <c r="E542" t="s">
        <v>179</v>
      </c>
      <c r="F542" t="s">
        <v>914</v>
      </c>
      <c r="G542" t="s">
        <v>84</v>
      </c>
      <c r="H542" t="s">
        <v>110</v>
      </c>
      <c r="I542" t="s">
        <v>912</v>
      </c>
      <c r="J542" t="s">
        <v>925</v>
      </c>
      <c r="K542" t="s">
        <v>82</v>
      </c>
      <c r="L542">
        <v>15738</v>
      </c>
      <c r="M542" t="s">
        <v>83</v>
      </c>
      <c r="U542">
        <v>0</v>
      </c>
      <c r="V542">
        <v>0</v>
      </c>
      <c r="W542">
        <v>13940.666666666666</v>
      </c>
    </row>
    <row r="543" spans="1:25" x14ac:dyDescent="0.25">
      <c r="A543" t="s">
        <v>912</v>
      </c>
      <c r="B543">
        <v>1</v>
      </c>
      <c r="C543" t="s">
        <v>855</v>
      </c>
      <c r="D543" t="s">
        <v>913</v>
      </c>
      <c r="E543" t="s">
        <v>179</v>
      </c>
      <c r="F543" t="s">
        <v>914</v>
      </c>
      <c r="G543" t="s">
        <v>243</v>
      </c>
      <c r="H543" t="s">
        <v>87</v>
      </c>
      <c r="I543" t="s">
        <v>912</v>
      </c>
      <c r="J543" t="s">
        <v>926</v>
      </c>
      <c r="K543" t="s">
        <v>82</v>
      </c>
      <c r="L543">
        <v>126939.1667</v>
      </c>
      <c r="M543" t="s">
        <v>83</v>
      </c>
      <c r="N543">
        <v>115215.8</v>
      </c>
      <c r="U543">
        <v>0</v>
      </c>
      <c r="V543">
        <v>0</v>
      </c>
      <c r="W543">
        <v>115215.80002333333</v>
      </c>
      <c r="X543">
        <v>126939.1667</v>
      </c>
      <c r="Y543">
        <v>126939.1667</v>
      </c>
    </row>
    <row r="544" spans="1:25" x14ac:dyDescent="0.25">
      <c r="A544" t="s">
        <v>912</v>
      </c>
      <c r="B544">
        <v>0</v>
      </c>
      <c r="C544" t="s">
        <v>855</v>
      </c>
      <c r="D544" t="s">
        <v>913</v>
      </c>
      <c r="E544" t="s">
        <v>179</v>
      </c>
      <c r="F544" t="s">
        <v>914</v>
      </c>
      <c r="G544" t="s">
        <v>84</v>
      </c>
      <c r="H544" t="s">
        <v>87</v>
      </c>
      <c r="I544" t="s">
        <v>912</v>
      </c>
      <c r="J544" t="s">
        <v>927</v>
      </c>
      <c r="K544" t="s">
        <v>82</v>
      </c>
      <c r="L544">
        <v>98974.166670000006</v>
      </c>
      <c r="M544" t="s">
        <v>83</v>
      </c>
      <c r="U544">
        <v>0</v>
      </c>
      <c r="V544">
        <v>0</v>
      </c>
      <c r="W544">
        <v>115215.80002333333</v>
      </c>
    </row>
    <row r="545" spans="1:25" x14ac:dyDescent="0.25">
      <c r="A545" t="s">
        <v>912</v>
      </c>
      <c r="B545">
        <v>0</v>
      </c>
      <c r="C545" t="s">
        <v>855</v>
      </c>
      <c r="D545" t="s">
        <v>913</v>
      </c>
      <c r="E545" t="s">
        <v>179</v>
      </c>
      <c r="F545" t="s">
        <v>914</v>
      </c>
      <c r="G545" t="s">
        <v>84</v>
      </c>
      <c r="H545" t="s">
        <v>87</v>
      </c>
      <c r="I545" t="s">
        <v>912</v>
      </c>
      <c r="J545" t="s">
        <v>928</v>
      </c>
      <c r="K545" t="s">
        <v>82</v>
      </c>
      <c r="L545">
        <v>119734.0667</v>
      </c>
      <c r="M545" t="s">
        <v>83</v>
      </c>
      <c r="U545">
        <v>0</v>
      </c>
      <c r="V545">
        <v>0</v>
      </c>
      <c r="W545">
        <v>115215.80002333333</v>
      </c>
    </row>
    <row r="546" spans="1:25" x14ac:dyDescent="0.25">
      <c r="A546" t="s">
        <v>912</v>
      </c>
      <c r="B546">
        <v>1</v>
      </c>
      <c r="C546" t="s">
        <v>855</v>
      </c>
      <c r="D546" t="s">
        <v>913</v>
      </c>
      <c r="E546" t="s">
        <v>179</v>
      </c>
      <c r="F546" t="s">
        <v>914</v>
      </c>
      <c r="G546" t="s">
        <v>693</v>
      </c>
      <c r="H546" t="s">
        <v>98</v>
      </c>
      <c r="I546" t="s">
        <v>929</v>
      </c>
      <c r="J546" t="s">
        <v>930</v>
      </c>
      <c r="K546" t="s">
        <v>82</v>
      </c>
      <c r="L546">
        <v>61200</v>
      </c>
      <c r="M546" t="s">
        <v>83</v>
      </c>
      <c r="N546">
        <v>55050</v>
      </c>
      <c r="S546">
        <v>1</v>
      </c>
      <c r="U546">
        <v>0</v>
      </c>
      <c r="V546">
        <v>0</v>
      </c>
      <c r="W546">
        <v>55050</v>
      </c>
      <c r="X546">
        <v>61200</v>
      </c>
      <c r="Y546">
        <v>61200</v>
      </c>
    </row>
    <row r="547" spans="1:25" x14ac:dyDescent="0.25">
      <c r="A547" t="s">
        <v>912</v>
      </c>
      <c r="B547">
        <v>0</v>
      </c>
      <c r="C547" t="s">
        <v>855</v>
      </c>
      <c r="D547" t="s">
        <v>913</v>
      </c>
      <c r="E547" t="s">
        <v>179</v>
      </c>
      <c r="F547" t="s">
        <v>914</v>
      </c>
      <c r="G547" t="s">
        <v>84</v>
      </c>
      <c r="H547" t="s">
        <v>98</v>
      </c>
      <c r="I547" t="s">
        <v>931</v>
      </c>
      <c r="J547" t="s">
        <v>932</v>
      </c>
      <c r="K547" t="s">
        <v>82</v>
      </c>
      <c r="L547">
        <v>48900</v>
      </c>
      <c r="M547" t="s">
        <v>83</v>
      </c>
      <c r="S547">
        <v>1</v>
      </c>
      <c r="U547">
        <v>0</v>
      </c>
      <c r="V547">
        <v>0</v>
      </c>
      <c r="W547">
        <v>55050</v>
      </c>
    </row>
    <row r="548" spans="1:25" x14ac:dyDescent="0.25">
      <c r="A548" t="s">
        <v>912</v>
      </c>
      <c r="B548">
        <v>0</v>
      </c>
      <c r="C548" t="s">
        <v>855</v>
      </c>
      <c r="D548" t="s">
        <v>913</v>
      </c>
      <c r="E548" t="s">
        <v>179</v>
      </c>
      <c r="F548" t="s">
        <v>914</v>
      </c>
      <c r="G548" t="s">
        <v>84</v>
      </c>
      <c r="H548" t="s">
        <v>121</v>
      </c>
      <c r="I548" t="s">
        <v>912</v>
      </c>
      <c r="J548" t="s">
        <v>933</v>
      </c>
      <c r="K548" t="s">
        <v>82</v>
      </c>
      <c r="L548">
        <v>105544.1578</v>
      </c>
      <c r="M548" t="s">
        <v>83</v>
      </c>
      <c r="T548">
        <v>1</v>
      </c>
      <c r="U548">
        <v>0</v>
      </c>
      <c r="V548">
        <v>0</v>
      </c>
      <c r="W548">
        <v>128176.29536666667</v>
      </c>
    </row>
    <row r="549" spans="1:25" x14ac:dyDescent="0.25">
      <c r="A549" t="s">
        <v>912</v>
      </c>
      <c r="B549">
        <v>1</v>
      </c>
      <c r="C549" t="s">
        <v>855</v>
      </c>
      <c r="D549" t="s">
        <v>913</v>
      </c>
      <c r="E549" t="s">
        <v>179</v>
      </c>
      <c r="F549" t="s">
        <v>914</v>
      </c>
      <c r="G549" t="s">
        <v>436</v>
      </c>
      <c r="H549" t="s">
        <v>121</v>
      </c>
      <c r="I549" t="s">
        <v>934</v>
      </c>
      <c r="J549" t="s">
        <v>935</v>
      </c>
      <c r="K549" t="s">
        <v>82</v>
      </c>
      <c r="L549">
        <v>133961.44750000001</v>
      </c>
      <c r="M549" t="s">
        <v>83</v>
      </c>
      <c r="N549">
        <v>128176.2954</v>
      </c>
      <c r="P549">
        <v>1</v>
      </c>
      <c r="U549">
        <v>0</v>
      </c>
      <c r="V549">
        <v>0</v>
      </c>
      <c r="W549">
        <v>128176.29536666667</v>
      </c>
      <c r="X549">
        <v>133961.44750000001</v>
      </c>
      <c r="Y549">
        <v>133961.44750000001</v>
      </c>
    </row>
    <row r="550" spans="1:25" x14ac:dyDescent="0.25">
      <c r="A550" t="s">
        <v>912</v>
      </c>
      <c r="B550">
        <v>0</v>
      </c>
      <c r="C550" t="s">
        <v>855</v>
      </c>
      <c r="D550" t="s">
        <v>913</v>
      </c>
      <c r="E550" t="s">
        <v>179</v>
      </c>
      <c r="F550" t="s">
        <v>914</v>
      </c>
      <c r="G550" t="s">
        <v>84</v>
      </c>
      <c r="H550" t="s">
        <v>121</v>
      </c>
      <c r="I550" t="s">
        <v>936</v>
      </c>
      <c r="J550" t="s">
        <v>937</v>
      </c>
      <c r="K550" t="s">
        <v>82</v>
      </c>
      <c r="L550">
        <v>145023.28080000001</v>
      </c>
      <c r="M550" t="s">
        <v>83</v>
      </c>
      <c r="O550">
        <v>1</v>
      </c>
      <c r="U550">
        <v>145023.28080000001</v>
      </c>
      <c r="V550">
        <v>0</v>
      </c>
      <c r="W550">
        <v>128176.29536666667</v>
      </c>
    </row>
    <row r="551" spans="1:25" x14ac:dyDescent="0.25">
      <c r="A551" t="s">
        <v>912</v>
      </c>
      <c r="B551">
        <v>0</v>
      </c>
      <c r="C551" t="s">
        <v>855</v>
      </c>
      <c r="D551" t="s">
        <v>913</v>
      </c>
      <c r="E551" t="s">
        <v>179</v>
      </c>
      <c r="F551" t="s">
        <v>914</v>
      </c>
      <c r="G551" t="s">
        <v>84</v>
      </c>
      <c r="H551" t="s">
        <v>114</v>
      </c>
      <c r="I551" t="s">
        <v>912</v>
      </c>
      <c r="J551" t="s">
        <v>938</v>
      </c>
      <c r="K551" t="s">
        <v>82</v>
      </c>
      <c r="L551">
        <v>23500</v>
      </c>
      <c r="M551" t="s">
        <v>83</v>
      </c>
      <c r="T551">
        <v>1</v>
      </c>
      <c r="U551">
        <v>0</v>
      </c>
      <c r="V551">
        <v>0</v>
      </c>
      <c r="W551">
        <v>30533.333333333332</v>
      </c>
    </row>
    <row r="552" spans="1:25" x14ac:dyDescent="0.25">
      <c r="A552" t="s">
        <v>912</v>
      </c>
      <c r="B552">
        <v>1</v>
      </c>
      <c r="C552" t="s">
        <v>855</v>
      </c>
      <c r="D552" t="s">
        <v>913</v>
      </c>
      <c r="E552" t="s">
        <v>179</v>
      </c>
      <c r="F552" t="s">
        <v>914</v>
      </c>
      <c r="G552" t="s">
        <v>436</v>
      </c>
      <c r="H552" t="s">
        <v>114</v>
      </c>
      <c r="I552" t="s">
        <v>934</v>
      </c>
      <c r="J552" t="s">
        <v>939</v>
      </c>
      <c r="K552" t="s">
        <v>82</v>
      </c>
      <c r="L552">
        <v>36150</v>
      </c>
      <c r="M552" t="s">
        <v>83</v>
      </c>
      <c r="N552">
        <v>30533.333330000001</v>
      </c>
      <c r="P552">
        <v>1</v>
      </c>
      <c r="U552">
        <v>0</v>
      </c>
      <c r="V552">
        <v>0</v>
      </c>
      <c r="W552">
        <v>30533.333333333332</v>
      </c>
      <c r="X552">
        <v>36150</v>
      </c>
      <c r="Y552">
        <v>36150</v>
      </c>
    </row>
    <row r="553" spans="1:25" x14ac:dyDescent="0.25">
      <c r="A553" t="s">
        <v>912</v>
      </c>
      <c r="B553">
        <v>0</v>
      </c>
      <c r="C553" t="s">
        <v>855</v>
      </c>
      <c r="D553" t="s">
        <v>913</v>
      </c>
      <c r="E553" t="s">
        <v>179</v>
      </c>
      <c r="F553" t="s">
        <v>914</v>
      </c>
      <c r="G553" t="s">
        <v>84</v>
      </c>
      <c r="H553" t="s">
        <v>114</v>
      </c>
      <c r="I553" t="s">
        <v>936</v>
      </c>
      <c r="J553" t="s">
        <v>940</v>
      </c>
      <c r="K553" t="s">
        <v>82</v>
      </c>
      <c r="L553">
        <v>31950</v>
      </c>
      <c r="M553" t="s">
        <v>83</v>
      </c>
      <c r="O553">
        <v>1</v>
      </c>
      <c r="U553">
        <v>31950</v>
      </c>
      <c r="V553">
        <v>0</v>
      </c>
      <c r="W553">
        <v>30533.333333333332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50CB-CBFF-44E9-A14F-3DB4B2A6851D}">
  <sheetPr codeName="Sheet5" filterMode="1"/>
  <dimension ref="A1:M20"/>
  <sheetViews>
    <sheetView topLeftCell="G12" workbookViewId="0">
      <selection activeCell="T36" sqref="T36"/>
    </sheetView>
  </sheetViews>
  <sheetFormatPr defaultRowHeight="15" x14ac:dyDescent="0.25"/>
  <cols>
    <col min="1" max="1" width="23.42578125" bestFit="1" customWidth="1"/>
    <col min="2" max="2" width="16.7109375" bestFit="1" customWidth="1"/>
    <col min="3" max="3" width="26.28515625" bestFit="1" customWidth="1"/>
    <col min="4" max="4" width="26.42578125" style="18" bestFit="1" customWidth="1"/>
    <col min="5" max="5" width="17" bestFit="1" customWidth="1"/>
    <col min="7" max="7" width="17.85546875" bestFit="1" customWidth="1"/>
    <col min="8" max="8" width="25" bestFit="1" customWidth="1"/>
    <col min="9" max="9" width="26.42578125" bestFit="1" customWidth="1"/>
    <col min="12" max="12" width="10.140625" style="7" bestFit="1" customWidth="1"/>
    <col min="13" max="13" width="13.42578125" style="7" bestFit="1" customWidth="1"/>
  </cols>
  <sheetData>
    <row r="1" spans="1:13" x14ac:dyDescent="0.25">
      <c r="A1" s="2" t="s">
        <v>941</v>
      </c>
      <c r="B1" s="17" t="s">
        <v>1145</v>
      </c>
      <c r="C1" s="17" t="s">
        <v>1149</v>
      </c>
      <c r="D1" t="s">
        <v>1150</v>
      </c>
      <c r="E1" t="s">
        <v>1167</v>
      </c>
      <c r="G1" s="2" t="s">
        <v>941</v>
      </c>
      <c r="H1" t="s">
        <v>1149</v>
      </c>
      <c r="I1" t="s">
        <v>1150</v>
      </c>
      <c r="K1" t="s">
        <v>1360</v>
      </c>
      <c r="L1" s="7" t="s">
        <v>1126</v>
      </c>
      <c r="M1" s="7" t="s">
        <v>1361</v>
      </c>
    </row>
    <row r="2" spans="1:13" x14ac:dyDescent="0.25">
      <c r="A2" s="3" t="s">
        <v>92</v>
      </c>
      <c r="B2" s="17">
        <v>2663120</v>
      </c>
      <c r="C2" s="17">
        <v>434880</v>
      </c>
      <c r="D2">
        <v>225190</v>
      </c>
      <c r="E2">
        <v>1127400</v>
      </c>
      <c r="G2" s="3" t="s">
        <v>260</v>
      </c>
      <c r="H2">
        <v>2723028.4667999996</v>
      </c>
      <c r="I2">
        <v>1002751.0368</v>
      </c>
      <c r="K2" t="str">
        <f t="shared" ref="K2:M8" si="0">G2</f>
        <v>Aster PPK</v>
      </c>
      <c r="L2" s="7">
        <f t="shared" si="0"/>
        <v>2723028.4667999996</v>
      </c>
      <c r="M2" s="18">
        <f t="shared" si="0"/>
        <v>1002751.0368</v>
      </c>
    </row>
    <row r="3" spans="1:13" x14ac:dyDescent="0.25">
      <c r="A3" s="3" t="s">
        <v>185</v>
      </c>
      <c r="B3" s="17">
        <v>335817.82500000007</v>
      </c>
      <c r="C3" s="17">
        <v>74757.475000000006</v>
      </c>
      <c r="D3">
        <v>36236.5</v>
      </c>
      <c r="E3">
        <v>124070.62499999999</v>
      </c>
      <c r="G3" s="3" t="s">
        <v>338</v>
      </c>
      <c r="H3">
        <v>1746051.3833999997</v>
      </c>
      <c r="I3">
        <v>833932.81</v>
      </c>
      <c r="K3" t="str">
        <f t="shared" si="0"/>
        <v>Cantor Asia Media</v>
      </c>
      <c r="L3" s="7">
        <f t="shared" si="0"/>
        <v>1746051.3833999997</v>
      </c>
      <c r="M3" s="18">
        <f t="shared" si="0"/>
        <v>833932.81</v>
      </c>
    </row>
    <row r="4" spans="1:13" x14ac:dyDescent="0.25">
      <c r="A4" s="3" t="s">
        <v>87</v>
      </c>
      <c r="B4" s="17">
        <v>9593788.0501599964</v>
      </c>
      <c r="C4" s="17">
        <v>0</v>
      </c>
      <c r="D4">
        <v>0</v>
      </c>
      <c r="E4">
        <v>3528420.8166499995</v>
      </c>
      <c r="G4" s="3" t="s">
        <v>552</v>
      </c>
      <c r="H4">
        <v>920570.1642</v>
      </c>
      <c r="I4">
        <v>183460</v>
      </c>
      <c r="K4" t="str">
        <f t="shared" si="0"/>
        <v>Geoffrey Monty Allen</v>
      </c>
      <c r="L4" s="7">
        <f t="shared" si="0"/>
        <v>920570.1642</v>
      </c>
      <c r="M4" s="18">
        <f t="shared" si="0"/>
        <v>183460</v>
      </c>
    </row>
    <row r="5" spans="1:13" hidden="1" x14ac:dyDescent="0.25">
      <c r="A5" s="3" t="s">
        <v>80</v>
      </c>
      <c r="B5" s="17">
        <v>64143458.573999971</v>
      </c>
      <c r="C5" s="17">
        <v>8828244.7537999991</v>
      </c>
      <c r="D5">
        <v>3126995.7892000005</v>
      </c>
      <c r="E5">
        <v>23213713.090700001</v>
      </c>
      <c r="G5" s="3" t="s">
        <v>472</v>
      </c>
      <c r="H5">
        <v>0</v>
      </c>
      <c r="I5">
        <v>0</v>
      </c>
      <c r="K5" t="str">
        <f t="shared" si="0"/>
        <v>Idea Manufacturing</v>
      </c>
      <c r="L5" s="7">
        <f t="shared" si="0"/>
        <v>0</v>
      </c>
      <c r="M5" s="18">
        <f t="shared" si="0"/>
        <v>0</v>
      </c>
    </row>
    <row r="6" spans="1:13" x14ac:dyDescent="0.25">
      <c r="A6" s="3" t="s">
        <v>98</v>
      </c>
      <c r="B6" s="17">
        <v>2500550</v>
      </c>
      <c r="C6" s="17">
        <v>49250</v>
      </c>
      <c r="D6">
        <v>49250</v>
      </c>
      <c r="E6">
        <v>1107850</v>
      </c>
      <c r="G6" s="3" t="s">
        <v>77</v>
      </c>
      <c r="H6">
        <v>1691093.3244999999</v>
      </c>
      <c r="I6">
        <v>1004228.3278</v>
      </c>
      <c r="K6" t="str">
        <f t="shared" si="0"/>
        <v>Korea SMB</v>
      </c>
      <c r="L6" s="7">
        <f t="shared" si="0"/>
        <v>1691093.3244999999</v>
      </c>
      <c r="M6" s="33">
        <f t="shared" si="0"/>
        <v>1004228.3278</v>
      </c>
    </row>
    <row r="7" spans="1:13" x14ac:dyDescent="0.25">
      <c r="A7" s="3" t="s">
        <v>110</v>
      </c>
      <c r="B7" s="17">
        <v>825054</v>
      </c>
      <c r="C7" s="17">
        <v>140452</v>
      </c>
      <c r="D7">
        <v>51526</v>
      </c>
      <c r="E7">
        <v>295508</v>
      </c>
      <c r="G7" s="3" t="s">
        <v>137</v>
      </c>
      <c r="H7">
        <v>1378028.8352999999</v>
      </c>
      <c r="I7">
        <v>49250</v>
      </c>
      <c r="K7" t="str">
        <f t="shared" si="0"/>
        <v>Last Station Group</v>
      </c>
      <c r="L7" s="7">
        <f t="shared" si="0"/>
        <v>1378028.8352999999</v>
      </c>
      <c r="M7" s="18">
        <f t="shared" si="0"/>
        <v>49250</v>
      </c>
    </row>
    <row r="8" spans="1:13" x14ac:dyDescent="0.25">
      <c r="A8" s="3" t="s">
        <v>125</v>
      </c>
      <c r="B8" s="17">
        <v>697000</v>
      </c>
      <c r="C8" s="17">
        <v>8600</v>
      </c>
      <c r="D8">
        <v>0</v>
      </c>
      <c r="E8">
        <v>231750</v>
      </c>
      <c r="G8" s="3" t="s">
        <v>179</v>
      </c>
      <c r="H8">
        <v>1943021.7769000002</v>
      </c>
      <c r="I8">
        <v>636924.79379999998</v>
      </c>
      <c r="K8" t="str">
        <f t="shared" si="0"/>
        <v>Top Notch Creative</v>
      </c>
      <c r="L8" s="7">
        <f t="shared" si="0"/>
        <v>1943021.7769000002</v>
      </c>
      <c r="M8" s="18">
        <f t="shared" si="0"/>
        <v>636924.79379999998</v>
      </c>
    </row>
    <row r="9" spans="1:13" x14ac:dyDescent="0.25">
      <c r="A9" s="3" t="s">
        <v>114</v>
      </c>
      <c r="B9" s="17">
        <v>830150</v>
      </c>
      <c r="C9" s="17">
        <v>114250</v>
      </c>
      <c r="D9">
        <v>12500</v>
      </c>
      <c r="E9">
        <v>311500</v>
      </c>
      <c r="G9" s="3" t="s">
        <v>942</v>
      </c>
      <c r="H9">
        <v>10401793.951100001</v>
      </c>
      <c r="I9">
        <v>3710546.9684000001</v>
      </c>
    </row>
    <row r="10" spans="1:13" x14ac:dyDescent="0.25">
      <c r="A10" s="3" t="s">
        <v>106</v>
      </c>
      <c r="B10" s="17">
        <v>571764.70500000019</v>
      </c>
      <c r="C10" s="17">
        <v>90725.167499999981</v>
      </c>
      <c r="D10">
        <v>21025.047500000001</v>
      </c>
      <c r="E10">
        <v>192053.45</v>
      </c>
    </row>
    <row r="11" spans="1:13" x14ac:dyDescent="0.25">
      <c r="A11" s="3" t="s">
        <v>121</v>
      </c>
      <c r="B11" s="17">
        <v>3693749.9495000001</v>
      </c>
      <c r="C11" s="17">
        <v>660634.55480000004</v>
      </c>
      <c r="D11">
        <v>187823.6317</v>
      </c>
      <c r="E11">
        <v>1420184.0786000001</v>
      </c>
    </row>
    <row r="12" spans="1:13" x14ac:dyDescent="0.25">
      <c r="A12" s="3" t="s">
        <v>151</v>
      </c>
      <c r="B12" s="17">
        <v>1429070.5</v>
      </c>
      <c r="C12" s="17">
        <v>0</v>
      </c>
      <c r="D12">
        <v>0</v>
      </c>
      <c r="E12">
        <v>575991</v>
      </c>
    </row>
    <row r="13" spans="1:13" x14ac:dyDescent="0.25">
      <c r="A13" s="3" t="s">
        <v>942</v>
      </c>
      <c r="B13" s="17">
        <v>87283523.603659958</v>
      </c>
      <c r="C13" s="17">
        <v>10401793.951099999</v>
      </c>
      <c r="D13">
        <v>3710546.9684000001</v>
      </c>
      <c r="E13">
        <v>32128441.06095</v>
      </c>
    </row>
    <row r="18" spans="8:9" x14ac:dyDescent="0.25">
      <c r="H18" t="s">
        <v>1364</v>
      </c>
      <c r="I18">
        <v>10000</v>
      </c>
    </row>
    <row r="19" spans="8:9" x14ac:dyDescent="0.25">
      <c r="H19" t="s">
        <v>1361</v>
      </c>
      <c r="I19">
        <v>3000</v>
      </c>
    </row>
    <row r="20" spans="8:9" x14ac:dyDescent="0.25">
      <c r="H20" t="s">
        <v>1365</v>
      </c>
      <c r="I20">
        <v>254</v>
      </c>
    </row>
  </sheetData>
  <autoFilter ref="K1:M8" xr:uid="{CE5250CB-CBFF-44E9-A14F-3DB4B2A6851D}">
    <filterColumn colId="2">
      <filters>
        <filter val="$1,002,751.04"/>
        <filter val="$1,004,228.33"/>
        <filter val="$183,460.00"/>
        <filter val="$49,250.00"/>
        <filter val="$636,924.79"/>
        <filter val="$833,932.81"/>
      </filters>
    </filterColumn>
    <sortState xmlns:xlrd2="http://schemas.microsoft.com/office/spreadsheetml/2017/richdata2" ref="K2:M8">
      <sortCondition ref="L1:L8"/>
    </sortState>
  </autoFilter>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4486-0E83-4AFA-9E80-46350B18BD0E}">
  <sheetPr codeName="Sheet6"/>
  <dimension ref="A1:P50"/>
  <sheetViews>
    <sheetView workbookViewId="0">
      <selection activeCell="F27" sqref="F27:I40"/>
    </sheetView>
  </sheetViews>
  <sheetFormatPr defaultRowHeight="15" x14ac:dyDescent="0.25"/>
  <cols>
    <col min="2" max="2" width="21.85546875" bestFit="1" customWidth="1"/>
    <col min="6" max="7" width="20.5703125" bestFit="1" customWidth="1"/>
  </cols>
  <sheetData>
    <row r="1" spans="1:15" x14ac:dyDescent="0.25">
      <c r="A1" t="s">
        <v>1022</v>
      </c>
      <c r="B1" t="s">
        <v>1023</v>
      </c>
      <c r="C1" t="s">
        <v>1024</v>
      </c>
      <c r="D1" t="s">
        <v>1025</v>
      </c>
      <c r="F1" t="s">
        <v>1022</v>
      </c>
      <c r="G1" t="s">
        <v>1023</v>
      </c>
      <c r="H1" t="s">
        <v>1024</v>
      </c>
      <c r="I1" t="s">
        <v>1025</v>
      </c>
    </row>
    <row r="2" spans="1:15" x14ac:dyDescent="0.25">
      <c r="A2" t="s">
        <v>1125</v>
      </c>
      <c r="B2" s="13" t="s">
        <v>1128</v>
      </c>
      <c r="C2">
        <f>GETPIVOTDATA("Sum of BID TOTAL",'New Sankey'!$A$1,"PHASE","Editorial")-GETPIVOTDATA("Sum of Women Work Pitched",'New Sankey'!$A$1,"PHASE","Editorial")</f>
        <v>9593788.0501599964</v>
      </c>
      <c r="D2" t="s">
        <v>1142</v>
      </c>
      <c r="F2" s="14" t="s">
        <v>1130</v>
      </c>
      <c r="G2" t="s">
        <v>1196</v>
      </c>
      <c r="H2">
        <f>GETPIVOTDATA("Sum of BID TOTAL",'New Sankey'!$A$1,"PHASE","Film &amp; Video Production")-GETPIVOTDATA("Sum of Women Work Pitched",'New Sankey'!$A$1,"PHASE","Film &amp; Video Production")</f>
        <v>55315213.820199974</v>
      </c>
      <c r="I2" t="s">
        <v>1142</v>
      </c>
    </row>
    <row r="3" spans="1:15" x14ac:dyDescent="0.25">
      <c r="A3" t="s">
        <v>1125</v>
      </c>
      <c r="B3" s="13" t="s">
        <v>1129</v>
      </c>
      <c r="C3">
        <f>GETPIVOTDATA("Sum of Women Work Pitched",'New Sankey'!$A$1,"PHASE","Editorial")</f>
        <v>0</v>
      </c>
      <c r="D3" t="s">
        <v>1142</v>
      </c>
      <c r="F3" s="14" t="s">
        <v>1131</v>
      </c>
      <c r="G3" t="s">
        <v>1196</v>
      </c>
      <c r="H3">
        <f>GETPIVOTDATA("Sum of Women Work Pitched",'New Sankey'!$A$1,"PHASE","Film &amp; Video Production")</f>
        <v>8828244.7537999991</v>
      </c>
      <c r="I3" t="s">
        <v>1142</v>
      </c>
    </row>
    <row r="4" spans="1:15" x14ac:dyDescent="0.25">
      <c r="A4" s="14" t="s">
        <v>1124</v>
      </c>
      <c r="B4" s="14" t="s">
        <v>1130</v>
      </c>
      <c r="C4">
        <f>GETPIVOTDATA("Sum of BID TOTAL",'New Sankey'!$A$1,"PHASE","Film &amp; Video Production")-GETPIVOTDATA("Sum of Women Work Pitched",'New Sankey'!$A$1,"PHASE","Film &amp; Video Production")</f>
        <v>55315213.820199974</v>
      </c>
      <c r="D4" s="14" t="s">
        <v>1143</v>
      </c>
      <c r="F4" t="s">
        <v>1185</v>
      </c>
      <c r="G4" t="s">
        <v>1196</v>
      </c>
      <c r="H4">
        <f>C2+C6+C8+C16+C10</f>
        <v>16390798.550159996</v>
      </c>
      <c r="I4" s="14" t="s">
        <v>1143</v>
      </c>
    </row>
    <row r="5" spans="1:15" x14ac:dyDescent="0.25">
      <c r="A5" s="14" t="s">
        <v>1124</v>
      </c>
      <c r="B5" s="14" t="s">
        <v>1131</v>
      </c>
      <c r="C5">
        <f>GETPIVOTDATA("Sum of Women Work Pitched",'New Sankey'!$A$1,"PHASE","Film &amp; Video Production")</f>
        <v>8828244.7537999991</v>
      </c>
      <c r="D5" s="14" t="s">
        <v>1143</v>
      </c>
      <c r="F5" t="s">
        <v>1186</v>
      </c>
      <c r="G5" t="s">
        <v>1196</v>
      </c>
      <c r="H5">
        <f>C3+C7+C9+C11+C17</f>
        <v>492730</v>
      </c>
      <c r="I5" s="14" t="s">
        <v>1143</v>
      </c>
    </row>
    <row r="6" spans="1:15" x14ac:dyDescent="0.25">
      <c r="A6" s="15" t="s">
        <v>1127</v>
      </c>
      <c r="B6" s="15" t="s">
        <v>1132</v>
      </c>
      <c r="C6">
        <f>GETPIVOTDATA("Sum of BID TOTAL",'New Sankey'!$A$1,"PHASE","Audio Post")-GETPIVOTDATA("Sum of Women Work Pitched",'New Sankey'!$A$1,"PHASE","Audio Post")</f>
        <v>2228240</v>
      </c>
      <c r="D6" s="15" t="s">
        <v>1144</v>
      </c>
      <c r="F6" t="s">
        <v>1157</v>
      </c>
      <c r="G6" t="s">
        <v>1196</v>
      </c>
      <c r="H6">
        <f>C12</f>
        <v>3749015.3947000001</v>
      </c>
      <c r="I6" s="15" t="s">
        <v>1144</v>
      </c>
    </row>
    <row r="7" spans="1:15" x14ac:dyDescent="0.25">
      <c r="A7" s="15" t="s">
        <v>1127</v>
      </c>
      <c r="B7" s="15" t="s">
        <v>1133</v>
      </c>
      <c r="C7">
        <f>GETPIVOTDATA("Sum of Women Work Pitched",'New Sankey'!$A$1,"PHASE","Audio Post")</f>
        <v>434880</v>
      </c>
      <c r="D7" s="15" t="s">
        <v>1144</v>
      </c>
      <c r="F7" t="s">
        <v>1158</v>
      </c>
      <c r="G7" t="s">
        <v>1196</v>
      </c>
      <c r="H7">
        <f>C13</f>
        <v>774884.55480000004</v>
      </c>
      <c r="I7" s="15" t="s">
        <v>1144</v>
      </c>
    </row>
    <row r="8" spans="1:15" x14ac:dyDescent="0.25">
      <c r="A8" t="s">
        <v>98</v>
      </c>
      <c r="B8" t="s">
        <v>1153</v>
      </c>
      <c r="C8">
        <f>GETPIVOTDATA("Sum of BID TOTAL",'New Sankey'!$A$1,"PHASE","Finishing")-GETPIVOTDATA("Sum of Women Work Pitched",'New Sankey'!$A$1,"PHASE","Finishing")</f>
        <v>2451300</v>
      </c>
      <c r="D8" t="s">
        <v>1142</v>
      </c>
      <c r="F8" t="s">
        <v>1159</v>
      </c>
      <c r="G8" t="s">
        <v>1196</v>
      </c>
      <c r="H8">
        <f>C14</f>
        <v>261060.35000000006</v>
      </c>
      <c r="I8" t="s">
        <v>1142</v>
      </c>
      <c r="L8" s="13" t="s">
        <v>1128</v>
      </c>
      <c r="M8" t="s">
        <v>1126</v>
      </c>
      <c r="N8">
        <v>200</v>
      </c>
      <c r="O8" t="s">
        <v>1142</v>
      </c>
    </row>
    <row r="9" spans="1:15" x14ac:dyDescent="0.25">
      <c r="A9" t="s">
        <v>98</v>
      </c>
      <c r="B9" t="s">
        <v>1154</v>
      </c>
      <c r="C9">
        <f>GETPIVOTDATA("Sum of Women Work Pitched",'New Sankey'!$A$1,"PHASE","Finishing")</f>
        <v>49250</v>
      </c>
      <c r="D9" t="s">
        <v>1142</v>
      </c>
      <c r="F9" t="s">
        <v>1160</v>
      </c>
      <c r="G9" t="s">
        <v>1196</v>
      </c>
      <c r="H9">
        <f>C15</f>
        <v>74757.475000000006</v>
      </c>
      <c r="I9" t="s">
        <v>1142</v>
      </c>
      <c r="L9" s="13" t="s">
        <v>1129</v>
      </c>
      <c r="M9" t="s">
        <v>1126</v>
      </c>
      <c r="N9">
        <v>1000</v>
      </c>
      <c r="O9" t="s">
        <v>1142</v>
      </c>
    </row>
    <row r="10" spans="1:15" x14ac:dyDescent="0.25">
      <c r="A10" t="s">
        <v>125</v>
      </c>
      <c r="B10" t="s">
        <v>1155</v>
      </c>
      <c r="C10">
        <f>GETPIVOTDATA("Sum of BID TOTAL",'New Sankey'!$A$1,"PHASE","Music")-GETPIVOTDATA("Sum of Women Work Pitched",'New Sankey'!$A$1,"PHASE","Music")</f>
        <v>688400</v>
      </c>
      <c r="D10" s="14" t="s">
        <v>1143</v>
      </c>
      <c r="F10" t="s">
        <v>1196</v>
      </c>
      <c r="G10" s="14" t="s">
        <v>1170</v>
      </c>
      <c r="H10">
        <f>GETPIVOTDATA("Sum of Total Award",'New Sankey'!$A$1,"PHASE","Film &amp; Video Production")-GETPIVOTDATA("Sum of Women Work Awarded",'New Sankey'!$A$1,"PHASE","Film &amp; Video Production")</f>
        <v>20086717.3015</v>
      </c>
      <c r="I10" s="14" t="s">
        <v>1143</v>
      </c>
      <c r="L10" s="14" t="s">
        <v>1130</v>
      </c>
      <c r="M10" t="s">
        <v>1126</v>
      </c>
      <c r="N10">
        <v>8000</v>
      </c>
      <c r="O10" s="14" t="s">
        <v>1143</v>
      </c>
    </row>
    <row r="11" spans="1:15" x14ac:dyDescent="0.25">
      <c r="A11" t="s">
        <v>125</v>
      </c>
      <c r="B11" t="s">
        <v>1156</v>
      </c>
      <c r="C11">
        <f>GETPIVOTDATA("Sum of Women Work Pitched",'New Sankey'!$A$1,"PHASE","Music")</f>
        <v>8600</v>
      </c>
      <c r="D11" s="14" t="s">
        <v>1143</v>
      </c>
      <c r="F11" t="s">
        <v>1196</v>
      </c>
      <c r="G11" s="14" t="s">
        <v>1171</v>
      </c>
      <c r="H11">
        <f>GETPIVOTDATA("Sum of Women Work Awarded",'New Sankey'!$A$1,"PHASE","Film &amp; Video Production")</f>
        <v>3126995.7892000005</v>
      </c>
      <c r="I11" s="15" t="s">
        <v>1144</v>
      </c>
      <c r="L11" s="14" t="s">
        <v>1131</v>
      </c>
      <c r="M11" t="s">
        <v>1126</v>
      </c>
      <c r="N11">
        <v>2000</v>
      </c>
      <c r="O11" s="14" t="s">
        <v>1143</v>
      </c>
    </row>
    <row r="12" spans="1:15" x14ac:dyDescent="0.25">
      <c r="A12" t="s">
        <v>1151</v>
      </c>
      <c r="B12" t="s">
        <v>1157</v>
      </c>
      <c r="C12">
        <f>GETPIVOTDATA("Sum of BID TOTAL",'New Sankey'!$A$1,"PHASE","Still Photography Production")+GETPIVOTDATA("Sum of BID TOTAL",'New Sankey'!$A$1,"PHASE","Photo Retouching &amp; Post")-GETPIVOTDATA("Sum of Women Work Pitched",'New Sankey'!$A$1,"PHASE","Photo Retouching &amp; Post")-GETPIVOTDATA("Sum of Women Work Pitched",'New Sankey'!$A$1,"PHASE","Still Photography Production")</f>
        <v>3749015.3947000001</v>
      </c>
      <c r="D12" s="15" t="s">
        <v>1144</v>
      </c>
      <c r="F12" t="s">
        <v>1196</v>
      </c>
      <c r="G12" s="15" t="s">
        <v>1187</v>
      </c>
      <c r="H12">
        <f>C35+C39+C41+C43+C49</f>
        <v>6296971.8166499995</v>
      </c>
      <c r="I12" s="14" t="s">
        <v>1143</v>
      </c>
      <c r="L12" s="15" t="s">
        <v>1132</v>
      </c>
      <c r="M12" t="s">
        <v>1126</v>
      </c>
      <c r="N12">
        <v>1500</v>
      </c>
      <c r="O12" s="15" t="s">
        <v>1144</v>
      </c>
    </row>
    <row r="13" spans="1:15" x14ac:dyDescent="0.25">
      <c r="A13" t="s">
        <v>1151</v>
      </c>
      <c r="B13" t="s">
        <v>1158</v>
      </c>
      <c r="C13">
        <f>GETPIVOTDATA("Sum of Women Work Pitched",'New Sankey'!$A$1,"PHASE","Photo Retouching &amp; Post")+GETPIVOTDATA("Sum of Women Work Pitched",'New Sankey'!$A$1,"PHASE","Still Photography Production")</f>
        <v>774884.55480000004</v>
      </c>
      <c r="D13" s="15" t="s">
        <v>1144</v>
      </c>
      <c r="F13" t="s">
        <v>1196</v>
      </c>
      <c r="G13" s="15" t="s">
        <v>1188</v>
      </c>
      <c r="H13">
        <f>C36+C40+C42+C44+C50</f>
        <v>274440</v>
      </c>
      <c r="I13" s="15" t="s">
        <v>1144</v>
      </c>
      <c r="L13" s="15" t="s">
        <v>1133</v>
      </c>
      <c r="M13" t="s">
        <v>1126</v>
      </c>
      <c r="N13">
        <v>500</v>
      </c>
      <c r="O13" s="15" t="s">
        <v>1144</v>
      </c>
    </row>
    <row r="14" spans="1:15" x14ac:dyDescent="0.25">
      <c r="A14" t="s">
        <v>1152</v>
      </c>
      <c r="B14" t="s">
        <v>1159</v>
      </c>
      <c r="C14">
        <f>GETPIVOTDATA("Sum of BID TOTAL",'New Sankey'!$A$1,"PHASE","Behind The Scenes (BTS)")-GETPIVOTDATA("Sum of Women Work Pitched",'New Sankey'!$A$1,"PHASE","Behind The Scenes (BTS)")</f>
        <v>261060.35000000006</v>
      </c>
      <c r="D14" t="s">
        <v>1142</v>
      </c>
      <c r="F14" t="s">
        <v>1196</v>
      </c>
      <c r="G14" t="s">
        <v>1189</v>
      </c>
      <c r="H14">
        <f>C45</f>
        <v>1531360.4469000001</v>
      </c>
      <c r="I14" s="14" t="s">
        <v>1143</v>
      </c>
      <c r="L14" t="s">
        <v>1126</v>
      </c>
      <c r="M14" s="13" t="s">
        <v>1134</v>
      </c>
      <c r="N14">
        <v>1500</v>
      </c>
      <c r="O14" t="s">
        <v>1142</v>
      </c>
    </row>
    <row r="15" spans="1:15" x14ac:dyDescent="0.25">
      <c r="A15" t="s">
        <v>1152</v>
      </c>
      <c r="B15" t="s">
        <v>1160</v>
      </c>
      <c r="C15">
        <f>GETPIVOTDATA("Sum of Women Work Pitched",'New Sankey'!$A$1,"PHASE","Behind The Scenes (BTS)")</f>
        <v>74757.475000000006</v>
      </c>
      <c r="D15" t="s">
        <v>1142</v>
      </c>
      <c r="F15" t="s">
        <v>1196</v>
      </c>
      <c r="G15" t="s">
        <v>1190</v>
      </c>
      <c r="H15">
        <f>C46</f>
        <v>200323.6317</v>
      </c>
      <c r="I15" s="15" t="s">
        <v>1144</v>
      </c>
      <c r="L15" t="s">
        <v>1126</v>
      </c>
      <c r="M15" s="13" t="s">
        <v>1135</v>
      </c>
      <c r="N15">
        <v>500</v>
      </c>
      <c r="O15" t="s">
        <v>1142</v>
      </c>
    </row>
    <row r="16" spans="1:15" x14ac:dyDescent="0.25">
      <c r="A16" t="s">
        <v>151</v>
      </c>
      <c r="B16" t="s">
        <v>1161</v>
      </c>
      <c r="C16">
        <f>GETPIVOTDATA("Sum of BID TOTAL",'New Sankey'!$A$1,"PHASE","VFX")-GETPIVOTDATA("Sum of Women Work Pitched",'New Sankey'!$A$1,"PHASE","VFX")</f>
        <v>1429070.5</v>
      </c>
      <c r="D16" s="14" t="s">
        <v>1143</v>
      </c>
      <c r="F16" t="s">
        <v>1196</v>
      </c>
      <c r="G16" t="s">
        <v>1191</v>
      </c>
      <c r="H16">
        <f>C47</f>
        <v>87834.124999999985</v>
      </c>
      <c r="I16" s="14" t="s">
        <v>1143</v>
      </c>
      <c r="L16" t="s">
        <v>1126</v>
      </c>
      <c r="M16" s="14" t="s">
        <v>1136</v>
      </c>
      <c r="N16">
        <v>3000</v>
      </c>
      <c r="O16" s="14" t="s">
        <v>1143</v>
      </c>
    </row>
    <row r="17" spans="1:16" x14ac:dyDescent="0.25">
      <c r="A17" t="s">
        <v>151</v>
      </c>
      <c r="B17" t="s">
        <v>1162</v>
      </c>
      <c r="C17">
        <f>GETPIVOTDATA("Sum of Women Work Pitched",'New Sankey'!$A$1,"PHASE","VFX")</f>
        <v>0</v>
      </c>
      <c r="D17" s="14" t="s">
        <v>1143</v>
      </c>
      <c r="F17" t="s">
        <v>1196</v>
      </c>
      <c r="G17" t="s">
        <v>1192</v>
      </c>
      <c r="H17">
        <f>C48</f>
        <v>36236.5</v>
      </c>
      <c r="I17" s="15" t="s">
        <v>1144</v>
      </c>
      <c r="L17" t="s">
        <v>1126</v>
      </c>
      <c r="M17" s="14" t="s">
        <v>1137</v>
      </c>
      <c r="N17">
        <v>1000</v>
      </c>
      <c r="O17" s="14" t="s">
        <v>1143</v>
      </c>
    </row>
    <row r="18" spans="1:16" x14ac:dyDescent="0.25">
      <c r="A18" s="13" t="s">
        <v>1128</v>
      </c>
      <c r="B18" t="s">
        <v>1126</v>
      </c>
      <c r="C18">
        <f>GETPIVOTDATA("Sum of BID TOTAL",'New Sankey'!$A$1,"PHASE","Editorial")-GETPIVOTDATA("Sum of Women Work Pitched",'New Sankey'!$A$1,"PHASE","Editorial")</f>
        <v>9593788.0501599964</v>
      </c>
      <c r="D18" t="s">
        <v>1142</v>
      </c>
      <c r="I18" s="15" t="s">
        <v>1144</v>
      </c>
      <c r="L18" t="s">
        <v>1126</v>
      </c>
      <c r="M18" s="15" t="s">
        <v>1138</v>
      </c>
      <c r="N18">
        <v>800</v>
      </c>
      <c r="O18" s="15" t="s">
        <v>1144</v>
      </c>
    </row>
    <row r="19" spans="1:16" x14ac:dyDescent="0.25">
      <c r="A19" s="13" t="s">
        <v>1129</v>
      </c>
      <c r="B19" t="s">
        <v>1126</v>
      </c>
      <c r="C19">
        <f>GETPIVOTDATA("Sum of Women Work Pitched",'New Sankey'!$A$1,"PHASE","Editorial")</f>
        <v>0</v>
      </c>
      <c r="D19" t="s">
        <v>1142</v>
      </c>
      <c r="I19" s="15" t="s">
        <v>1144</v>
      </c>
      <c r="L19" t="s">
        <v>1126</v>
      </c>
      <c r="M19" s="15" t="s">
        <v>1139</v>
      </c>
      <c r="N19">
        <v>200</v>
      </c>
      <c r="O19" s="15" t="s">
        <v>1144</v>
      </c>
      <c r="P19" t="s">
        <v>1163</v>
      </c>
    </row>
    <row r="20" spans="1:16" x14ac:dyDescent="0.25">
      <c r="A20" s="14" t="s">
        <v>1130</v>
      </c>
      <c r="B20" t="s">
        <v>1126</v>
      </c>
      <c r="C20">
        <f>GETPIVOTDATA("Sum of BID TOTAL",'New Sankey'!$A$1,"PHASE","Film &amp; Video Production")-GETPIVOTDATA("Sum of Women Work Pitched",'New Sankey'!$A$1,"PHASE","Film &amp; Video Production")</f>
        <v>55315213.820199974</v>
      </c>
      <c r="D20" s="14" t="s">
        <v>1143</v>
      </c>
      <c r="I20" t="s">
        <v>1142</v>
      </c>
      <c r="P20" t="s">
        <v>1163</v>
      </c>
    </row>
    <row r="21" spans="1:16" x14ac:dyDescent="0.25">
      <c r="A21" s="14" t="s">
        <v>1131</v>
      </c>
      <c r="B21" t="s">
        <v>1126</v>
      </c>
      <c r="C21">
        <f>GETPIVOTDATA("Sum of Women Work Pitched",'New Sankey'!$A$1,"PHASE","Film &amp; Video Production")</f>
        <v>8828244.7537999991</v>
      </c>
      <c r="D21" s="14" t="s">
        <v>1143</v>
      </c>
      <c r="I21" t="s">
        <v>1142</v>
      </c>
      <c r="P21" t="s">
        <v>1163</v>
      </c>
    </row>
    <row r="22" spans="1:16" x14ac:dyDescent="0.25">
      <c r="A22" s="15" t="s">
        <v>1132</v>
      </c>
      <c r="B22" t="s">
        <v>1126</v>
      </c>
      <c r="C22">
        <f>GETPIVOTDATA("Sum of BID TOTAL",'New Sankey'!$A$1,"PHASE","Audio Post")-GETPIVOTDATA("Sum of Women Work Pitched",'New Sankey'!$A$1,"PHASE","Audio Post")</f>
        <v>2228240</v>
      </c>
      <c r="D22" s="15" t="s">
        <v>1144</v>
      </c>
      <c r="I22" s="14" t="s">
        <v>1143</v>
      </c>
      <c r="P22" t="s">
        <v>1163</v>
      </c>
    </row>
    <row r="23" spans="1:16" x14ac:dyDescent="0.25">
      <c r="A23" s="15" t="s">
        <v>1133</v>
      </c>
      <c r="B23" t="s">
        <v>1126</v>
      </c>
      <c r="C23">
        <f>GETPIVOTDATA("Sum of Women Work Pitched",'New Sankey'!$A$1,"PHASE","Audio Post")</f>
        <v>434880</v>
      </c>
      <c r="D23" s="15" t="s">
        <v>1144</v>
      </c>
      <c r="I23" s="14" t="s">
        <v>1143</v>
      </c>
      <c r="P23" t="s">
        <v>1163</v>
      </c>
    </row>
    <row r="24" spans="1:16" x14ac:dyDescent="0.25">
      <c r="A24" t="s">
        <v>1153</v>
      </c>
      <c r="B24" t="s">
        <v>1126</v>
      </c>
      <c r="C24">
        <f>GETPIVOTDATA("Sum of BID TOTAL",'New Sankey'!$A$1,"PHASE","Finishing")-GETPIVOTDATA("Sum of Women Work Pitched",'New Sankey'!$A$1,"PHASE","Finishing")</f>
        <v>2451300</v>
      </c>
      <c r="D24" t="s">
        <v>1142</v>
      </c>
      <c r="I24" s="15" t="s">
        <v>1144</v>
      </c>
      <c r="P24" t="s">
        <v>1163</v>
      </c>
    </row>
    <row r="25" spans="1:16" x14ac:dyDescent="0.25">
      <c r="A25" t="s">
        <v>1154</v>
      </c>
      <c r="B25" t="s">
        <v>1126</v>
      </c>
      <c r="C25">
        <f>GETPIVOTDATA("Sum of Women Work Pitched",'New Sankey'!$A$1,"PHASE","Finishing")</f>
        <v>49250</v>
      </c>
      <c r="D25" t="s">
        <v>1142</v>
      </c>
      <c r="I25" s="15" t="s">
        <v>1144</v>
      </c>
      <c r="P25" t="s">
        <v>1163</v>
      </c>
    </row>
    <row r="26" spans="1:16" x14ac:dyDescent="0.25">
      <c r="A26" t="s">
        <v>1155</v>
      </c>
      <c r="B26" t="s">
        <v>1126</v>
      </c>
      <c r="C26">
        <f>GETPIVOTDATA("Sum of BID TOTAL",'New Sankey'!$A$1,"PHASE","Music")-GETPIVOTDATA("Sum of Women Work Pitched",'New Sankey'!$A$1,"PHASE","Music")</f>
        <v>688400</v>
      </c>
      <c r="D26" s="14" t="s">
        <v>1143</v>
      </c>
      <c r="P26" t="s">
        <v>1163</v>
      </c>
    </row>
    <row r="27" spans="1:16" x14ac:dyDescent="0.25">
      <c r="A27" t="s">
        <v>1156</v>
      </c>
      <c r="B27" t="s">
        <v>1126</v>
      </c>
      <c r="C27">
        <f>GETPIVOTDATA("Sum of Women Work Pitched",'New Sankey'!$A$1,"PHASE","Music")</f>
        <v>8600</v>
      </c>
      <c r="D27" s="14" t="s">
        <v>1143</v>
      </c>
      <c r="G27" t="s">
        <v>1197</v>
      </c>
      <c r="H27">
        <f>SUM(H1:H8)</f>
        <v>85811947.423659965</v>
      </c>
      <c r="I27" t="s">
        <v>1194</v>
      </c>
    </row>
    <row r="28" spans="1:16" x14ac:dyDescent="0.25">
      <c r="A28" t="s">
        <v>1157</v>
      </c>
      <c r="B28" t="s">
        <v>1126</v>
      </c>
      <c r="C28">
        <f>GETPIVOTDATA("Sum of BID TOTAL",'New Sankey'!$A$1,"PHASE","Still Photography Production")+GETPIVOTDATA("Sum of BID TOTAL",'New Sankey'!$A$1,"PHASE","Photo Retouching &amp; Post")-GETPIVOTDATA("Sum of Women Work Pitched",'New Sankey'!$A$1,"PHASE","Photo Retouching &amp; Post")-GETPIVOTDATA("Sum of Women Work Pitched",'New Sankey'!$A$1,"PHASE","Still Photography Production")</f>
        <v>3749015.3947000001</v>
      </c>
      <c r="D28" s="15" t="s">
        <v>1144</v>
      </c>
      <c r="F28" t="s">
        <v>1197</v>
      </c>
      <c r="G28" t="s">
        <v>1198</v>
      </c>
      <c r="H28">
        <f>N41+N42</f>
        <v>31640879.610950001</v>
      </c>
      <c r="I28" t="s">
        <v>1194</v>
      </c>
      <c r="L28" s="14" t="s">
        <v>1124</v>
      </c>
      <c r="M28" s="14" t="s">
        <v>1130</v>
      </c>
      <c r="N28">
        <f>GETPIVOTDATA("Sum of BID TOTAL",'New Sankey'!$A$1,"PHASE","Film &amp; Video Production")-GETPIVOTDATA("Sum of Women Work Pitched",'New Sankey'!$A$1,"PHASE","Film &amp; Video Production")</f>
        <v>55315213.820199974</v>
      </c>
      <c r="O28" s="14" t="s">
        <v>1143</v>
      </c>
    </row>
    <row r="29" spans="1:16" x14ac:dyDescent="0.25">
      <c r="A29" t="s">
        <v>1158</v>
      </c>
      <c r="B29" t="s">
        <v>1126</v>
      </c>
      <c r="C29">
        <f>GETPIVOTDATA("Sum of Women Work Pitched",'New Sankey'!$A$1,"PHASE","Photo Retouching &amp; Post")+GETPIVOTDATA("Sum of Women Work Pitched",'New Sankey'!$A$1,"PHASE","Still Photography Production")</f>
        <v>774884.55480000004</v>
      </c>
      <c r="D29" s="15" t="s">
        <v>1144</v>
      </c>
      <c r="F29" t="s">
        <v>1198</v>
      </c>
      <c r="G29" t="s">
        <v>1200</v>
      </c>
      <c r="H29">
        <f>H33+H34</f>
        <v>23213713.090700001</v>
      </c>
      <c r="I29" t="s">
        <v>1195</v>
      </c>
      <c r="L29" s="14" t="s">
        <v>1124</v>
      </c>
      <c r="M29" s="14" t="s">
        <v>1131</v>
      </c>
      <c r="N29">
        <f>GETPIVOTDATA("Sum of Women Work Pitched",'New Sankey'!$A$1,"PHASE","Film &amp; Video Production")</f>
        <v>8828244.7537999991</v>
      </c>
      <c r="O29" s="14" t="s">
        <v>1143</v>
      </c>
    </row>
    <row r="30" spans="1:16" x14ac:dyDescent="0.25">
      <c r="A30" t="s">
        <v>1159</v>
      </c>
      <c r="B30" t="s">
        <v>1126</v>
      </c>
      <c r="C30">
        <f>GETPIVOTDATA("Sum of BID TOTAL",'New Sankey'!$A$1,"PHASE","Behind The Scenes (BTS)")-GETPIVOTDATA("Sum of Women Work Pitched",'New Sankey'!$A$1,"PHASE","Behind The Scenes (BTS)")</f>
        <v>261060.35000000006</v>
      </c>
      <c r="D30" t="s">
        <v>1142</v>
      </c>
      <c r="F30" t="s">
        <v>1198</v>
      </c>
      <c r="G30" t="s">
        <v>1201</v>
      </c>
      <c r="H30">
        <f>H35+H36</f>
        <v>6571411.8166499995</v>
      </c>
      <c r="I30" t="s">
        <v>1193</v>
      </c>
      <c r="L30" s="14" t="s">
        <v>1184</v>
      </c>
      <c r="M30" t="s">
        <v>1185</v>
      </c>
      <c r="N30">
        <f>C2+C6+C8+C16+C10</f>
        <v>16390798.550159996</v>
      </c>
      <c r="O30" s="15" t="s">
        <v>1144</v>
      </c>
    </row>
    <row r="31" spans="1:16" x14ac:dyDescent="0.25">
      <c r="A31" t="s">
        <v>1160</v>
      </c>
      <c r="B31" t="s">
        <v>1126</v>
      </c>
      <c r="C31">
        <f>GETPIVOTDATA("Sum of Women Work Pitched",'New Sankey'!$A$1,"PHASE","Behind The Scenes (BTS)")</f>
        <v>74757.475000000006</v>
      </c>
      <c r="D31" t="s">
        <v>1142</v>
      </c>
      <c r="F31" t="s">
        <v>1198</v>
      </c>
      <c r="G31" t="s">
        <v>1203</v>
      </c>
      <c r="H31">
        <f>H37+H38</f>
        <v>1731684.0786000001</v>
      </c>
      <c r="I31" t="s">
        <v>1195</v>
      </c>
      <c r="L31" s="14" t="s">
        <v>1184</v>
      </c>
      <c r="M31" t="s">
        <v>1186</v>
      </c>
      <c r="N31">
        <f>C3+C7+C9+C11+C17</f>
        <v>492730</v>
      </c>
      <c r="O31" s="15" t="s">
        <v>1144</v>
      </c>
    </row>
    <row r="32" spans="1:16" x14ac:dyDescent="0.25">
      <c r="A32" t="s">
        <v>1161</v>
      </c>
      <c r="B32" t="s">
        <v>1126</v>
      </c>
      <c r="C32">
        <f>GETPIVOTDATA("Sum of BID TOTAL",'New Sankey'!$A$1,"PHASE","VFX")-GETPIVOTDATA("Sum of Women Work Pitched",'New Sankey'!$A$1,"PHASE","VFX")</f>
        <v>1429070.5</v>
      </c>
      <c r="D32" s="14" t="s">
        <v>1143</v>
      </c>
      <c r="F32" t="s">
        <v>1198</v>
      </c>
      <c r="G32" t="s">
        <v>1202</v>
      </c>
      <c r="H32">
        <f>H39+H40</f>
        <v>124070.62499999999</v>
      </c>
      <c r="I32" t="s">
        <v>1193</v>
      </c>
      <c r="L32" s="14" t="s">
        <v>1151</v>
      </c>
      <c r="M32" t="s">
        <v>1157</v>
      </c>
      <c r="N32">
        <f>C12</f>
        <v>3749015.3947000001</v>
      </c>
      <c r="O32" t="s">
        <v>1142</v>
      </c>
    </row>
    <row r="33" spans="1:15" x14ac:dyDescent="0.25">
      <c r="A33" t="s">
        <v>1162</v>
      </c>
      <c r="B33" t="s">
        <v>1126</v>
      </c>
      <c r="C33">
        <f>GETPIVOTDATA("Sum of Women Work Pitched",'New Sankey'!$A$1,"PHASE","VFX")</f>
        <v>0</v>
      </c>
      <c r="D33" s="14" t="s">
        <v>1143</v>
      </c>
      <c r="F33" t="s">
        <v>1200</v>
      </c>
      <c r="G33" t="s">
        <v>1204</v>
      </c>
      <c r="H33">
        <f t="shared" ref="H33:H40" si="0">H10</f>
        <v>20086717.3015</v>
      </c>
      <c r="I33" t="s">
        <v>1164</v>
      </c>
      <c r="L33" s="14" t="s">
        <v>1151</v>
      </c>
      <c r="M33" t="s">
        <v>1158</v>
      </c>
      <c r="N33">
        <f>C13</f>
        <v>774884.55480000004</v>
      </c>
      <c r="O33" t="s">
        <v>1142</v>
      </c>
    </row>
    <row r="34" spans="1:15" x14ac:dyDescent="0.25">
      <c r="A34" t="s">
        <v>1126</v>
      </c>
      <c r="B34" t="s">
        <v>1163</v>
      </c>
      <c r="C34">
        <f>GETPIVOTDATA("Sum of Total Award",'New Sankey'!$A$1)</f>
        <v>32128441.06095</v>
      </c>
      <c r="D34" t="s">
        <v>1164</v>
      </c>
      <c r="F34" t="s">
        <v>1200</v>
      </c>
      <c r="G34" t="s">
        <v>1211</v>
      </c>
      <c r="H34">
        <f t="shared" si="0"/>
        <v>3126995.7892000005</v>
      </c>
      <c r="I34" t="s">
        <v>1110</v>
      </c>
      <c r="L34" s="14" t="s">
        <v>1152</v>
      </c>
      <c r="M34" t="s">
        <v>1159</v>
      </c>
      <c r="N34">
        <f>C14</f>
        <v>261060.35000000006</v>
      </c>
      <c r="O34" s="14" t="s">
        <v>1143</v>
      </c>
    </row>
    <row r="35" spans="1:15" x14ac:dyDescent="0.25">
      <c r="A35" t="s">
        <v>1163</v>
      </c>
      <c r="B35" s="13" t="s">
        <v>1168</v>
      </c>
      <c r="C35">
        <f>GETPIVOTDATA("Sum of Total Award",'New Sankey'!$A$1,"PHASE","Editorial")-GETPIVOTDATA("Sum of Women Work Awarded",'New Sankey'!$A$1,"PHASE","Editorial")</f>
        <v>3528420.8166499995</v>
      </c>
      <c r="D35" t="s">
        <v>1142</v>
      </c>
      <c r="F35" t="s">
        <v>1201</v>
      </c>
      <c r="G35" t="s">
        <v>1205</v>
      </c>
      <c r="H35">
        <f t="shared" si="0"/>
        <v>6296971.8166499995</v>
      </c>
      <c r="I35" t="s">
        <v>1164</v>
      </c>
      <c r="L35" s="14" t="s">
        <v>1152</v>
      </c>
      <c r="M35" t="s">
        <v>1160</v>
      </c>
      <c r="N35">
        <f>C15</f>
        <v>74757.475000000006</v>
      </c>
      <c r="O35" s="14" t="s">
        <v>1143</v>
      </c>
    </row>
    <row r="36" spans="1:15" x14ac:dyDescent="0.25">
      <c r="A36" t="s">
        <v>1163</v>
      </c>
      <c r="B36" s="13" t="s">
        <v>1169</v>
      </c>
      <c r="C36">
        <f>GETPIVOTDATA("Sum of Women Work Awarded",'New Sankey'!$A$1,"PHASE","Editorial")</f>
        <v>0</v>
      </c>
      <c r="D36" t="s">
        <v>1142</v>
      </c>
      <c r="F36" t="s">
        <v>1201</v>
      </c>
      <c r="G36" t="s">
        <v>1206</v>
      </c>
      <c r="H36">
        <f t="shared" si="0"/>
        <v>274440</v>
      </c>
      <c r="I36" t="s">
        <v>1110</v>
      </c>
    </row>
    <row r="37" spans="1:15" x14ac:dyDescent="0.25">
      <c r="A37" t="s">
        <v>1163</v>
      </c>
      <c r="B37" s="14" t="s">
        <v>1170</v>
      </c>
      <c r="C37">
        <f>GETPIVOTDATA("Sum of Total Award",'New Sankey'!$A$1,"PHASE","Film &amp; Video Production")-GETPIVOTDATA("Sum of Women Work Awarded",'New Sankey'!$A$1,"PHASE","Film &amp; Video Production")</f>
        <v>20086717.3015</v>
      </c>
      <c r="D37" s="14" t="s">
        <v>1143</v>
      </c>
      <c r="F37" t="s">
        <v>1203</v>
      </c>
      <c r="G37" t="s">
        <v>1207</v>
      </c>
      <c r="H37">
        <f t="shared" si="0"/>
        <v>1531360.4469000001</v>
      </c>
      <c r="I37" t="s">
        <v>1164</v>
      </c>
    </row>
    <row r="38" spans="1:15" x14ac:dyDescent="0.25">
      <c r="A38" t="s">
        <v>1163</v>
      </c>
      <c r="B38" s="14" t="s">
        <v>1171</v>
      </c>
      <c r="C38">
        <f>GETPIVOTDATA("Sum of Women Work Awarded",'New Sankey'!$A$1,"PHASE","Film &amp; Video Production")</f>
        <v>3126995.7892000005</v>
      </c>
      <c r="D38" s="14" t="s">
        <v>1143</v>
      </c>
      <c r="F38" t="s">
        <v>1203</v>
      </c>
      <c r="G38" t="s">
        <v>1208</v>
      </c>
      <c r="H38">
        <f t="shared" si="0"/>
        <v>200323.6317</v>
      </c>
      <c r="I38" t="s">
        <v>1110</v>
      </c>
    </row>
    <row r="39" spans="1:15" x14ac:dyDescent="0.25">
      <c r="A39" t="s">
        <v>1163</v>
      </c>
      <c r="B39" s="15" t="s">
        <v>1172</v>
      </c>
      <c r="C39">
        <f>GETPIVOTDATA("Sum of Total Award",'New Sankey'!$A$1,"PHASE","Audio Post")-GETPIVOTDATA("Sum of Women Work Awarded",'New Sankey'!$A$1,"PHASE","Audio Post")</f>
        <v>902210</v>
      </c>
      <c r="D39" t="s">
        <v>1164</v>
      </c>
      <c r="F39" t="s">
        <v>1202</v>
      </c>
      <c r="G39" t="s">
        <v>1209</v>
      </c>
      <c r="H39">
        <f t="shared" si="0"/>
        <v>87834.124999999985</v>
      </c>
      <c r="I39" t="s">
        <v>1164</v>
      </c>
    </row>
    <row r="40" spans="1:15" x14ac:dyDescent="0.25">
      <c r="A40" t="s">
        <v>1163</v>
      </c>
      <c r="B40" s="15" t="s">
        <v>1173</v>
      </c>
      <c r="C40">
        <f>GETPIVOTDATA("Sum of Women Work Awarded",'New Sankey'!$A$1,"PHASE","Audio Post")</f>
        <v>225190</v>
      </c>
      <c r="F40" t="s">
        <v>1202</v>
      </c>
      <c r="G40" t="s">
        <v>1210</v>
      </c>
      <c r="H40">
        <f t="shared" si="0"/>
        <v>36236.5</v>
      </c>
      <c r="I40" t="s">
        <v>1110</v>
      </c>
    </row>
    <row r="41" spans="1:15" x14ac:dyDescent="0.25">
      <c r="A41" t="s">
        <v>1163</v>
      </c>
      <c r="B41" t="s">
        <v>1174</v>
      </c>
      <c r="C41">
        <f>GETPIVOTDATA("Sum of Total Award",'New Sankey'!$A$1,"PHASE","Finishing")-GETPIVOTDATA("Sum of Women Work Awarded",'New Sankey'!$A$1,"PHASE","Finishing")</f>
        <v>1058600</v>
      </c>
      <c r="L41" t="s">
        <v>1198</v>
      </c>
      <c r="M41" t="s">
        <v>1199</v>
      </c>
      <c r="N41">
        <f>H10+H12+H14+H16</f>
        <v>28002883.690049998</v>
      </c>
      <c r="O41" t="s">
        <v>1164</v>
      </c>
    </row>
    <row r="42" spans="1:15" x14ac:dyDescent="0.25">
      <c r="A42" t="s">
        <v>1163</v>
      </c>
      <c r="B42" t="s">
        <v>1175</v>
      </c>
      <c r="C42">
        <f>GETPIVOTDATA("Sum of Women Work Awarded",'New Sankey'!$A$1,"PHASE","Finishing")</f>
        <v>49250</v>
      </c>
      <c r="F42" t="s">
        <v>1199</v>
      </c>
      <c r="G42" t="s">
        <v>1151</v>
      </c>
      <c r="L42" t="s">
        <v>1198</v>
      </c>
      <c r="M42" t="s">
        <v>1146</v>
      </c>
      <c r="N42">
        <f>H11+H13+H15+H17</f>
        <v>3637995.9209000003</v>
      </c>
      <c r="O42" t="s">
        <v>1110</v>
      </c>
    </row>
    <row r="43" spans="1:15" x14ac:dyDescent="0.25">
      <c r="A43" t="s">
        <v>1163</v>
      </c>
      <c r="B43" t="s">
        <v>1176</v>
      </c>
      <c r="C43">
        <f>GETPIVOTDATA("Sum of Total Award",'New Sankey'!$A$1,"PHASE","Music")-GETPIVOTDATA("Sum of Women Work Awarded",'New Sankey'!$A$1,"PHASE","Music")</f>
        <v>231750</v>
      </c>
      <c r="F43" t="s">
        <v>1146</v>
      </c>
      <c r="G43" t="s">
        <v>1151</v>
      </c>
    </row>
    <row r="44" spans="1:15" x14ac:dyDescent="0.25">
      <c r="A44" t="s">
        <v>1163</v>
      </c>
      <c r="B44" t="s">
        <v>1177</v>
      </c>
      <c r="C44">
        <f>GETPIVOTDATA("Sum of Women Work Awarded",'New Sankey'!$A$1,"PHASE","Music")</f>
        <v>0</v>
      </c>
      <c r="F44" t="s">
        <v>1199</v>
      </c>
      <c r="G44" t="s">
        <v>1152</v>
      </c>
    </row>
    <row r="45" spans="1:15" x14ac:dyDescent="0.25">
      <c r="A45" t="s">
        <v>1163</v>
      </c>
      <c r="B45" t="s">
        <v>1178</v>
      </c>
      <c r="C45">
        <f>GETPIVOTDATA("Sum of Total Award",'New Sankey'!$A$1,"PHASE","Still Photography Production")+GETPIVOTDATA("Sum of Total Award",'New Sankey'!$A$1,"PHASE","Photo Retouching &amp; Post")-GETPIVOTDATA("Sum of Women Work Awarded",'New Sankey'!$A$1,"PHASE","Still Photography Production")-GETPIVOTDATA("Sum of Women Work Awarded",'New Sankey'!$A$1,"PHASE","Photo Retouching &amp; Post")</f>
        <v>1531360.4469000001</v>
      </c>
      <c r="F45" t="s">
        <v>1146</v>
      </c>
      <c r="G45" t="s">
        <v>1152</v>
      </c>
    </row>
    <row r="46" spans="1:15" x14ac:dyDescent="0.25">
      <c r="A46" t="s">
        <v>1163</v>
      </c>
      <c r="B46" t="s">
        <v>1179</v>
      </c>
      <c r="C46">
        <f>GETPIVOTDATA("Sum of Women Work Awarded",'New Sankey'!$A$1,"PHASE","Photo Retouching &amp; Post")+GETPIVOTDATA("Sum of Women Work Awarded",'New Sankey'!$A$1,"PHASE","Still Photography Production")</f>
        <v>200323.6317</v>
      </c>
    </row>
    <row r="47" spans="1:15" x14ac:dyDescent="0.25">
      <c r="A47" t="s">
        <v>1163</v>
      </c>
      <c r="B47" t="s">
        <v>1180</v>
      </c>
      <c r="C47">
        <f>GETPIVOTDATA("Sum of Total Award",'New Sankey'!$A$1,"PHASE","Behind The Scenes (BTS)")-GETPIVOTDATA("Sum of Women Work Awarded",'New Sankey'!$A$1,"PHASE","Behind The Scenes (BTS)")</f>
        <v>87834.124999999985</v>
      </c>
    </row>
    <row r="48" spans="1:15" x14ac:dyDescent="0.25">
      <c r="A48" t="s">
        <v>1163</v>
      </c>
      <c r="B48" t="s">
        <v>1181</v>
      </c>
      <c r="C48">
        <f>GETPIVOTDATA("Sum of Women Work Awarded",'New Sankey'!$A$1,"PHASE","Behind The Scenes (BTS)")</f>
        <v>36236.5</v>
      </c>
    </row>
    <row r="49" spans="1:3" x14ac:dyDescent="0.25">
      <c r="A49" t="s">
        <v>1163</v>
      </c>
      <c r="B49" t="s">
        <v>1182</v>
      </c>
      <c r="C49">
        <f>GETPIVOTDATA("Sum of Total Award",'New Sankey'!$A$1,"PHASE","VFX")-GETPIVOTDATA("Sum of Women Work Awarded",'New Sankey'!$A$1,"PHASE","VFX")</f>
        <v>575991</v>
      </c>
    </row>
    <row r="50" spans="1:3" x14ac:dyDescent="0.25">
      <c r="A50" t="s">
        <v>1163</v>
      </c>
      <c r="B50" t="s">
        <v>1183</v>
      </c>
      <c r="C50">
        <f>GETPIVOTDATA("Sum of Women Work Awarded",'New Sankey'!$A$1,"PHASE","VFX")</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68DC-0F8B-4910-8F12-90A28F86198C}">
  <sheetPr codeName="Sheet7"/>
  <dimension ref="A1"/>
  <sheetViews>
    <sheetView tabSelected="1" zoomScale="80" zoomScaleNormal="80" workbookViewId="0">
      <selection activeCell="V5" sqref="V5"/>
    </sheetView>
  </sheetViews>
  <sheetFormatPr defaultColWidth="9" defaultRowHeight="15" x14ac:dyDescent="0.25"/>
  <cols>
    <col min="1" max="16384" width="9" style="49"/>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D008-3377-47A2-9A52-B088DCCAD730}">
  <sheetPr codeName="Sheet8"/>
  <dimension ref="A1:Y553"/>
  <sheetViews>
    <sheetView topLeftCell="I1" workbookViewId="0"/>
  </sheetViews>
  <sheetFormatPr defaultRowHeight="15" x14ac:dyDescent="0.25"/>
  <cols>
    <col min="1" max="1" width="22.7109375" bestFit="1" customWidth="1"/>
    <col min="2" max="2" width="11.42578125" bestFit="1" customWidth="1"/>
    <col min="3" max="3" width="13.28515625" bestFit="1" customWidth="1"/>
    <col min="4" max="4" width="27.42578125" bestFit="1" customWidth="1"/>
    <col min="5" max="5" width="17.85546875" bestFit="1" customWidth="1"/>
    <col min="6" max="6" width="23.42578125" bestFit="1" customWidth="1"/>
    <col min="7" max="7" width="27.7109375" bestFit="1" customWidth="1"/>
    <col min="8" max="8" width="23.42578125" bestFit="1" customWidth="1"/>
    <col min="9" max="9" width="49.140625" bestFit="1" customWidth="1"/>
    <col min="10" max="10" width="44.7109375" bestFit="1" customWidth="1"/>
    <col min="11" max="11" width="13.140625" bestFit="1" customWidth="1"/>
    <col min="12" max="12" width="11.7109375" bestFit="1" customWidth="1"/>
    <col min="13" max="13" width="10" bestFit="1" customWidth="1"/>
    <col min="14" max="14" width="13.85546875" bestFit="1" customWidth="1"/>
    <col min="15" max="15" width="28.7109375" bestFit="1" customWidth="1"/>
    <col min="16" max="16" width="30.42578125" bestFit="1" customWidth="1"/>
    <col min="17" max="17" width="26.5703125" bestFit="1" customWidth="1"/>
    <col min="18" max="18" width="28.28515625" bestFit="1" customWidth="1"/>
    <col min="19" max="19" width="27" bestFit="1" customWidth="1"/>
    <col min="20" max="20" width="28.28515625" bestFit="1" customWidth="1"/>
    <col min="21" max="21" width="21" bestFit="1" customWidth="1"/>
    <col min="22" max="22" width="22.28515625" bestFit="1" customWidth="1"/>
    <col min="23" max="23" width="31" bestFit="1" customWidth="1"/>
    <col min="24" max="24" width="12.85546875" bestFit="1" customWidth="1"/>
    <col min="25" max="25" width="13" bestFit="1" customWidth="1"/>
  </cols>
  <sheetData>
    <row r="1" spans="1:25" x14ac:dyDescent="0.25">
      <c r="A1" t="s">
        <v>2</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944</v>
      </c>
      <c r="V1" t="s">
        <v>945</v>
      </c>
      <c r="W1" t="s">
        <v>1010</v>
      </c>
      <c r="X1" t="s">
        <v>1165</v>
      </c>
      <c r="Y1" t="s">
        <v>1166</v>
      </c>
    </row>
    <row r="2" spans="1:25" x14ac:dyDescent="0.25">
      <c r="A2" t="s">
        <v>72</v>
      </c>
      <c r="B2">
        <v>1</v>
      </c>
      <c r="C2" t="s">
        <v>75</v>
      </c>
      <c r="D2" t="s">
        <v>76</v>
      </c>
      <c r="E2" t="s">
        <v>77</v>
      </c>
      <c r="F2" t="s">
        <v>78</v>
      </c>
      <c r="G2" t="s">
        <v>79</v>
      </c>
      <c r="H2" t="s">
        <v>80</v>
      </c>
      <c r="I2" t="s">
        <v>72</v>
      </c>
      <c r="J2" t="s">
        <v>81</v>
      </c>
      <c r="K2" t="s">
        <v>82</v>
      </c>
      <c r="L2">
        <v>960207.05279999995</v>
      </c>
      <c r="M2" t="s">
        <v>83</v>
      </c>
      <c r="N2">
        <v>745866.46849999996</v>
      </c>
      <c r="O2">
        <v>1</v>
      </c>
      <c r="U2">
        <v>960207.05279999995</v>
      </c>
      <c r="V2">
        <v>960207.05279999995</v>
      </c>
      <c r="W2">
        <v>745866.46846666664</v>
      </c>
      <c r="X2">
        <v>960207.05279999995</v>
      </c>
      <c r="Y2">
        <v>960207.05279999995</v>
      </c>
    </row>
    <row r="3" spans="1:25" x14ac:dyDescent="0.25">
      <c r="A3" t="s">
        <v>72</v>
      </c>
      <c r="B3">
        <v>0</v>
      </c>
      <c r="C3" t="s">
        <v>75</v>
      </c>
      <c r="D3" t="s">
        <v>76</v>
      </c>
      <c r="E3" t="s">
        <v>77</v>
      </c>
      <c r="F3" t="s">
        <v>78</v>
      </c>
      <c r="G3" t="s">
        <v>84</v>
      </c>
      <c r="H3" t="s">
        <v>80</v>
      </c>
      <c r="I3" t="s">
        <v>72</v>
      </c>
      <c r="J3" t="s">
        <v>85</v>
      </c>
      <c r="K3" t="s">
        <v>82</v>
      </c>
      <c r="L3">
        <v>662457.18420000002</v>
      </c>
      <c r="M3" t="s">
        <v>83</v>
      </c>
      <c r="O3">
        <v>1</v>
      </c>
      <c r="P3">
        <v>1</v>
      </c>
      <c r="U3">
        <v>662457.18420000002</v>
      </c>
      <c r="V3">
        <v>0</v>
      </c>
      <c r="W3">
        <v>745866.46846666664</v>
      </c>
    </row>
    <row r="4" spans="1:25" x14ac:dyDescent="0.25">
      <c r="A4" t="s">
        <v>72</v>
      </c>
      <c r="B4">
        <v>0</v>
      </c>
      <c r="C4" t="s">
        <v>75</v>
      </c>
      <c r="D4" t="s">
        <v>76</v>
      </c>
      <c r="E4" t="s">
        <v>77</v>
      </c>
      <c r="F4" t="s">
        <v>78</v>
      </c>
      <c r="G4" t="s">
        <v>84</v>
      </c>
      <c r="H4" t="s">
        <v>80</v>
      </c>
      <c r="I4" t="s">
        <v>72</v>
      </c>
      <c r="J4" t="s">
        <v>86</v>
      </c>
      <c r="K4" t="s">
        <v>82</v>
      </c>
      <c r="L4">
        <v>614935.16839999997</v>
      </c>
      <c r="M4" t="s">
        <v>83</v>
      </c>
      <c r="U4">
        <v>0</v>
      </c>
      <c r="V4">
        <v>0</v>
      </c>
      <c r="W4">
        <v>745866.46846666664</v>
      </c>
    </row>
    <row r="5" spans="1:25" x14ac:dyDescent="0.25">
      <c r="A5" t="s">
        <v>72</v>
      </c>
      <c r="B5">
        <v>0</v>
      </c>
      <c r="C5" t="s">
        <v>75</v>
      </c>
      <c r="D5" t="s">
        <v>76</v>
      </c>
      <c r="E5" t="s">
        <v>77</v>
      </c>
      <c r="F5" t="s">
        <v>78</v>
      </c>
      <c r="G5" t="s">
        <v>84</v>
      </c>
      <c r="H5" t="s">
        <v>87</v>
      </c>
      <c r="I5" t="s">
        <v>72</v>
      </c>
      <c r="J5" t="s">
        <v>88</v>
      </c>
      <c r="K5" t="s">
        <v>82</v>
      </c>
      <c r="L5">
        <v>107610.4167</v>
      </c>
      <c r="M5" t="s">
        <v>83</v>
      </c>
      <c r="U5">
        <v>0</v>
      </c>
      <c r="V5">
        <v>0</v>
      </c>
      <c r="W5">
        <v>109194.18611</v>
      </c>
    </row>
    <row r="6" spans="1:25" x14ac:dyDescent="0.25">
      <c r="A6" t="s">
        <v>72</v>
      </c>
      <c r="B6">
        <v>0</v>
      </c>
      <c r="C6" t="s">
        <v>75</v>
      </c>
      <c r="D6" t="s">
        <v>76</v>
      </c>
      <c r="E6" t="s">
        <v>77</v>
      </c>
      <c r="F6" t="s">
        <v>78</v>
      </c>
      <c r="G6" t="s">
        <v>84</v>
      </c>
      <c r="H6" t="s">
        <v>87</v>
      </c>
      <c r="I6" t="s">
        <v>72</v>
      </c>
      <c r="J6" t="s">
        <v>89</v>
      </c>
      <c r="K6" t="s">
        <v>82</v>
      </c>
      <c r="L6">
        <v>133998.9583</v>
      </c>
      <c r="M6" t="s">
        <v>83</v>
      </c>
      <c r="Q6">
        <v>1</v>
      </c>
      <c r="T6">
        <v>1</v>
      </c>
      <c r="U6">
        <v>0</v>
      </c>
      <c r="V6">
        <v>0</v>
      </c>
      <c r="W6">
        <v>109194.18611</v>
      </c>
    </row>
    <row r="7" spans="1:25" x14ac:dyDescent="0.25">
      <c r="A7" t="s">
        <v>72</v>
      </c>
      <c r="B7">
        <v>1</v>
      </c>
      <c r="C7" t="s">
        <v>75</v>
      </c>
      <c r="D7" t="s">
        <v>76</v>
      </c>
      <c r="E7" t="s">
        <v>77</v>
      </c>
      <c r="F7" t="s">
        <v>78</v>
      </c>
      <c r="G7" t="s">
        <v>90</v>
      </c>
      <c r="H7" t="s">
        <v>87</v>
      </c>
      <c r="I7" t="s">
        <v>72</v>
      </c>
      <c r="J7" t="s">
        <v>91</v>
      </c>
      <c r="K7" t="s">
        <v>82</v>
      </c>
      <c r="L7">
        <v>85973.18333</v>
      </c>
      <c r="M7" t="s">
        <v>83</v>
      </c>
      <c r="N7">
        <v>109194.18610000001</v>
      </c>
      <c r="T7">
        <v>1</v>
      </c>
      <c r="U7">
        <v>0</v>
      </c>
      <c r="V7">
        <v>0</v>
      </c>
      <c r="W7">
        <v>109194.18611</v>
      </c>
      <c r="X7">
        <v>85973.18333</v>
      </c>
      <c r="Y7">
        <v>85973.18333</v>
      </c>
    </row>
    <row r="8" spans="1:25" x14ac:dyDescent="0.25">
      <c r="A8" t="s">
        <v>72</v>
      </c>
      <c r="B8">
        <v>0</v>
      </c>
      <c r="C8" t="s">
        <v>75</v>
      </c>
      <c r="D8" t="s">
        <v>76</v>
      </c>
      <c r="E8" t="s">
        <v>77</v>
      </c>
      <c r="F8" t="s">
        <v>78</v>
      </c>
      <c r="G8" t="s">
        <v>84</v>
      </c>
      <c r="H8" t="s">
        <v>92</v>
      </c>
      <c r="I8" t="s">
        <v>93</v>
      </c>
      <c r="J8" t="s">
        <v>93</v>
      </c>
      <c r="K8" t="s">
        <v>82</v>
      </c>
      <c r="L8">
        <v>14510</v>
      </c>
      <c r="M8" t="s">
        <v>83</v>
      </c>
      <c r="U8">
        <v>0</v>
      </c>
      <c r="V8">
        <v>0</v>
      </c>
      <c r="W8">
        <v>21656.666666666668</v>
      </c>
    </row>
    <row r="9" spans="1:25" x14ac:dyDescent="0.25">
      <c r="A9" t="s">
        <v>72</v>
      </c>
      <c r="B9">
        <v>1</v>
      </c>
      <c r="C9" t="s">
        <v>75</v>
      </c>
      <c r="D9" t="s">
        <v>76</v>
      </c>
      <c r="E9" t="s">
        <v>77</v>
      </c>
      <c r="F9" t="s">
        <v>78</v>
      </c>
      <c r="G9" t="s">
        <v>94</v>
      </c>
      <c r="H9" t="s">
        <v>92</v>
      </c>
      <c r="I9" t="s">
        <v>94</v>
      </c>
      <c r="J9" t="s">
        <v>95</v>
      </c>
      <c r="K9" t="s">
        <v>82</v>
      </c>
      <c r="L9">
        <v>21040</v>
      </c>
      <c r="M9" t="s">
        <v>83</v>
      </c>
      <c r="N9">
        <v>21656.666669999999</v>
      </c>
      <c r="O9">
        <v>1</v>
      </c>
      <c r="R9">
        <v>1</v>
      </c>
      <c r="U9">
        <v>21040</v>
      </c>
      <c r="V9">
        <v>21040</v>
      </c>
      <c r="W9">
        <v>21656.666666666668</v>
      </c>
      <c r="X9">
        <v>21040</v>
      </c>
      <c r="Y9">
        <v>21040</v>
      </c>
    </row>
    <row r="10" spans="1:25" x14ac:dyDescent="0.25">
      <c r="A10" t="s">
        <v>72</v>
      </c>
      <c r="B10">
        <v>0</v>
      </c>
      <c r="C10" t="s">
        <v>75</v>
      </c>
      <c r="D10" t="s">
        <v>76</v>
      </c>
      <c r="E10" t="s">
        <v>77</v>
      </c>
      <c r="F10" t="s">
        <v>78</v>
      </c>
      <c r="G10" t="s">
        <v>84</v>
      </c>
      <c r="H10" t="s">
        <v>92</v>
      </c>
      <c r="I10" t="s">
        <v>96</v>
      </c>
      <c r="J10" t="s">
        <v>97</v>
      </c>
      <c r="K10" t="s">
        <v>82</v>
      </c>
      <c r="L10">
        <v>29420</v>
      </c>
      <c r="M10" t="s">
        <v>83</v>
      </c>
      <c r="U10">
        <v>0</v>
      </c>
      <c r="V10">
        <v>0</v>
      </c>
      <c r="W10">
        <v>21656.666666666668</v>
      </c>
    </row>
    <row r="11" spans="1:25" x14ac:dyDescent="0.25">
      <c r="A11" t="s">
        <v>72</v>
      </c>
      <c r="B11">
        <v>0</v>
      </c>
      <c r="C11" t="s">
        <v>75</v>
      </c>
      <c r="D11" t="s">
        <v>76</v>
      </c>
      <c r="E11" t="s">
        <v>77</v>
      </c>
      <c r="F11" t="s">
        <v>78</v>
      </c>
      <c r="G11" t="s">
        <v>84</v>
      </c>
      <c r="H11" t="s">
        <v>98</v>
      </c>
      <c r="I11" t="s">
        <v>99</v>
      </c>
      <c r="J11" t="s">
        <v>100</v>
      </c>
      <c r="K11" t="s">
        <v>82</v>
      </c>
      <c r="L11">
        <v>52850</v>
      </c>
      <c r="M11" t="s">
        <v>83</v>
      </c>
      <c r="S11">
        <v>1</v>
      </c>
      <c r="U11">
        <v>0</v>
      </c>
      <c r="V11">
        <v>0</v>
      </c>
      <c r="W11">
        <v>37833.333333333336</v>
      </c>
    </row>
    <row r="12" spans="1:25" x14ac:dyDescent="0.25">
      <c r="A12" t="s">
        <v>72</v>
      </c>
      <c r="B12">
        <v>0</v>
      </c>
      <c r="C12" t="s">
        <v>75</v>
      </c>
      <c r="D12" t="s">
        <v>76</v>
      </c>
      <c r="E12" t="s">
        <v>77</v>
      </c>
      <c r="F12" t="s">
        <v>78</v>
      </c>
      <c r="G12" t="s">
        <v>84</v>
      </c>
      <c r="H12" t="s">
        <v>98</v>
      </c>
      <c r="I12" t="s">
        <v>101</v>
      </c>
      <c r="J12" t="s">
        <v>102</v>
      </c>
      <c r="K12" t="s">
        <v>82</v>
      </c>
      <c r="L12">
        <v>20700</v>
      </c>
      <c r="M12" t="s">
        <v>83</v>
      </c>
      <c r="Q12">
        <v>1</v>
      </c>
      <c r="S12">
        <v>1</v>
      </c>
      <c r="U12">
        <v>0</v>
      </c>
      <c r="V12">
        <v>0</v>
      </c>
      <c r="W12">
        <v>37833.333333333336</v>
      </c>
    </row>
    <row r="13" spans="1:25" x14ac:dyDescent="0.25">
      <c r="A13" t="s">
        <v>72</v>
      </c>
      <c r="B13">
        <v>1</v>
      </c>
      <c r="C13" t="s">
        <v>75</v>
      </c>
      <c r="D13" t="s">
        <v>76</v>
      </c>
      <c r="E13" t="s">
        <v>77</v>
      </c>
      <c r="F13" t="s">
        <v>78</v>
      </c>
      <c r="G13" t="s">
        <v>103</v>
      </c>
      <c r="H13" t="s">
        <v>98</v>
      </c>
      <c r="I13" t="s">
        <v>104</v>
      </c>
      <c r="J13" t="s">
        <v>105</v>
      </c>
      <c r="K13" t="s">
        <v>82</v>
      </c>
      <c r="L13">
        <v>39950</v>
      </c>
      <c r="M13" t="s">
        <v>83</v>
      </c>
      <c r="N13">
        <v>37833.333330000001</v>
      </c>
      <c r="R13">
        <v>1</v>
      </c>
      <c r="T13">
        <v>1</v>
      </c>
      <c r="U13">
        <v>0</v>
      </c>
      <c r="V13">
        <v>0</v>
      </c>
      <c r="W13">
        <v>37833.333333333336</v>
      </c>
      <c r="X13">
        <v>39950</v>
      </c>
      <c r="Y13">
        <v>39950</v>
      </c>
    </row>
    <row r="14" spans="1:25" x14ac:dyDescent="0.25">
      <c r="A14" t="s">
        <v>72</v>
      </c>
      <c r="B14">
        <v>1</v>
      </c>
      <c r="C14" t="s">
        <v>75</v>
      </c>
      <c r="D14" t="s">
        <v>76</v>
      </c>
      <c r="E14" t="s">
        <v>77</v>
      </c>
      <c r="F14" t="s">
        <v>78</v>
      </c>
      <c r="G14" t="s">
        <v>79</v>
      </c>
      <c r="H14" t="s">
        <v>106</v>
      </c>
      <c r="I14" t="s">
        <v>72</v>
      </c>
      <c r="J14" t="s">
        <v>107</v>
      </c>
      <c r="K14" t="s">
        <v>82</v>
      </c>
      <c r="L14">
        <v>4805.2749999999996</v>
      </c>
      <c r="M14" t="s">
        <v>83</v>
      </c>
      <c r="N14">
        <v>7050.3625000000002</v>
      </c>
      <c r="O14">
        <v>1</v>
      </c>
      <c r="U14">
        <v>4805.2749999999996</v>
      </c>
      <c r="V14">
        <v>4805.2749999999996</v>
      </c>
      <c r="W14">
        <v>7050.3624999999993</v>
      </c>
      <c r="X14">
        <v>4805.2749999999996</v>
      </c>
      <c r="Y14">
        <v>4805.2749999999996</v>
      </c>
    </row>
    <row r="15" spans="1:25" x14ac:dyDescent="0.25">
      <c r="A15" t="s">
        <v>72</v>
      </c>
      <c r="B15">
        <v>0</v>
      </c>
      <c r="C15" t="s">
        <v>75</v>
      </c>
      <c r="D15" t="s">
        <v>76</v>
      </c>
      <c r="E15" t="s">
        <v>77</v>
      </c>
      <c r="F15" t="s">
        <v>78</v>
      </c>
      <c r="G15" t="s">
        <v>84</v>
      </c>
      <c r="H15" t="s">
        <v>106</v>
      </c>
      <c r="I15" t="s">
        <v>72</v>
      </c>
      <c r="J15" t="s">
        <v>108</v>
      </c>
      <c r="K15" t="s">
        <v>82</v>
      </c>
      <c r="L15">
        <v>10043.8125</v>
      </c>
      <c r="M15" t="s">
        <v>83</v>
      </c>
      <c r="O15">
        <v>1</v>
      </c>
      <c r="P15">
        <v>1</v>
      </c>
      <c r="U15">
        <v>10043.8125</v>
      </c>
      <c r="V15">
        <v>0</v>
      </c>
      <c r="W15">
        <v>7050.3624999999993</v>
      </c>
    </row>
    <row r="16" spans="1:25" x14ac:dyDescent="0.25">
      <c r="A16" t="s">
        <v>72</v>
      </c>
      <c r="B16">
        <v>0</v>
      </c>
      <c r="C16" t="s">
        <v>75</v>
      </c>
      <c r="D16" t="s">
        <v>76</v>
      </c>
      <c r="E16" t="s">
        <v>77</v>
      </c>
      <c r="F16" t="s">
        <v>78</v>
      </c>
      <c r="G16" t="s">
        <v>84</v>
      </c>
      <c r="H16" t="s">
        <v>106</v>
      </c>
      <c r="I16" t="s">
        <v>72</v>
      </c>
      <c r="J16" t="s">
        <v>109</v>
      </c>
      <c r="K16" t="s">
        <v>82</v>
      </c>
      <c r="L16">
        <v>6302</v>
      </c>
      <c r="M16" t="s">
        <v>83</v>
      </c>
      <c r="U16">
        <v>0</v>
      </c>
      <c r="V16">
        <v>0</v>
      </c>
      <c r="W16">
        <v>7050.3624999999993</v>
      </c>
    </row>
    <row r="17" spans="1:25" x14ac:dyDescent="0.25">
      <c r="A17" t="s">
        <v>72</v>
      </c>
      <c r="B17">
        <v>1</v>
      </c>
      <c r="C17" t="s">
        <v>75</v>
      </c>
      <c r="D17" t="s">
        <v>76</v>
      </c>
      <c r="E17" t="s">
        <v>77</v>
      </c>
      <c r="F17" t="s">
        <v>78</v>
      </c>
      <c r="G17" t="s">
        <v>79</v>
      </c>
      <c r="H17" t="s">
        <v>110</v>
      </c>
      <c r="I17" t="s">
        <v>72</v>
      </c>
      <c r="J17" t="s">
        <v>111</v>
      </c>
      <c r="K17" t="s">
        <v>82</v>
      </c>
      <c r="L17">
        <v>18176</v>
      </c>
      <c r="M17" t="s">
        <v>83</v>
      </c>
      <c r="N17">
        <v>14980</v>
      </c>
      <c r="O17">
        <v>1</v>
      </c>
      <c r="U17">
        <v>18176</v>
      </c>
      <c r="V17">
        <v>18176</v>
      </c>
      <c r="W17">
        <v>14980</v>
      </c>
      <c r="X17">
        <v>18176</v>
      </c>
      <c r="Y17">
        <v>18176</v>
      </c>
    </row>
    <row r="18" spans="1:25" x14ac:dyDescent="0.25">
      <c r="A18" t="s">
        <v>72</v>
      </c>
      <c r="B18">
        <v>0</v>
      </c>
      <c r="C18" t="s">
        <v>75</v>
      </c>
      <c r="D18" t="s">
        <v>76</v>
      </c>
      <c r="E18" t="s">
        <v>77</v>
      </c>
      <c r="F18" t="s">
        <v>78</v>
      </c>
      <c r="G18" t="s">
        <v>84</v>
      </c>
      <c r="H18" t="s">
        <v>110</v>
      </c>
      <c r="I18" t="s">
        <v>72</v>
      </c>
      <c r="J18" t="s">
        <v>112</v>
      </c>
      <c r="K18" t="s">
        <v>82</v>
      </c>
      <c r="L18">
        <v>14364</v>
      </c>
      <c r="M18" t="s">
        <v>83</v>
      </c>
      <c r="O18">
        <v>1</v>
      </c>
      <c r="P18">
        <v>1</v>
      </c>
      <c r="U18">
        <v>14364</v>
      </c>
      <c r="V18">
        <v>0</v>
      </c>
      <c r="W18">
        <v>14980</v>
      </c>
    </row>
    <row r="19" spans="1:25" x14ac:dyDescent="0.25">
      <c r="A19" t="s">
        <v>72</v>
      </c>
      <c r="B19">
        <v>0</v>
      </c>
      <c r="C19" t="s">
        <v>75</v>
      </c>
      <c r="D19" t="s">
        <v>76</v>
      </c>
      <c r="E19" t="s">
        <v>77</v>
      </c>
      <c r="F19" t="s">
        <v>78</v>
      </c>
      <c r="G19" t="s">
        <v>84</v>
      </c>
      <c r="H19" t="s">
        <v>110</v>
      </c>
      <c r="I19" t="s">
        <v>72</v>
      </c>
      <c r="J19" t="s">
        <v>113</v>
      </c>
      <c r="K19" t="s">
        <v>82</v>
      </c>
      <c r="L19">
        <v>12400</v>
      </c>
      <c r="M19" t="s">
        <v>83</v>
      </c>
      <c r="U19">
        <v>0</v>
      </c>
      <c r="V19">
        <v>0</v>
      </c>
      <c r="W19">
        <v>14980</v>
      </c>
    </row>
    <row r="20" spans="1:25" x14ac:dyDescent="0.25">
      <c r="A20" t="s">
        <v>72</v>
      </c>
      <c r="B20">
        <v>0</v>
      </c>
      <c r="C20" t="s">
        <v>75</v>
      </c>
      <c r="D20" t="s">
        <v>76</v>
      </c>
      <c r="E20" t="s">
        <v>77</v>
      </c>
      <c r="F20" t="s">
        <v>78</v>
      </c>
      <c r="G20" t="s">
        <v>84</v>
      </c>
      <c r="H20" t="s">
        <v>114</v>
      </c>
      <c r="I20" t="s">
        <v>115</v>
      </c>
      <c r="J20" t="s">
        <v>116</v>
      </c>
      <c r="K20" t="s">
        <v>82</v>
      </c>
      <c r="L20">
        <v>39250</v>
      </c>
      <c r="M20" t="s">
        <v>83</v>
      </c>
      <c r="P20">
        <v>1</v>
      </c>
      <c r="U20">
        <v>0</v>
      </c>
      <c r="V20">
        <v>0</v>
      </c>
      <c r="W20">
        <v>37483.333333333336</v>
      </c>
    </row>
    <row r="21" spans="1:25" x14ac:dyDescent="0.25">
      <c r="A21" t="s">
        <v>72</v>
      </c>
      <c r="B21">
        <v>0</v>
      </c>
      <c r="C21" t="s">
        <v>75</v>
      </c>
      <c r="D21" t="s">
        <v>76</v>
      </c>
      <c r="E21" t="s">
        <v>77</v>
      </c>
      <c r="F21" t="s">
        <v>78</v>
      </c>
      <c r="G21" t="s">
        <v>84</v>
      </c>
      <c r="H21" t="s">
        <v>114</v>
      </c>
      <c r="I21" t="s">
        <v>72</v>
      </c>
      <c r="J21" t="s">
        <v>117</v>
      </c>
      <c r="K21" t="s">
        <v>82</v>
      </c>
      <c r="L21">
        <v>36200</v>
      </c>
      <c r="M21" t="s">
        <v>83</v>
      </c>
      <c r="S21">
        <v>1</v>
      </c>
      <c r="U21">
        <v>0</v>
      </c>
      <c r="V21">
        <v>0</v>
      </c>
      <c r="W21">
        <v>37483.333333333336</v>
      </c>
    </row>
    <row r="22" spans="1:25" x14ac:dyDescent="0.25">
      <c r="A22" t="s">
        <v>72</v>
      </c>
      <c r="B22">
        <v>1</v>
      </c>
      <c r="C22" t="s">
        <v>75</v>
      </c>
      <c r="D22" t="s">
        <v>76</v>
      </c>
      <c r="E22" t="s">
        <v>77</v>
      </c>
      <c r="F22" t="s">
        <v>78</v>
      </c>
      <c r="G22" t="s">
        <v>118</v>
      </c>
      <c r="H22" t="s">
        <v>114</v>
      </c>
      <c r="I22" t="s">
        <v>119</v>
      </c>
      <c r="J22" t="s">
        <v>120</v>
      </c>
      <c r="K22" t="s">
        <v>82</v>
      </c>
      <c r="L22">
        <v>37000</v>
      </c>
      <c r="M22" t="s">
        <v>83</v>
      </c>
      <c r="N22">
        <v>37483.333330000001</v>
      </c>
      <c r="U22">
        <v>0</v>
      </c>
      <c r="V22">
        <v>0</v>
      </c>
      <c r="W22">
        <v>37483.333333333336</v>
      </c>
      <c r="X22">
        <v>37000</v>
      </c>
      <c r="Y22">
        <v>37000</v>
      </c>
    </row>
    <row r="23" spans="1:25" x14ac:dyDescent="0.25">
      <c r="A23" t="s">
        <v>72</v>
      </c>
      <c r="B23">
        <v>0</v>
      </c>
      <c r="C23" t="s">
        <v>75</v>
      </c>
      <c r="D23" t="s">
        <v>76</v>
      </c>
      <c r="E23" t="s">
        <v>77</v>
      </c>
      <c r="F23" t="s">
        <v>78</v>
      </c>
      <c r="G23" t="s">
        <v>84</v>
      </c>
      <c r="H23" t="s">
        <v>121</v>
      </c>
      <c r="I23" t="s">
        <v>115</v>
      </c>
      <c r="J23" t="s">
        <v>122</v>
      </c>
      <c r="K23" t="s">
        <v>82</v>
      </c>
      <c r="L23">
        <v>161541.30129999999</v>
      </c>
      <c r="M23" t="s">
        <v>83</v>
      </c>
      <c r="P23">
        <v>1</v>
      </c>
      <c r="U23">
        <v>0</v>
      </c>
      <c r="V23">
        <v>0</v>
      </c>
      <c r="W23">
        <v>145472.97853333334</v>
      </c>
    </row>
    <row r="24" spans="1:25" x14ac:dyDescent="0.25">
      <c r="A24" t="s">
        <v>72</v>
      </c>
      <c r="B24">
        <v>0</v>
      </c>
      <c r="C24" t="s">
        <v>75</v>
      </c>
      <c r="D24" t="s">
        <v>76</v>
      </c>
      <c r="E24" t="s">
        <v>77</v>
      </c>
      <c r="F24" t="s">
        <v>78</v>
      </c>
      <c r="G24" t="s">
        <v>84</v>
      </c>
      <c r="H24" t="s">
        <v>121</v>
      </c>
      <c r="I24" t="s">
        <v>72</v>
      </c>
      <c r="J24" t="s">
        <v>123</v>
      </c>
      <c r="K24" t="s">
        <v>82</v>
      </c>
      <c r="L24">
        <v>138331.54800000001</v>
      </c>
      <c r="M24" t="s">
        <v>83</v>
      </c>
      <c r="S24">
        <v>1</v>
      </c>
      <c r="U24">
        <v>0</v>
      </c>
      <c r="V24">
        <v>0</v>
      </c>
      <c r="W24">
        <v>145472.97853333334</v>
      </c>
    </row>
    <row r="25" spans="1:25" x14ac:dyDescent="0.25">
      <c r="A25" t="s">
        <v>72</v>
      </c>
      <c r="B25">
        <v>1</v>
      </c>
      <c r="C25" t="s">
        <v>75</v>
      </c>
      <c r="D25" t="s">
        <v>76</v>
      </c>
      <c r="E25" t="s">
        <v>77</v>
      </c>
      <c r="F25" t="s">
        <v>78</v>
      </c>
      <c r="G25" t="s">
        <v>118</v>
      </c>
      <c r="H25" t="s">
        <v>121</v>
      </c>
      <c r="I25" t="s">
        <v>119</v>
      </c>
      <c r="J25" t="s">
        <v>124</v>
      </c>
      <c r="K25" t="s">
        <v>82</v>
      </c>
      <c r="L25">
        <v>136546.0863</v>
      </c>
      <c r="M25" t="s">
        <v>83</v>
      </c>
      <c r="N25">
        <v>145472.9786</v>
      </c>
      <c r="U25">
        <v>0</v>
      </c>
      <c r="V25">
        <v>0</v>
      </c>
      <c r="W25">
        <v>145472.97853333334</v>
      </c>
      <c r="X25">
        <v>136546.0863</v>
      </c>
      <c r="Y25">
        <v>136546.0863</v>
      </c>
    </row>
    <row r="26" spans="1:25" x14ac:dyDescent="0.25">
      <c r="A26" t="s">
        <v>72</v>
      </c>
      <c r="B26">
        <v>0</v>
      </c>
      <c r="C26" t="s">
        <v>75</v>
      </c>
      <c r="D26" t="s">
        <v>76</v>
      </c>
      <c r="E26" t="s">
        <v>77</v>
      </c>
      <c r="F26" t="s">
        <v>78</v>
      </c>
      <c r="G26" t="s">
        <v>84</v>
      </c>
      <c r="H26" t="s">
        <v>125</v>
      </c>
      <c r="I26" t="s">
        <v>126</v>
      </c>
      <c r="J26" t="s">
        <v>127</v>
      </c>
      <c r="K26" t="s">
        <v>82</v>
      </c>
      <c r="L26">
        <v>8700</v>
      </c>
      <c r="M26" t="s">
        <v>83</v>
      </c>
      <c r="U26">
        <v>0</v>
      </c>
      <c r="V26">
        <v>0</v>
      </c>
      <c r="W26">
        <v>38916.666666666672</v>
      </c>
    </row>
    <row r="27" spans="1:25" x14ac:dyDescent="0.25">
      <c r="A27" t="s">
        <v>72</v>
      </c>
      <c r="B27">
        <v>0</v>
      </c>
      <c r="C27" t="s">
        <v>75</v>
      </c>
      <c r="D27" t="s">
        <v>76</v>
      </c>
      <c r="E27" t="s">
        <v>77</v>
      </c>
      <c r="F27" t="s">
        <v>78</v>
      </c>
      <c r="G27" t="s">
        <v>84</v>
      </c>
      <c r="H27" t="s">
        <v>125</v>
      </c>
      <c r="I27" t="s">
        <v>128</v>
      </c>
      <c r="J27" t="s">
        <v>129</v>
      </c>
      <c r="K27" t="s">
        <v>82</v>
      </c>
      <c r="L27">
        <v>69900</v>
      </c>
      <c r="M27" t="s">
        <v>83</v>
      </c>
      <c r="U27">
        <v>0</v>
      </c>
      <c r="V27">
        <v>0</v>
      </c>
      <c r="W27">
        <v>38916.666666666672</v>
      </c>
    </row>
    <row r="28" spans="1:25" x14ac:dyDescent="0.25">
      <c r="A28" t="s">
        <v>72</v>
      </c>
      <c r="B28">
        <v>1</v>
      </c>
      <c r="C28" t="s">
        <v>75</v>
      </c>
      <c r="D28" t="s">
        <v>76</v>
      </c>
      <c r="E28" t="s">
        <v>77</v>
      </c>
      <c r="F28" t="s">
        <v>78</v>
      </c>
      <c r="G28" t="s">
        <v>130</v>
      </c>
      <c r="H28" t="s">
        <v>125</v>
      </c>
      <c r="I28" t="s">
        <v>131</v>
      </c>
      <c r="J28" t="s">
        <v>132</v>
      </c>
      <c r="K28" t="s">
        <v>82</v>
      </c>
      <c r="L28">
        <v>38150</v>
      </c>
      <c r="M28" t="s">
        <v>83</v>
      </c>
      <c r="N28">
        <v>38916.666669999999</v>
      </c>
      <c r="T28">
        <v>1</v>
      </c>
      <c r="U28">
        <v>0</v>
      </c>
      <c r="V28">
        <v>0</v>
      </c>
      <c r="W28">
        <v>38916.666666666672</v>
      </c>
      <c r="X28">
        <v>38150</v>
      </c>
      <c r="Y28">
        <v>38150</v>
      </c>
    </row>
    <row r="29" spans="1:25" x14ac:dyDescent="0.25">
      <c r="A29" t="s">
        <v>133</v>
      </c>
      <c r="B29">
        <v>0</v>
      </c>
      <c r="C29" t="s">
        <v>135</v>
      </c>
      <c r="D29" t="s">
        <v>136</v>
      </c>
      <c r="E29" t="s">
        <v>137</v>
      </c>
      <c r="F29" t="s">
        <v>138</v>
      </c>
      <c r="G29" t="s">
        <v>84</v>
      </c>
      <c r="H29" t="s">
        <v>92</v>
      </c>
      <c r="I29" t="s">
        <v>139</v>
      </c>
      <c r="J29" t="s">
        <v>140</v>
      </c>
      <c r="K29" t="s">
        <v>82</v>
      </c>
      <c r="L29">
        <v>24800</v>
      </c>
      <c r="M29" t="s">
        <v>83</v>
      </c>
      <c r="O29">
        <v>1</v>
      </c>
      <c r="T29">
        <v>1</v>
      </c>
      <c r="U29">
        <v>24800</v>
      </c>
      <c r="V29">
        <v>0</v>
      </c>
      <c r="W29">
        <v>33935</v>
      </c>
    </row>
    <row r="30" spans="1:25" x14ac:dyDescent="0.25">
      <c r="A30" t="s">
        <v>133</v>
      </c>
      <c r="B30">
        <v>1</v>
      </c>
      <c r="C30" t="s">
        <v>135</v>
      </c>
      <c r="D30" t="s">
        <v>136</v>
      </c>
      <c r="E30" t="s">
        <v>137</v>
      </c>
      <c r="F30" t="s">
        <v>138</v>
      </c>
      <c r="G30" t="s">
        <v>141</v>
      </c>
      <c r="H30" t="s">
        <v>92</v>
      </c>
      <c r="I30" t="s">
        <v>142</v>
      </c>
      <c r="J30" t="s">
        <v>143</v>
      </c>
      <c r="K30" t="s">
        <v>82</v>
      </c>
      <c r="L30">
        <v>43070</v>
      </c>
      <c r="M30" t="s">
        <v>83</v>
      </c>
      <c r="N30">
        <v>33935</v>
      </c>
      <c r="U30">
        <v>0</v>
      </c>
      <c r="V30">
        <v>0</v>
      </c>
      <c r="W30">
        <v>33935</v>
      </c>
      <c r="X30">
        <v>43070</v>
      </c>
      <c r="Y30">
        <v>43070</v>
      </c>
    </row>
    <row r="31" spans="1:25" x14ac:dyDescent="0.25">
      <c r="A31" t="s">
        <v>133</v>
      </c>
      <c r="B31">
        <v>1</v>
      </c>
      <c r="C31" t="s">
        <v>135</v>
      </c>
      <c r="D31" t="s">
        <v>136</v>
      </c>
      <c r="E31" t="s">
        <v>137</v>
      </c>
      <c r="F31" t="s">
        <v>138</v>
      </c>
      <c r="G31" t="s">
        <v>141</v>
      </c>
      <c r="H31" t="s">
        <v>125</v>
      </c>
      <c r="I31" t="s">
        <v>144</v>
      </c>
      <c r="J31" t="s">
        <v>145</v>
      </c>
      <c r="K31" t="s">
        <v>82</v>
      </c>
      <c r="L31">
        <v>20800</v>
      </c>
      <c r="M31" t="s">
        <v>83</v>
      </c>
      <c r="N31">
        <v>40150</v>
      </c>
      <c r="U31">
        <v>0</v>
      </c>
      <c r="V31">
        <v>0</v>
      </c>
      <c r="W31">
        <v>40150</v>
      </c>
      <c r="X31">
        <v>20800</v>
      </c>
      <c r="Y31">
        <v>20800</v>
      </c>
    </row>
    <row r="32" spans="1:25" x14ac:dyDescent="0.25">
      <c r="A32" t="s">
        <v>133</v>
      </c>
      <c r="B32">
        <v>0</v>
      </c>
      <c r="C32" t="s">
        <v>135</v>
      </c>
      <c r="D32" t="s">
        <v>136</v>
      </c>
      <c r="E32" t="s">
        <v>137</v>
      </c>
      <c r="F32" t="s">
        <v>138</v>
      </c>
      <c r="G32" t="s">
        <v>84</v>
      </c>
      <c r="H32" t="s">
        <v>125</v>
      </c>
      <c r="I32" t="s">
        <v>146</v>
      </c>
      <c r="J32" t="s">
        <v>147</v>
      </c>
      <c r="K32" t="s">
        <v>82</v>
      </c>
      <c r="L32">
        <v>49050</v>
      </c>
      <c r="M32" t="s">
        <v>83</v>
      </c>
      <c r="U32">
        <v>0</v>
      </c>
      <c r="V32">
        <v>0</v>
      </c>
      <c r="W32">
        <v>40150</v>
      </c>
    </row>
    <row r="33" spans="1:25" x14ac:dyDescent="0.25">
      <c r="A33" t="s">
        <v>133</v>
      </c>
      <c r="B33">
        <v>0</v>
      </c>
      <c r="C33" t="s">
        <v>135</v>
      </c>
      <c r="D33" t="s">
        <v>136</v>
      </c>
      <c r="E33" t="s">
        <v>137</v>
      </c>
      <c r="F33" t="s">
        <v>138</v>
      </c>
      <c r="G33" t="s">
        <v>84</v>
      </c>
      <c r="H33" t="s">
        <v>125</v>
      </c>
      <c r="I33" t="s">
        <v>148</v>
      </c>
      <c r="J33" t="s">
        <v>149</v>
      </c>
      <c r="K33" t="s">
        <v>82</v>
      </c>
      <c r="L33">
        <v>50600</v>
      </c>
      <c r="M33" t="s">
        <v>83</v>
      </c>
      <c r="U33">
        <v>0</v>
      </c>
      <c r="V33">
        <v>0</v>
      </c>
      <c r="W33">
        <v>40150</v>
      </c>
    </row>
    <row r="34" spans="1:25" x14ac:dyDescent="0.25">
      <c r="A34" t="s">
        <v>133</v>
      </c>
      <c r="B34">
        <v>1</v>
      </c>
      <c r="C34" t="s">
        <v>135</v>
      </c>
      <c r="D34" t="s">
        <v>136</v>
      </c>
      <c r="E34" t="s">
        <v>137</v>
      </c>
      <c r="F34" t="s">
        <v>138</v>
      </c>
      <c r="G34" t="s">
        <v>150</v>
      </c>
      <c r="H34" t="s">
        <v>151</v>
      </c>
      <c r="I34" t="s">
        <v>152</v>
      </c>
      <c r="J34" t="s">
        <v>153</v>
      </c>
      <c r="K34" t="s">
        <v>82</v>
      </c>
      <c r="L34">
        <v>116454</v>
      </c>
      <c r="M34" t="s">
        <v>83</v>
      </c>
      <c r="N34">
        <v>104828.75</v>
      </c>
      <c r="U34">
        <v>0</v>
      </c>
      <c r="V34">
        <v>0</v>
      </c>
      <c r="W34">
        <v>104828.75</v>
      </c>
      <c r="X34">
        <v>116454</v>
      </c>
      <c r="Y34">
        <v>116454</v>
      </c>
    </row>
    <row r="35" spans="1:25" x14ac:dyDescent="0.25">
      <c r="A35" t="s">
        <v>133</v>
      </c>
      <c r="B35">
        <v>0</v>
      </c>
      <c r="C35" t="s">
        <v>135</v>
      </c>
      <c r="D35" t="s">
        <v>136</v>
      </c>
      <c r="E35" t="s">
        <v>137</v>
      </c>
      <c r="F35" t="s">
        <v>138</v>
      </c>
      <c r="G35" t="s">
        <v>84</v>
      </c>
      <c r="H35" t="s">
        <v>151</v>
      </c>
      <c r="I35" t="s">
        <v>154</v>
      </c>
      <c r="J35" t="s">
        <v>155</v>
      </c>
      <c r="K35" t="s">
        <v>82</v>
      </c>
      <c r="L35">
        <v>93203.5</v>
      </c>
      <c r="M35" t="s">
        <v>83</v>
      </c>
      <c r="U35">
        <v>0</v>
      </c>
      <c r="V35">
        <v>0</v>
      </c>
      <c r="W35">
        <v>104828.75</v>
      </c>
    </row>
    <row r="36" spans="1:25" x14ac:dyDescent="0.25">
      <c r="A36" t="s">
        <v>133</v>
      </c>
      <c r="B36">
        <v>0</v>
      </c>
      <c r="C36" t="s">
        <v>135</v>
      </c>
      <c r="D36" t="s">
        <v>136</v>
      </c>
      <c r="E36" t="s">
        <v>137</v>
      </c>
      <c r="F36" t="s">
        <v>138</v>
      </c>
      <c r="G36" t="s">
        <v>84</v>
      </c>
      <c r="H36" t="s">
        <v>98</v>
      </c>
      <c r="I36" t="s">
        <v>156</v>
      </c>
      <c r="J36" t="s">
        <v>157</v>
      </c>
      <c r="K36" t="s">
        <v>82</v>
      </c>
      <c r="L36">
        <v>17500</v>
      </c>
      <c r="M36" t="s">
        <v>83</v>
      </c>
      <c r="S36">
        <v>1</v>
      </c>
      <c r="U36">
        <v>0</v>
      </c>
      <c r="V36">
        <v>0</v>
      </c>
      <c r="W36">
        <v>32250</v>
      </c>
    </row>
    <row r="37" spans="1:25" x14ac:dyDescent="0.25">
      <c r="A37" t="s">
        <v>133</v>
      </c>
      <c r="B37">
        <v>1</v>
      </c>
      <c r="C37" t="s">
        <v>135</v>
      </c>
      <c r="D37" t="s">
        <v>136</v>
      </c>
      <c r="E37" t="s">
        <v>137</v>
      </c>
      <c r="F37" t="s">
        <v>138</v>
      </c>
      <c r="G37" t="s">
        <v>158</v>
      </c>
      <c r="H37" t="s">
        <v>98</v>
      </c>
      <c r="I37" t="s">
        <v>159</v>
      </c>
      <c r="J37" t="s">
        <v>160</v>
      </c>
      <c r="K37" t="s">
        <v>82</v>
      </c>
      <c r="L37">
        <v>49250</v>
      </c>
      <c r="M37" t="s">
        <v>83</v>
      </c>
      <c r="N37">
        <v>32250</v>
      </c>
      <c r="O37">
        <v>1</v>
      </c>
      <c r="S37">
        <v>1</v>
      </c>
      <c r="U37">
        <v>49250</v>
      </c>
      <c r="V37">
        <v>49250</v>
      </c>
      <c r="W37">
        <v>32250</v>
      </c>
      <c r="X37">
        <v>49250</v>
      </c>
      <c r="Y37">
        <v>49250</v>
      </c>
    </row>
    <row r="38" spans="1:25" x14ac:dyDescent="0.25">
      <c r="A38" t="s">
        <v>133</v>
      </c>
      <c r="B38">
        <v>0</v>
      </c>
      <c r="C38" t="s">
        <v>135</v>
      </c>
      <c r="D38" t="s">
        <v>136</v>
      </c>
      <c r="E38" t="s">
        <v>137</v>
      </c>
      <c r="F38" t="s">
        <v>138</v>
      </c>
      <c r="G38" t="s">
        <v>84</v>
      </c>
      <c r="H38" t="s">
        <v>98</v>
      </c>
      <c r="I38" t="s">
        <v>161</v>
      </c>
      <c r="J38" t="s">
        <v>162</v>
      </c>
      <c r="K38" t="s">
        <v>82</v>
      </c>
      <c r="L38">
        <v>30000</v>
      </c>
      <c r="M38" t="s">
        <v>83</v>
      </c>
      <c r="R38">
        <v>1</v>
      </c>
      <c r="U38">
        <v>0</v>
      </c>
      <c r="V38">
        <v>0</v>
      </c>
      <c r="W38">
        <v>32250</v>
      </c>
    </row>
    <row r="39" spans="1:25" x14ac:dyDescent="0.25">
      <c r="A39" t="s">
        <v>133</v>
      </c>
      <c r="B39">
        <v>1</v>
      </c>
      <c r="C39" t="s">
        <v>135</v>
      </c>
      <c r="D39" t="s">
        <v>136</v>
      </c>
      <c r="E39" t="s">
        <v>137</v>
      </c>
      <c r="F39" t="s">
        <v>138</v>
      </c>
      <c r="G39" t="s">
        <v>163</v>
      </c>
      <c r="H39" t="s">
        <v>87</v>
      </c>
      <c r="I39" t="s">
        <v>133</v>
      </c>
      <c r="J39" t="s">
        <v>164</v>
      </c>
      <c r="K39" t="s">
        <v>82</v>
      </c>
      <c r="L39">
        <v>95889.791670000006</v>
      </c>
      <c r="M39" t="s">
        <v>83</v>
      </c>
      <c r="N39">
        <v>93203.872220000005</v>
      </c>
      <c r="T39">
        <v>1</v>
      </c>
      <c r="U39">
        <v>0</v>
      </c>
      <c r="V39">
        <v>0</v>
      </c>
      <c r="W39">
        <v>93203.872213333336</v>
      </c>
      <c r="X39">
        <v>95889.791670000006</v>
      </c>
      <c r="Y39">
        <v>95889.791670000006</v>
      </c>
    </row>
    <row r="40" spans="1:25" x14ac:dyDescent="0.25">
      <c r="A40" t="s">
        <v>133</v>
      </c>
      <c r="B40">
        <v>0</v>
      </c>
      <c r="C40" t="s">
        <v>135</v>
      </c>
      <c r="D40" t="s">
        <v>136</v>
      </c>
      <c r="E40" t="s">
        <v>137</v>
      </c>
      <c r="F40" t="s">
        <v>138</v>
      </c>
      <c r="G40" t="s">
        <v>84</v>
      </c>
      <c r="H40" t="s">
        <v>87</v>
      </c>
      <c r="I40" t="s">
        <v>133</v>
      </c>
      <c r="J40" t="s">
        <v>165</v>
      </c>
      <c r="K40" t="s">
        <v>82</v>
      </c>
      <c r="L40">
        <v>67406.616670000003</v>
      </c>
      <c r="M40" t="s">
        <v>83</v>
      </c>
      <c r="Q40">
        <v>1</v>
      </c>
      <c r="U40">
        <v>0</v>
      </c>
      <c r="V40">
        <v>0</v>
      </c>
      <c r="W40">
        <v>93203.872213333336</v>
      </c>
    </row>
    <row r="41" spans="1:25" x14ac:dyDescent="0.25">
      <c r="A41" t="s">
        <v>133</v>
      </c>
      <c r="B41">
        <v>0</v>
      </c>
      <c r="C41" t="s">
        <v>135</v>
      </c>
      <c r="D41" t="s">
        <v>136</v>
      </c>
      <c r="E41" t="s">
        <v>137</v>
      </c>
      <c r="F41" t="s">
        <v>138</v>
      </c>
      <c r="G41" t="s">
        <v>84</v>
      </c>
      <c r="H41" t="s">
        <v>87</v>
      </c>
      <c r="I41" t="s">
        <v>133</v>
      </c>
      <c r="J41" t="s">
        <v>166</v>
      </c>
      <c r="K41" t="s">
        <v>82</v>
      </c>
      <c r="L41">
        <v>116315.2083</v>
      </c>
      <c r="M41" t="s">
        <v>83</v>
      </c>
      <c r="U41">
        <v>0</v>
      </c>
      <c r="V41">
        <v>0</v>
      </c>
      <c r="W41">
        <v>93203.872213333336</v>
      </c>
    </row>
    <row r="42" spans="1:25" x14ac:dyDescent="0.25">
      <c r="A42" t="s">
        <v>133</v>
      </c>
      <c r="B42">
        <v>1</v>
      </c>
      <c r="C42" t="s">
        <v>135</v>
      </c>
      <c r="D42" t="s">
        <v>136</v>
      </c>
      <c r="E42" t="s">
        <v>137</v>
      </c>
      <c r="F42" t="s">
        <v>138</v>
      </c>
      <c r="G42" t="s">
        <v>167</v>
      </c>
      <c r="H42" t="s">
        <v>110</v>
      </c>
      <c r="I42" t="s">
        <v>133</v>
      </c>
      <c r="J42" t="s">
        <v>168</v>
      </c>
      <c r="K42" t="s">
        <v>82</v>
      </c>
      <c r="L42">
        <v>10250</v>
      </c>
      <c r="M42" t="s">
        <v>83</v>
      </c>
      <c r="N42">
        <v>9606</v>
      </c>
      <c r="U42">
        <v>0</v>
      </c>
      <c r="V42">
        <v>0</v>
      </c>
      <c r="W42">
        <v>9606</v>
      </c>
      <c r="X42">
        <v>10250</v>
      </c>
      <c r="Y42">
        <v>10250</v>
      </c>
    </row>
    <row r="43" spans="1:25" x14ac:dyDescent="0.25">
      <c r="A43" t="s">
        <v>133</v>
      </c>
      <c r="B43">
        <v>0</v>
      </c>
      <c r="C43" t="s">
        <v>135</v>
      </c>
      <c r="D43" t="s">
        <v>136</v>
      </c>
      <c r="E43" t="s">
        <v>137</v>
      </c>
      <c r="F43" t="s">
        <v>138</v>
      </c>
      <c r="G43" t="s">
        <v>84</v>
      </c>
      <c r="H43" t="s">
        <v>110</v>
      </c>
      <c r="I43" t="s">
        <v>133</v>
      </c>
      <c r="J43" t="s">
        <v>169</v>
      </c>
      <c r="K43" t="s">
        <v>82</v>
      </c>
      <c r="L43">
        <v>8568</v>
      </c>
      <c r="M43" t="s">
        <v>83</v>
      </c>
      <c r="O43">
        <v>1</v>
      </c>
      <c r="U43">
        <v>8568</v>
      </c>
      <c r="V43">
        <v>0</v>
      </c>
      <c r="W43">
        <v>9606</v>
      </c>
    </row>
    <row r="44" spans="1:25" x14ac:dyDescent="0.25">
      <c r="A44" t="s">
        <v>133</v>
      </c>
      <c r="B44">
        <v>0</v>
      </c>
      <c r="C44" t="s">
        <v>135</v>
      </c>
      <c r="D44" t="s">
        <v>136</v>
      </c>
      <c r="E44" t="s">
        <v>137</v>
      </c>
      <c r="F44" t="s">
        <v>138</v>
      </c>
      <c r="G44" t="s">
        <v>84</v>
      </c>
      <c r="H44" t="s">
        <v>110</v>
      </c>
      <c r="I44" t="s">
        <v>133</v>
      </c>
      <c r="J44" t="s">
        <v>170</v>
      </c>
      <c r="K44" t="s">
        <v>82</v>
      </c>
      <c r="L44">
        <v>10000</v>
      </c>
      <c r="M44" t="s">
        <v>83</v>
      </c>
      <c r="O44">
        <v>1</v>
      </c>
      <c r="P44">
        <v>1</v>
      </c>
      <c r="U44">
        <v>10000</v>
      </c>
      <c r="V44">
        <v>0</v>
      </c>
      <c r="W44">
        <v>9606</v>
      </c>
    </row>
    <row r="45" spans="1:25" x14ac:dyDescent="0.25">
      <c r="A45" t="s">
        <v>133</v>
      </c>
      <c r="B45">
        <v>1</v>
      </c>
      <c r="C45" t="s">
        <v>135</v>
      </c>
      <c r="D45" t="s">
        <v>136</v>
      </c>
      <c r="E45" t="s">
        <v>137</v>
      </c>
      <c r="F45" t="s">
        <v>138</v>
      </c>
      <c r="G45" t="s">
        <v>167</v>
      </c>
      <c r="H45" t="s">
        <v>106</v>
      </c>
      <c r="I45" t="s">
        <v>133</v>
      </c>
      <c r="J45" t="s">
        <v>171</v>
      </c>
      <c r="K45" t="s">
        <v>82</v>
      </c>
      <c r="L45">
        <v>7200.0349999999999</v>
      </c>
      <c r="M45" t="s">
        <v>83</v>
      </c>
      <c r="N45">
        <v>9810.1133329999993</v>
      </c>
      <c r="U45">
        <v>0</v>
      </c>
      <c r="V45">
        <v>0</v>
      </c>
      <c r="W45">
        <v>9810.1133333333328</v>
      </c>
      <c r="X45">
        <v>7200.0349999999999</v>
      </c>
      <c r="Y45">
        <v>7200.0349999999999</v>
      </c>
    </row>
    <row r="46" spans="1:25" x14ac:dyDescent="0.25">
      <c r="A46" t="s">
        <v>133</v>
      </c>
      <c r="B46">
        <v>0</v>
      </c>
      <c r="C46" t="s">
        <v>135</v>
      </c>
      <c r="D46" t="s">
        <v>136</v>
      </c>
      <c r="E46" t="s">
        <v>137</v>
      </c>
      <c r="F46" t="s">
        <v>138</v>
      </c>
      <c r="G46" t="s">
        <v>84</v>
      </c>
      <c r="H46" t="s">
        <v>106</v>
      </c>
      <c r="I46" t="s">
        <v>133</v>
      </c>
      <c r="J46" t="s">
        <v>172</v>
      </c>
      <c r="K46" t="s">
        <v>82</v>
      </c>
      <c r="L46">
        <v>12958.487499999999</v>
      </c>
      <c r="M46" t="s">
        <v>83</v>
      </c>
      <c r="O46">
        <v>1</v>
      </c>
      <c r="U46">
        <v>12958.487499999999</v>
      </c>
      <c r="V46">
        <v>0</v>
      </c>
      <c r="W46">
        <v>9810.1133333333328</v>
      </c>
    </row>
    <row r="47" spans="1:25" x14ac:dyDescent="0.25">
      <c r="A47" t="s">
        <v>133</v>
      </c>
      <c r="B47">
        <v>0</v>
      </c>
      <c r="C47" t="s">
        <v>135</v>
      </c>
      <c r="D47" t="s">
        <v>136</v>
      </c>
      <c r="E47" t="s">
        <v>137</v>
      </c>
      <c r="F47" t="s">
        <v>138</v>
      </c>
      <c r="G47" t="s">
        <v>84</v>
      </c>
      <c r="H47" t="s">
        <v>106</v>
      </c>
      <c r="I47" t="s">
        <v>133</v>
      </c>
      <c r="J47" t="s">
        <v>173</v>
      </c>
      <c r="K47" t="s">
        <v>82</v>
      </c>
      <c r="L47">
        <v>9271.8174999999992</v>
      </c>
      <c r="M47" t="s">
        <v>83</v>
      </c>
      <c r="O47">
        <v>1</v>
      </c>
      <c r="P47">
        <v>1</v>
      </c>
      <c r="U47">
        <v>9271.8174999999992</v>
      </c>
      <c r="V47">
        <v>0</v>
      </c>
      <c r="W47">
        <v>9810.1133333333328</v>
      </c>
    </row>
    <row r="48" spans="1:25" x14ac:dyDescent="0.25">
      <c r="A48" t="s">
        <v>133</v>
      </c>
      <c r="B48">
        <v>1</v>
      </c>
      <c r="C48" t="s">
        <v>135</v>
      </c>
      <c r="D48" t="s">
        <v>136</v>
      </c>
      <c r="E48" t="s">
        <v>137</v>
      </c>
      <c r="F48" t="s">
        <v>138</v>
      </c>
      <c r="G48" t="s">
        <v>167</v>
      </c>
      <c r="H48" t="s">
        <v>80</v>
      </c>
      <c r="I48" t="s">
        <v>133</v>
      </c>
      <c r="J48" t="s">
        <v>174</v>
      </c>
      <c r="K48" t="s">
        <v>82</v>
      </c>
      <c r="L48">
        <v>685626.90079999994</v>
      </c>
      <c r="M48" t="s">
        <v>83</v>
      </c>
      <c r="N48">
        <v>649602.47699999996</v>
      </c>
      <c r="U48">
        <v>0</v>
      </c>
      <c r="V48">
        <v>0</v>
      </c>
      <c r="W48">
        <v>649602.47703333327</v>
      </c>
      <c r="X48">
        <v>685626.90079999994</v>
      </c>
      <c r="Y48">
        <v>685626.90079999994</v>
      </c>
    </row>
    <row r="49" spans="1:25" x14ac:dyDescent="0.25">
      <c r="A49" t="s">
        <v>133</v>
      </c>
      <c r="B49">
        <v>0</v>
      </c>
      <c r="C49" t="s">
        <v>135</v>
      </c>
      <c r="D49" t="s">
        <v>136</v>
      </c>
      <c r="E49" t="s">
        <v>137</v>
      </c>
      <c r="F49" t="s">
        <v>138</v>
      </c>
      <c r="G49" t="s">
        <v>84</v>
      </c>
      <c r="H49" t="s">
        <v>80</v>
      </c>
      <c r="I49" t="s">
        <v>133</v>
      </c>
      <c r="J49" t="s">
        <v>175</v>
      </c>
      <c r="K49" t="s">
        <v>82</v>
      </c>
      <c r="L49">
        <v>673878.4375</v>
      </c>
      <c r="M49" t="s">
        <v>83</v>
      </c>
      <c r="O49">
        <v>1</v>
      </c>
      <c r="U49">
        <v>673878.4375</v>
      </c>
      <c r="V49">
        <v>0</v>
      </c>
      <c r="W49">
        <v>649602.47703333327</v>
      </c>
    </row>
    <row r="50" spans="1:25" x14ac:dyDescent="0.25">
      <c r="A50" t="s">
        <v>133</v>
      </c>
      <c r="B50">
        <v>0</v>
      </c>
      <c r="C50" t="s">
        <v>135</v>
      </c>
      <c r="D50" t="s">
        <v>136</v>
      </c>
      <c r="E50" t="s">
        <v>137</v>
      </c>
      <c r="F50" t="s">
        <v>138</v>
      </c>
      <c r="G50" t="s">
        <v>84</v>
      </c>
      <c r="H50" t="s">
        <v>80</v>
      </c>
      <c r="I50" t="s">
        <v>133</v>
      </c>
      <c r="J50" t="s">
        <v>176</v>
      </c>
      <c r="K50" t="s">
        <v>82</v>
      </c>
      <c r="L50">
        <v>589302.09279999998</v>
      </c>
      <c r="M50" t="s">
        <v>83</v>
      </c>
      <c r="O50">
        <v>1</v>
      </c>
      <c r="P50">
        <v>1</v>
      </c>
      <c r="U50">
        <v>589302.09279999998</v>
      </c>
      <c r="V50">
        <v>0</v>
      </c>
      <c r="W50">
        <v>649602.47703333327</v>
      </c>
    </row>
    <row r="51" spans="1:25" x14ac:dyDescent="0.25">
      <c r="A51" t="s">
        <v>177</v>
      </c>
      <c r="B51">
        <v>0</v>
      </c>
      <c r="C51" t="s">
        <v>135</v>
      </c>
      <c r="D51" t="s">
        <v>136</v>
      </c>
      <c r="E51" t="s">
        <v>179</v>
      </c>
      <c r="F51" t="s">
        <v>138</v>
      </c>
      <c r="G51" t="s">
        <v>84</v>
      </c>
      <c r="H51" t="s">
        <v>92</v>
      </c>
      <c r="I51" t="s">
        <v>180</v>
      </c>
      <c r="J51" t="s">
        <v>181</v>
      </c>
      <c r="K51" t="s">
        <v>82</v>
      </c>
      <c r="L51">
        <v>29320</v>
      </c>
      <c r="M51" t="s">
        <v>83</v>
      </c>
      <c r="U51">
        <v>0</v>
      </c>
      <c r="V51">
        <v>0</v>
      </c>
      <c r="W51">
        <v>48990</v>
      </c>
    </row>
    <row r="52" spans="1:25" x14ac:dyDescent="0.25">
      <c r="A52" t="s">
        <v>177</v>
      </c>
      <c r="B52">
        <v>1</v>
      </c>
      <c r="C52" t="s">
        <v>135</v>
      </c>
      <c r="D52" t="s">
        <v>136</v>
      </c>
      <c r="E52" t="s">
        <v>179</v>
      </c>
      <c r="F52" t="s">
        <v>138</v>
      </c>
      <c r="G52" t="s">
        <v>182</v>
      </c>
      <c r="H52" t="s">
        <v>92</v>
      </c>
      <c r="I52" t="s">
        <v>183</v>
      </c>
      <c r="J52" t="s">
        <v>184</v>
      </c>
      <c r="K52" t="s">
        <v>82</v>
      </c>
      <c r="L52">
        <v>68660</v>
      </c>
      <c r="M52" t="s">
        <v>83</v>
      </c>
      <c r="N52">
        <v>48990</v>
      </c>
      <c r="Q52">
        <v>1</v>
      </c>
      <c r="S52">
        <v>1</v>
      </c>
      <c r="U52">
        <v>0</v>
      </c>
      <c r="V52">
        <v>0</v>
      </c>
      <c r="W52">
        <v>48990</v>
      </c>
      <c r="X52">
        <v>68660</v>
      </c>
      <c r="Y52">
        <v>68660</v>
      </c>
    </row>
    <row r="53" spans="1:25" x14ac:dyDescent="0.25">
      <c r="A53" t="s">
        <v>177</v>
      </c>
      <c r="B53">
        <v>0</v>
      </c>
      <c r="C53" t="s">
        <v>135</v>
      </c>
      <c r="D53" t="s">
        <v>136</v>
      </c>
      <c r="E53" t="s">
        <v>179</v>
      </c>
      <c r="F53" t="s">
        <v>138</v>
      </c>
      <c r="G53" t="s">
        <v>84</v>
      </c>
      <c r="H53" t="s">
        <v>185</v>
      </c>
      <c r="I53" t="s">
        <v>186</v>
      </c>
      <c r="J53" t="s">
        <v>187</v>
      </c>
      <c r="K53" t="s">
        <v>82</v>
      </c>
      <c r="L53">
        <v>22844.75</v>
      </c>
      <c r="M53" t="s">
        <v>83</v>
      </c>
      <c r="U53">
        <v>0</v>
      </c>
      <c r="V53">
        <v>0</v>
      </c>
      <c r="W53">
        <v>18774.708333333332</v>
      </c>
    </row>
    <row r="54" spans="1:25" x14ac:dyDescent="0.25">
      <c r="A54" t="s">
        <v>177</v>
      </c>
      <c r="B54">
        <v>1</v>
      </c>
      <c r="C54" t="s">
        <v>135</v>
      </c>
      <c r="D54" t="s">
        <v>136</v>
      </c>
      <c r="E54" t="s">
        <v>179</v>
      </c>
      <c r="F54" t="s">
        <v>138</v>
      </c>
      <c r="G54" t="s">
        <v>188</v>
      </c>
      <c r="H54" t="s">
        <v>185</v>
      </c>
      <c r="I54" t="s">
        <v>189</v>
      </c>
      <c r="J54" t="s">
        <v>190</v>
      </c>
      <c r="K54" t="s">
        <v>82</v>
      </c>
      <c r="L54">
        <v>19457.424999999999</v>
      </c>
      <c r="M54" t="s">
        <v>83</v>
      </c>
      <c r="N54">
        <v>18774.708330000001</v>
      </c>
      <c r="T54">
        <v>1</v>
      </c>
      <c r="U54">
        <v>0</v>
      </c>
      <c r="V54">
        <v>0</v>
      </c>
      <c r="W54">
        <v>18774.708333333332</v>
      </c>
      <c r="X54">
        <v>19457.424999999999</v>
      </c>
      <c r="Y54">
        <v>19457.424999999999</v>
      </c>
    </row>
    <row r="55" spans="1:25" x14ac:dyDescent="0.25">
      <c r="A55" t="s">
        <v>177</v>
      </c>
      <c r="B55">
        <v>0</v>
      </c>
      <c r="C55" t="s">
        <v>135</v>
      </c>
      <c r="D55" t="s">
        <v>136</v>
      </c>
      <c r="E55" t="s">
        <v>179</v>
      </c>
      <c r="F55" t="s">
        <v>138</v>
      </c>
      <c r="G55" t="s">
        <v>84</v>
      </c>
      <c r="H55" t="s">
        <v>185</v>
      </c>
      <c r="I55" t="s">
        <v>191</v>
      </c>
      <c r="J55" t="s">
        <v>192</v>
      </c>
      <c r="K55" t="s">
        <v>82</v>
      </c>
      <c r="L55">
        <v>14021.95</v>
      </c>
      <c r="M55" t="s">
        <v>83</v>
      </c>
      <c r="P55">
        <v>1</v>
      </c>
      <c r="T55">
        <v>1</v>
      </c>
      <c r="U55">
        <v>0</v>
      </c>
      <c r="V55">
        <v>0</v>
      </c>
      <c r="W55">
        <v>18774.708333333332</v>
      </c>
    </row>
    <row r="56" spans="1:25" x14ac:dyDescent="0.25">
      <c r="A56" t="s">
        <v>177</v>
      </c>
      <c r="B56">
        <v>1</v>
      </c>
      <c r="C56" t="s">
        <v>135</v>
      </c>
      <c r="D56" t="s">
        <v>136</v>
      </c>
      <c r="E56" t="s">
        <v>179</v>
      </c>
      <c r="F56" t="s">
        <v>138</v>
      </c>
      <c r="G56" t="s">
        <v>130</v>
      </c>
      <c r="H56" t="s">
        <v>125</v>
      </c>
      <c r="I56" t="s">
        <v>193</v>
      </c>
      <c r="J56" t="s">
        <v>194</v>
      </c>
      <c r="K56" t="s">
        <v>82</v>
      </c>
      <c r="L56">
        <v>15950</v>
      </c>
      <c r="M56" t="s">
        <v>83</v>
      </c>
      <c r="N56">
        <v>30350</v>
      </c>
      <c r="T56">
        <v>1</v>
      </c>
      <c r="U56">
        <v>0</v>
      </c>
      <c r="V56">
        <v>0</v>
      </c>
      <c r="W56">
        <v>30350</v>
      </c>
      <c r="X56">
        <v>15950</v>
      </c>
      <c r="Y56">
        <v>15950</v>
      </c>
    </row>
    <row r="57" spans="1:25" x14ac:dyDescent="0.25">
      <c r="A57" t="s">
        <v>177</v>
      </c>
      <c r="B57">
        <v>0</v>
      </c>
      <c r="C57" t="s">
        <v>135</v>
      </c>
      <c r="D57" t="s">
        <v>136</v>
      </c>
      <c r="E57" t="s">
        <v>179</v>
      </c>
      <c r="F57" t="s">
        <v>138</v>
      </c>
      <c r="G57" t="s">
        <v>84</v>
      </c>
      <c r="H57" t="s">
        <v>125</v>
      </c>
      <c r="I57" t="s">
        <v>195</v>
      </c>
      <c r="J57" t="s">
        <v>196</v>
      </c>
      <c r="K57" t="s">
        <v>82</v>
      </c>
      <c r="L57">
        <v>34650</v>
      </c>
      <c r="M57" t="s">
        <v>83</v>
      </c>
      <c r="U57">
        <v>0</v>
      </c>
      <c r="V57">
        <v>0</v>
      </c>
      <c r="W57">
        <v>30350</v>
      </c>
    </row>
    <row r="58" spans="1:25" x14ac:dyDescent="0.25">
      <c r="A58" t="s">
        <v>177</v>
      </c>
      <c r="B58">
        <v>0</v>
      </c>
      <c r="C58" t="s">
        <v>135</v>
      </c>
      <c r="D58" t="s">
        <v>136</v>
      </c>
      <c r="E58" t="s">
        <v>179</v>
      </c>
      <c r="F58" t="s">
        <v>138</v>
      </c>
      <c r="G58" t="s">
        <v>84</v>
      </c>
      <c r="H58" t="s">
        <v>125</v>
      </c>
      <c r="I58" t="s">
        <v>197</v>
      </c>
      <c r="J58" t="s">
        <v>198</v>
      </c>
      <c r="K58" t="s">
        <v>82</v>
      </c>
      <c r="L58">
        <v>40450</v>
      </c>
      <c r="M58" t="s">
        <v>83</v>
      </c>
      <c r="U58">
        <v>0</v>
      </c>
      <c r="V58">
        <v>0</v>
      </c>
      <c r="W58">
        <v>30350</v>
      </c>
    </row>
    <row r="59" spans="1:25" x14ac:dyDescent="0.25">
      <c r="A59" t="s">
        <v>177</v>
      </c>
      <c r="B59">
        <v>0</v>
      </c>
      <c r="C59" t="s">
        <v>135</v>
      </c>
      <c r="D59" t="s">
        <v>136</v>
      </c>
      <c r="E59" t="s">
        <v>179</v>
      </c>
      <c r="F59" t="s">
        <v>138</v>
      </c>
      <c r="G59" t="s">
        <v>84</v>
      </c>
      <c r="H59" t="s">
        <v>98</v>
      </c>
      <c r="I59" t="s">
        <v>199</v>
      </c>
      <c r="J59" t="s">
        <v>200</v>
      </c>
      <c r="K59" t="s">
        <v>82</v>
      </c>
      <c r="L59">
        <v>14900</v>
      </c>
      <c r="M59" t="s">
        <v>83</v>
      </c>
      <c r="R59">
        <v>1</v>
      </c>
      <c r="U59">
        <v>0</v>
      </c>
      <c r="V59">
        <v>0</v>
      </c>
      <c r="W59">
        <v>27083.333333333336</v>
      </c>
    </row>
    <row r="60" spans="1:25" x14ac:dyDescent="0.25">
      <c r="A60" t="s">
        <v>177</v>
      </c>
      <c r="B60">
        <v>0</v>
      </c>
      <c r="C60" t="s">
        <v>135</v>
      </c>
      <c r="D60" t="s">
        <v>136</v>
      </c>
      <c r="E60" t="s">
        <v>179</v>
      </c>
      <c r="F60" t="s">
        <v>138</v>
      </c>
      <c r="G60" t="s">
        <v>84</v>
      </c>
      <c r="H60" t="s">
        <v>98</v>
      </c>
      <c r="I60" t="s">
        <v>201</v>
      </c>
      <c r="J60" t="s">
        <v>202</v>
      </c>
      <c r="K60" t="s">
        <v>82</v>
      </c>
      <c r="L60">
        <v>47450</v>
      </c>
      <c r="M60" t="s">
        <v>83</v>
      </c>
      <c r="R60">
        <v>1</v>
      </c>
      <c r="T60">
        <v>1</v>
      </c>
      <c r="U60">
        <v>0</v>
      </c>
      <c r="V60">
        <v>0</v>
      </c>
      <c r="W60">
        <v>27083.333333333336</v>
      </c>
    </row>
    <row r="61" spans="1:25" x14ac:dyDescent="0.25">
      <c r="A61" t="s">
        <v>177</v>
      </c>
      <c r="B61">
        <v>1</v>
      </c>
      <c r="C61" t="s">
        <v>135</v>
      </c>
      <c r="D61" t="s">
        <v>136</v>
      </c>
      <c r="E61" t="s">
        <v>179</v>
      </c>
      <c r="F61" t="s">
        <v>138</v>
      </c>
      <c r="G61" t="s">
        <v>203</v>
      </c>
      <c r="H61" t="s">
        <v>98</v>
      </c>
      <c r="I61" t="s">
        <v>204</v>
      </c>
      <c r="J61" t="s">
        <v>205</v>
      </c>
      <c r="K61" t="s">
        <v>82</v>
      </c>
      <c r="L61">
        <v>18900</v>
      </c>
      <c r="M61" t="s">
        <v>83</v>
      </c>
      <c r="N61">
        <v>27083.333330000001</v>
      </c>
      <c r="U61">
        <v>0</v>
      </c>
      <c r="V61">
        <v>0</v>
      </c>
      <c r="W61">
        <v>27083.333333333336</v>
      </c>
      <c r="X61">
        <v>18900</v>
      </c>
      <c r="Y61">
        <v>18900</v>
      </c>
    </row>
    <row r="62" spans="1:25" x14ac:dyDescent="0.25">
      <c r="A62" t="s">
        <v>177</v>
      </c>
      <c r="B62">
        <v>0</v>
      </c>
      <c r="C62" t="s">
        <v>135</v>
      </c>
      <c r="D62" t="s">
        <v>136</v>
      </c>
      <c r="E62" t="s">
        <v>179</v>
      </c>
      <c r="F62" t="s">
        <v>138</v>
      </c>
      <c r="G62" t="s">
        <v>84</v>
      </c>
      <c r="H62" t="s">
        <v>87</v>
      </c>
      <c r="I62" t="s">
        <v>177</v>
      </c>
      <c r="J62" t="s">
        <v>206</v>
      </c>
      <c r="K62" t="s">
        <v>82</v>
      </c>
      <c r="L62">
        <v>56933.45</v>
      </c>
      <c r="M62" t="s">
        <v>83</v>
      </c>
      <c r="Q62">
        <v>1</v>
      </c>
      <c r="U62">
        <v>0</v>
      </c>
      <c r="V62">
        <v>0</v>
      </c>
      <c r="W62">
        <v>93441.483333333337</v>
      </c>
    </row>
    <row r="63" spans="1:25" x14ac:dyDescent="0.25">
      <c r="A63" t="s">
        <v>177</v>
      </c>
      <c r="B63">
        <v>1</v>
      </c>
      <c r="C63" t="s">
        <v>135</v>
      </c>
      <c r="D63" t="s">
        <v>136</v>
      </c>
      <c r="E63" t="s">
        <v>179</v>
      </c>
      <c r="F63" t="s">
        <v>138</v>
      </c>
      <c r="G63" t="s">
        <v>207</v>
      </c>
      <c r="H63" t="s">
        <v>87</v>
      </c>
      <c r="I63" t="s">
        <v>177</v>
      </c>
      <c r="J63" t="s">
        <v>208</v>
      </c>
      <c r="K63" t="s">
        <v>82</v>
      </c>
      <c r="L63">
        <v>100975.5833</v>
      </c>
      <c r="M63" t="s">
        <v>83</v>
      </c>
      <c r="N63">
        <v>93441.483330000003</v>
      </c>
      <c r="S63">
        <v>1</v>
      </c>
      <c r="T63">
        <v>1</v>
      </c>
      <c r="U63">
        <v>0</v>
      </c>
      <c r="V63">
        <v>0</v>
      </c>
      <c r="W63">
        <v>93441.483333333337</v>
      </c>
      <c r="X63">
        <v>100975.5833</v>
      </c>
      <c r="Y63">
        <v>100975.5833</v>
      </c>
    </row>
    <row r="64" spans="1:25" x14ac:dyDescent="0.25">
      <c r="A64" t="s">
        <v>177</v>
      </c>
      <c r="B64">
        <v>0</v>
      </c>
      <c r="C64" t="s">
        <v>135</v>
      </c>
      <c r="D64" t="s">
        <v>136</v>
      </c>
      <c r="E64" t="s">
        <v>179</v>
      </c>
      <c r="F64" t="s">
        <v>138</v>
      </c>
      <c r="G64" t="s">
        <v>84</v>
      </c>
      <c r="H64" t="s">
        <v>87</v>
      </c>
      <c r="I64" t="s">
        <v>177</v>
      </c>
      <c r="J64" t="s">
        <v>209</v>
      </c>
      <c r="K64" t="s">
        <v>82</v>
      </c>
      <c r="L64">
        <v>122415.4167</v>
      </c>
      <c r="M64" t="s">
        <v>83</v>
      </c>
      <c r="T64">
        <v>1</v>
      </c>
      <c r="U64">
        <v>0</v>
      </c>
      <c r="V64">
        <v>0</v>
      </c>
      <c r="W64">
        <v>93441.483333333337</v>
      </c>
    </row>
    <row r="65" spans="1:25" x14ac:dyDescent="0.25">
      <c r="A65" t="s">
        <v>177</v>
      </c>
      <c r="B65">
        <v>0</v>
      </c>
      <c r="C65" t="s">
        <v>135</v>
      </c>
      <c r="D65" t="s">
        <v>136</v>
      </c>
      <c r="E65" t="s">
        <v>179</v>
      </c>
      <c r="F65" t="s">
        <v>138</v>
      </c>
      <c r="G65" t="s">
        <v>84</v>
      </c>
      <c r="H65" t="s">
        <v>110</v>
      </c>
      <c r="I65" t="s">
        <v>186</v>
      </c>
      <c r="J65" t="s">
        <v>113</v>
      </c>
      <c r="K65" t="s">
        <v>82</v>
      </c>
      <c r="L65">
        <v>12400</v>
      </c>
      <c r="M65" t="s">
        <v>83</v>
      </c>
      <c r="U65">
        <v>0</v>
      </c>
      <c r="V65">
        <v>0</v>
      </c>
      <c r="W65">
        <v>11703.333333333334</v>
      </c>
    </row>
    <row r="66" spans="1:25" x14ac:dyDescent="0.25">
      <c r="A66" t="s">
        <v>177</v>
      </c>
      <c r="B66">
        <v>1</v>
      </c>
      <c r="C66" t="s">
        <v>135</v>
      </c>
      <c r="D66" t="s">
        <v>136</v>
      </c>
      <c r="E66" t="s">
        <v>179</v>
      </c>
      <c r="F66" t="s">
        <v>138</v>
      </c>
      <c r="G66" t="s">
        <v>188</v>
      </c>
      <c r="H66" t="s">
        <v>110</v>
      </c>
      <c r="I66" t="s">
        <v>189</v>
      </c>
      <c r="J66" t="s">
        <v>210</v>
      </c>
      <c r="K66" t="s">
        <v>82</v>
      </c>
      <c r="L66">
        <v>13750</v>
      </c>
      <c r="M66" t="s">
        <v>83</v>
      </c>
      <c r="N66">
        <v>11703.333329999999</v>
      </c>
      <c r="T66">
        <v>1</v>
      </c>
      <c r="U66">
        <v>0</v>
      </c>
      <c r="V66">
        <v>0</v>
      </c>
      <c r="W66">
        <v>11703.333333333334</v>
      </c>
      <c r="X66">
        <v>13750</v>
      </c>
      <c r="Y66">
        <v>13750</v>
      </c>
    </row>
    <row r="67" spans="1:25" x14ac:dyDescent="0.25">
      <c r="A67" t="s">
        <v>177</v>
      </c>
      <c r="B67">
        <v>0</v>
      </c>
      <c r="C67" t="s">
        <v>135</v>
      </c>
      <c r="D67" t="s">
        <v>136</v>
      </c>
      <c r="E67" t="s">
        <v>179</v>
      </c>
      <c r="F67" t="s">
        <v>138</v>
      </c>
      <c r="G67" t="s">
        <v>84</v>
      </c>
      <c r="H67" t="s">
        <v>110</v>
      </c>
      <c r="I67" t="s">
        <v>191</v>
      </c>
      <c r="J67" t="s">
        <v>211</v>
      </c>
      <c r="K67" t="s">
        <v>82</v>
      </c>
      <c r="L67">
        <v>8960</v>
      </c>
      <c r="M67" t="s">
        <v>83</v>
      </c>
      <c r="P67">
        <v>1</v>
      </c>
      <c r="T67">
        <v>1</v>
      </c>
      <c r="U67">
        <v>0</v>
      </c>
      <c r="V67">
        <v>0</v>
      </c>
      <c r="W67">
        <v>11703.333333333334</v>
      </c>
    </row>
    <row r="68" spans="1:25" x14ac:dyDescent="0.25">
      <c r="A68" t="s">
        <v>177</v>
      </c>
      <c r="B68">
        <v>0</v>
      </c>
      <c r="C68" t="s">
        <v>135</v>
      </c>
      <c r="D68" t="s">
        <v>136</v>
      </c>
      <c r="E68" t="s">
        <v>179</v>
      </c>
      <c r="F68" t="s">
        <v>138</v>
      </c>
      <c r="G68" t="s">
        <v>84</v>
      </c>
      <c r="H68" t="s">
        <v>106</v>
      </c>
      <c r="I68" t="s">
        <v>186</v>
      </c>
      <c r="J68" t="s">
        <v>212</v>
      </c>
      <c r="K68" t="s">
        <v>82</v>
      </c>
      <c r="L68">
        <v>7010.9750000000004</v>
      </c>
      <c r="M68" t="s">
        <v>83</v>
      </c>
      <c r="U68">
        <v>0</v>
      </c>
      <c r="V68">
        <v>0</v>
      </c>
      <c r="W68">
        <v>7058.2400000000007</v>
      </c>
    </row>
    <row r="69" spans="1:25" x14ac:dyDescent="0.25">
      <c r="A69" t="s">
        <v>177</v>
      </c>
      <c r="B69">
        <v>1</v>
      </c>
      <c r="C69" t="s">
        <v>135</v>
      </c>
      <c r="D69" t="s">
        <v>136</v>
      </c>
      <c r="E69" t="s">
        <v>179</v>
      </c>
      <c r="F69" t="s">
        <v>138</v>
      </c>
      <c r="G69" t="s">
        <v>188</v>
      </c>
      <c r="H69" t="s">
        <v>106</v>
      </c>
      <c r="I69" t="s">
        <v>189</v>
      </c>
      <c r="J69" t="s">
        <v>213</v>
      </c>
      <c r="K69" t="s">
        <v>82</v>
      </c>
      <c r="L69">
        <v>5317.3125</v>
      </c>
      <c r="M69" t="s">
        <v>83</v>
      </c>
      <c r="N69">
        <v>7058.24</v>
      </c>
      <c r="T69">
        <v>1</v>
      </c>
      <c r="U69">
        <v>0</v>
      </c>
      <c r="V69">
        <v>0</v>
      </c>
      <c r="W69">
        <v>7058.2400000000007</v>
      </c>
      <c r="X69">
        <v>5317.3125</v>
      </c>
      <c r="Y69">
        <v>5317.3125</v>
      </c>
    </row>
    <row r="70" spans="1:25" x14ac:dyDescent="0.25">
      <c r="A70" t="s">
        <v>177</v>
      </c>
      <c r="B70">
        <v>0</v>
      </c>
      <c r="C70" t="s">
        <v>135</v>
      </c>
      <c r="D70" t="s">
        <v>136</v>
      </c>
      <c r="E70" t="s">
        <v>179</v>
      </c>
      <c r="F70" t="s">
        <v>138</v>
      </c>
      <c r="G70" t="s">
        <v>84</v>
      </c>
      <c r="H70" t="s">
        <v>106</v>
      </c>
      <c r="I70" t="s">
        <v>191</v>
      </c>
      <c r="J70" t="s">
        <v>214</v>
      </c>
      <c r="K70" t="s">
        <v>82</v>
      </c>
      <c r="L70">
        <v>8846.4325000000008</v>
      </c>
      <c r="M70" t="s">
        <v>83</v>
      </c>
      <c r="P70">
        <v>1</v>
      </c>
      <c r="T70">
        <v>1</v>
      </c>
      <c r="U70">
        <v>0</v>
      </c>
      <c r="V70">
        <v>0</v>
      </c>
      <c r="W70">
        <v>7058.2400000000007</v>
      </c>
    </row>
    <row r="71" spans="1:25" x14ac:dyDescent="0.25">
      <c r="A71" t="s">
        <v>177</v>
      </c>
      <c r="B71">
        <v>0</v>
      </c>
      <c r="C71" t="s">
        <v>135</v>
      </c>
      <c r="D71" t="s">
        <v>136</v>
      </c>
      <c r="E71" t="s">
        <v>179</v>
      </c>
      <c r="F71" t="s">
        <v>138</v>
      </c>
      <c r="G71" t="s">
        <v>84</v>
      </c>
      <c r="H71" t="s">
        <v>80</v>
      </c>
      <c r="I71" t="s">
        <v>186</v>
      </c>
      <c r="J71" t="s">
        <v>215</v>
      </c>
      <c r="K71" t="s">
        <v>82</v>
      </c>
      <c r="L71">
        <v>748472.65919999999</v>
      </c>
      <c r="M71" t="s">
        <v>83</v>
      </c>
      <c r="U71">
        <v>0</v>
      </c>
      <c r="V71">
        <v>0</v>
      </c>
      <c r="W71">
        <v>835635.3772333333</v>
      </c>
    </row>
    <row r="72" spans="1:25" x14ac:dyDescent="0.25">
      <c r="A72" t="s">
        <v>177</v>
      </c>
      <c r="B72">
        <v>1</v>
      </c>
      <c r="C72" t="s">
        <v>135</v>
      </c>
      <c r="D72" t="s">
        <v>136</v>
      </c>
      <c r="E72" t="s">
        <v>179</v>
      </c>
      <c r="F72" t="s">
        <v>138</v>
      </c>
      <c r="G72" t="s">
        <v>188</v>
      </c>
      <c r="H72" t="s">
        <v>80</v>
      </c>
      <c r="I72" t="s">
        <v>189</v>
      </c>
      <c r="J72" t="s">
        <v>216</v>
      </c>
      <c r="K72" t="s">
        <v>82</v>
      </c>
      <c r="L72">
        <v>856318.5</v>
      </c>
      <c r="M72" t="s">
        <v>83</v>
      </c>
      <c r="N72">
        <v>835635.37719999999</v>
      </c>
      <c r="T72">
        <v>1</v>
      </c>
      <c r="U72">
        <v>0</v>
      </c>
      <c r="V72">
        <v>0</v>
      </c>
      <c r="W72">
        <v>835635.3772333333</v>
      </c>
      <c r="X72">
        <v>856318.5</v>
      </c>
      <c r="Y72">
        <v>856318.5</v>
      </c>
    </row>
    <row r="73" spans="1:25" x14ac:dyDescent="0.25">
      <c r="A73" t="s">
        <v>177</v>
      </c>
      <c r="B73">
        <v>0</v>
      </c>
      <c r="C73" t="s">
        <v>135</v>
      </c>
      <c r="D73" t="s">
        <v>136</v>
      </c>
      <c r="E73" t="s">
        <v>179</v>
      </c>
      <c r="F73" t="s">
        <v>138</v>
      </c>
      <c r="G73" t="s">
        <v>84</v>
      </c>
      <c r="H73" t="s">
        <v>80</v>
      </c>
      <c r="I73" t="s">
        <v>191</v>
      </c>
      <c r="J73" t="s">
        <v>217</v>
      </c>
      <c r="K73" t="s">
        <v>82</v>
      </c>
      <c r="L73">
        <v>902114.97250000003</v>
      </c>
      <c r="M73" t="s">
        <v>83</v>
      </c>
      <c r="P73">
        <v>1</v>
      </c>
      <c r="T73">
        <v>1</v>
      </c>
      <c r="U73">
        <v>0</v>
      </c>
      <c r="V73">
        <v>0</v>
      </c>
      <c r="W73">
        <v>835635.3772333333</v>
      </c>
    </row>
    <row r="74" spans="1:25" x14ac:dyDescent="0.25">
      <c r="A74" t="s">
        <v>218</v>
      </c>
      <c r="B74">
        <v>0</v>
      </c>
      <c r="C74" t="s">
        <v>135</v>
      </c>
      <c r="D74" t="s">
        <v>219</v>
      </c>
      <c r="E74" t="s">
        <v>179</v>
      </c>
      <c r="F74" t="s">
        <v>138</v>
      </c>
      <c r="G74" t="s">
        <v>84</v>
      </c>
      <c r="H74" t="s">
        <v>92</v>
      </c>
      <c r="I74" t="s">
        <v>220</v>
      </c>
      <c r="J74" t="s">
        <v>181</v>
      </c>
      <c r="K74" t="s">
        <v>82</v>
      </c>
      <c r="L74">
        <v>35540</v>
      </c>
      <c r="M74" t="s">
        <v>83</v>
      </c>
      <c r="U74">
        <v>0</v>
      </c>
      <c r="V74">
        <v>0</v>
      </c>
      <c r="W74">
        <v>52025</v>
      </c>
    </row>
    <row r="75" spans="1:25" x14ac:dyDescent="0.25">
      <c r="A75" t="s">
        <v>218</v>
      </c>
      <c r="B75">
        <v>1</v>
      </c>
      <c r="C75" t="s">
        <v>135</v>
      </c>
      <c r="D75" t="s">
        <v>219</v>
      </c>
      <c r="E75" t="s">
        <v>179</v>
      </c>
      <c r="F75" t="s">
        <v>138</v>
      </c>
      <c r="G75" t="s">
        <v>221</v>
      </c>
      <c r="H75" t="s">
        <v>92</v>
      </c>
      <c r="I75" t="s">
        <v>222</v>
      </c>
      <c r="J75" t="s">
        <v>221</v>
      </c>
      <c r="K75" t="s">
        <v>82</v>
      </c>
      <c r="L75">
        <v>68510</v>
      </c>
      <c r="M75" t="s">
        <v>83</v>
      </c>
      <c r="N75">
        <v>52025</v>
      </c>
      <c r="R75">
        <v>1</v>
      </c>
      <c r="U75">
        <v>0</v>
      </c>
      <c r="V75">
        <v>0</v>
      </c>
      <c r="W75">
        <v>52025</v>
      </c>
      <c r="X75">
        <v>68510</v>
      </c>
      <c r="Y75">
        <v>68510</v>
      </c>
    </row>
    <row r="76" spans="1:25" x14ac:dyDescent="0.25">
      <c r="A76" t="s">
        <v>218</v>
      </c>
      <c r="B76">
        <v>0</v>
      </c>
      <c r="C76" t="s">
        <v>135</v>
      </c>
      <c r="D76" t="s">
        <v>219</v>
      </c>
      <c r="E76" t="s">
        <v>179</v>
      </c>
      <c r="F76" t="s">
        <v>138</v>
      </c>
      <c r="G76" t="s">
        <v>84</v>
      </c>
      <c r="H76" t="s">
        <v>125</v>
      </c>
      <c r="I76" t="s">
        <v>223</v>
      </c>
      <c r="J76" t="s">
        <v>224</v>
      </c>
      <c r="K76" t="s">
        <v>82</v>
      </c>
      <c r="L76">
        <v>8600</v>
      </c>
      <c r="M76" t="s">
        <v>83</v>
      </c>
      <c r="O76">
        <v>1</v>
      </c>
      <c r="S76">
        <v>1</v>
      </c>
      <c r="U76">
        <v>8600</v>
      </c>
      <c r="V76">
        <v>0</v>
      </c>
      <c r="W76">
        <v>40166.666666666672</v>
      </c>
    </row>
    <row r="77" spans="1:25" x14ac:dyDescent="0.25">
      <c r="A77" t="s">
        <v>218</v>
      </c>
      <c r="B77">
        <v>1</v>
      </c>
      <c r="C77" t="s">
        <v>135</v>
      </c>
      <c r="D77" t="s">
        <v>219</v>
      </c>
      <c r="E77" t="s">
        <v>179</v>
      </c>
      <c r="F77" t="s">
        <v>138</v>
      </c>
      <c r="G77" t="s">
        <v>141</v>
      </c>
      <c r="H77" t="s">
        <v>125</v>
      </c>
      <c r="I77" t="s">
        <v>225</v>
      </c>
      <c r="J77" t="s">
        <v>226</v>
      </c>
      <c r="K77" t="s">
        <v>82</v>
      </c>
      <c r="L77">
        <v>52150</v>
      </c>
      <c r="M77" t="s">
        <v>83</v>
      </c>
      <c r="N77">
        <v>40166.666669999999</v>
      </c>
      <c r="U77">
        <v>0</v>
      </c>
      <c r="V77">
        <v>0</v>
      </c>
      <c r="W77">
        <v>40166.666666666672</v>
      </c>
      <c r="X77">
        <v>52150</v>
      </c>
      <c r="Y77">
        <v>52150</v>
      </c>
    </row>
    <row r="78" spans="1:25" x14ac:dyDescent="0.25">
      <c r="A78" t="s">
        <v>218</v>
      </c>
      <c r="B78">
        <v>0</v>
      </c>
      <c r="C78" t="s">
        <v>135</v>
      </c>
      <c r="D78" t="s">
        <v>219</v>
      </c>
      <c r="E78" t="s">
        <v>179</v>
      </c>
      <c r="F78" t="s">
        <v>138</v>
      </c>
      <c r="G78" t="s">
        <v>84</v>
      </c>
      <c r="H78" t="s">
        <v>125</v>
      </c>
      <c r="I78" t="s">
        <v>227</v>
      </c>
      <c r="J78" t="s">
        <v>228</v>
      </c>
      <c r="K78" t="s">
        <v>82</v>
      </c>
      <c r="L78">
        <v>59750</v>
      </c>
      <c r="M78" t="s">
        <v>83</v>
      </c>
      <c r="T78">
        <v>1</v>
      </c>
      <c r="U78">
        <v>0</v>
      </c>
      <c r="V78">
        <v>0</v>
      </c>
      <c r="W78">
        <v>40166.666666666672</v>
      </c>
    </row>
    <row r="79" spans="1:25" x14ac:dyDescent="0.25">
      <c r="A79" t="s">
        <v>218</v>
      </c>
      <c r="B79">
        <v>1</v>
      </c>
      <c r="C79" t="s">
        <v>135</v>
      </c>
      <c r="D79" t="s">
        <v>219</v>
      </c>
      <c r="E79" t="s">
        <v>179</v>
      </c>
      <c r="F79" t="s">
        <v>138</v>
      </c>
      <c r="G79" t="s">
        <v>229</v>
      </c>
      <c r="H79" t="s">
        <v>151</v>
      </c>
      <c r="I79" t="s">
        <v>230</v>
      </c>
      <c r="J79" t="s">
        <v>231</v>
      </c>
      <c r="K79" t="s">
        <v>82</v>
      </c>
      <c r="L79">
        <v>80541.5</v>
      </c>
      <c r="M79" t="s">
        <v>83</v>
      </c>
      <c r="N79">
        <v>79204.666670000006</v>
      </c>
      <c r="U79">
        <v>0</v>
      </c>
      <c r="V79">
        <v>0</v>
      </c>
      <c r="W79">
        <v>79204.666666666672</v>
      </c>
      <c r="X79">
        <v>80541.5</v>
      </c>
      <c r="Y79">
        <v>80541.5</v>
      </c>
    </row>
    <row r="80" spans="1:25" x14ac:dyDescent="0.25">
      <c r="A80" t="s">
        <v>218</v>
      </c>
      <c r="B80">
        <v>0</v>
      </c>
      <c r="C80" t="s">
        <v>135</v>
      </c>
      <c r="D80" t="s">
        <v>219</v>
      </c>
      <c r="E80" t="s">
        <v>179</v>
      </c>
      <c r="F80" t="s">
        <v>138</v>
      </c>
      <c r="G80" t="s">
        <v>84</v>
      </c>
      <c r="H80" t="s">
        <v>151</v>
      </c>
      <c r="I80" t="s">
        <v>232</v>
      </c>
      <c r="J80" t="s">
        <v>233</v>
      </c>
      <c r="K80" t="s">
        <v>82</v>
      </c>
      <c r="L80">
        <v>92170</v>
      </c>
      <c r="M80" t="s">
        <v>83</v>
      </c>
      <c r="U80">
        <v>0</v>
      </c>
      <c r="V80">
        <v>0</v>
      </c>
      <c r="W80">
        <v>79204.666666666672</v>
      </c>
    </row>
    <row r="81" spans="1:25" x14ac:dyDescent="0.25">
      <c r="A81" t="s">
        <v>218</v>
      </c>
      <c r="B81">
        <v>0</v>
      </c>
      <c r="C81" t="s">
        <v>135</v>
      </c>
      <c r="D81" t="s">
        <v>219</v>
      </c>
      <c r="E81" t="s">
        <v>179</v>
      </c>
      <c r="F81" t="s">
        <v>138</v>
      </c>
      <c r="G81" t="s">
        <v>84</v>
      </c>
      <c r="H81" t="s">
        <v>151</v>
      </c>
      <c r="I81" t="s">
        <v>234</v>
      </c>
      <c r="J81" t="s">
        <v>235</v>
      </c>
      <c r="K81" t="s">
        <v>82</v>
      </c>
      <c r="L81">
        <v>64902.5</v>
      </c>
      <c r="M81" t="s">
        <v>83</v>
      </c>
      <c r="S81">
        <v>1</v>
      </c>
      <c r="U81">
        <v>0</v>
      </c>
      <c r="V81">
        <v>0</v>
      </c>
      <c r="W81">
        <v>79204.666666666672</v>
      </c>
    </row>
    <row r="82" spans="1:25" x14ac:dyDescent="0.25">
      <c r="A82" t="s">
        <v>218</v>
      </c>
      <c r="B82">
        <v>0</v>
      </c>
      <c r="C82" t="s">
        <v>135</v>
      </c>
      <c r="D82" t="s">
        <v>219</v>
      </c>
      <c r="E82" t="s">
        <v>179</v>
      </c>
      <c r="F82" t="s">
        <v>138</v>
      </c>
      <c r="G82" t="s">
        <v>84</v>
      </c>
      <c r="H82" t="s">
        <v>98</v>
      </c>
      <c r="I82" t="s">
        <v>236</v>
      </c>
      <c r="J82" t="s">
        <v>237</v>
      </c>
      <c r="K82" t="s">
        <v>82</v>
      </c>
      <c r="L82">
        <v>8850</v>
      </c>
      <c r="M82" t="s">
        <v>83</v>
      </c>
      <c r="S82">
        <v>1</v>
      </c>
      <c r="U82">
        <v>0</v>
      </c>
      <c r="V82">
        <v>0</v>
      </c>
      <c r="W82">
        <v>18050</v>
      </c>
    </row>
    <row r="83" spans="1:25" x14ac:dyDescent="0.25">
      <c r="A83" t="s">
        <v>218</v>
      </c>
      <c r="B83">
        <v>1</v>
      </c>
      <c r="C83" t="s">
        <v>135</v>
      </c>
      <c r="D83" t="s">
        <v>219</v>
      </c>
      <c r="E83" t="s">
        <v>179</v>
      </c>
      <c r="F83" t="s">
        <v>138</v>
      </c>
      <c r="G83" t="s">
        <v>238</v>
      </c>
      <c r="H83" t="s">
        <v>98</v>
      </c>
      <c r="I83" t="s">
        <v>239</v>
      </c>
      <c r="J83" t="s">
        <v>240</v>
      </c>
      <c r="K83" t="s">
        <v>82</v>
      </c>
      <c r="L83">
        <v>28600</v>
      </c>
      <c r="M83" t="s">
        <v>83</v>
      </c>
      <c r="N83">
        <v>18050</v>
      </c>
      <c r="Q83">
        <v>1</v>
      </c>
      <c r="R83">
        <v>1</v>
      </c>
      <c r="U83">
        <v>0</v>
      </c>
      <c r="V83">
        <v>0</v>
      </c>
      <c r="W83">
        <v>18050</v>
      </c>
      <c r="X83">
        <v>28600</v>
      </c>
      <c r="Y83">
        <v>28600</v>
      </c>
    </row>
    <row r="84" spans="1:25" x14ac:dyDescent="0.25">
      <c r="A84" t="s">
        <v>218</v>
      </c>
      <c r="B84">
        <v>0</v>
      </c>
      <c r="C84" t="s">
        <v>135</v>
      </c>
      <c r="D84" t="s">
        <v>219</v>
      </c>
      <c r="E84" t="s">
        <v>179</v>
      </c>
      <c r="F84" t="s">
        <v>138</v>
      </c>
      <c r="G84" t="s">
        <v>84</v>
      </c>
      <c r="H84" t="s">
        <v>98</v>
      </c>
      <c r="I84" t="s">
        <v>241</v>
      </c>
      <c r="J84" t="s">
        <v>84</v>
      </c>
      <c r="K84" t="s">
        <v>82</v>
      </c>
      <c r="L84">
        <v>16700</v>
      </c>
      <c r="M84" t="s">
        <v>83</v>
      </c>
      <c r="S84">
        <v>1</v>
      </c>
      <c r="U84">
        <v>0</v>
      </c>
      <c r="V84">
        <v>0</v>
      </c>
      <c r="W84">
        <v>18050</v>
      </c>
    </row>
    <row r="85" spans="1:25" x14ac:dyDescent="0.25">
      <c r="A85" t="s">
        <v>218</v>
      </c>
      <c r="B85">
        <v>0</v>
      </c>
      <c r="C85" t="s">
        <v>135</v>
      </c>
      <c r="D85" t="s">
        <v>219</v>
      </c>
      <c r="E85" t="s">
        <v>179</v>
      </c>
      <c r="F85" t="s">
        <v>138</v>
      </c>
      <c r="G85" t="s">
        <v>84</v>
      </c>
      <c r="H85" t="s">
        <v>87</v>
      </c>
      <c r="I85" t="s">
        <v>218</v>
      </c>
      <c r="J85" t="s">
        <v>242</v>
      </c>
      <c r="K85" t="s">
        <v>82</v>
      </c>
      <c r="L85">
        <v>112476.875</v>
      </c>
      <c r="M85" t="s">
        <v>83</v>
      </c>
      <c r="U85">
        <v>0</v>
      </c>
      <c r="V85">
        <v>0</v>
      </c>
      <c r="W85">
        <v>100943.59723333333</v>
      </c>
    </row>
    <row r="86" spans="1:25" x14ac:dyDescent="0.25">
      <c r="A86" t="s">
        <v>218</v>
      </c>
      <c r="B86">
        <v>1</v>
      </c>
      <c r="C86" t="s">
        <v>135</v>
      </c>
      <c r="D86" t="s">
        <v>219</v>
      </c>
      <c r="E86" t="s">
        <v>179</v>
      </c>
      <c r="F86" t="s">
        <v>138</v>
      </c>
      <c r="G86" t="s">
        <v>243</v>
      </c>
      <c r="H86" t="s">
        <v>87</v>
      </c>
      <c r="I86" t="s">
        <v>218</v>
      </c>
      <c r="J86" t="s">
        <v>244</v>
      </c>
      <c r="K86" t="s">
        <v>82</v>
      </c>
      <c r="L86">
        <v>111615.9917</v>
      </c>
      <c r="M86" t="s">
        <v>83</v>
      </c>
      <c r="N86">
        <v>100943.5972</v>
      </c>
      <c r="U86">
        <v>0</v>
      </c>
      <c r="V86">
        <v>0</v>
      </c>
      <c r="W86">
        <v>100943.59723333333</v>
      </c>
      <c r="X86">
        <v>111615.9917</v>
      </c>
      <c r="Y86">
        <v>111615.9917</v>
      </c>
    </row>
    <row r="87" spans="1:25" x14ac:dyDescent="0.25">
      <c r="A87" t="s">
        <v>218</v>
      </c>
      <c r="B87">
        <v>0</v>
      </c>
      <c r="C87" t="s">
        <v>135</v>
      </c>
      <c r="D87" t="s">
        <v>219</v>
      </c>
      <c r="E87" t="s">
        <v>179</v>
      </c>
      <c r="F87" t="s">
        <v>138</v>
      </c>
      <c r="G87" t="s">
        <v>84</v>
      </c>
      <c r="H87" t="s">
        <v>87</v>
      </c>
      <c r="I87" t="s">
        <v>218</v>
      </c>
      <c r="J87" t="s">
        <v>245</v>
      </c>
      <c r="K87" t="s">
        <v>82</v>
      </c>
      <c r="L87">
        <v>78737.925000000003</v>
      </c>
      <c r="M87" t="s">
        <v>83</v>
      </c>
      <c r="T87">
        <v>1</v>
      </c>
      <c r="U87">
        <v>0</v>
      </c>
      <c r="V87">
        <v>0</v>
      </c>
      <c r="W87">
        <v>100943.59723333333</v>
      </c>
    </row>
    <row r="88" spans="1:25" x14ac:dyDescent="0.25">
      <c r="A88" t="s">
        <v>218</v>
      </c>
      <c r="B88">
        <v>0</v>
      </c>
      <c r="C88" t="s">
        <v>135</v>
      </c>
      <c r="D88" t="s">
        <v>219</v>
      </c>
      <c r="E88" t="s">
        <v>179</v>
      </c>
      <c r="F88" t="s">
        <v>138</v>
      </c>
      <c r="G88" t="s">
        <v>84</v>
      </c>
      <c r="H88" t="s">
        <v>110</v>
      </c>
      <c r="I88" t="s">
        <v>246</v>
      </c>
      <c r="J88" t="s">
        <v>247</v>
      </c>
      <c r="K88" t="s">
        <v>82</v>
      </c>
      <c r="L88">
        <v>6875</v>
      </c>
      <c r="M88" t="s">
        <v>83</v>
      </c>
      <c r="S88">
        <v>1</v>
      </c>
      <c r="U88">
        <v>0</v>
      </c>
      <c r="V88">
        <v>0</v>
      </c>
      <c r="W88">
        <v>8766.3333333333339</v>
      </c>
    </row>
    <row r="89" spans="1:25" x14ac:dyDescent="0.25">
      <c r="A89" t="s">
        <v>218</v>
      </c>
      <c r="B89">
        <v>1</v>
      </c>
      <c r="C89" t="s">
        <v>135</v>
      </c>
      <c r="D89" t="s">
        <v>219</v>
      </c>
      <c r="E89" t="s">
        <v>179</v>
      </c>
      <c r="F89" t="s">
        <v>138</v>
      </c>
      <c r="G89" t="s">
        <v>248</v>
      </c>
      <c r="H89" t="s">
        <v>110</v>
      </c>
      <c r="I89" t="s">
        <v>218</v>
      </c>
      <c r="J89" t="s">
        <v>249</v>
      </c>
      <c r="K89" t="s">
        <v>82</v>
      </c>
      <c r="L89">
        <v>8928</v>
      </c>
      <c r="M89" t="s">
        <v>83</v>
      </c>
      <c r="N89">
        <v>8766.3333330000005</v>
      </c>
      <c r="O89">
        <v>1</v>
      </c>
      <c r="P89">
        <v>1</v>
      </c>
      <c r="U89">
        <v>8928</v>
      </c>
      <c r="V89">
        <v>8928</v>
      </c>
      <c r="W89">
        <v>8766.3333333333339</v>
      </c>
      <c r="X89">
        <v>8928</v>
      </c>
      <c r="Y89">
        <v>8928</v>
      </c>
    </row>
    <row r="90" spans="1:25" x14ac:dyDescent="0.25">
      <c r="A90" t="s">
        <v>218</v>
      </c>
      <c r="B90">
        <v>0</v>
      </c>
      <c r="C90" t="s">
        <v>135</v>
      </c>
      <c r="D90" t="s">
        <v>219</v>
      </c>
      <c r="E90" t="s">
        <v>179</v>
      </c>
      <c r="F90" t="s">
        <v>138</v>
      </c>
      <c r="G90" t="s">
        <v>84</v>
      </c>
      <c r="H90" t="s">
        <v>110</v>
      </c>
      <c r="I90" t="s">
        <v>246</v>
      </c>
      <c r="J90" t="s">
        <v>250</v>
      </c>
      <c r="K90" t="s">
        <v>82</v>
      </c>
      <c r="L90">
        <v>10496</v>
      </c>
      <c r="M90" t="s">
        <v>83</v>
      </c>
      <c r="O90">
        <v>1</v>
      </c>
      <c r="U90">
        <v>10496</v>
      </c>
      <c r="V90">
        <v>0</v>
      </c>
      <c r="W90">
        <v>8766.3333333333339</v>
      </c>
    </row>
    <row r="91" spans="1:25" x14ac:dyDescent="0.25">
      <c r="A91" t="s">
        <v>218</v>
      </c>
      <c r="B91">
        <v>0</v>
      </c>
      <c r="C91" t="s">
        <v>135</v>
      </c>
      <c r="D91" t="s">
        <v>219</v>
      </c>
      <c r="E91" t="s">
        <v>179</v>
      </c>
      <c r="F91" t="s">
        <v>138</v>
      </c>
      <c r="G91" t="s">
        <v>84</v>
      </c>
      <c r="H91" t="s">
        <v>106</v>
      </c>
      <c r="I91" t="s">
        <v>246</v>
      </c>
      <c r="J91" t="s">
        <v>251</v>
      </c>
      <c r="K91" t="s">
        <v>82</v>
      </c>
      <c r="L91">
        <v>10484.952499999999</v>
      </c>
      <c r="M91" t="s">
        <v>83</v>
      </c>
      <c r="S91">
        <v>1</v>
      </c>
      <c r="U91">
        <v>0</v>
      </c>
      <c r="V91">
        <v>0</v>
      </c>
      <c r="W91">
        <v>7291.939166666667</v>
      </c>
    </row>
    <row r="92" spans="1:25" x14ac:dyDescent="0.25">
      <c r="A92" t="s">
        <v>218</v>
      </c>
      <c r="B92">
        <v>1</v>
      </c>
      <c r="C92" t="s">
        <v>135</v>
      </c>
      <c r="D92" t="s">
        <v>219</v>
      </c>
      <c r="E92" t="s">
        <v>179</v>
      </c>
      <c r="F92" t="s">
        <v>138</v>
      </c>
      <c r="G92" t="s">
        <v>248</v>
      </c>
      <c r="H92" t="s">
        <v>106</v>
      </c>
      <c r="I92" t="s">
        <v>218</v>
      </c>
      <c r="J92" t="s">
        <v>252</v>
      </c>
      <c r="K92" t="s">
        <v>82</v>
      </c>
      <c r="L92">
        <v>6664.3649999999998</v>
      </c>
      <c r="M92" t="s">
        <v>83</v>
      </c>
      <c r="N92">
        <v>7291.9391670000005</v>
      </c>
      <c r="O92">
        <v>1</v>
      </c>
      <c r="P92">
        <v>1</v>
      </c>
      <c r="U92">
        <v>6664.3649999999998</v>
      </c>
      <c r="V92">
        <v>6664.3649999999998</v>
      </c>
      <c r="W92">
        <v>7291.939166666667</v>
      </c>
      <c r="X92">
        <v>6664.3649999999998</v>
      </c>
      <c r="Y92">
        <v>6664.3649999999998</v>
      </c>
    </row>
    <row r="93" spans="1:25" x14ac:dyDescent="0.25">
      <c r="A93" t="s">
        <v>218</v>
      </c>
      <c r="B93">
        <v>0</v>
      </c>
      <c r="C93" t="s">
        <v>135</v>
      </c>
      <c r="D93" t="s">
        <v>219</v>
      </c>
      <c r="E93" t="s">
        <v>179</v>
      </c>
      <c r="F93" t="s">
        <v>138</v>
      </c>
      <c r="G93" t="s">
        <v>84</v>
      </c>
      <c r="H93" t="s">
        <v>106</v>
      </c>
      <c r="I93" t="s">
        <v>246</v>
      </c>
      <c r="J93" t="s">
        <v>253</v>
      </c>
      <c r="K93" t="s">
        <v>82</v>
      </c>
      <c r="L93">
        <v>4726.5</v>
      </c>
      <c r="M93" t="s">
        <v>83</v>
      </c>
      <c r="O93">
        <v>1</v>
      </c>
      <c r="U93">
        <v>4726.5</v>
      </c>
      <c r="V93">
        <v>0</v>
      </c>
      <c r="W93">
        <v>7291.939166666667</v>
      </c>
    </row>
    <row r="94" spans="1:25" x14ac:dyDescent="0.25">
      <c r="A94" t="s">
        <v>218</v>
      </c>
      <c r="B94">
        <v>0</v>
      </c>
      <c r="C94" t="s">
        <v>135</v>
      </c>
      <c r="D94" t="s">
        <v>219</v>
      </c>
      <c r="E94" t="s">
        <v>179</v>
      </c>
      <c r="F94" t="s">
        <v>138</v>
      </c>
      <c r="G94" t="s">
        <v>84</v>
      </c>
      <c r="H94" t="s">
        <v>80</v>
      </c>
      <c r="I94" t="s">
        <v>246</v>
      </c>
      <c r="J94" t="s">
        <v>254</v>
      </c>
      <c r="K94" t="s">
        <v>82</v>
      </c>
      <c r="L94">
        <v>702418.88</v>
      </c>
      <c r="M94" t="s">
        <v>83</v>
      </c>
      <c r="S94">
        <v>1</v>
      </c>
      <c r="U94">
        <v>0</v>
      </c>
      <c r="V94">
        <v>0</v>
      </c>
      <c r="W94">
        <v>656708.28960000002</v>
      </c>
    </row>
    <row r="95" spans="1:25" x14ac:dyDescent="0.25">
      <c r="A95" t="s">
        <v>218</v>
      </c>
      <c r="B95">
        <v>1</v>
      </c>
      <c r="C95" t="s">
        <v>135</v>
      </c>
      <c r="D95" t="s">
        <v>219</v>
      </c>
      <c r="E95" t="s">
        <v>179</v>
      </c>
      <c r="F95" t="s">
        <v>138</v>
      </c>
      <c r="G95" t="s">
        <v>248</v>
      </c>
      <c r="H95" t="s">
        <v>80</v>
      </c>
      <c r="I95" t="s">
        <v>218</v>
      </c>
      <c r="J95" t="s">
        <v>255</v>
      </c>
      <c r="K95" t="s">
        <v>82</v>
      </c>
      <c r="L95">
        <v>621332.42879999999</v>
      </c>
      <c r="M95" t="s">
        <v>83</v>
      </c>
      <c r="N95">
        <v>656708.28960000002</v>
      </c>
      <c r="O95">
        <v>1</v>
      </c>
      <c r="P95">
        <v>1</v>
      </c>
      <c r="U95">
        <v>621332.42879999999</v>
      </c>
      <c r="V95">
        <v>621332.42879999999</v>
      </c>
      <c r="W95">
        <v>656708.28960000002</v>
      </c>
      <c r="X95">
        <v>621332.42879999999</v>
      </c>
      <c r="Y95">
        <v>621332.42879999999</v>
      </c>
    </row>
    <row r="96" spans="1:25" x14ac:dyDescent="0.25">
      <c r="A96" t="s">
        <v>218</v>
      </c>
      <c r="B96">
        <v>0</v>
      </c>
      <c r="C96" t="s">
        <v>135</v>
      </c>
      <c r="D96" t="s">
        <v>219</v>
      </c>
      <c r="E96" t="s">
        <v>179</v>
      </c>
      <c r="F96" t="s">
        <v>138</v>
      </c>
      <c r="G96" t="s">
        <v>84</v>
      </c>
      <c r="H96" t="s">
        <v>80</v>
      </c>
      <c r="I96" t="s">
        <v>246</v>
      </c>
      <c r="J96" t="s">
        <v>256</v>
      </c>
      <c r="K96" t="s">
        <v>82</v>
      </c>
      <c r="L96">
        <v>646373.56000000006</v>
      </c>
      <c r="M96" t="s">
        <v>83</v>
      </c>
      <c r="O96">
        <v>1</v>
      </c>
      <c r="U96">
        <v>646373.56000000006</v>
      </c>
      <c r="V96">
        <v>0</v>
      </c>
      <c r="W96">
        <v>656708.28960000002</v>
      </c>
    </row>
    <row r="97" spans="1:25" x14ac:dyDescent="0.25">
      <c r="A97" t="s">
        <v>257</v>
      </c>
      <c r="B97">
        <v>0</v>
      </c>
      <c r="C97" t="s">
        <v>258</v>
      </c>
      <c r="D97" t="s">
        <v>259</v>
      </c>
      <c r="E97" t="s">
        <v>260</v>
      </c>
      <c r="F97" t="s">
        <v>261</v>
      </c>
      <c r="G97" t="s">
        <v>84</v>
      </c>
      <c r="H97" t="s">
        <v>92</v>
      </c>
      <c r="I97" t="s">
        <v>262</v>
      </c>
      <c r="J97" t="s">
        <v>221</v>
      </c>
      <c r="K97" t="s">
        <v>82</v>
      </c>
      <c r="L97">
        <v>50580</v>
      </c>
      <c r="M97" t="s">
        <v>83</v>
      </c>
      <c r="U97">
        <v>0</v>
      </c>
      <c r="V97">
        <v>0</v>
      </c>
      <c r="W97">
        <v>36220</v>
      </c>
    </row>
    <row r="98" spans="1:25" x14ac:dyDescent="0.25">
      <c r="A98" t="s">
        <v>257</v>
      </c>
      <c r="B98">
        <v>0</v>
      </c>
      <c r="C98" t="s">
        <v>258</v>
      </c>
      <c r="D98" t="s">
        <v>259</v>
      </c>
      <c r="E98" t="s">
        <v>260</v>
      </c>
      <c r="F98" t="s">
        <v>261</v>
      </c>
      <c r="G98" t="s">
        <v>84</v>
      </c>
      <c r="H98" t="s">
        <v>92</v>
      </c>
      <c r="I98" t="s">
        <v>263</v>
      </c>
      <c r="J98" t="s">
        <v>264</v>
      </c>
      <c r="K98" t="s">
        <v>82</v>
      </c>
      <c r="L98">
        <v>18410</v>
      </c>
      <c r="M98" t="s">
        <v>83</v>
      </c>
      <c r="O98">
        <v>1</v>
      </c>
      <c r="P98">
        <v>1</v>
      </c>
      <c r="R98">
        <v>1</v>
      </c>
      <c r="S98">
        <v>1</v>
      </c>
      <c r="U98">
        <v>18410</v>
      </c>
      <c r="V98">
        <v>0</v>
      </c>
      <c r="W98">
        <v>36220</v>
      </c>
    </row>
    <row r="99" spans="1:25" x14ac:dyDescent="0.25">
      <c r="A99" t="s">
        <v>257</v>
      </c>
      <c r="B99">
        <v>1</v>
      </c>
      <c r="C99" t="s">
        <v>258</v>
      </c>
      <c r="D99" t="s">
        <v>259</v>
      </c>
      <c r="E99" t="s">
        <v>260</v>
      </c>
      <c r="F99" t="s">
        <v>261</v>
      </c>
      <c r="G99" t="s">
        <v>181</v>
      </c>
      <c r="H99" t="s">
        <v>92</v>
      </c>
      <c r="I99" t="s">
        <v>181</v>
      </c>
      <c r="J99" t="s">
        <v>181</v>
      </c>
      <c r="K99" t="s">
        <v>82</v>
      </c>
      <c r="L99">
        <v>39670</v>
      </c>
      <c r="M99" t="s">
        <v>83</v>
      </c>
      <c r="N99">
        <v>36220</v>
      </c>
      <c r="U99">
        <v>0</v>
      </c>
      <c r="V99">
        <v>0</v>
      </c>
      <c r="W99">
        <v>36220</v>
      </c>
      <c r="X99">
        <v>39670</v>
      </c>
      <c r="Y99">
        <v>39670</v>
      </c>
    </row>
    <row r="100" spans="1:25" x14ac:dyDescent="0.25">
      <c r="A100" t="s">
        <v>257</v>
      </c>
      <c r="B100">
        <v>0</v>
      </c>
      <c r="C100" t="s">
        <v>258</v>
      </c>
      <c r="D100" t="s">
        <v>259</v>
      </c>
      <c r="E100" t="s">
        <v>260</v>
      </c>
      <c r="F100" t="s">
        <v>261</v>
      </c>
      <c r="G100" t="s">
        <v>84</v>
      </c>
      <c r="H100" t="s">
        <v>114</v>
      </c>
      <c r="I100" t="s">
        <v>265</v>
      </c>
      <c r="J100" t="s">
        <v>266</v>
      </c>
      <c r="K100" t="s">
        <v>82</v>
      </c>
      <c r="L100">
        <v>21700</v>
      </c>
      <c r="M100" t="s">
        <v>83</v>
      </c>
      <c r="S100">
        <v>1</v>
      </c>
      <c r="U100">
        <v>0</v>
      </c>
      <c r="V100">
        <v>0</v>
      </c>
      <c r="W100">
        <v>25166.666666666668</v>
      </c>
    </row>
    <row r="101" spans="1:25" x14ac:dyDescent="0.25">
      <c r="A101" t="s">
        <v>257</v>
      </c>
      <c r="B101">
        <v>1</v>
      </c>
      <c r="C101" t="s">
        <v>258</v>
      </c>
      <c r="D101" t="s">
        <v>259</v>
      </c>
      <c r="E101" t="s">
        <v>260</v>
      </c>
      <c r="F101" t="s">
        <v>261</v>
      </c>
      <c r="G101" t="s">
        <v>267</v>
      </c>
      <c r="H101" t="s">
        <v>114</v>
      </c>
      <c r="I101" t="s">
        <v>268</v>
      </c>
      <c r="J101" t="s">
        <v>269</v>
      </c>
      <c r="K101" t="s">
        <v>82</v>
      </c>
      <c r="L101">
        <v>18350</v>
      </c>
      <c r="M101" t="s">
        <v>83</v>
      </c>
      <c r="N101">
        <v>25166.666669999999</v>
      </c>
      <c r="U101">
        <v>0</v>
      </c>
      <c r="V101">
        <v>0</v>
      </c>
      <c r="W101">
        <v>25166.666666666668</v>
      </c>
      <c r="X101">
        <v>18350</v>
      </c>
      <c r="Y101">
        <v>18350</v>
      </c>
    </row>
    <row r="102" spans="1:25" x14ac:dyDescent="0.25">
      <c r="A102" t="s">
        <v>257</v>
      </c>
      <c r="B102">
        <v>0</v>
      </c>
      <c r="C102" t="s">
        <v>258</v>
      </c>
      <c r="D102" t="s">
        <v>259</v>
      </c>
      <c r="E102" t="s">
        <v>260</v>
      </c>
      <c r="F102" t="s">
        <v>261</v>
      </c>
      <c r="G102" t="s">
        <v>84</v>
      </c>
      <c r="H102" t="s">
        <v>114</v>
      </c>
      <c r="I102" t="s">
        <v>270</v>
      </c>
      <c r="J102" t="s">
        <v>271</v>
      </c>
      <c r="K102" t="s">
        <v>82</v>
      </c>
      <c r="L102">
        <v>35450</v>
      </c>
      <c r="M102" t="s">
        <v>83</v>
      </c>
      <c r="U102">
        <v>0</v>
      </c>
      <c r="V102">
        <v>0</v>
      </c>
      <c r="W102">
        <v>25166.666666666668</v>
      </c>
    </row>
    <row r="103" spans="1:25" x14ac:dyDescent="0.25">
      <c r="A103" t="s">
        <v>257</v>
      </c>
      <c r="B103">
        <v>0</v>
      </c>
      <c r="C103" t="s">
        <v>258</v>
      </c>
      <c r="D103" t="s">
        <v>259</v>
      </c>
      <c r="E103" t="s">
        <v>260</v>
      </c>
      <c r="F103" t="s">
        <v>261</v>
      </c>
      <c r="G103" t="s">
        <v>84</v>
      </c>
      <c r="H103" t="s">
        <v>121</v>
      </c>
      <c r="I103" t="s">
        <v>265</v>
      </c>
      <c r="J103" t="s">
        <v>272</v>
      </c>
      <c r="K103" t="s">
        <v>82</v>
      </c>
      <c r="L103">
        <v>151338.10579999999</v>
      </c>
      <c r="M103" t="s">
        <v>83</v>
      </c>
      <c r="S103">
        <v>1</v>
      </c>
      <c r="U103">
        <v>0</v>
      </c>
      <c r="V103">
        <v>0</v>
      </c>
      <c r="W103">
        <v>149975.39453333334</v>
      </c>
    </row>
    <row r="104" spans="1:25" x14ac:dyDescent="0.25">
      <c r="A104" t="s">
        <v>257</v>
      </c>
      <c r="B104">
        <v>1</v>
      </c>
      <c r="C104" t="s">
        <v>258</v>
      </c>
      <c r="D104" t="s">
        <v>259</v>
      </c>
      <c r="E104" t="s">
        <v>260</v>
      </c>
      <c r="F104" t="s">
        <v>261</v>
      </c>
      <c r="G104" t="s">
        <v>267</v>
      </c>
      <c r="H104" t="s">
        <v>121</v>
      </c>
      <c r="I104" t="s">
        <v>268</v>
      </c>
      <c r="J104" t="s">
        <v>273</v>
      </c>
      <c r="K104" t="s">
        <v>82</v>
      </c>
      <c r="L104">
        <v>146169.37580000001</v>
      </c>
      <c r="M104" t="s">
        <v>83</v>
      </c>
      <c r="N104">
        <v>149975.3946</v>
      </c>
      <c r="U104">
        <v>0</v>
      </c>
      <c r="V104">
        <v>0</v>
      </c>
      <c r="W104">
        <v>149975.39453333334</v>
      </c>
      <c r="X104">
        <v>146169.37580000001</v>
      </c>
      <c r="Y104">
        <v>146169.37580000001</v>
      </c>
    </row>
    <row r="105" spans="1:25" x14ac:dyDescent="0.25">
      <c r="A105" t="s">
        <v>257</v>
      </c>
      <c r="B105">
        <v>0</v>
      </c>
      <c r="C105" t="s">
        <v>258</v>
      </c>
      <c r="D105" t="s">
        <v>259</v>
      </c>
      <c r="E105" t="s">
        <v>260</v>
      </c>
      <c r="F105" t="s">
        <v>261</v>
      </c>
      <c r="G105" t="s">
        <v>84</v>
      </c>
      <c r="H105" t="s">
        <v>121</v>
      </c>
      <c r="I105" t="s">
        <v>270</v>
      </c>
      <c r="J105" t="s">
        <v>274</v>
      </c>
      <c r="K105" t="s">
        <v>82</v>
      </c>
      <c r="L105">
        <v>152418.70199999999</v>
      </c>
      <c r="M105" t="s">
        <v>83</v>
      </c>
      <c r="U105">
        <v>0</v>
      </c>
      <c r="V105">
        <v>0</v>
      </c>
      <c r="W105">
        <v>149975.39453333334</v>
      </c>
    </row>
    <row r="106" spans="1:25" x14ac:dyDescent="0.25">
      <c r="A106" t="s">
        <v>257</v>
      </c>
      <c r="B106">
        <v>0</v>
      </c>
      <c r="C106" t="s">
        <v>258</v>
      </c>
      <c r="D106" t="s">
        <v>259</v>
      </c>
      <c r="E106" t="s">
        <v>260</v>
      </c>
      <c r="F106" t="s">
        <v>261</v>
      </c>
      <c r="G106" t="s">
        <v>84</v>
      </c>
      <c r="H106" t="s">
        <v>80</v>
      </c>
      <c r="I106" t="s">
        <v>265</v>
      </c>
      <c r="J106" t="s">
        <v>275</v>
      </c>
      <c r="K106" t="s">
        <v>82</v>
      </c>
      <c r="L106">
        <v>836827.74</v>
      </c>
      <c r="M106" t="s">
        <v>83</v>
      </c>
      <c r="P106">
        <v>1</v>
      </c>
      <c r="T106">
        <v>1</v>
      </c>
      <c r="U106">
        <v>0</v>
      </c>
      <c r="V106">
        <v>0</v>
      </c>
      <c r="W106">
        <v>689735.13113333331</v>
      </c>
    </row>
    <row r="107" spans="1:25" x14ac:dyDescent="0.25">
      <c r="A107" t="s">
        <v>257</v>
      </c>
      <c r="B107">
        <v>1</v>
      </c>
      <c r="C107" t="s">
        <v>258</v>
      </c>
      <c r="D107" t="s">
        <v>259</v>
      </c>
      <c r="E107" t="s">
        <v>260</v>
      </c>
      <c r="F107" t="s">
        <v>261</v>
      </c>
      <c r="G107" t="s">
        <v>276</v>
      </c>
      <c r="H107" t="s">
        <v>80</v>
      </c>
      <c r="I107" t="s">
        <v>257</v>
      </c>
      <c r="J107" t="s">
        <v>277</v>
      </c>
      <c r="K107" t="s">
        <v>82</v>
      </c>
      <c r="L107">
        <v>557667.92339999997</v>
      </c>
      <c r="M107" t="s">
        <v>83</v>
      </c>
      <c r="N107">
        <v>689735.1311</v>
      </c>
      <c r="U107">
        <v>0</v>
      </c>
      <c r="V107">
        <v>0</v>
      </c>
      <c r="W107">
        <v>689735.13113333331</v>
      </c>
      <c r="X107">
        <v>557667.92339999997</v>
      </c>
      <c r="Y107">
        <v>557667.92339999997</v>
      </c>
    </row>
    <row r="108" spans="1:25" x14ac:dyDescent="0.25">
      <c r="A108" t="s">
        <v>257</v>
      </c>
      <c r="B108">
        <v>0</v>
      </c>
      <c r="C108" t="s">
        <v>258</v>
      </c>
      <c r="D108" t="s">
        <v>259</v>
      </c>
      <c r="E108" t="s">
        <v>260</v>
      </c>
      <c r="F108" t="s">
        <v>261</v>
      </c>
      <c r="G108" t="s">
        <v>84</v>
      </c>
      <c r="H108" t="s">
        <v>80</v>
      </c>
      <c r="I108" t="s">
        <v>265</v>
      </c>
      <c r="J108" t="s">
        <v>278</v>
      </c>
      <c r="K108" t="s">
        <v>82</v>
      </c>
      <c r="L108">
        <v>674709.73</v>
      </c>
      <c r="M108" t="s">
        <v>83</v>
      </c>
      <c r="O108">
        <v>1</v>
      </c>
      <c r="U108">
        <v>674709.73</v>
      </c>
      <c r="V108">
        <v>0</v>
      </c>
      <c r="W108">
        <v>689735.13113333331</v>
      </c>
    </row>
    <row r="109" spans="1:25" x14ac:dyDescent="0.25">
      <c r="A109" t="s">
        <v>257</v>
      </c>
      <c r="B109">
        <v>0</v>
      </c>
      <c r="C109" t="s">
        <v>258</v>
      </c>
      <c r="D109" t="s">
        <v>259</v>
      </c>
      <c r="E109" t="s">
        <v>260</v>
      </c>
      <c r="F109" t="s">
        <v>261</v>
      </c>
      <c r="G109" t="s">
        <v>84</v>
      </c>
      <c r="H109" t="s">
        <v>106</v>
      </c>
      <c r="I109" t="s">
        <v>265</v>
      </c>
      <c r="J109" t="s">
        <v>279</v>
      </c>
      <c r="K109" t="s">
        <v>82</v>
      </c>
      <c r="L109">
        <v>5136.13</v>
      </c>
      <c r="M109" t="s">
        <v>83</v>
      </c>
      <c r="P109">
        <v>1</v>
      </c>
      <c r="T109">
        <v>1</v>
      </c>
      <c r="U109">
        <v>0</v>
      </c>
      <c r="V109">
        <v>0</v>
      </c>
      <c r="W109">
        <v>5600.9025000000001</v>
      </c>
    </row>
    <row r="110" spans="1:25" x14ac:dyDescent="0.25">
      <c r="A110" t="s">
        <v>257</v>
      </c>
      <c r="B110">
        <v>1</v>
      </c>
      <c r="C110" t="s">
        <v>258</v>
      </c>
      <c r="D110" t="s">
        <v>259</v>
      </c>
      <c r="E110" t="s">
        <v>260</v>
      </c>
      <c r="F110" t="s">
        <v>261</v>
      </c>
      <c r="G110" t="s">
        <v>276</v>
      </c>
      <c r="H110" t="s">
        <v>106</v>
      </c>
      <c r="I110" t="s">
        <v>257</v>
      </c>
      <c r="J110" t="s">
        <v>280</v>
      </c>
      <c r="K110" t="s">
        <v>82</v>
      </c>
      <c r="L110">
        <v>2638.9625000000001</v>
      </c>
      <c r="M110" t="s">
        <v>83</v>
      </c>
      <c r="N110">
        <v>5600.9025000000001</v>
      </c>
      <c r="U110">
        <v>0</v>
      </c>
      <c r="V110">
        <v>0</v>
      </c>
      <c r="W110">
        <v>5600.9025000000001</v>
      </c>
      <c r="X110">
        <v>2638.9625000000001</v>
      </c>
      <c r="Y110">
        <v>2638.9625000000001</v>
      </c>
    </row>
    <row r="111" spans="1:25" x14ac:dyDescent="0.25">
      <c r="A111" t="s">
        <v>257</v>
      </c>
      <c r="B111">
        <v>0</v>
      </c>
      <c r="C111" t="s">
        <v>258</v>
      </c>
      <c r="D111" t="s">
        <v>259</v>
      </c>
      <c r="E111" t="s">
        <v>260</v>
      </c>
      <c r="F111" t="s">
        <v>261</v>
      </c>
      <c r="G111" t="s">
        <v>84</v>
      </c>
      <c r="H111" t="s">
        <v>106</v>
      </c>
      <c r="I111" t="s">
        <v>265</v>
      </c>
      <c r="J111" t="s">
        <v>281</v>
      </c>
      <c r="K111" t="s">
        <v>82</v>
      </c>
      <c r="L111">
        <v>9027.6149999999998</v>
      </c>
      <c r="M111" t="s">
        <v>83</v>
      </c>
      <c r="O111">
        <v>1</v>
      </c>
      <c r="U111">
        <v>9027.6149999999998</v>
      </c>
      <c r="V111">
        <v>0</v>
      </c>
      <c r="W111">
        <v>5600.9025000000001</v>
      </c>
    </row>
    <row r="112" spans="1:25" x14ac:dyDescent="0.25">
      <c r="A112" t="s">
        <v>257</v>
      </c>
      <c r="B112">
        <v>0</v>
      </c>
      <c r="C112" t="s">
        <v>258</v>
      </c>
      <c r="D112" t="s">
        <v>259</v>
      </c>
      <c r="E112" t="s">
        <v>260</v>
      </c>
      <c r="F112" t="s">
        <v>261</v>
      </c>
      <c r="G112" t="s">
        <v>84</v>
      </c>
      <c r="H112" t="s">
        <v>110</v>
      </c>
      <c r="I112" t="s">
        <v>265</v>
      </c>
      <c r="J112" t="s">
        <v>282</v>
      </c>
      <c r="K112" t="s">
        <v>82</v>
      </c>
      <c r="L112">
        <v>7182</v>
      </c>
      <c r="M112" t="s">
        <v>83</v>
      </c>
      <c r="P112">
        <v>1</v>
      </c>
      <c r="T112">
        <v>1</v>
      </c>
      <c r="U112">
        <v>0</v>
      </c>
      <c r="V112">
        <v>0</v>
      </c>
      <c r="W112">
        <v>5023.3333333333339</v>
      </c>
    </row>
    <row r="113" spans="1:25" x14ac:dyDescent="0.25">
      <c r="A113" t="s">
        <v>257</v>
      </c>
      <c r="B113">
        <v>1</v>
      </c>
      <c r="C113" t="s">
        <v>258</v>
      </c>
      <c r="D113" t="s">
        <v>259</v>
      </c>
      <c r="E113" t="s">
        <v>260</v>
      </c>
      <c r="F113" t="s">
        <v>261</v>
      </c>
      <c r="G113" t="s">
        <v>276</v>
      </c>
      <c r="H113" t="s">
        <v>110</v>
      </c>
      <c r="I113" t="s">
        <v>257</v>
      </c>
      <c r="J113" t="s">
        <v>283</v>
      </c>
      <c r="K113" t="s">
        <v>82</v>
      </c>
      <c r="L113">
        <v>6400</v>
      </c>
      <c r="M113" t="s">
        <v>83</v>
      </c>
      <c r="N113">
        <v>5023.3333329999996</v>
      </c>
      <c r="U113">
        <v>0</v>
      </c>
      <c r="V113">
        <v>0</v>
      </c>
      <c r="W113">
        <v>5023.3333333333339</v>
      </c>
      <c r="X113">
        <v>6400</v>
      </c>
      <c r="Y113">
        <v>6400</v>
      </c>
    </row>
    <row r="114" spans="1:25" x14ac:dyDescent="0.25">
      <c r="A114" t="s">
        <v>257</v>
      </c>
      <c r="B114">
        <v>0</v>
      </c>
      <c r="C114" t="s">
        <v>258</v>
      </c>
      <c r="D114" t="s">
        <v>259</v>
      </c>
      <c r="E114" t="s">
        <v>260</v>
      </c>
      <c r="F114" t="s">
        <v>261</v>
      </c>
      <c r="G114" t="s">
        <v>84</v>
      </c>
      <c r="H114" t="s">
        <v>110</v>
      </c>
      <c r="I114" t="s">
        <v>265</v>
      </c>
      <c r="J114" t="s">
        <v>284</v>
      </c>
      <c r="K114" t="s">
        <v>82</v>
      </c>
      <c r="L114">
        <v>1488</v>
      </c>
      <c r="M114" t="s">
        <v>83</v>
      </c>
      <c r="O114">
        <v>1</v>
      </c>
      <c r="U114">
        <v>1488</v>
      </c>
      <c r="V114">
        <v>0</v>
      </c>
      <c r="W114">
        <v>5023.3333333333339</v>
      </c>
    </row>
    <row r="115" spans="1:25" x14ac:dyDescent="0.25">
      <c r="A115" t="s">
        <v>257</v>
      </c>
      <c r="B115">
        <v>0</v>
      </c>
      <c r="C115" t="s">
        <v>258</v>
      </c>
      <c r="D115" t="s">
        <v>259</v>
      </c>
      <c r="E115" t="s">
        <v>260</v>
      </c>
      <c r="F115" t="s">
        <v>261</v>
      </c>
      <c r="G115" t="s">
        <v>84</v>
      </c>
      <c r="H115" t="s">
        <v>87</v>
      </c>
      <c r="I115" t="s">
        <v>285</v>
      </c>
      <c r="J115" t="s">
        <v>286</v>
      </c>
      <c r="K115" t="s">
        <v>82</v>
      </c>
      <c r="L115">
        <v>123512.0833</v>
      </c>
      <c r="M115" t="s">
        <v>83</v>
      </c>
      <c r="U115">
        <v>0</v>
      </c>
      <c r="V115">
        <v>0</v>
      </c>
      <c r="W115">
        <v>123349.4111</v>
      </c>
    </row>
    <row r="116" spans="1:25" x14ac:dyDescent="0.25">
      <c r="A116" t="s">
        <v>257</v>
      </c>
      <c r="B116">
        <v>1</v>
      </c>
      <c r="C116" t="s">
        <v>258</v>
      </c>
      <c r="D116" t="s">
        <v>259</v>
      </c>
      <c r="E116" t="s">
        <v>260</v>
      </c>
      <c r="F116" t="s">
        <v>261</v>
      </c>
      <c r="G116" t="s">
        <v>207</v>
      </c>
      <c r="H116" t="s">
        <v>87</v>
      </c>
      <c r="I116" t="s">
        <v>257</v>
      </c>
      <c r="J116" t="s">
        <v>287</v>
      </c>
      <c r="K116" t="s">
        <v>82</v>
      </c>
      <c r="L116">
        <v>123923.3333</v>
      </c>
      <c r="M116" t="s">
        <v>83</v>
      </c>
      <c r="N116">
        <v>123349.4111</v>
      </c>
      <c r="S116">
        <v>1</v>
      </c>
      <c r="T116">
        <v>1</v>
      </c>
      <c r="U116">
        <v>0</v>
      </c>
      <c r="V116">
        <v>0</v>
      </c>
      <c r="W116">
        <v>123349.4111</v>
      </c>
      <c r="X116">
        <v>123923.3333</v>
      </c>
      <c r="Y116">
        <v>123923.3333</v>
      </c>
    </row>
    <row r="117" spans="1:25" x14ac:dyDescent="0.25">
      <c r="A117" t="s">
        <v>257</v>
      </c>
      <c r="B117">
        <v>0</v>
      </c>
      <c r="C117" t="s">
        <v>258</v>
      </c>
      <c r="D117" t="s">
        <v>259</v>
      </c>
      <c r="E117" t="s">
        <v>260</v>
      </c>
      <c r="F117" t="s">
        <v>261</v>
      </c>
      <c r="G117" t="s">
        <v>84</v>
      </c>
      <c r="H117" t="s">
        <v>87</v>
      </c>
      <c r="I117" t="s">
        <v>257</v>
      </c>
      <c r="J117" t="s">
        <v>288</v>
      </c>
      <c r="K117" t="s">
        <v>82</v>
      </c>
      <c r="L117">
        <v>122612.8167</v>
      </c>
      <c r="M117" t="s">
        <v>83</v>
      </c>
      <c r="U117">
        <v>0</v>
      </c>
      <c r="V117">
        <v>0</v>
      </c>
      <c r="W117">
        <v>123349.4111</v>
      </c>
    </row>
    <row r="118" spans="1:25" x14ac:dyDescent="0.25">
      <c r="A118" t="s">
        <v>257</v>
      </c>
      <c r="B118">
        <v>1</v>
      </c>
      <c r="C118" t="s">
        <v>258</v>
      </c>
      <c r="D118" t="s">
        <v>259</v>
      </c>
      <c r="E118" t="s">
        <v>260</v>
      </c>
      <c r="F118" t="s">
        <v>261</v>
      </c>
      <c r="G118" t="s">
        <v>289</v>
      </c>
      <c r="H118" t="s">
        <v>98</v>
      </c>
      <c r="I118" t="s">
        <v>290</v>
      </c>
      <c r="J118" t="s">
        <v>291</v>
      </c>
      <c r="K118" t="s">
        <v>82</v>
      </c>
      <c r="L118">
        <v>41300</v>
      </c>
      <c r="M118" t="s">
        <v>83</v>
      </c>
      <c r="N118">
        <v>38500</v>
      </c>
      <c r="U118">
        <v>0</v>
      </c>
      <c r="V118">
        <v>0</v>
      </c>
      <c r="W118">
        <v>38500</v>
      </c>
      <c r="X118">
        <v>41300</v>
      </c>
      <c r="Y118">
        <v>41300</v>
      </c>
    </row>
    <row r="119" spans="1:25" x14ac:dyDescent="0.25">
      <c r="A119" t="s">
        <v>257</v>
      </c>
      <c r="B119">
        <v>0</v>
      </c>
      <c r="C119" t="s">
        <v>258</v>
      </c>
      <c r="D119" t="s">
        <v>259</v>
      </c>
      <c r="E119" t="s">
        <v>260</v>
      </c>
      <c r="F119" t="s">
        <v>261</v>
      </c>
      <c r="G119" t="s">
        <v>84</v>
      </c>
      <c r="H119" t="s">
        <v>98</v>
      </c>
      <c r="I119" t="s">
        <v>292</v>
      </c>
      <c r="J119" t="s">
        <v>293</v>
      </c>
      <c r="K119" t="s">
        <v>82</v>
      </c>
      <c r="L119">
        <v>53600</v>
      </c>
      <c r="M119" t="s">
        <v>83</v>
      </c>
      <c r="U119">
        <v>0</v>
      </c>
      <c r="V119">
        <v>0</v>
      </c>
      <c r="W119">
        <v>38500</v>
      </c>
    </row>
    <row r="120" spans="1:25" x14ac:dyDescent="0.25">
      <c r="A120" t="s">
        <v>257</v>
      </c>
      <c r="B120">
        <v>0</v>
      </c>
      <c r="C120" t="s">
        <v>258</v>
      </c>
      <c r="D120" t="s">
        <v>259</v>
      </c>
      <c r="E120" t="s">
        <v>260</v>
      </c>
      <c r="F120" t="s">
        <v>261</v>
      </c>
      <c r="G120" t="s">
        <v>84</v>
      </c>
      <c r="H120" t="s">
        <v>98</v>
      </c>
      <c r="I120" t="s">
        <v>294</v>
      </c>
      <c r="J120" t="s">
        <v>295</v>
      </c>
      <c r="K120" t="s">
        <v>82</v>
      </c>
      <c r="L120">
        <v>20600</v>
      </c>
      <c r="M120" t="s">
        <v>83</v>
      </c>
      <c r="U120">
        <v>0</v>
      </c>
      <c r="V120">
        <v>0</v>
      </c>
      <c r="W120">
        <v>38500</v>
      </c>
    </row>
    <row r="121" spans="1:25" x14ac:dyDescent="0.25">
      <c r="A121" t="s">
        <v>296</v>
      </c>
      <c r="B121">
        <v>0</v>
      </c>
      <c r="C121" t="s">
        <v>258</v>
      </c>
      <c r="D121" t="s">
        <v>297</v>
      </c>
      <c r="E121" t="s">
        <v>260</v>
      </c>
      <c r="F121" t="s">
        <v>298</v>
      </c>
      <c r="G121" t="s">
        <v>84</v>
      </c>
      <c r="H121" t="s">
        <v>92</v>
      </c>
      <c r="I121" t="s">
        <v>299</v>
      </c>
      <c r="J121" t="s">
        <v>300</v>
      </c>
      <c r="K121" t="s">
        <v>82</v>
      </c>
      <c r="L121">
        <v>21500</v>
      </c>
      <c r="M121" t="s">
        <v>83</v>
      </c>
      <c r="U121">
        <v>0</v>
      </c>
      <c r="V121">
        <v>0</v>
      </c>
      <c r="W121">
        <v>31766.666666666664</v>
      </c>
    </row>
    <row r="122" spans="1:25" x14ac:dyDescent="0.25">
      <c r="A122" t="s">
        <v>296</v>
      </c>
      <c r="B122">
        <v>1</v>
      </c>
      <c r="C122" t="s">
        <v>258</v>
      </c>
      <c r="D122" t="s">
        <v>297</v>
      </c>
      <c r="E122" t="s">
        <v>260</v>
      </c>
      <c r="F122" t="s">
        <v>298</v>
      </c>
      <c r="G122" t="s">
        <v>301</v>
      </c>
      <c r="H122" t="s">
        <v>92</v>
      </c>
      <c r="I122" t="s">
        <v>302</v>
      </c>
      <c r="J122" t="s">
        <v>303</v>
      </c>
      <c r="K122" t="s">
        <v>82</v>
      </c>
      <c r="L122">
        <v>40400</v>
      </c>
      <c r="M122" t="s">
        <v>83</v>
      </c>
      <c r="N122">
        <v>31766.666669999999</v>
      </c>
      <c r="U122">
        <v>0</v>
      </c>
      <c r="V122">
        <v>0</v>
      </c>
      <c r="W122">
        <v>31766.666666666664</v>
      </c>
      <c r="X122">
        <v>40400</v>
      </c>
      <c r="Y122">
        <v>40400</v>
      </c>
    </row>
    <row r="123" spans="1:25" x14ac:dyDescent="0.25">
      <c r="A123" t="s">
        <v>296</v>
      </c>
      <c r="B123">
        <v>0</v>
      </c>
      <c r="C123" t="s">
        <v>258</v>
      </c>
      <c r="D123" t="s">
        <v>297</v>
      </c>
      <c r="E123" t="s">
        <v>260</v>
      </c>
      <c r="F123" t="s">
        <v>298</v>
      </c>
      <c r="G123" t="s">
        <v>84</v>
      </c>
      <c r="H123" t="s">
        <v>92</v>
      </c>
      <c r="I123" t="s">
        <v>304</v>
      </c>
      <c r="J123" t="s">
        <v>181</v>
      </c>
      <c r="K123" t="s">
        <v>82</v>
      </c>
      <c r="L123">
        <v>33400</v>
      </c>
      <c r="M123" t="s">
        <v>83</v>
      </c>
      <c r="Q123">
        <v>1</v>
      </c>
      <c r="R123">
        <v>1</v>
      </c>
      <c r="U123">
        <v>0</v>
      </c>
      <c r="V123">
        <v>0</v>
      </c>
      <c r="W123">
        <v>31766.666666666664</v>
      </c>
    </row>
    <row r="124" spans="1:25" x14ac:dyDescent="0.25">
      <c r="A124" t="s">
        <v>296</v>
      </c>
      <c r="B124">
        <v>0</v>
      </c>
      <c r="C124" t="s">
        <v>258</v>
      </c>
      <c r="D124" t="s">
        <v>297</v>
      </c>
      <c r="E124" t="s">
        <v>260</v>
      </c>
      <c r="F124" t="s">
        <v>298</v>
      </c>
      <c r="G124" t="s">
        <v>84</v>
      </c>
      <c r="H124" t="s">
        <v>80</v>
      </c>
      <c r="I124" t="s">
        <v>296</v>
      </c>
      <c r="J124" t="s">
        <v>305</v>
      </c>
      <c r="K124" t="s">
        <v>82</v>
      </c>
      <c r="L124">
        <v>804309.03</v>
      </c>
      <c r="M124" t="s">
        <v>83</v>
      </c>
      <c r="S124">
        <v>1</v>
      </c>
      <c r="U124">
        <v>0</v>
      </c>
      <c r="V124">
        <v>0</v>
      </c>
      <c r="W124">
        <v>827429.73420000006</v>
      </c>
    </row>
    <row r="125" spans="1:25" x14ac:dyDescent="0.25">
      <c r="A125" t="s">
        <v>296</v>
      </c>
      <c r="B125">
        <v>1</v>
      </c>
      <c r="C125" t="s">
        <v>258</v>
      </c>
      <c r="D125" t="s">
        <v>297</v>
      </c>
      <c r="E125" t="s">
        <v>260</v>
      </c>
      <c r="F125" t="s">
        <v>298</v>
      </c>
      <c r="G125" t="s">
        <v>79</v>
      </c>
      <c r="H125" t="s">
        <v>80</v>
      </c>
      <c r="I125" t="s">
        <v>306</v>
      </c>
      <c r="J125" t="s">
        <v>307</v>
      </c>
      <c r="K125" t="s">
        <v>82</v>
      </c>
      <c r="L125">
        <v>746158.29760000005</v>
      </c>
      <c r="M125" t="s">
        <v>83</v>
      </c>
      <c r="N125">
        <v>827429.73419999995</v>
      </c>
      <c r="O125">
        <v>1</v>
      </c>
      <c r="U125">
        <v>746158.29760000005</v>
      </c>
      <c r="V125">
        <v>746158.29760000005</v>
      </c>
      <c r="W125">
        <v>827429.73420000006</v>
      </c>
      <c r="X125">
        <v>746158.29760000005</v>
      </c>
      <c r="Y125">
        <v>746158.29760000005</v>
      </c>
    </row>
    <row r="126" spans="1:25" x14ac:dyDescent="0.25">
      <c r="A126" t="s">
        <v>296</v>
      </c>
      <c r="B126">
        <v>0</v>
      </c>
      <c r="C126" t="s">
        <v>258</v>
      </c>
      <c r="D126" t="s">
        <v>297</v>
      </c>
      <c r="E126" t="s">
        <v>260</v>
      </c>
      <c r="F126" t="s">
        <v>298</v>
      </c>
      <c r="G126" t="s">
        <v>84</v>
      </c>
      <c r="H126" t="s">
        <v>80</v>
      </c>
      <c r="I126" t="s">
        <v>296</v>
      </c>
      <c r="J126" t="s">
        <v>308</v>
      </c>
      <c r="K126" t="s">
        <v>82</v>
      </c>
      <c r="L126">
        <v>931821.875</v>
      </c>
      <c r="M126" t="s">
        <v>83</v>
      </c>
      <c r="O126">
        <v>1</v>
      </c>
      <c r="P126">
        <v>1</v>
      </c>
      <c r="U126">
        <v>931821.875</v>
      </c>
      <c r="V126">
        <v>0</v>
      </c>
      <c r="W126">
        <v>827429.73420000006</v>
      </c>
    </row>
    <row r="127" spans="1:25" x14ac:dyDescent="0.25">
      <c r="A127" t="s">
        <v>296</v>
      </c>
      <c r="B127">
        <v>0</v>
      </c>
      <c r="C127" t="s">
        <v>258</v>
      </c>
      <c r="D127" t="s">
        <v>297</v>
      </c>
      <c r="E127" t="s">
        <v>260</v>
      </c>
      <c r="F127" t="s">
        <v>298</v>
      </c>
      <c r="G127" t="s">
        <v>84</v>
      </c>
      <c r="H127" t="s">
        <v>106</v>
      </c>
      <c r="I127" t="s">
        <v>296</v>
      </c>
      <c r="J127" t="s">
        <v>309</v>
      </c>
      <c r="K127" t="s">
        <v>82</v>
      </c>
      <c r="L127">
        <v>11871.3925</v>
      </c>
      <c r="M127" t="s">
        <v>83</v>
      </c>
      <c r="S127">
        <v>1</v>
      </c>
      <c r="U127">
        <v>0</v>
      </c>
      <c r="V127">
        <v>0</v>
      </c>
      <c r="W127">
        <v>7782.9699999999993</v>
      </c>
    </row>
    <row r="128" spans="1:25" x14ac:dyDescent="0.25">
      <c r="A128" t="s">
        <v>296</v>
      </c>
      <c r="B128">
        <v>1</v>
      </c>
      <c r="C128" t="s">
        <v>258</v>
      </c>
      <c r="D128" t="s">
        <v>297</v>
      </c>
      <c r="E128" t="s">
        <v>260</v>
      </c>
      <c r="F128" t="s">
        <v>298</v>
      </c>
      <c r="G128" t="s">
        <v>79</v>
      </c>
      <c r="H128" t="s">
        <v>106</v>
      </c>
      <c r="I128" t="s">
        <v>306</v>
      </c>
      <c r="J128" t="s">
        <v>310</v>
      </c>
      <c r="K128" t="s">
        <v>82</v>
      </c>
      <c r="L128">
        <v>5537.8824999999997</v>
      </c>
      <c r="M128" t="s">
        <v>83</v>
      </c>
      <c r="N128">
        <v>7782.97</v>
      </c>
      <c r="O128">
        <v>1</v>
      </c>
      <c r="U128">
        <v>5537.8824999999997</v>
      </c>
      <c r="V128">
        <v>5537.8824999999997</v>
      </c>
      <c r="W128">
        <v>7782.9699999999993</v>
      </c>
      <c r="X128">
        <v>5537.8824999999997</v>
      </c>
      <c r="Y128">
        <v>5537.8824999999997</v>
      </c>
    </row>
    <row r="129" spans="1:25" x14ac:dyDescent="0.25">
      <c r="A129" t="s">
        <v>296</v>
      </c>
      <c r="B129">
        <v>0</v>
      </c>
      <c r="C129" t="s">
        <v>258</v>
      </c>
      <c r="D129" t="s">
        <v>297</v>
      </c>
      <c r="E129" t="s">
        <v>260</v>
      </c>
      <c r="F129" t="s">
        <v>298</v>
      </c>
      <c r="G129" t="s">
        <v>84</v>
      </c>
      <c r="H129" t="s">
        <v>106</v>
      </c>
      <c r="I129" t="s">
        <v>296</v>
      </c>
      <c r="J129" t="s">
        <v>311</v>
      </c>
      <c r="K129" t="s">
        <v>82</v>
      </c>
      <c r="L129">
        <v>5939.6350000000002</v>
      </c>
      <c r="M129" t="s">
        <v>83</v>
      </c>
      <c r="O129">
        <v>1</v>
      </c>
      <c r="P129">
        <v>1</v>
      </c>
      <c r="U129">
        <v>5939.6350000000002</v>
      </c>
      <c r="V129">
        <v>0</v>
      </c>
      <c r="W129">
        <v>7782.9699999999993</v>
      </c>
    </row>
    <row r="130" spans="1:25" x14ac:dyDescent="0.25">
      <c r="A130" t="s">
        <v>296</v>
      </c>
      <c r="B130">
        <v>0</v>
      </c>
      <c r="C130" t="s">
        <v>258</v>
      </c>
      <c r="D130" t="s">
        <v>297</v>
      </c>
      <c r="E130" t="s">
        <v>260</v>
      </c>
      <c r="F130" t="s">
        <v>298</v>
      </c>
      <c r="G130" t="s">
        <v>84</v>
      </c>
      <c r="H130" t="s">
        <v>110</v>
      </c>
      <c r="I130" t="s">
        <v>296</v>
      </c>
      <c r="J130" t="s">
        <v>312</v>
      </c>
      <c r="K130" t="s">
        <v>82</v>
      </c>
      <c r="L130">
        <v>6750</v>
      </c>
      <c r="M130" t="s">
        <v>83</v>
      </c>
      <c r="S130">
        <v>1</v>
      </c>
      <c r="U130">
        <v>0</v>
      </c>
      <c r="V130">
        <v>0</v>
      </c>
      <c r="W130">
        <v>11750</v>
      </c>
    </row>
    <row r="131" spans="1:25" x14ac:dyDescent="0.25">
      <c r="A131" t="s">
        <v>296</v>
      </c>
      <c r="B131">
        <v>1</v>
      </c>
      <c r="C131" t="s">
        <v>258</v>
      </c>
      <c r="D131" t="s">
        <v>297</v>
      </c>
      <c r="E131" t="s">
        <v>260</v>
      </c>
      <c r="F131" t="s">
        <v>298</v>
      </c>
      <c r="G131" t="s">
        <v>79</v>
      </c>
      <c r="H131" t="s">
        <v>110</v>
      </c>
      <c r="I131" t="s">
        <v>306</v>
      </c>
      <c r="J131" t="s">
        <v>313</v>
      </c>
      <c r="K131" t="s">
        <v>82</v>
      </c>
      <c r="L131">
        <v>11214</v>
      </c>
      <c r="M131" t="s">
        <v>83</v>
      </c>
      <c r="N131">
        <v>11750</v>
      </c>
      <c r="O131">
        <v>1</v>
      </c>
      <c r="U131">
        <v>11214</v>
      </c>
      <c r="V131">
        <v>11214</v>
      </c>
      <c r="W131">
        <v>11750</v>
      </c>
      <c r="X131">
        <v>11214</v>
      </c>
      <c r="Y131">
        <v>11214</v>
      </c>
    </row>
    <row r="132" spans="1:25" x14ac:dyDescent="0.25">
      <c r="A132" t="s">
        <v>296</v>
      </c>
      <c r="B132">
        <v>0</v>
      </c>
      <c r="C132" t="s">
        <v>258</v>
      </c>
      <c r="D132" t="s">
        <v>297</v>
      </c>
      <c r="E132" t="s">
        <v>260</v>
      </c>
      <c r="F132" t="s">
        <v>298</v>
      </c>
      <c r="G132" t="s">
        <v>84</v>
      </c>
      <c r="H132" t="s">
        <v>110</v>
      </c>
      <c r="I132" t="s">
        <v>296</v>
      </c>
      <c r="J132" t="s">
        <v>314</v>
      </c>
      <c r="K132" t="s">
        <v>82</v>
      </c>
      <c r="L132">
        <v>17286</v>
      </c>
      <c r="M132" t="s">
        <v>83</v>
      </c>
      <c r="O132">
        <v>1</v>
      </c>
      <c r="P132">
        <v>1</v>
      </c>
      <c r="U132">
        <v>17286</v>
      </c>
      <c r="V132">
        <v>0</v>
      </c>
      <c r="W132">
        <v>11750</v>
      </c>
    </row>
    <row r="133" spans="1:25" x14ac:dyDescent="0.25">
      <c r="A133" t="s">
        <v>296</v>
      </c>
      <c r="B133">
        <v>0</v>
      </c>
      <c r="C133" t="s">
        <v>258</v>
      </c>
      <c r="D133" t="s">
        <v>297</v>
      </c>
      <c r="E133" t="s">
        <v>260</v>
      </c>
      <c r="F133" t="s">
        <v>298</v>
      </c>
      <c r="G133" t="s">
        <v>84</v>
      </c>
      <c r="H133" t="s">
        <v>87</v>
      </c>
      <c r="I133" t="s">
        <v>296</v>
      </c>
      <c r="J133" t="s">
        <v>315</v>
      </c>
      <c r="K133" t="s">
        <v>82</v>
      </c>
      <c r="L133">
        <v>119193.9583</v>
      </c>
      <c r="M133" t="s">
        <v>83</v>
      </c>
      <c r="R133">
        <v>1</v>
      </c>
      <c r="U133">
        <v>0</v>
      </c>
      <c r="V133">
        <v>0</v>
      </c>
      <c r="W133">
        <v>114895.93886666666</v>
      </c>
    </row>
    <row r="134" spans="1:25" x14ac:dyDescent="0.25">
      <c r="A134" t="s">
        <v>296</v>
      </c>
      <c r="B134">
        <v>1</v>
      </c>
      <c r="C134" t="s">
        <v>258</v>
      </c>
      <c r="D134" t="s">
        <v>297</v>
      </c>
      <c r="E134" t="s">
        <v>260</v>
      </c>
      <c r="F134" t="s">
        <v>298</v>
      </c>
      <c r="G134" t="s">
        <v>316</v>
      </c>
      <c r="H134" t="s">
        <v>87</v>
      </c>
      <c r="I134" t="s">
        <v>296</v>
      </c>
      <c r="J134" t="s">
        <v>317</v>
      </c>
      <c r="K134" t="s">
        <v>82</v>
      </c>
      <c r="L134">
        <v>130914.5833</v>
      </c>
      <c r="M134" t="s">
        <v>83</v>
      </c>
      <c r="N134">
        <v>114895.93889999999</v>
      </c>
      <c r="Q134">
        <v>1</v>
      </c>
      <c r="U134">
        <v>0</v>
      </c>
      <c r="V134">
        <v>0</v>
      </c>
      <c r="W134">
        <v>114895.93886666666</v>
      </c>
      <c r="X134">
        <v>130914.5833</v>
      </c>
      <c r="Y134">
        <v>130914.5833</v>
      </c>
    </row>
    <row r="135" spans="1:25" x14ac:dyDescent="0.25">
      <c r="A135" t="s">
        <v>296</v>
      </c>
      <c r="B135">
        <v>0</v>
      </c>
      <c r="C135" t="s">
        <v>258</v>
      </c>
      <c r="D135" t="s">
        <v>297</v>
      </c>
      <c r="E135" t="s">
        <v>260</v>
      </c>
      <c r="F135" t="s">
        <v>298</v>
      </c>
      <c r="G135" t="s">
        <v>84</v>
      </c>
      <c r="H135" t="s">
        <v>87</v>
      </c>
      <c r="I135" t="s">
        <v>296</v>
      </c>
      <c r="J135" t="s">
        <v>318</v>
      </c>
      <c r="K135" t="s">
        <v>82</v>
      </c>
      <c r="L135">
        <v>94579.274999999994</v>
      </c>
      <c r="M135" t="s">
        <v>83</v>
      </c>
      <c r="S135">
        <v>1</v>
      </c>
      <c r="T135">
        <v>1</v>
      </c>
      <c r="U135">
        <v>0</v>
      </c>
      <c r="V135">
        <v>0</v>
      </c>
      <c r="W135">
        <v>114895.93886666666</v>
      </c>
    </row>
    <row r="136" spans="1:25" x14ac:dyDescent="0.25">
      <c r="A136" t="s">
        <v>296</v>
      </c>
      <c r="B136">
        <v>0</v>
      </c>
      <c r="C136" t="s">
        <v>258</v>
      </c>
      <c r="D136" t="s">
        <v>297</v>
      </c>
      <c r="E136" t="s">
        <v>260</v>
      </c>
      <c r="F136" t="s">
        <v>298</v>
      </c>
      <c r="G136" t="s">
        <v>84</v>
      </c>
      <c r="H136" t="s">
        <v>98</v>
      </c>
      <c r="I136" t="s">
        <v>319</v>
      </c>
      <c r="J136" t="s">
        <v>320</v>
      </c>
      <c r="K136" t="s">
        <v>82</v>
      </c>
      <c r="L136">
        <v>29850</v>
      </c>
      <c r="M136" t="s">
        <v>83</v>
      </c>
      <c r="U136">
        <v>0</v>
      </c>
      <c r="V136">
        <v>0</v>
      </c>
      <c r="W136">
        <v>36283.333333333336</v>
      </c>
    </row>
    <row r="137" spans="1:25" x14ac:dyDescent="0.25">
      <c r="A137" t="s">
        <v>296</v>
      </c>
      <c r="B137">
        <v>1</v>
      </c>
      <c r="C137" t="s">
        <v>258</v>
      </c>
      <c r="D137" t="s">
        <v>297</v>
      </c>
      <c r="E137" t="s">
        <v>260</v>
      </c>
      <c r="F137" t="s">
        <v>298</v>
      </c>
      <c r="G137" t="s">
        <v>158</v>
      </c>
      <c r="H137" t="s">
        <v>98</v>
      </c>
      <c r="I137" t="s">
        <v>321</v>
      </c>
      <c r="J137" t="s">
        <v>322</v>
      </c>
      <c r="K137" t="s">
        <v>82</v>
      </c>
      <c r="L137">
        <v>62100</v>
      </c>
      <c r="M137" t="s">
        <v>83</v>
      </c>
      <c r="N137">
        <v>36283.333330000001</v>
      </c>
      <c r="Q137">
        <v>1</v>
      </c>
      <c r="S137">
        <v>1</v>
      </c>
      <c r="U137">
        <v>0</v>
      </c>
      <c r="V137">
        <v>0</v>
      </c>
      <c r="W137">
        <v>36283.333333333336</v>
      </c>
      <c r="X137">
        <v>62100</v>
      </c>
      <c r="Y137">
        <v>62100</v>
      </c>
    </row>
    <row r="138" spans="1:25" x14ac:dyDescent="0.25">
      <c r="A138" t="s">
        <v>296</v>
      </c>
      <c r="B138">
        <v>0</v>
      </c>
      <c r="C138" t="s">
        <v>258</v>
      </c>
      <c r="D138" t="s">
        <v>297</v>
      </c>
      <c r="E138" t="s">
        <v>260</v>
      </c>
      <c r="F138" t="s">
        <v>298</v>
      </c>
      <c r="G138" t="s">
        <v>84</v>
      </c>
      <c r="H138" t="s">
        <v>98</v>
      </c>
      <c r="I138" t="s">
        <v>323</v>
      </c>
      <c r="J138" t="s">
        <v>324</v>
      </c>
      <c r="K138" t="s">
        <v>82</v>
      </c>
      <c r="L138">
        <v>16900</v>
      </c>
      <c r="M138" t="s">
        <v>83</v>
      </c>
      <c r="U138">
        <v>0</v>
      </c>
      <c r="V138">
        <v>0</v>
      </c>
      <c r="W138">
        <v>36283.333333333336</v>
      </c>
    </row>
    <row r="139" spans="1:25" x14ac:dyDescent="0.25">
      <c r="A139" t="s">
        <v>296</v>
      </c>
      <c r="B139">
        <v>0</v>
      </c>
      <c r="C139" t="s">
        <v>258</v>
      </c>
      <c r="D139" t="s">
        <v>297</v>
      </c>
      <c r="E139" t="s">
        <v>260</v>
      </c>
      <c r="F139" t="s">
        <v>298</v>
      </c>
      <c r="G139" t="s">
        <v>84</v>
      </c>
      <c r="H139" t="s">
        <v>121</v>
      </c>
      <c r="I139" t="s">
        <v>296</v>
      </c>
      <c r="J139" t="s">
        <v>325</v>
      </c>
      <c r="K139" t="s">
        <v>82</v>
      </c>
      <c r="L139">
        <v>192655.61499999999</v>
      </c>
      <c r="M139" t="s">
        <v>83</v>
      </c>
      <c r="S139">
        <v>1</v>
      </c>
      <c r="U139">
        <v>0</v>
      </c>
      <c r="V139">
        <v>0</v>
      </c>
      <c r="W139">
        <v>158633.04393333333</v>
      </c>
    </row>
    <row r="140" spans="1:25" x14ac:dyDescent="0.25">
      <c r="A140" t="s">
        <v>296</v>
      </c>
      <c r="B140">
        <v>1</v>
      </c>
      <c r="C140" t="s">
        <v>258</v>
      </c>
      <c r="D140" t="s">
        <v>297</v>
      </c>
      <c r="E140" t="s">
        <v>260</v>
      </c>
      <c r="F140" t="s">
        <v>298</v>
      </c>
      <c r="G140" t="s">
        <v>326</v>
      </c>
      <c r="H140" t="s">
        <v>121</v>
      </c>
      <c r="I140" t="s">
        <v>327</v>
      </c>
      <c r="J140" t="s">
        <v>328</v>
      </c>
      <c r="K140" t="s">
        <v>82</v>
      </c>
      <c r="L140">
        <v>139549.23199999999</v>
      </c>
      <c r="M140" t="s">
        <v>83</v>
      </c>
      <c r="N140">
        <v>158633.04389999999</v>
      </c>
      <c r="P140">
        <v>1</v>
      </c>
      <c r="T140">
        <v>1</v>
      </c>
      <c r="U140">
        <v>0</v>
      </c>
      <c r="V140">
        <v>0</v>
      </c>
      <c r="W140">
        <v>158633.04393333333</v>
      </c>
      <c r="X140">
        <v>139549.23199999999</v>
      </c>
      <c r="Y140">
        <v>139549.23199999999</v>
      </c>
    </row>
    <row r="141" spans="1:25" x14ac:dyDescent="0.25">
      <c r="A141" t="s">
        <v>296</v>
      </c>
      <c r="B141">
        <v>0</v>
      </c>
      <c r="C141" t="s">
        <v>258</v>
      </c>
      <c r="D141" t="s">
        <v>297</v>
      </c>
      <c r="E141" t="s">
        <v>260</v>
      </c>
      <c r="F141" t="s">
        <v>298</v>
      </c>
      <c r="G141" t="s">
        <v>84</v>
      </c>
      <c r="H141" t="s">
        <v>121</v>
      </c>
      <c r="I141" t="s">
        <v>329</v>
      </c>
      <c r="J141" t="s">
        <v>330</v>
      </c>
      <c r="K141" t="s">
        <v>82</v>
      </c>
      <c r="L141">
        <v>143694.28479999999</v>
      </c>
      <c r="M141" t="s">
        <v>83</v>
      </c>
      <c r="P141">
        <v>1</v>
      </c>
      <c r="U141">
        <v>0</v>
      </c>
      <c r="V141">
        <v>0</v>
      </c>
      <c r="W141">
        <v>158633.04393333333</v>
      </c>
    </row>
    <row r="142" spans="1:25" x14ac:dyDescent="0.25">
      <c r="A142" t="s">
        <v>296</v>
      </c>
      <c r="B142">
        <v>0</v>
      </c>
      <c r="C142" t="s">
        <v>258</v>
      </c>
      <c r="D142" t="s">
        <v>297</v>
      </c>
      <c r="E142" t="s">
        <v>260</v>
      </c>
      <c r="F142" t="s">
        <v>298</v>
      </c>
      <c r="G142" t="s">
        <v>84</v>
      </c>
      <c r="H142" t="s">
        <v>114</v>
      </c>
      <c r="I142" t="s">
        <v>296</v>
      </c>
      <c r="J142" t="s">
        <v>331</v>
      </c>
      <c r="K142" t="s">
        <v>82</v>
      </c>
      <c r="L142">
        <v>38300</v>
      </c>
      <c r="M142" t="s">
        <v>83</v>
      </c>
      <c r="S142">
        <v>1</v>
      </c>
      <c r="U142">
        <v>0</v>
      </c>
      <c r="V142">
        <v>0</v>
      </c>
      <c r="W142">
        <v>29616.666666666664</v>
      </c>
    </row>
    <row r="143" spans="1:25" x14ac:dyDescent="0.25">
      <c r="A143" t="s">
        <v>296</v>
      </c>
      <c r="B143">
        <v>1</v>
      </c>
      <c r="C143" t="s">
        <v>258</v>
      </c>
      <c r="D143" t="s">
        <v>297</v>
      </c>
      <c r="E143" t="s">
        <v>260</v>
      </c>
      <c r="F143" t="s">
        <v>298</v>
      </c>
      <c r="G143" t="s">
        <v>326</v>
      </c>
      <c r="H143" t="s">
        <v>114</v>
      </c>
      <c r="I143" t="s">
        <v>327</v>
      </c>
      <c r="J143" t="s">
        <v>332</v>
      </c>
      <c r="K143" t="s">
        <v>82</v>
      </c>
      <c r="L143">
        <v>23000</v>
      </c>
      <c r="M143" t="s">
        <v>83</v>
      </c>
      <c r="N143">
        <v>29616.666669999999</v>
      </c>
      <c r="P143">
        <v>1</v>
      </c>
      <c r="T143">
        <v>1</v>
      </c>
      <c r="U143">
        <v>0</v>
      </c>
      <c r="V143">
        <v>0</v>
      </c>
      <c r="W143">
        <v>29616.666666666664</v>
      </c>
      <c r="X143">
        <v>23000</v>
      </c>
      <c r="Y143">
        <v>23000</v>
      </c>
    </row>
    <row r="144" spans="1:25" x14ac:dyDescent="0.25">
      <c r="A144" t="s">
        <v>296</v>
      </c>
      <c r="B144">
        <v>0</v>
      </c>
      <c r="C144" t="s">
        <v>258</v>
      </c>
      <c r="D144" t="s">
        <v>297</v>
      </c>
      <c r="E144" t="s">
        <v>260</v>
      </c>
      <c r="F144" t="s">
        <v>298</v>
      </c>
      <c r="G144" t="s">
        <v>84</v>
      </c>
      <c r="H144" t="s">
        <v>114</v>
      </c>
      <c r="I144" t="s">
        <v>329</v>
      </c>
      <c r="J144" t="s">
        <v>333</v>
      </c>
      <c r="K144" t="s">
        <v>82</v>
      </c>
      <c r="L144">
        <v>27550</v>
      </c>
      <c r="M144" t="s">
        <v>83</v>
      </c>
      <c r="P144">
        <v>1</v>
      </c>
      <c r="U144">
        <v>0</v>
      </c>
      <c r="V144">
        <v>0</v>
      </c>
      <c r="W144">
        <v>29616.666666666664</v>
      </c>
    </row>
    <row r="145" spans="1:25" x14ac:dyDescent="0.25">
      <c r="A145" t="s">
        <v>296</v>
      </c>
      <c r="B145">
        <v>0</v>
      </c>
      <c r="C145" t="s">
        <v>258</v>
      </c>
      <c r="D145" t="s">
        <v>297</v>
      </c>
      <c r="E145" t="s">
        <v>260</v>
      </c>
      <c r="F145" t="s">
        <v>298</v>
      </c>
      <c r="G145" t="s">
        <v>84</v>
      </c>
      <c r="H145" t="s">
        <v>185</v>
      </c>
      <c r="I145" t="s">
        <v>296</v>
      </c>
      <c r="J145" t="s">
        <v>334</v>
      </c>
      <c r="K145" t="s">
        <v>82</v>
      </c>
      <c r="L145">
        <v>17251.724999999999</v>
      </c>
      <c r="M145" t="s">
        <v>83</v>
      </c>
      <c r="S145">
        <v>1</v>
      </c>
      <c r="U145">
        <v>0</v>
      </c>
      <c r="V145">
        <v>0</v>
      </c>
      <c r="W145">
        <v>18144.508333333331</v>
      </c>
    </row>
    <row r="146" spans="1:25" x14ac:dyDescent="0.25">
      <c r="A146" t="s">
        <v>296</v>
      </c>
      <c r="B146">
        <v>1</v>
      </c>
      <c r="C146" t="s">
        <v>258</v>
      </c>
      <c r="D146" t="s">
        <v>297</v>
      </c>
      <c r="E146" t="s">
        <v>260</v>
      </c>
      <c r="F146" t="s">
        <v>298</v>
      </c>
      <c r="G146" t="s">
        <v>79</v>
      </c>
      <c r="H146" t="s">
        <v>185</v>
      </c>
      <c r="I146" t="s">
        <v>306</v>
      </c>
      <c r="J146" t="s">
        <v>335</v>
      </c>
      <c r="K146" t="s">
        <v>82</v>
      </c>
      <c r="L146">
        <v>18827.224999999999</v>
      </c>
      <c r="M146" t="s">
        <v>83</v>
      </c>
      <c r="N146">
        <v>18144.508330000001</v>
      </c>
      <c r="O146">
        <v>1</v>
      </c>
      <c r="U146">
        <v>18827.224999999999</v>
      </c>
      <c r="V146">
        <v>18827.224999999999</v>
      </c>
      <c r="W146">
        <v>18144.508333333331</v>
      </c>
      <c r="X146">
        <v>18827.224999999999</v>
      </c>
      <c r="Y146">
        <v>18827.224999999999</v>
      </c>
    </row>
    <row r="147" spans="1:25" x14ac:dyDescent="0.25">
      <c r="A147" t="s">
        <v>296</v>
      </c>
      <c r="B147">
        <v>0</v>
      </c>
      <c r="C147" t="s">
        <v>258</v>
      </c>
      <c r="D147" t="s">
        <v>297</v>
      </c>
      <c r="E147" t="s">
        <v>260</v>
      </c>
      <c r="F147" t="s">
        <v>298</v>
      </c>
      <c r="G147" t="s">
        <v>84</v>
      </c>
      <c r="H147" t="s">
        <v>185</v>
      </c>
      <c r="I147" t="s">
        <v>296</v>
      </c>
      <c r="J147" t="s">
        <v>336</v>
      </c>
      <c r="K147" t="s">
        <v>82</v>
      </c>
      <c r="L147">
        <v>18354.575000000001</v>
      </c>
      <c r="M147" t="s">
        <v>83</v>
      </c>
      <c r="O147">
        <v>1</v>
      </c>
      <c r="P147">
        <v>1</v>
      </c>
      <c r="U147">
        <v>18354.575000000001</v>
      </c>
      <c r="V147">
        <v>0</v>
      </c>
      <c r="W147">
        <v>18144.508333333331</v>
      </c>
    </row>
    <row r="148" spans="1:25" x14ac:dyDescent="0.25">
      <c r="A148" t="s">
        <v>337</v>
      </c>
      <c r="B148">
        <v>1</v>
      </c>
      <c r="C148" t="s">
        <v>258</v>
      </c>
      <c r="D148" t="s">
        <v>297</v>
      </c>
      <c r="E148" t="s">
        <v>338</v>
      </c>
      <c r="F148" t="s">
        <v>298</v>
      </c>
      <c r="G148" t="s">
        <v>140</v>
      </c>
      <c r="H148" t="s">
        <v>92</v>
      </c>
      <c r="I148" t="s">
        <v>339</v>
      </c>
      <c r="J148" t="s">
        <v>140</v>
      </c>
      <c r="K148" t="s">
        <v>82</v>
      </c>
      <c r="L148">
        <v>48690</v>
      </c>
      <c r="M148" t="s">
        <v>83</v>
      </c>
      <c r="N148">
        <v>31286.666669999999</v>
      </c>
      <c r="Q148">
        <v>1</v>
      </c>
      <c r="S148">
        <v>1</v>
      </c>
      <c r="U148">
        <v>0</v>
      </c>
      <c r="V148">
        <v>0</v>
      </c>
      <c r="W148">
        <v>31286.666666666668</v>
      </c>
      <c r="X148">
        <v>48690</v>
      </c>
      <c r="Y148">
        <v>48690</v>
      </c>
    </row>
    <row r="149" spans="1:25" x14ac:dyDescent="0.25">
      <c r="A149" t="s">
        <v>337</v>
      </c>
      <c r="B149">
        <v>0</v>
      </c>
      <c r="C149" t="s">
        <v>258</v>
      </c>
      <c r="D149" t="s">
        <v>297</v>
      </c>
      <c r="E149" t="s">
        <v>338</v>
      </c>
      <c r="F149" t="s">
        <v>298</v>
      </c>
      <c r="G149" t="s">
        <v>84</v>
      </c>
      <c r="H149" t="s">
        <v>92</v>
      </c>
      <c r="I149" t="s">
        <v>340</v>
      </c>
      <c r="J149" t="s">
        <v>341</v>
      </c>
      <c r="K149" t="s">
        <v>82</v>
      </c>
      <c r="L149">
        <v>20890</v>
      </c>
      <c r="M149" t="s">
        <v>83</v>
      </c>
      <c r="O149">
        <v>1</v>
      </c>
      <c r="T149">
        <v>1</v>
      </c>
      <c r="U149">
        <v>20890</v>
      </c>
      <c r="V149">
        <v>0</v>
      </c>
      <c r="W149">
        <v>31286.666666666668</v>
      </c>
    </row>
    <row r="150" spans="1:25" x14ac:dyDescent="0.25">
      <c r="A150" t="s">
        <v>337</v>
      </c>
      <c r="B150">
        <v>0</v>
      </c>
      <c r="C150" t="s">
        <v>258</v>
      </c>
      <c r="D150" t="s">
        <v>297</v>
      </c>
      <c r="E150" t="s">
        <v>338</v>
      </c>
      <c r="F150" t="s">
        <v>298</v>
      </c>
      <c r="G150" t="s">
        <v>84</v>
      </c>
      <c r="H150" t="s">
        <v>92</v>
      </c>
      <c r="I150" t="s">
        <v>342</v>
      </c>
      <c r="J150" t="s">
        <v>343</v>
      </c>
      <c r="K150" t="s">
        <v>82</v>
      </c>
      <c r="L150">
        <v>24280</v>
      </c>
      <c r="M150" t="s">
        <v>83</v>
      </c>
      <c r="P150">
        <v>1</v>
      </c>
      <c r="Q150">
        <v>1</v>
      </c>
      <c r="U150">
        <v>0</v>
      </c>
      <c r="V150">
        <v>0</v>
      </c>
      <c r="W150">
        <v>31286.666666666668</v>
      </c>
    </row>
    <row r="151" spans="1:25" x14ac:dyDescent="0.25">
      <c r="A151" t="s">
        <v>337</v>
      </c>
      <c r="B151">
        <v>0</v>
      </c>
      <c r="C151" t="s">
        <v>258</v>
      </c>
      <c r="D151" t="s">
        <v>297</v>
      </c>
      <c r="E151" t="s">
        <v>338</v>
      </c>
      <c r="F151" t="s">
        <v>298</v>
      </c>
      <c r="G151" t="s">
        <v>84</v>
      </c>
      <c r="H151" t="s">
        <v>80</v>
      </c>
      <c r="I151" t="s">
        <v>337</v>
      </c>
      <c r="J151" t="s">
        <v>344</v>
      </c>
      <c r="K151" t="s">
        <v>82</v>
      </c>
      <c r="L151">
        <v>861318.65</v>
      </c>
      <c r="M151" t="s">
        <v>83</v>
      </c>
      <c r="P151">
        <v>1</v>
      </c>
      <c r="U151">
        <v>0</v>
      </c>
      <c r="V151">
        <v>0</v>
      </c>
      <c r="W151">
        <v>837017.14029999997</v>
      </c>
    </row>
    <row r="152" spans="1:25" x14ac:dyDescent="0.25">
      <c r="A152" t="s">
        <v>337</v>
      </c>
      <c r="B152">
        <v>0</v>
      </c>
      <c r="C152" t="s">
        <v>258</v>
      </c>
      <c r="D152" t="s">
        <v>297</v>
      </c>
      <c r="E152" t="s">
        <v>338</v>
      </c>
      <c r="F152" t="s">
        <v>298</v>
      </c>
      <c r="G152" t="s">
        <v>84</v>
      </c>
      <c r="H152" t="s">
        <v>80</v>
      </c>
      <c r="I152" t="s">
        <v>345</v>
      </c>
      <c r="J152" t="s">
        <v>346</v>
      </c>
      <c r="K152" t="s">
        <v>82</v>
      </c>
      <c r="L152">
        <v>850434.76089999999</v>
      </c>
      <c r="M152" t="s">
        <v>83</v>
      </c>
      <c r="O152">
        <v>1</v>
      </c>
      <c r="U152">
        <v>850434.76089999999</v>
      </c>
      <c r="V152">
        <v>0</v>
      </c>
      <c r="W152">
        <v>837017.14029999997</v>
      </c>
    </row>
    <row r="153" spans="1:25" x14ac:dyDescent="0.25">
      <c r="A153" t="s">
        <v>337</v>
      </c>
      <c r="B153">
        <v>1</v>
      </c>
      <c r="C153" t="s">
        <v>258</v>
      </c>
      <c r="D153" t="s">
        <v>297</v>
      </c>
      <c r="E153" t="s">
        <v>338</v>
      </c>
      <c r="F153" t="s">
        <v>298</v>
      </c>
      <c r="G153" t="s">
        <v>248</v>
      </c>
      <c r="H153" t="s">
        <v>80</v>
      </c>
      <c r="I153" t="s">
        <v>337</v>
      </c>
      <c r="J153" t="s">
        <v>347</v>
      </c>
      <c r="K153" t="s">
        <v>82</v>
      </c>
      <c r="L153">
        <v>799298.01</v>
      </c>
      <c r="M153" t="s">
        <v>83</v>
      </c>
      <c r="N153">
        <v>837017.14029999997</v>
      </c>
      <c r="O153">
        <v>1</v>
      </c>
      <c r="P153">
        <v>1</v>
      </c>
      <c r="U153">
        <v>799298.01</v>
      </c>
      <c r="V153">
        <v>799298.01</v>
      </c>
      <c r="W153">
        <v>837017.14029999997</v>
      </c>
      <c r="X153">
        <v>799298.01</v>
      </c>
      <c r="Y153">
        <v>799298.01</v>
      </c>
    </row>
    <row r="154" spans="1:25" x14ac:dyDescent="0.25">
      <c r="A154" t="s">
        <v>337</v>
      </c>
      <c r="B154">
        <v>0</v>
      </c>
      <c r="C154" t="s">
        <v>258</v>
      </c>
      <c r="D154" t="s">
        <v>297</v>
      </c>
      <c r="E154" t="s">
        <v>338</v>
      </c>
      <c r="F154" t="s">
        <v>298</v>
      </c>
      <c r="G154" t="s">
        <v>84</v>
      </c>
      <c r="H154" t="s">
        <v>106</v>
      </c>
      <c r="I154" t="s">
        <v>337</v>
      </c>
      <c r="J154" t="s">
        <v>348</v>
      </c>
      <c r="K154" t="s">
        <v>82</v>
      </c>
      <c r="L154">
        <v>9846.875</v>
      </c>
      <c r="M154" t="s">
        <v>83</v>
      </c>
      <c r="P154">
        <v>1</v>
      </c>
      <c r="U154">
        <v>0</v>
      </c>
      <c r="V154">
        <v>0</v>
      </c>
      <c r="W154">
        <v>7549.2708333333339</v>
      </c>
    </row>
    <row r="155" spans="1:25" x14ac:dyDescent="0.25">
      <c r="A155" t="s">
        <v>337</v>
      </c>
      <c r="B155">
        <v>0</v>
      </c>
      <c r="C155" t="s">
        <v>258</v>
      </c>
      <c r="D155" t="s">
        <v>297</v>
      </c>
      <c r="E155" t="s">
        <v>338</v>
      </c>
      <c r="F155" t="s">
        <v>298</v>
      </c>
      <c r="G155" t="s">
        <v>84</v>
      </c>
      <c r="H155" t="s">
        <v>106</v>
      </c>
      <c r="I155" t="s">
        <v>345</v>
      </c>
      <c r="J155" t="s">
        <v>349</v>
      </c>
      <c r="K155" t="s">
        <v>82</v>
      </c>
      <c r="L155">
        <v>8783.4125000000004</v>
      </c>
      <c r="M155" t="s">
        <v>83</v>
      </c>
      <c r="O155">
        <v>1</v>
      </c>
      <c r="U155">
        <v>8783.4125000000004</v>
      </c>
      <c r="V155">
        <v>0</v>
      </c>
      <c r="W155">
        <v>7549.2708333333339</v>
      </c>
    </row>
    <row r="156" spans="1:25" x14ac:dyDescent="0.25">
      <c r="A156" t="s">
        <v>337</v>
      </c>
      <c r="B156">
        <v>1</v>
      </c>
      <c r="C156" t="s">
        <v>258</v>
      </c>
      <c r="D156" t="s">
        <v>297</v>
      </c>
      <c r="E156" t="s">
        <v>338</v>
      </c>
      <c r="F156" t="s">
        <v>298</v>
      </c>
      <c r="G156" t="s">
        <v>248</v>
      </c>
      <c r="H156" t="s">
        <v>106</v>
      </c>
      <c r="I156" t="s">
        <v>337</v>
      </c>
      <c r="J156" t="s">
        <v>350</v>
      </c>
      <c r="K156" t="s">
        <v>82</v>
      </c>
      <c r="L156">
        <v>4017.5250000000001</v>
      </c>
      <c r="M156" t="s">
        <v>83</v>
      </c>
      <c r="N156">
        <v>7549.2708329999996</v>
      </c>
      <c r="O156">
        <v>1</v>
      </c>
      <c r="P156">
        <v>1</v>
      </c>
      <c r="U156">
        <v>4017.5250000000001</v>
      </c>
      <c r="V156">
        <v>4017.5250000000001</v>
      </c>
      <c r="W156">
        <v>7549.2708333333339</v>
      </c>
      <c r="X156">
        <v>4017.5250000000001</v>
      </c>
      <c r="Y156">
        <v>4017.5250000000001</v>
      </c>
    </row>
    <row r="157" spans="1:25" x14ac:dyDescent="0.25">
      <c r="A157" t="s">
        <v>337</v>
      </c>
      <c r="B157">
        <v>0</v>
      </c>
      <c r="C157" t="s">
        <v>258</v>
      </c>
      <c r="D157" t="s">
        <v>297</v>
      </c>
      <c r="E157" t="s">
        <v>338</v>
      </c>
      <c r="F157" t="s">
        <v>298</v>
      </c>
      <c r="G157" t="s">
        <v>84</v>
      </c>
      <c r="H157" t="s">
        <v>110</v>
      </c>
      <c r="I157" t="s">
        <v>337</v>
      </c>
      <c r="J157" t="s">
        <v>351</v>
      </c>
      <c r="K157" t="s">
        <v>82</v>
      </c>
      <c r="L157">
        <v>11008</v>
      </c>
      <c r="M157" t="s">
        <v>83</v>
      </c>
      <c r="P157">
        <v>1</v>
      </c>
      <c r="U157">
        <v>0</v>
      </c>
      <c r="V157">
        <v>0</v>
      </c>
      <c r="W157">
        <v>12020</v>
      </c>
    </row>
    <row r="158" spans="1:25" x14ac:dyDescent="0.25">
      <c r="A158" t="s">
        <v>337</v>
      </c>
      <c r="B158">
        <v>0</v>
      </c>
      <c r="C158" t="s">
        <v>258</v>
      </c>
      <c r="D158" t="s">
        <v>297</v>
      </c>
      <c r="E158" t="s">
        <v>338</v>
      </c>
      <c r="F158" t="s">
        <v>298</v>
      </c>
      <c r="G158" t="s">
        <v>84</v>
      </c>
      <c r="H158" t="s">
        <v>110</v>
      </c>
      <c r="I158" t="s">
        <v>345</v>
      </c>
      <c r="J158" t="s">
        <v>352</v>
      </c>
      <c r="K158" t="s">
        <v>82</v>
      </c>
      <c r="L158">
        <v>11844</v>
      </c>
      <c r="M158" t="s">
        <v>83</v>
      </c>
      <c r="O158">
        <v>1</v>
      </c>
      <c r="U158">
        <v>11844</v>
      </c>
      <c r="V158">
        <v>0</v>
      </c>
      <c r="W158">
        <v>12020</v>
      </c>
    </row>
    <row r="159" spans="1:25" x14ac:dyDescent="0.25">
      <c r="A159" t="s">
        <v>337</v>
      </c>
      <c r="B159">
        <v>1</v>
      </c>
      <c r="C159" t="s">
        <v>258</v>
      </c>
      <c r="D159" t="s">
        <v>297</v>
      </c>
      <c r="E159" t="s">
        <v>338</v>
      </c>
      <c r="F159" t="s">
        <v>298</v>
      </c>
      <c r="G159" t="s">
        <v>248</v>
      </c>
      <c r="H159" t="s">
        <v>110</v>
      </c>
      <c r="I159" t="s">
        <v>337</v>
      </c>
      <c r="J159" t="s">
        <v>353</v>
      </c>
      <c r="K159" t="s">
        <v>82</v>
      </c>
      <c r="L159">
        <v>13208</v>
      </c>
      <c r="M159" t="s">
        <v>83</v>
      </c>
      <c r="N159">
        <v>12020</v>
      </c>
      <c r="O159">
        <v>1</v>
      </c>
      <c r="P159">
        <v>1</v>
      </c>
      <c r="U159">
        <v>13208</v>
      </c>
      <c r="V159">
        <v>13208</v>
      </c>
      <c r="W159">
        <v>12020</v>
      </c>
      <c r="X159">
        <v>13208</v>
      </c>
      <c r="Y159">
        <v>13208</v>
      </c>
    </row>
    <row r="160" spans="1:25" x14ac:dyDescent="0.25">
      <c r="A160" t="s">
        <v>337</v>
      </c>
      <c r="B160">
        <v>0</v>
      </c>
      <c r="C160" t="s">
        <v>258</v>
      </c>
      <c r="D160" t="s">
        <v>297</v>
      </c>
      <c r="E160" t="s">
        <v>338</v>
      </c>
      <c r="F160" t="s">
        <v>298</v>
      </c>
      <c r="G160" t="s">
        <v>84</v>
      </c>
      <c r="H160" t="s">
        <v>87</v>
      </c>
      <c r="I160" t="s">
        <v>354</v>
      </c>
      <c r="J160" t="s">
        <v>355</v>
      </c>
      <c r="K160" t="s">
        <v>82</v>
      </c>
      <c r="L160">
        <v>93795.158330000006</v>
      </c>
      <c r="M160" t="s">
        <v>83</v>
      </c>
      <c r="U160">
        <v>0</v>
      </c>
      <c r="V160">
        <v>0</v>
      </c>
      <c r="W160">
        <v>108474.041665</v>
      </c>
    </row>
    <row r="161" spans="1:25" x14ac:dyDescent="0.25">
      <c r="A161" t="s">
        <v>337</v>
      </c>
      <c r="B161">
        <v>1</v>
      </c>
      <c r="C161" t="s">
        <v>258</v>
      </c>
      <c r="D161" t="s">
        <v>297</v>
      </c>
      <c r="E161" t="s">
        <v>338</v>
      </c>
      <c r="F161" t="s">
        <v>298</v>
      </c>
      <c r="G161" t="s">
        <v>243</v>
      </c>
      <c r="H161" t="s">
        <v>87</v>
      </c>
      <c r="I161" t="s">
        <v>337</v>
      </c>
      <c r="J161" t="s">
        <v>356</v>
      </c>
      <c r="K161" t="s">
        <v>82</v>
      </c>
      <c r="L161">
        <v>123152.925</v>
      </c>
      <c r="M161" t="s">
        <v>83</v>
      </c>
      <c r="N161">
        <v>108474.0417</v>
      </c>
      <c r="U161">
        <v>0</v>
      </c>
      <c r="V161">
        <v>0</v>
      </c>
      <c r="W161">
        <v>108474.041665</v>
      </c>
      <c r="X161">
        <v>123152.925</v>
      </c>
      <c r="Y161">
        <v>123152.925</v>
      </c>
    </row>
    <row r="162" spans="1:25" x14ac:dyDescent="0.25">
      <c r="A162" t="s">
        <v>337</v>
      </c>
      <c r="B162">
        <v>0</v>
      </c>
      <c r="C162" t="s">
        <v>258</v>
      </c>
      <c r="D162" t="s">
        <v>297</v>
      </c>
      <c r="E162" t="s">
        <v>338</v>
      </c>
      <c r="F162" t="s">
        <v>298</v>
      </c>
      <c r="G162" t="s">
        <v>84</v>
      </c>
      <c r="H162" t="s">
        <v>98</v>
      </c>
      <c r="I162" t="s">
        <v>357</v>
      </c>
      <c r="J162" t="s">
        <v>358</v>
      </c>
      <c r="K162" t="s">
        <v>82</v>
      </c>
      <c r="L162">
        <v>40900</v>
      </c>
      <c r="M162" t="s">
        <v>83</v>
      </c>
      <c r="R162">
        <v>1</v>
      </c>
      <c r="U162">
        <v>0</v>
      </c>
      <c r="V162">
        <v>0</v>
      </c>
      <c r="W162">
        <v>31766.666666666664</v>
      </c>
    </row>
    <row r="163" spans="1:25" x14ac:dyDescent="0.25">
      <c r="A163" t="s">
        <v>337</v>
      </c>
      <c r="B163">
        <v>1</v>
      </c>
      <c r="C163" t="s">
        <v>258</v>
      </c>
      <c r="D163" t="s">
        <v>297</v>
      </c>
      <c r="E163" t="s">
        <v>338</v>
      </c>
      <c r="F163" t="s">
        <v>298</v>
      </c>
      <c r="G163" t="s">
        <v>103</v>
      </c>
      <c r="H163" t="s">
        <v>98</v>
      </c>
      <c r="I163" t="s">
        <v>359</v>
      </c>
      <c r="J163" t="s">
        <v>360</v>
      </c>
      <c r="K163" t="s">
        <v>82</v>
      </c>
      <c r="L163">
        <v>35150</v>
      </c>
      <c r="M163" t="s">
        <v>83</v>
      </c>
      <c r="N163">
        <v>31766.666669999999</v>
      </c>
      <c r="R163">
        <v>1</v>
      </c>
      <c r="T163">
        <v>1</v>
      </c>
      <c r="U163">
        <v>0</v>
      </c>
      <c r="V163">
        <v>0</v>
      </c>
      <c r="W163">
        <v>31766.666666666664</v>
      </c>
      <c r="X163">
        <v>35150</v>
      </c>
      <c r="Y163">
        <v>35150</v>
      </c>
    </row>
    <row r="164" spans="1:25" x14ac:dyDescent="0.25">
      <c r="A164" t="s">
        <v>337</v>
      </c>
      <c r="B164">
        <v>0</v>
      </c>
      <c r="C164" t="s">
        <v>258</v>
      </c>
      <c r="D164" t="s">
        <v>297</v>
      </c>
      <c r="E164" t="s">
        <v>338</v>
      </c>
      <c r="F164" t="s">
        <v>298</v>
      </c>
      <c r="G164" t="s">
        <v>84</v>
      </c>
      <c r="H164" t="s">
        <v>98</v>
      </c>
      <c r="I164" t="s">
        <v>361</v>
      </c>
      <c r="J164" t="s">
        <v>362</v>
      </c>
      <c r="K164" t="s">
        <v>82</v>
      </c>
      <c r="L164">
        <v>19250</v>
      </c>
      <c r="M164" t="s">
        <v>83</v>
      </c>
      <c r="U164">
        <v>0</v>
      </c>
      <c r="V164">
        <v>0</v>
      </c>
      <c r="W164">
        <v>31766.666666666664</v>
      </c>
    </row>
    <row r="165" spans="1:25" x14ac:dyDescent="0.25">
      <c r="A165" t="s">
        <v>337</v>
      </c>
      <c r="B165">
        <v>0</v>
      </c>
      <c r="C165" t="s">
        <v>258</v>
      </c>
      <c r="D165" t="s">
        <v>297</v>
      </c>
      <c r="E165" t="s">
        <v>338</v>
      </c>
      <c r="F165" t="s">
        <v>298</v>
      </c>
      <c r="G165" t="s">
        <v>84</v>
      </c>
      <c r="H165" t="s">
        <v>185</v>
      </c>
      <c r="I165" t="s">
        <v>337</v>
      </c>
      <c r="J165" t="s">
        <v>363</v>
      </c>
      <c r="K165" t="s">
        <v>82</v>
      </c>
      <c r="L165">
        <v>12604</v>
      </c>
      <c r="M165" t="s">
        <v>83</v>
      </c>
      <c r="P165">
        <v>1</v>
      </c>
      <c r="U165">
        <v>0</v>
      </c>
      <c r="V165">
        <v>0</v>
      </c>
      <c r="W165">
        <v>16726.558333333334</v>
      </c>
    </row>
    <row r="166" spans="1:25" x14ac:dyDescent="0.25">
      <c r="A166" t="s">
        <v>337</v>
      </c>
      <c r="B166">
        <v>0</v>
      </c>
      <c r="C166" t="s">
        <v>258</v>
      </c>
      <c r="D166" t="s">
        <v>297</v>
      </c>
      <c r="E166" t="s">
        <v>338</v>
      </c>
      <c r="F166" t="s">
        <v>298</v>
      </c>
      <c r="G166" t="s">
        <v>84</v>
      </c>
      <c r="H166" t="s">
        <v>185</v>
      </c>
      <c r="I166" t="s">
        <v>345</v>
      </c>
      <c r="J166" t="s">
        <v>364</v>
      </c>
      <c r="K166" t="s">
        <v>82</v>
      </c>
      <c r="L166">
        <v>20166.400000000001</v>
      </c>
      <c r="M166" t="s">
        <v>83</v>
      </c>
      <c r="O166">
        <v>1</v>
      </c>
      <c r="U166">
        <v>20166.400000000001</v>
      </c>
      <c r="V166">
        <v>0</v>
      </c>
      <c r="W166">
        <v>16726.558333333334</v>
      </c>
    </row>
    <row r="167" spans="1:25" x14ac:dyDescent="0.25">
      <c r="A167" t="s">
        <v>337</v>
      </c>
      <c r="B167">
        <v>1</v>
      </c>
      <c r="C167" t="s">
        <v>258</v>
      </c>
      <c r="D167" t="s">
        <v>297</v>
      </c>
      <c r="E167" t="s">
        <v>338</v>
      </c>
      <c r="F167" t="s">
        <v>298</v>
      </c>
      <c r="G167" t="s">
        <v>248</v>
      </c>
      <c r="H167" t="s">
        <v>185</v>
      </c>
      <c r="I167" t="s">
        <v>337</v>
      </c>
      <c r="J167" t="s">
        <v>365</v>
      </c>
      <c r="K167" t="s">
        <v>82</v>
      </c>
      <c r="L167">
        <v>17409.275000000001</v>
      </c>
      <c r="M167" t="s">
        <v>83</v>
      </c>
      <c r="N167">
        <v>16726.55833</v>
      </c>
      <c r="O167">
        <v>1</v>
      </c>
      <c r="P167">
        <v>1</v>
      </c>
      <c r="U167">
        <v>17409.275000000001</v>
      </c>
      <c r="V167">
        <v>17409.275000000001</v>
      </c>
      <c r="W167">
        <v>16726.558333333334</v>
      </c>
      <c r="X167">
        <v>17409.275000000001</v>
      </c>
      <c r="Y167">
        <v>17409.275000000001</v>
      </c>
    </row>
    <row r="168" spans="1:25" x14ac:dyDescent="0.25">
      <c r="A168" t="s">
        <v>366</v>
      </c>
      <c r="B168">
        <v>1</v>
      </c>
      <c r="C168" t="s">
        <v>258</v>
      </c>
      <c r="D168" t="s">
        <v>297</v>
      </c>
      <c r="E168" t="s">
        <v>338</v>
      </c>
      <c r="F168" t="s">
        <v>367</v>
      </c>
      <c r="G168" t="s">
        <v>94</v>
      </c>
      <c r="H168" t="s">
        <v>92</v>
      </c>
      <c r="I168" t="s">
        <v>368</v>
      </c>
      <c r="J168" t="s">
        <v>343</v>
      </c>
      <c r="K168" t="s">
        <v>82</v>
      </c>
      <c r="L168">
        <v>28010</v>
      </c>
      <c r="M168" t="s">
        <v>83</v>
      </c>
      <c r="N168">
        <v>27166.666669999999</v>
      </c>
      <c r="U168">
        <v>0</v>
      </c>
      <c r="V168">
        <v>0</v>
      </c>
      <c r="W168">
        <v>27166.666666666668</v>
      </c>
      <c r="X168">
        <v>28010</v>
      </c>
      <c r="Y168">
        <v>28010</v>
      </c>
    </row>
    <row r="169" spans="1:25" x14ac:dyDescent="0.25">
      <c r="A169" t="s">
        <v>366</v>
      </c>
      <c r="B169">
        <v>0</v>
      </c>
      <c r="C169" t="s">
        <v>258</v>
      </c>
      <c r="D169" t="s">
        <v>297</v>
      </c>
      <c r="E169" t="s">
        <v>338</v>
      </c>
      <c r="F169" t="s">
        <v>367</v>
      </c>
      <c r="G169" t="s">
        <v>84</v>
      </c>
      <c r="H169" t="s">
        <v>92</v>
      </c>
      <c r="I169" t="s">
        <v>369</v>
      </c>
      <c r="J169" t="s">
        <v>303</v>
      </c>
      <c r="K169" t="s">
        <v>82</v>
      </c>
      <c r="L169">
        <v>23450</v>
      </c>
      <c r="M169" t="s">
        <v>83</v>
      </c>
      <c r="P169">
        <v>1</v>
      </c>
      <c r="S169">
        <v>1</v>
      </c>
      <c r="U169">
        <v>0</v>
      </c>
      <c r="V169">
        <v>0</v>
      </c>
      <c r="W169">
        <v>27166.666666666668</v>
      </c>
    </row>
    <row r="170" spans="1:25" x14ac:dyDescent="0.25">
      <c r="A170" t="s">
        <v>366</v>
      </c>
      <c r="B170">
        <v>0</v>
      </c>
      <c r="C170" t="s">
        <v>258</v>
      </c>
      <c r="D170" t="s">
        <v>297</v>
      </c>
      <c r="E170" t="s">
        <v>338</v>
      </c>
      <c r="F170" t="s">
        <v>367</v>
      </c>
      <c r="G170" t="s">
        <v>84</v>
      </c>
      <c r="H170" t="s">
        <v>92</v>
      </c>
      <c r="I170" t="s">
        <v>370</v>
      </c>
      <c r="J170" t="s">
        <v>371</v>
      </c>
      <c r="K170" t="s">
        <v>82</v>
      </c>
      <c r="L170">
        <v>30040</v>
      </c>
      <c r="M170" t="s">
        <v>83</v>
      </c>
      <c r="U170">
        <v>0</v>
      </c>
      <c r="V170">
        <v>0</v>
      </c>
      <c r="W170">
        <v>27166.666666666668</v>
      </c>
    </row>
    <row r="171" spans="1:25" x14ac:dyDescent="0.25">
      <c r="A171" t="s">
        <v>366</v>
      </c>
      <c r="B171">
        <v>0</v>
      </c>
      <c r="C171" t="s">
        <v>258</v>
      </c>
      <c r="D171" t="s">
        <v>297</v>
      </c>
      <c r="E171" t="s">
        <v>338</v>
      </c>
      <c r="F171" t="s">
        <v>367</v>
      </c>
      <c r="G171" t="s">
        <v>84</v>
      </c>
      <c r="H171" t="s">
        <v>80</v>
      </c>
      <c r="I171" t="s">
        <v>366</v>
      </c>
      <c r="J171" t="s">
        <v>372</v>
      </c>
      <c r="K171" t="s">
        <v>82</v>
      </c>
      <c r="L171">
        <v>724100.86499999999</v>
      </c>
      <c r="M171" t="s">
        <v>83</v>
      </c>
      <c r="T171">
        <v>1</v>
      </c>
      <c r="U171">
        <v>0</v>
      </c>
      <c r="V171">
        <v>0</v>
      </c>
      <c r="W171">
        <v>836563.7093333333</v>
      </c>
    </row>
    <row r="172" spans="1:25" x14ac:dyDescent="0.25">
      <c r="A172" t="s">
        <v>366</v>
      </c>
      <c r="B172">
        <v>1</v>
      </c>
      <c r="C172" t="s">
        <v>258</v>
      </c>
      <c r="D172" t="s">
        <v>297</v>
      </c>
      <c r="E172" t="s">
        <v>338</v>
      </c>
      <c r="F172" t="s">
        <v>367</v>
      </c>
      <c r="G172" t="s">
        <v>188</v>
      </c>
      <c r="H172" t="s">
        <v>80</v>
      </c>
      <c r="I172" t="s">
        <v>366</v>
      </c>
      <c r="J172" t="s">
        <v>373</v>
      </c>
      <c r="K172" t="s">
        <v>82</v>
      </c>
      <c r="L172">
        <v>879045.36300000001</v>
      </c>
      <c r="M172" t="s">
        <v>83</v>
      </c>
      <c r="N172">
        <v>836563.70929999999</v>
      </c>
      <c r="P172">
        <v>1</v>
      </c>
      <c r="T172">
        <v>1</v>
      </c>
      <c r="U172">
        <v>0</v>
      </c>
      <c r="V172">
        <v>0</v>
      </c>
      <c r="W172">
        <v>836563.7093333333</v>
      </c>
      <c r="X172">
        <v>879045.36300000001</v>
      </c>
      <c r="Y172">
        <v>879045.36300000001</v>
      </c>
    </row>
    <row r="173" spans="1:25" x14ac:dyDescent="0.25">
      <c r="A173" t="s">
        <v>366</v>
      </c>
      <c r="B173">
        <v>0</v>
      </c>
      <c r="C173" t="s">
        <v>258</v>
      </c>
      <c r="D173" t="s">
        <v>297</v>
      </c>
      <c r="E173" t="s">
        <v>338</v>
      </c>
      <c r="F173" t="s">
        <v>367</v>
      </c>
      <c r="G173" t="s">
        <v>84</v>
      </c>
      <c r="H173" t="s">
        <v>80</v>
      </c>
      <c r="I173" t="s">
        <v>366</v>
      </c>
      <c r="J173" t="s">
        <v>374</v>
      </c>
      <c r="K173" t="s">
        <v>82</v>
      </c>
      <c r="L173">
        <v>906544.9</v>
      </c>
      <c r="M173" t="s">
        <v>83</v>
      </c>
      <c r="U173">
        <v>0</v>
      </c>
      <c r="V173">
        <v>0</v>
      </c>
      <c r="W173">
        <v>836563.7093333333</v>
      </c>
    </row>
    <row r="174" spans="1:25" x14ac:dyDescent="0.25">
      <c r="A174" t="s">
        <v>366</v>
      </c>
      <c r="B174">
        <v>0</v>
      </c>
      <c r="C174" t="s">
        <v>258</v>
      </c>
      <c r="D174" t="s">
        <v>297</v>
      </c>
      <c r="E174" t="s">
        <v>338</v>
      </c>
      <c r="F174" t="s">
        <v>367</v>
      </c>
      <c r="G174" t="s">
        <v>84</v>
      </c>
      <c r="H174" t="s">
        <v>106</v>
      </c>
      <c r="I174" t="s">
        <v>366</v>
      </c>
      <c r="J174" t="s">
        <v>375</v>
      </c>
      <c r="K174" t="s">
        <v>82</v>
      </c>
      <c r="L174">
        <v>11382.987499999999</v>
      </c>
      <c r="M174" t="s">
        <v>83</v>
      </c>
      <c r="T174">
        <v>1</v>
      </c>
      <c r="U174">
        <v>0</v>
      </c>
      <c r="V174">
        <v>0</v>
      </c>
      <c r="W174">
        <v>10274.885833333334</v>
      </c>
    </row>
    <row r="175" spans="1:25" x14ac:dyDescent="0.25">
      <c r="A175" t="s">
        <v>366</v>
      </c>
      <c r="B175">
        <v>1</v>
      </c>
      <c r="C175" t="s">
        <v>258</v>
      </c>
      <c r="D175" t="s">
        <v>297</v>
      </c>
      <c r="E175" t="s">
        <v>338</v>
      </c>
      <c r="F175" t="s">
        <v>367</v>
      </c>
      <c r="G175" t="s">
        <v>188</v>
      </c>
      <c r="H175" t="s">
        <v>106</v>
      </c>
      <c r="I175" t="s">
        <v>366</v>
      </c>
      <c r="J175" t="s">
        <v>376</v>
      </c>
      <c r="K175" t="s">
        <v>82</v>
      </c>
      <c r="L175">
        <v>10303.77</v>
      </c>
      <c r="M175" t="s">
        <v>83</v>
      </c>
      <c r="N175">
        <v>10274.885829999999</v>
      </c>
      <c r="P175">
        <v>1</v>
      </c>
      <c r="T175">
        <v>1</v>
      </c>
      <c r="U175">
        <v>0</v>
      </c>
      <c r="V175">
        <v>0</v>
      </c>
      <c r="W175">
        <v>10274.885833333334</v>
      </c>
      <c r="X175">
        <v>10303.77</v>
      </c>
      <c r="Y175">
        <v>10303.77</v>
      </c>
    </row>
    <row r="176" spans="1:25" x14ac:dyDescent="0.25">
      <c r="A176" t="s">
        <v>366</v>
      </c>
      <c r="B176">
        <v>0</v>
      </c>
      <c r="C176" t="s">
        <v>258</v>
      </c>
      <c r="D176" t="s">
        <v>297</v>
      </c>
      <c r="E176" t="s">
        <v>338</v>
      </c>
      <c r="F176" t="s">
        <v>367</v>
      </c>
      <c r="G176" t="s">
        <v>84</v>
      </c>
      <c r="H176" t="s">
        <v>106</v>
      </c>
      <c r="I176" t="s">
        <v>366</v>
      </c>
      <c r="J176" t="s">
        <v>377</v>
      </c>
      <c r="K176" t="s">
        <v>82</v>
      </c>
      <c r="L176">
        <v>9137.9</v>
      </c>
      <c r="M176" t="s">
        <v>83</v>
      </c>
      <c r="U176">
        <v>0</v>
      </c>
      <c r="V176">
        <v>0</v>
      </c>
      <c r="W176">
        <v>10274.885833333334</v>
      </c>
    </row>
    <row r="177" spans="1:25" x14ac:dyDescent="0.25">
      <c r="A177" t="s">
        <v>366</v>
      </c>
      <c r="B177">
        <v>0</v>
      </c>
      <c r="C177" t="s">
        <v>258</v>
      </c>
      <c r="D177" t="s">
        <v>297</v>
      </c>
      <c r="E177" t="s">
        <v>338</v>
      </c>
      <c r="F177" t="s">
        <v>367</v>
      </c>
      <c r="G177" t="s">
        <v>84</v>
      </c>
      <c r="H177" t="s">
        <v>110</v>
      </c>
      <c r="I177" t="s">
        <v>366</v>
      </c>
      <c r="J177" t="s">
        <v>378</v>
      </c>
      <c r="K177" t="s">
        <v>82</v>
      </c>
      <c r="L177">
        <v>13696</v>
      </c>
      <c r="M177" t="s">
        <v>83</v>
      </c>
      <c r="T177">
        <v>1</v>
      </c>
      <c r="U177">
        <v>0</v>
      </c>
      <c r="V177">
        <v>0</v>
      </c>
      <c r="W177">
        <v>8960</v>
      </c>
    </row>
    <row r="178" spans="1:25" x14ac:dyDescent="0.25">
      <c r="A178" t="s">
        <v>366</v>
      </c>
      <c r="B178">
        <v>1</v>
      </c>
      <c r="C178" t="s">
        <v>258</v>
      </c>
      <c r="D178" t="s">
        <v>297</v>
      </c>
      <c r="E178" t="s">
        <v>338</v>
      </c>
      <c r="F178" t="s">
        <v>367</v>
      </c>
      <c r="G178" t="s">
        <v>188</v>
      </c>
      <c r="H178" t="s">
        <v>110</v>
      </c>
      <c r="I178" t="s">
        <v>366</v>
      </c>
      <c r="J178" t="s">
        <v>379</v>
      </c>
      <c r="K178" t="s">
        <v>82</v>
      </c>
      <c r="L178">
        <v>6656</v>
      </c>
      <c r="M178" t="s">
        <v>83</v>
      </c>
      <c r="N178">
        <v>8960</v>
      </c>
      <c r="P178">
        <v>1</v>
      </c>
      <c r="T178">
        <v>1</v>
      </c>
      <c r="U178">
        <v>0</v>
      </c>
      <c r="V178">
        <v>0</v>
      </c>
      <c r="W178">
        <v>8960</v>
      </c>
      <c r="X178">
        <v>6656</v>
      </c>
      <c r="Y178">
        <v>6656</v>
      </c>
    </row>
    <row r="179" spans="1:25" x14ac:dyDescent="0.25">
      <c r="A179" t="s">
        <v>366</v>
      </c>
      <c r="B179">
        <v>0</v>
      </c>
      <c r="C179" t="s">
        <v>258</v>
      </c>
      <c r="D179" t="s">
        <v>297</v>
      </c>
      <c r="E179" t="s">
        <v>338</v>
      </c>
      <c r="F179" t="s">
        <v>367</v>
      </c>
      <c r="G179" t="s">
        <v>84</v>
      </c>
      <c r="H179" t="s">
        <v>110</v>
      </c>
      <c r="I179" t="s">
        <v>366</v>
      </c>
      <c r="J179" t="s">
        <v>380</v>
      </c>
      <c r="K179" t="s">
        <v>82</v>
      </c>
      <c r="L179">
        <v>6528</v>
      </c>
      <c r="M179" t="s">
        <v>83</v>
      </c>
      <c r="U179">
        <v>0</v>
      </c>
      <c r="V179">
        <v>0</v>
      </c>
      <c r="W179">
        <v>8960</v>
      </c>
    </row>
    <row r="180" spans="1:25" x14ac:dyDescent="0.25">
      <c r="A180" t="s">
        <v>366</v>
      </c>
      <c r="B180">
        <v>0</v>
      </c>
      <c r="C180" t="s">
        <v>258</v>
      </c>
      <c r="D180" t="s">
        <v>297</v>
      </c>
      <c r="E180" t="s">
        <v>338</v>
      </c>
      <c r="F180" t="s">
        <v>367</v>
      </c>
      <c r="G180" t="s">
        <v>84</v>
      </c>
      <c r="H180" t="s">
        <v>87</v>
      </c>
      <c r="I180" t="s">
        <v>366</v>
      </c>
      <c r="J180" t="s">
        <v>381</v>
      </c>
      <c r="K180" t="s">
        <v>82</v>
      </c>
      <c r="L180">
        <v>131904.32500000001</v>
      </c>
      <c r="M180" t="s">
        <v>83</v>
      </c>
      <c r="S180">
        <v>1</v>
      </c>
      <c r="T180">
        <v>1</v>
      </c>
      <c r="U180">
        <v>0</v>
      </c>
      <c r="V180">
        <v>0</v>
      </c>
      <c r="W180">
        <v>108672.35555666668</v>
      </c>
    </row>
    <row r="181" spans="1:25" x14ac:dyDescent="0.25">
      <c r="A181" t="s">
        <v>366</v>
      </c>
      <c r="B181">
        <v>0</v>
      </c>
      <c r="C181" t="s">
        <v>258</v>
      </c>
      <c r="D181" t="s">
        <v>297</v>
      </c>
      <c r="E181" t="s">
        <v>338</v>
      </c>
      <c r="F181" t="s">
        <v>367</v>
      </c>
      <c r="G181" t="s">
        <v>84</v>
      </c>
      <c r="H181" t="s">
        <v>87</v>
      </c>
      <c r="I181" t="s">
        <v>382</v>
      </c>
      <c r="J181" t="s">
        <v>383</v>
      </c>
      <c r="K181" t="s">
        <v>82</v>
      </c>
      <c r="L181">
        <v>85172.616670000003</v>
      </c>
      <c r="M181" t="s">
        <v>83</v>
      </c>
      <c r="U181">
        <v>0</v>
      </c>
      <c r="V181">
        <v>0</v>
      </c>
      <c r="W181">
        <v>108672.35555666668</v>
      </c>
    </row>
    <row r="182" spans="1:25" x14ac:dyDescent="0.25">
      <c r="A182" t="s">
        <v>366</v>
      </c>
      <c r="B182">
        <v>1</v>
      </c>
      <c r="C182" t="s">
        <v>258</v>
      </c>
      <c r="D182" t="s">
        <v>297</v>
      </c>
      <c r="E182" t="s">
        <v>338</v>
      </c>
      <c r="F182" t="s">
        <v>367</v>
      </c>
      <c r="G182" t="s">
        <v>384</v>
      </c>
      <c r="H182" t="s">
        <v>87</v>
      </c>
      <c r="I182" t="s">
        <v>366</v>
      </c>
      <c r="J182" t="s">
        <v>385</v>
      </c>
      <c r="K182" t="s">
        <v>82</v>
      </c>
      <c r="L182">
        <v>108940.125</v>
      </c>
      <c r="M182" t="s">
        <v>83</v>
      </c>
      <c r="N182">
        <v>108672.3556</v>
      </c>
      <c r="U182">
        <v>0</v>
      </c>
      <c r="V182">
        <v>0</v>
      </c>
      <c r="W182">
        <v>108672.35555666668</v>
      </c>
      <c r="X182">
        <v>108940.125</v>
      </c>
      <c r="Y182">
        <v>108940.125</v>
      </c>
    </row>
    <row r="183" spans="1:25" x14ac:dyDescent="0.25">
      <c r="A183" t="s">
        <v>366</v>
      </c>
      <c r="B183">
        <v>0</v>
      </c>
      <c r="C183" t="s">
        <v>258</v>
      </c>
      <c r="D183" t="s">
        <v>297</v>
      </c>
      <c r="E183" t="s">
        <v>338</v>
      </c>
      <c r="F183" t="s">
        <v>367</v>
      </c>
      <c r="G183" t="s">
        <v>84</v>
      </c>
      <c r="H183" t="s">
        <v>98</v>
      </c>
      <c r="I183" t="s">
        <v>386</v>
      </c>
      <c r="J183" t="s">
        <v>387</v>
      </c>
      <c r="K183" t="s">
        <v>82</v>
      </c>
      <c r="L183">
        <v>19100</v>
      </c>
      <c r="M183" t="s">
        <v>83</v>
      </c>
      <c r="U183">
        <v>0</v>
      </c>
      <c r="V183">
        <v>0</v>
      </c>
      <c r="W183">
        <v>24616.666666666668</v>
      </c>
    </row>
    <row r="184" spans="1:25" x14ac:dyDescent="0.25">
      <c r="A184" t="s">
        <v>366</v>
      </c>
      <c r="B184">
        <v>0</v>
      </c>
      <c r="C184" t="s">
        <v>258</v>
      </c>
      <c r="D184" t="s">
        <v>297</v>
      </c>
      <c r="E184" t="s">
        <v>338</v>
      </c>
      <c r="F184" t="s">
        <v>367</v>
      </c>
      <c r="G184" t="s">
        <v>84</v>
      </c>
      <c r="H184" t="s">
        <v>98</v>
      </c>
      <c r="I184" t="s">
        <v>388</v>
      </c>
      <c r="J184" t="s">
        <v>389</v>
      </c>
      <c r="K184" t="s">
        <v>82</v>
      </c>
      <c r="L184">
        <v>24250</v>
      </c>
      <c r="M184" t="s">
        <v>83</v>
      </c>
      <c r="R184">
        <v>1</v>
      </c>
      <c r="T184">
        <v>1</v>
      </c>
      <c r="U184">
        <v>0</v>
      </c>
      <c r="V184">
        <v>0</v>
      </c>
      <c r="W184">
        <v>24616.666666666668</v>
      </c>
    </row>
    <row r="185" spans="1:25" x14ac:dyDescent="0.25">
      <c r="A185" t="s">
        <v>366</v>
      </c>
      <c r="B185">
        <v>1</v>
      </c>
      <c r="C185" t="s">
        <v>258</v>
      </c>
      <c r="D185" t="s">
        <v>297</v>
      </c>
      <c r="E185" t="s">
        <v>260</v>
      </c>
      <c r="F185" t="s">
        <v>367</v>
      </c>
      <c r="G185" t="s">
        <v>203</v>
      </c>
      <c r="H185" t="s">
        <v>98</v>
      </c>
      <c r="I185" t="s">
        <v>390</v>
      </c>
      <c r="J185" t="s">
        <v>391</v>
      </c>
      <c r="K185" t="s">
        <v>82</v>
      </c>
      <c r="L185">
        <v>30500</v>
      </c>
      <c r="M185" t="s">
        <v>83</v>
      </c>
      <c r="N185">
        <v>24616.666669999999</v>
      </c>
      <c r="R185">
        <v>1</v>
      </c>
      <c r="U185">
        <v>0</v>
      </c>
      <c r="V185">
        <v>0</v>
      </c>
      <c r="W185">
        <v>24616.666666666668</v>
      </c>
      <c r="X185">
        <v>30500</v>
      </c>
      <c r="Y185">
        <v>30500</v>
      </c>
    </row>
    <row r="186" spans="1:25" x14ac:dyDescent="0.25">
      <c r="A186" t="s">
        <v>366</v>
      </c>
      <c r="B186">
        <v>0</v>
      </c>
      <c r="C186" t="s">
        <v>258</v>
      </c>
      <c r="D186" t="s">
        <v>297</v>
      </c>
      <c r="E186" t="s">
        <v>260</v>
      </c>
      <c r="F186" t="s">
        <v>367</v>
      </c>
      <c r="G186" t="s">
        <v>84</v>
      </c>
      <c r="H186" t="s">
        <v>125</v>
      </c>
      <c r="I186" t="s">
        <v>392</v>
      </c>
      <c r="J186" t="s">
        <v>393</v>
      </c>
      <c r="K186" t="s">
        <v>82</v>
      </c>
      <c r="L186">
        <v>52050</v>
      </c>
      <c r="M186" t="s">
        <v>83</v>
      </c>
      <c r="T186">
        <v>1</v>
      </c>
      <c r="U186">
        <v>0</v>
      </c>
      <c r="V186">
        <v>0</v>
      </c>
      <c r="W186">
        <v>45025</v>
      </c>
    </row>
    <row r="187" spans="1:25" x14ac:dyDescent="0.25">
      <c r="A187" t="s">
        <v>366</v>
      </c>
      <c r="B187">
        <v>1</v>
      </c>
      <c r="C187" t="s">
        <v>258</v>
      </c>
      <c r="D187" t="s">
        <v>297</v>
      </c>
      <c r="E187" t="s">
        <v>260</v>
      </c>
      <c r="F187" t="s">
        <v>367</v>
      </c>
      <c r="G187" t="s">
        <v>394</v>
      </c>
      <c r="H187" t="s">
        <v>125</v>
      </c>
      <c r="I187" t="s">
        <v>395</v>
      </c>
      <c r="J187" t="s">
        <v>396</v>
      </c>
      <c r="K187" t="s">
        <v>82</v>
      </c>
      <c r="L187">
        <v>38000</v>
      </c>
      <c r="M187" t="s">
        <v>83</v>
      </c>
      <c r="N187">
        <v>45025</v>
      </c>
      <c r="U187">
        <v>0</v>
      </c>
      <c r="V187">
        <v>0</v>
      </c>
      <c r="W187">
        <v>45025</v>
      </c>
      <c r="X187">
        <v>38000</v>
      </c>
      <c r="Y187">
        <v>38000</v>
      </c>
    </row>
    <row r="188" spans="1:25" x14ac:dyDescent="0.25">
      <c r="A188" t="s">
        <v>366</v>
      </c>
      <c r="B188">
        <v>0</v>
      </c>
      <c r="C188" t="s">
        <v>258</v>
      </c>
      <c r="D188" t="s">
        <v>297</v>
      </c>
      <c r="E188" t="s">
        <v>260</v>
      </c>
      <c r="F188" t="s">
        <v>367</v>
      </c>
      <c r="G188" t="s">
        <v>84</v>
      </c>
      <c r="H188" t="s">
        <v>185</v>
      </c>
      <c r="I188" t="s">
        <v>366</v>
      </c>
      <c r="J188" t="s">
        <v>397</v>
      </c>
      <c r="K188" t="s">
        <v>82</v>
      </c>
      <c r="L188">
        <v>19693.75</v>
      </c>
      <c r="M188" t="s">
        <v>83</v>
      </c>
      <c r="T188">
        <v>1</v>
      </c>
      <c r="U188">
        <v>0</v>
      </c>
      <c r="V188">
        <v>0</v>
      </c>
      <c r="W188">
        <v>15807.516666666666</v>
      </c>
    </row>
    <row r="189" spans="1:25" x14ac:dyDescent="0.25">
      <c r="A189" t="s">
        <v>366</v>
      </c>
      <c r="B189">
        <v>1</v>
      </c>
      <c r="C189" t="s">
        <v>258</v>
      </c>
      <c r="D189" t="s">
        <v>297</v>
      </c>
      <c r="E189" t="s">
        <v>260</v>
      </c>
      <c r="F189" t="s">
        <v>367</v>
      </c>
      <c r="G189" t="s">
        <v>188</v>
      </c>
      <c r="H189" t="s">
        <v>185</v>
      </c>
      <c r="I189" t="s">
        <v>366</v>
      </c>
      <c r="J189" t="s">
        <v>398</v>
      </c>
      <c r="K189" t="s">
        <v>82</v>
      </c>
      <c r="L189">
        <v>13155.424999999999</v>
      </c>
      <c r="M189" t="s">
        <v>83</v>
      </c>
      <c r="N189">
        <v>15807.516670000001</v>
      </c>
      <c r="P189">
        <v>1</v>
      </c>
      <c r="T189">
        <v>1</v>
      </c>
      <c r="U189">
        <v>0</v>
      </c>
      <c r="V189">
        <v>0</v>
      </c>
      <c r="W189">
        <v>15807.516666666666</v>
      </c>
      <c r="X189">
        <v>13155.424999999999</v>
      </c>
      <c r="Y189">
        <v>13155.424999999999</v>
      </c>
    </row>
    <row r="190" spans="1:25" x14ac:dyDescent="0.25">
      <c r="A190" t="s">
        <v>366</v>
      </c>
      <c r="B190">
        <v>0</v>
      </c>
      <c r="C190" t="s">
        <v>258</v>
      </c>
      <c r="D190" t="s">
        <v>297</v>
      </c>
      <c r="E190" t="s">
        <v>260</v>
      </c>
      <c r="F190" t="s">
        <v>367</v>
      </c>
      <c r="G190" t="s">
        <v>84</v>
      </c>
      <c r="H190" t="s">
        <v>185</v>
      </c>
      <c r="I190" t="s">
        <v>366</v>
      </c>
      <c r="J190" t="s">
        <v>399</v>
      </c>
      <c r="K190" t="s">
        <v>82</v>
      </c>
      <c r="L190">
        <v>14573.375</v>
      </c>
      <c r="M190" t="s">
        <v>83</v>
      </c>
      <c r="U190">
        <v>0</v>
      </c>
      <c r="V190">
        <v>0</v>
      </c>
      <c r="W190">
        <v>15807.516666666666</v>
      </c>
    </row>
    <row r="191" spans="1:25" x14ac:dyDescent="0.25">
      <c r="A191" t="s">
        <v>400</v>
      </c>
      <c r="B191">
        <v>0</v>
      </c>
      <c r="C191" t="s">
        <v>258</v>
      </c>
      <c r="D191" t="s">
        <v>297</v>
      </c>
      <c r="E191" t="s">
        <v>260</v>
      </c>
      <c r="F191" t="s">
        <v>367</v>
      </c>
      <c r="G191" t="s">
        <v>84</v>
      </c>
      <c r="H191" t="s">
        <v>92</v>
      </c>
      <c r="I191" t="s">
        <v>221</v>
      </c>
      <c r="J191" t="s">
        <v>401</v>
      </c>
      <c r="K191" t="s">
        <v>82</v>
      </c>
      <c r="L191">
        <v>68240</v>
      </c>
      <c r="M191" t="s">
        <v>83</v>
      </c>
      <c r="U191">
        <v>0</v>
      </c>
      <c r="V191">
        <v>0</v>
      </c>
      <c r="W191">
        <v>42320</v>
      </c>
    </row>
    <row r="192" spans="1:25" x14ac:dyDescent="0.25">
      <c r="A192" t="s">
        <v>400</v>
      </c>
      <c r="B192">
        <v>1</v>
      </c>
      <c r="C192" t="s">
        <v>258</v>
      </c>
      <c r="D192" t="s">
        <v>297</v>
      </c>
      <c r="E192" t="s">
        <v>260</v>
      </c>
      <c r="F192" t="s">
        <v>367</v>
      </c>
      <c r="G192" t="s">
        <v>94</v>
      </c>
      <c r="H192" t="s">
        <v>92</v>
      </c>
      <c r="I192" t="s">
        <v>402</v>
      </c>
      <c r="J192" t="s">
        <v>343</v>
      </c>
      <c r="K192" t="s">
        <v>82</v>
      </c>
      <c r="L192">
        <v>28520</v>
      </c>
      <c r="M192" t="s">
        <v>83</v>
      </c>
      <c r="N192">
        <v>42320</v>
      </c>
      <c r="U192">
        <v>0</v>
      </c>
      <c r="V192">
        <v>0</v>
      </c>
      <c r="W192">
        <v>42320</v>
      </c>
      <c r="X192">
        <v>28520</v>
      </c>
      <c r="Y192">
        <v>28520</v>
      </c>
    </row>
    <row r="193" spans="1:25" x14ac:dyDescent="0.25">
      <c r="A193" t="s">
        <v>400</v>
      </c>
      <c r="B193">
        <v>0</v>
      </c>
      <c r="C193" t="s">
        <v>258</v>
      </c>
      <c r="D193" t="s">
        <v>297</v>
      </c>
      <c r="E193" t="s">
        <v>260</v>
      </c>
      <c r="F193" t="s">
        <v>367</v>
      </c>
      <c r="G193" t="s">
        <v>84</v>
      </c>
      <c r="H193" t="s">
        <v>92</v>
      </c>
      <c r="I193" t="s">
        <v>403</v>
      </c>
      <c r="J193" t="s">
        <v>404</v>
      </c>
      <c r="K193" t="s">
        <v>82</v>
      </c>
      <c r="L193">
        <v>30200</v>
      </c>
      <c r="M193" t="s">
        <v>83</v>
      </c>
      <c r="U193">
        <v>0</v>
      </c>
      <c r="V193">
        <v>0</v>
      </c>
      <c r="W193">
        <v>42320</v>
      </c>
    </row>
    <row r="194" spans="1:25" x14ac:dyDescent="0.25">
      <c r="A194" t="s">
        <v>400</v>
      </c>
      <c r="B194">
        <v>0</v>
      </c>
      <c r="C194" t="s">
        <v>258</v>
      </c>
      <c r="D194" t="s">
        <v>297</v>
      </c>
      <c r="E194" t="s">
        <v>260</v>
      </c>
      <c r="F194" t="s">
        <v>367</v>
      </c>
      <c r="G194" t="s">
        <v>84</v>
      </c>
      <c r="H194" t="s">
        <v>80</v>
      </c>
      <c r="I194" t="s">
        <v>400</v>
      </c>
      <c r="J194" t="s">
        <v>405</v>
      </c>
      <c r="K194" t="s">
        <v>82</v>
      </c>
      <c r="L194">
        <v>828919.11840000004</v>
      </c>
      <c r="M194" t="s">
        <v>83</v>
      </c>
      <c r="U194">
        <v>0</v>
      </c>
      <c r="V194">
        <v>0</v>
      </c>
      <c r="W194">
        <v>786422.47120000003</v>
      </c>
    </row>
    <row r="195" spans="1:25" x14ac:dyDescent="0.25">
      <c r="A195" t="s">
        <v>400</v>
      </c>
      <c r="B195">
        <v>1</v>
      </c>
      <c r="C195" t="s">
        <v>258</v>
      </c>
      <c r="D195" t="s">
        <v>297</v>
      </c>
      <c r="E195" t="s">
        <v>260</v>
      </c>
      <c r="F195" t="s">
        <v>367</v>
      </c>
      <c r="G195" t="s">
        <v>326</v>
      </c>
      <c r="H195" t="s">
        <v>80</v>
      </c>
      <c r="I195" t="s">
        <v>406</v>
      </c>
      <c r="J195" t="s">
        <v>407</v>
      </c>
      <c r="K195" t="s">
        <v>82</v>
      </c>
      <c r="L195">
        <v>743925.82400000002</v>
      </c>
      <c r="M195" t="s">
        <v>83</v>
      </c>
      <c r="N195">
        <v>786422.47120000003</v>
      </c>
      <c r="T195">
        <v>1</v>
      </c>
      <c r="U195">
        <v>0</v>
      </c>
      <c r="V195">
        <v>0</v>
      </c>
      <c r="W195">
        <v>786422.47120000003</v>
      </c>
      <c r="X195">
        <v>743925.82400000002</v>
      </c>
      <c r="Y195">
        <v>743925.82400000002</v>
      </c>
    </row>
    <row r="196" spans="1:25" x14ac:dyDescent="0.25">
      <c r="A196" t="s">
        <v>400</v>
      </c>
      <c r="B196">
        <v>0</v>
      </c>
      <c r="C196" t="s">
        <v>258</v>
      </c>
      <c r="D196" t="s">
        <v>297</v>
      </c>
      <c r="E196" t="s">
        <v>260</v>
      </c>
      <c r="F196" t="s">
        <v>367</v>
      </c>
      <c r="G196" t="s">
        <v>84</v>
      </c>
      <c r="H196" t="s">
        <v>106</v>
      </c>
      <c r="I196" t="s">
        <v>400</v>
      </c>
      <c r="J196" t="s">
        <v>408</v>
      </c>
      <c r="K196" t="s">
        <v>82</v>
      </c>
      <c r="L196">
        <v>12273.145</v>
      </c>
      <c r="M196" t="s">
        <v>83</v>
      </c>
      <c r="U196">
        <v>0</v>
      </c>
      <c r="V196">
        <v>0</v>
      </c>
      <c r="W196">
        <v>8015.3562500000007</v>
      </c>
    </row>
    <row r="197" spans="1:25" x14ac:dyDescent="0.25">
      <c r="A197" t="s">
        <v>400</v>
      </c>
      <c r="B197">
        <v>1</v>
      </c>
      <c r="C197" t="s">
        <v>258</v>
      </c>
      <c r="D197" t="s">
        <v>297</v>
      </c>
      <c r="E197" t="s">
        <v>260</v>
      </c>
      <c r="F197" t="s">
        <v>367</v>
      </c>
      <c r="G197" t="s">
        <v>326</v>
      </c>
      <c r="H197" t="s">
        <v>106</v>
      </c>
      <c r="I197" t="s">
        <v>406</v>
      </c>
      <c r="J197" t="s">
        <v>409</v>
      </c>
      <c r="K197" t="s">
        <v>82</v>
      </c>
      <c r="L197">
        <v>3757.5675000000001</v>
      </c>
      <c r="M197" t="s">
        <v>83</v>
      </c>
      <c r="N197">
        <v>8015.3562499999998</v>
      </c>
      <c r="T197">
        <v>1</v>
      </c>
      <c r="U197">
        <v>0</v>
      </c>
      <c r="V197">
        <v>0</v>
      </c>
      <c r="W197">
        <v>8015.3562500000007</v>
      </c>
      <c r="X197">
        <v>3757.5675000000001</v>
      </c>
      <c r="Y197">
        <v>3757.5675000000001</v>
      </c>
    </row>
    <row r="198" spans="1:25" x14ac:dyDescent="0.25">
      <c r="A198" t="s">
        <v>400</v>
      </c>
      <c r="B198">
        <v>0</v>
      </c>
      <c r="C198" t="s">
        <v>258</v>
      </c>
      <c r="D198" t="s">
        <v>297</v>
      </c>
      <c r="E198" t="s">
        <v>260</v>
      </c>
      <c r="F198" t="s">
        <v>367</v>
      </c>
      <c r="G198" t="s">
        <v>84</v>
      </c>
      <c r="H198" t="s">
        <v>110</v>
      </c>
      <c r="I198" t="s">
        <v>400</v>
      </c>
      <c r="J198" t="s">
        <v>410</v>
      </c>
      <c r="K198" t="s">
        <v>82</v>
      </c>
      <c r="L198">
        <v>17766</v>
      </c>
      <c r="M198" t="s">
        <v>83</v>
      </c>
      <c r="U198">
        <v>0</v>
      </c>
      <c r="V198">
        <v>0</v>
      </c>
      <c r="W198">
        <v>15561</v>
      </c>
    </row>
    <row r="199" spans="1:25" x14ac:dyDescent="0.25">
      <c r="A199" t="s">
        <v>400</v>
      </c>
      <c r="B199">
        <v>1</v>
      </c>
      <c r="C199" t="s">
        <v>258</v>
      </c>
      <c r="D199" t="s">
        <v>297</v>
      </c>
      <c r="E199" t="s">
        <v>260</v>
      </c>
      <c r="F199" t="s">
        <v>367</v>
      </c>
      <c r="G199" t="s">
        <v>326</v>
      </c>
      <c r="H199" t="s">
        <v>110</v>
      </c>
      <c r="I199" t="s">
        <v>406</v>
      </c>
      <c r="J199" t="s">
        <v>411</v>
      </c>
      <c r="K199" t="s">
        <v>82</v>
      </c>
      <c r="L199">
        <v>13356</v>
      </c>
      <c r="M199" t="s">
        <v>83</v>
      </c>
      <c r="N199">
        <v>15561</v>
      </c>
      <c r="T199">
        <v>1</v>
      </c>
      <c r="U199">
        <v>0</v>
      </c>
      <c r="V199">
        <v>0</v>
      </c>
      <c r="W199">
        <v>15561</v>
      </c>
      <c r="X199">
        <v>13356</v>
      </c>
      <c r="Y199">
        <v>13356</v>
      </c>
    </row>
    <row r="200" spans="1:25" x14ac:dyDescent="0.25">
      <c r="A200" t="s">
        <v>400</v>
      </c>
      <c r="B200">
        <v>0</v>
      </c>
      <c r="C200" t="s">
        <v>258</v>
      </c>
      <c r="D200" t="s">
        <v>297</v>
      </c>
      <c r="E200" t="s">
        <v>260</v>
      </c>
      <c r="F200" t="s">
        <v>367</v>
      </c>
      <c r="G200" t="s">
        <v>84</v>
      </c>
      <c r="H200" t="s">
        <v>87</v>
      </c>
      <c r="I200" t="s">
        <v>400</v>
      </c>
      <c r="J200" t="s">
        <v>412</v>
      </c>
      <c r="K200" t="s">
        <v>82</v>
      </c>
      <c r="L200">
        <v>111646.15</v>
      </c>
      <c r="M200" t="s">
        <v>83</v>
      </c>
      <c r="U200">
        <v>0</v>
      </c>
      <c r="V200">
        <v>0</v>
      </c>
      <c r="W200">
        <v>131253.17914999998</v>
      </c>
    </row>
    <row r="201" spans="1:25" x14ac:dyDescent="0.25">
      <c r="A201" t="s">
        <v>400</v>
      </c>
      <c r="B201">
        <v>1</v>
      </c>
      <c r="C201" t="s">
        <v>258</v>
      </c>
      <c r="D201" t="s">
        <v>297</v>
      </c>
      <c r="E201" t="s">
        <v>260</v>
      </c>
      <c r="F201" t="s">
        <v>367</v>
      </c>
      <c r="G201" t="s">
        <v>413</v>
      </c>
      <c r="H201" t="s">
        <v>87</v>
      </c>
      <c r="I201" t="s">
        <v>414</v>
      </c>
      <c r="J201" t="s">
        <v>415</v>
      </c>
      <c r="K201" t="s">
        <v>82</v>
      </c>
      <c r="L201">
        <v>150860.2083</v>
      </c>
      <c r="M201" t="s">
        <v>83</v>
      </c>
      <c r="N201">
        <v>131253.17920000001</v>
      </c>
      <c r="U201">
        <v>0</v>
      </c>
      <c r="V201">
        <v>0</v>
      </c>
      <c r="W201">
        <v>131253.17914999998</v>
      </c>
      <c r="X201">
        <v>150860.2083</v>
      </c>
      <c r="Y201">
        <v>150860.2083</v>
      </c>
    </row>
    <row r="202" spans="1:25" x14ac:dyDescent="0.25">
      <c r="A202" t="s">
        <v>400</v>
      </c>
      <c r="B202">
        <v>0</v>
      </c>
      <c r="C202" t="s">
        <v>258</v>
      </c>
      <c r="D202" t="s">
        <v>297</v>
      </c>
      <c r="E202" t="s">
        <v>260</v>
      </c>
      <c r="F202" t="s">
        <v>367</v>
      </c>
      <c r="G202" t="s">
        <v>84</v>
      </c>
      <c r="H202" t="s">
        <v>98</v>
      </c>
      <c r="I202" t="s">
        <v>416</v>
      </c>
      <c r="J202" t="s">
        <v>417</v>
      </c>
      <c r="K202" t="s">
        <v>82</v>
      </c>
      <c r="L202">
        <v>37350</v>
      </c>
      <c r="M202" t="s">
        <v>83</v>
      </c>
      <c r="R202">
        <v>1</v>
      </c>
      <c r="U202">
        <v>0</v>
      </c>
      <c r="V202">
        <v>0</v>
      </c>
      <c r="W202">
        <v>36783.333333333336</v>
      </c>
    </row>
    <row r="203" spans="1:25" x14ac:dyDescent="0.25">
      <c r="A203" t="s">
        <v>400</v>
      </c>
      <c r="B203">
        <v>1</v>
      </c>
      <c r="C203" t="s">
        <v>258</v>
      </c>
      <c r="D203" t="s">
        <v>297</v>
      </c>
      <c r="E203" t="s">
        <v>260</v>
      </c>
      <c r="F203" t="s">
        <v>367</v>
      </c>
      <c r="G203" t="s">
        <v>238</v>
      </c>
      <c r="H203" t="s">
        <v>98</v>
      </c>
      <c r="I203" t="s">
        <v>418</v>
      </c>
      <c r="J203" t="s">
        <v>419</v>
      </c>
      <c r="K203" t="s">
        <v>82</v>
      </c>
      <c r="L203">
        <v>47650</v>
      </c>
      <c r="M203" t="s">
        <v>83</v>
      </c>
      <c r="N203">
        <v>36783.333330000001</v>
      </c>
      <c r="Q203">
        <v>1</v>
      </c>
      <c r="R203">
        <v>1</v>
      </c>
      <c r="U203">
        <v>0</v>
      </c>
      <c r="V203">
        <v>0</v>
      </c>
      <c r="W203">
        <v>36783.333333333336</v>
      </c>
      <c r="X203">
        <v>47650</v>
      </c>
      <c r="Y203">
        <v>47650</v>
      </c>
    </row>
    <row r="204" spans="1:25" x14ac:dyDescent="0.25">
      <c r="A204" t="s">
        <v>400</v>
      </c>
      <c r="B204">
        <v>0</v>
      </c>
      <c r="C204" t="s">
        <v>258</v>
      </c>
      <c r="D204" t="s">
        <v>297</v>
      </c>
      <c r="E204" t="s">
        <v>260</v>
      </c>
      <c r="F204" t="s">
        <v>367</v>
      </c>
      <c r="G204" t="s">
        <v>84</v>
      </c>
      <c r="H204" t="s">
        <v>98</v>
      </c>
      <c r="I204" t="s">
        <v>420</v>
      </c>
      <c r="J204" t="s">
        <v>421</v>
      </c>
      <c r="K204" t="s">
        <v>82</v>
      </c>
      <c r="L204">
        <v>25350</v>
      </c>
      <c r="M204" t="s">
        <v>83</v>
      </c>
      <c r="Q204">
        <v>1</v>
      </c>
      <c r="S204">
        <v>1</v>
      </c>
      <c r="U204">
        <v>0</v>
      </c>
      <c r="V204">
        <v>0</v>
      </c>
      <c r="W204">
        <v>36783.333333333336</v>
      </c>
    </row>
    <row r="205" spans="1:25" x14ac:dyDescent="0.25">
      <c r="A205" t="s">
        <v>422</v>
      </c>
      <c r="B205">
        <v>0</v>
      </c>
      <c r="C205" t="s">
        <v>258</v>
      </c>
      <c r="D205" t="s">
        <v>423</v>
      </c>
      <c r="E205" t="s">
        <v>260</v>
      </c>
      <c r="F205" t="s">
        <v>261</v>
      </c>
      <c r="G205" t="s">
        <v>84</v>
      </c>
      <c r="H205" t="s">
        <v>92</v>
      </c>
      <c r="I205" t="s">
        <v>424</v>
      </c>
      <c r="J205" t="s">
        <v>425</v>
      </c>
      <c r="K205" t="s">
        <v>82</v>
      </c>
      <c r="L205">
        <v>25640</v>
      </c>
      <c r="M205" t="s">
        <v>83</v>
      </c>
      <c r="P205">
        <v>1</v>
      </c>
      <c r="Q205">
        <v>1</v>
      </c>
      <c r="T205">
        <v>1</v>
      </c>
      <c r="U205">
        <v>0</v>
      </c>
      <c r="V205">
        <v>0</v>
      </c>
      <c r="W205">
        <v>26493.333333333332</v>
      </c>
    </row>
    <row r="206" spans="1:25" x14ac:dyDescent="0.25">
      <c r="A206" t="s">
        <v>422</v>
      </c>
      <c r="B206">
        <v>0</v>
      </c>
      <c r="C206" t="s">
        <v>258</v>
      </c>
      <c r="D206" t="s">
        <v>423</v>
      </c>
      <c r="E206" t="s">
        <v>260</v>
      </c>
      <c r="F206" t="s">
        <v>261</v>
      </c>
      <c r="G206" t="s">
        <v>84</v>
      </c>
      <c r="H206" t="s">
        <v>92</v>
      </c>
      <c r="I206" t="s">
        <v>426</v>
      </c>
      <c r="J206" t="s">
        <v>303</v>
      </c>
      <c r="K206" t="s">
        <v>82</v>
      </c>
      <c r="L206">
        <v>31420</v>
      </c>
      <c r="M206" t="s">
        <v>83</v>
      </c>
      <c r="U206">
        <v>0</v>
      </c>
      <c r="V206">
        <v>0</v>
      </c>
      <c r="W206">
        <v>26493.333333333332</v>
      </c>
    </row>
    <row r="207" spans="1:25" x14ac:dyDescent="0.25">
      <c r="A207" t="s">
        <v>422</v>
      </c>
      <c r="B207">
        <v>1</v>
      </c>
      <c r="C207" t="s">
        <v>258</v>
      </c>
      <c r="D207" t="s">
        <v>423</v>
      </c>
      <c r="E207" t="s">
        <v>260</v>
      </c>
      <c r="F207" t="s">
        <v>261</v>
      </c>
      <c r="G207" t="s">
        <v>94</v>
      </c>
      <c r="H207" t="s">
        <v>92</v>
      </c>
      <c r="I207" t="s">
        <v>427</v>
      </c>
      <c r="J207" t="s">
        <v>343</v>
      </c>
      <c r="K207" t="s">
        <v>82</v>
      </c>
      <c r="L207">
        <v>22420</v>
      </c>
      <c r="M207" t="s">
        <v>83</v>
      </c>
      <c r="N207">
        <v>26493.333330000001</v>
      </c>
      <c r="U207">
        <v>0</v>
      </c>
      <c r="V207">
        <v>0</v>
      </c>
      <c r="W207">
        <v>26493.333333333332</v>
      </c>
      <c r="X207">
        <v>22420</v>
      </c>
      <c r="Y207">
        <v>22420</v>
      </c>
    </row>
    <row r="208" spans="1:25" x14ac:dyDescent="0.25">
      <c r="A208" t="s">
        <v>422</v>
      </c>
      <c r="B208">
        <v>0</v>
      </c>
      <c r="C208" t="s">
        <v>258</v>
      </c>
      <c r="D208" t="s">
        <v>423</v>
      </c>
      <c r="E208" t="s">
        <v>260</v>
      </c>
      <c r="F208" t="s">
        <v>261</v>
      </c>
      <c r="G208" t="s">
        <v>84</v>
      </c>
      <c r="H208" t="s">
        <v>125</v>
      </c>
      <c r="I208" t="s">
        <v>428</v>
      </c>
      <c r="J208" t="s">
        <v>429</v>
      </c>
      <c r="K208" t="s">
        <v>82</v>
      </c>
      <c r="L208">
        <v>41950</v>
      </c>
      <c r="M208" t="s">
        <v>83</v>
      </c>
      <c r="U208">
        <v>0</v>
      </c>
      <c r="V208">
        <v>0</v>
      </c>
      <c r="W208">
        <v>33925</v>
      </c>
    </row>
    <row r="209" spans="1:25" x14ac:dyDescent="0.25">
      <c r="A209" t="s">
        <v>422</v>
      </c>
      <c r="B209">
        <v>1</v>
      </c>
      <c r="C209" t="s">
        <v>258</v>
      </c>
      <c r="D209" t="s">
        <v>423</v>
      </c>
      <c r="E209" t="s">
        <v>260</v>
      </c>
      <c r="F209" t="s">
        <v>261</v>
      </c>
      <c r="G209" t="s">
        <v>140</v>
      </c>
      <c r="H209" t="s">
        <v>125</v>
      </c>
      <c r="I209" t="s">
        <v>430</v>
      </c>
      <c r="J209" t="s">
        <v>431</v>
      </c>
      <c r="K209" t="s">
        <v>82</v>
      </c>
      <c r="L209">
        <v>25900</v>
      </c>
      <c r="M209" t="s">
        <v>83</v>
      </c>
      <c r="N209">
        <v>33925</v>
      </c>
      <c r="T209">
        <v>1</v>
      </c>
      <c r="U209">
        <v>0</v>
      </c>
      <c r="V209">
        <v>0</v>
      </c>
      <c r="W209">
        <v>33925</v>
      </c>
      <c r="X209">
        <v>25900</v>
      </c>
      <c r="Y209">
        <v>25900</v>
      </c>
    </row>
    <row r="210" spans="1:25" x14ac:dyDescent="0.25">
      <c r="A210" t="s">
        <v>422</v>
      </c>
      <c r="B210">
        <v>0</v>
      </c>
      <c r="C210" t="s">
        <v>258</v>
      </c>
      <c r="D210" t="s">
        <v>423</v>
      </c>
      <c r="E210" t="s">
        <v>260</v>
      </c>
      <c r="F210" t="s">
        <v>261</v>
      </c>
      <c r="G210" t="s">
        <v>84</v>
      </c>
      <c r="H210" t="s">
        <v>121</v>
      </c>
      <c r="I210" t="s">
        <v>432</v>
      </c>
      <c r="J210" t="s">
        <v>433</v>
      </c>
      <c r="K210" t="s">
        <v>82</v>
      </c>
      <c r="L210">
        <v>175300.40669999999</v>
      </c>
      <c r="M210" t="s">
        <v>83</v>
      </c>
      <c r="U210">
        <v>0</v>
      </c>
      <c r="V210">
        <v>0</v>
      </c>
      <c r="W210">
        <v>169276.77456666666</v>
      </c>
    </row>
    <row r="211" spans="1:25" x14ac:dyDescent="0.25">
      <c r="A211" t="s">
        <v>422</v>
      </c>
      <c r="B211">
        <v>0</v>
      </c>
      <c r="C211" t="s">
        <v>258</v>
      </c>
      <c r="D211" t="s">
        <v>423</v>
      </c>
      <c r="E211" t="s">
        <v>260</v>
      </c>
      <c r="F211" t="s">
        <v>261</v>
      </c>
      <c r="G211" t="s">
        <v>84</v>
      </c>
      <c r="H211" t="s">
        <v>121</v>
      </c>
      <c r="I211" t="s">
        <v>434</v>
      </c>
      <c r="J211" t="s">
        <v>435</v>
      </c>
      <c r="K211" t="s">
        <v>82</v>
      </c>
      <c r="L211">
        <v>147033.4357</v>
      </c>
      <c r="M211" t="s">
        <v>83</v>
      </c>
      <c r="U211">
        <v>0</v>
      </c>
      <c r="V211">
        <v>0</v>
      </c>
      <c r="W211">
        <v>169276.77456666666</v>
      </c>
    </row>
    <row r="212" spans="1:25" x14ac:dyDescent="0.25">
      <c r="A212" t="s">
        <v>422</v>
      </c>
      <c r="B212">
        <v>1</v>
      </c>
      <c r="C212" t="s">
        <v>258</v>
      </c>
      <c r="D212" t="s">
        <v>423</v>
      </c>
      <c r="E212" t="s">
        <v>260</v>
      </c>
      <c r="F212" t="s">
        <v>261</v>
      </c>
      <c r="G212" t="s">
        <v>436</v>
      </c>
      <c r="H212" t="s">
        <v>121</v>
      </c>
      <c r="I212" t="s">
        <v>437</v>
      </c>
      <c r="J212" t="s">
        <v>438</v>
      </c>
      <c r="K212" t="s">
        <v>82</v>
      </c>
      <c r="L212">
        <v>185496.48130000001</v>
      </c>
      <c r="M212" t="s">
        <v>83</v>
      </c>
      <c r="N212">
        <v>169276.7746</v>
      </c>
      <c r="P212">
        <v>1</v>
      </c>
      <c r="U212">
        <v>0</v>
      </c>
      <c r="V212">
        <v>0</v>
      </c>
      <c r="W212">
        <v>169276.77456666666</v>
      </c>
      <c r="X212">
        <v>185496.48130000001</v>
      </c>
      <c r="Y212">
        <v>185496.48130000001</v>
      </c>
    </row>
    <row r="213" spans="1:25" x14ac:dyDescent="0.25">
      <c r="A213" t="s">
        <v>422</v>
      </c>
      <c r="B213">
        <v>0</v>
      </c>
      <c r="C213" t="s">
        <v>258</v>
      </c>
      <c r="D213" t="s">
        <v>423</v>
      </c>
      <c r="E213" t="s">
        <v>260</v>
      </c>
      <c r="F213" t="s">
        <v>261</v>
      </c>
      <c r="G213" t="s">
        <v>84</v>
      </c>
      <c r="H213" t="s">
        <v>151</v>
      </c>
      <c r="I213" t="s">
        <v>439</v>
      </c>
      <c r="J213" t="s">
        <v>440</v>
      </c>
      <c r="K213" t="s">
        <v>82</v>
      </c>
      <c r="L213">
        <v>131202.5</v>
      </c>
      <c r="M213" t="s">
        <v>83</v>
      </c>
      <c r="U213">
        <v>0</v>
      </c>
      <c r="V213">
        <v>0</v>
      </c>
      <c r="W213">
        <v>116983.75</v>
      </c>
    </row>
    <row r="214" spans="1:25" x14ac:dyDescent="0.25">
      <c r="A214" t="s">
        <v>422</v>
      </c>
      <c r="B214">
        <v>1</v>
      </c>
      <c r="C214" t="s">
        <v>258</v>
      </c>
      <c r="D214" t="s">
        <v>423</v>
      </c>
      <c r="E214" t="s">
        <v>260</v>
      </c>
      <c r="F214" t="s">
        <v>261</v>
      </c>
      <c r="G214" t="s">
        <v>441</v>
      </c>
      <c r="H214" t="s">
        <v>151</v>
      </c>
      <c r="I214" t="s">
        <v>422</v>
      </c>
      <c r="J214" t="s">
        <v>442</v>
      </c>
      <c r="K214" t="s">
        <v>82</v>
      </c>
      <c r="L214">
        <v>102765</v>
      </c>
      <c r="M214" t="s">
        <v>83</v>
      </c>
      <c r="N214">
        <v>116983.75</v>
      </c>
      <c r="U214">
        <v>0</v>
      </c>
      <c r="V214">
        <v>0</v>
      </c>
      <c r="W214">
        <v>116983.75</v>
      </c>
      <c r="X214">
        <v>102765</v>
      </c>
      <c r="Y214">
        <v>102765</v>
      </c>
    </row>
    <row r="215" spans="1:25" x14ac:dyDescent="0.25">
      <c r="A215" t="s">
        <v>422</v>
      </c>
      <c r="B215">
        <v>0</v>
      </c>
      <c r="C215" t="s">
        <v>258</v>
      </c>
      <c r="D215" t="s">
        <v>423</v>
      </c>
      <c r="E215" t="s">
        <v>260</v>
      </c>
      <c r="F215" t="s">
        <v>261</v>
      </c>
      <c r="G215" t="s">
        <v>84</v>
      </c>
      <c r="H215" t="s">
        <v>80</v>
      </c>
      <c r="I215" t="s">
        <v>422</v>
      </c>
      <c r="J215" t="s">
        <v>443</v>
      </c>
      <c r="K215" t="s">
        <v>82</v>
      </c>
      <c r="L215">
        <v>651508.09499999997</v>
      </c>
      <c r="M215" t="s">
        <v>83</v>
      </c>
      <c r="P215">
        <v>1</v>
      </c>
      <c r="T215">
        <v>1</v>
      </c>
      <c r="U215">
        <v>0</v>
      </c>
      <c r="V215">
        <v>0</v>
      </c>
      <c r="W215">
        <v>758314.41500000004</v>
      </c>
    </row>
    <row r="216" spans="1:25" x14ac:dyDescent="0.25">
      <c r="A216" t="s">
        <v>422</v>
      </c>
      <c r="B216">
        <v>1</v>
      </c>
      <c r="C216" t="s">
        <v>258</v>
      </c>
      <c r="D216" t="s">
        <v>423</v>
      </c>
      <c r="E216" t="s">
        <v>260</v>
      </c>
      <c r="F216" t="s">
        <v>261</v>
      </c>
      <c r="G216" t="s">
        <v>248</v>
      </c>
      <c r="H216" t="s">
        <v>80</v>
      </c>
      <c r="I216" t="s">
        <v>444</v>
      </c>
      <c r="J216" t="s">
        <v>445</v>
      </c>
      <c r="K216" t="s">
        <v>82</v>
      </c>
      <c r="L216">
        <v>746640.52500000002</v>
      </c>
      <c r="M216" t="s">
        <v>83</v>
      </c>
      <c r="N216">
        <v>758314.41500000004</v>
      </c>
      <c r="U216">
        <v>0</v>
      </c>
      <c r="V216">
        <v>0</v>
      </c>
      <c r="W216">
        <v>758314.41500000004</v>
      </c>
      <c r="X216">
        <v>746640.52500000002</v>
      </c>
      <c r="Y216">
        <v>746640.52500000002</v>
      </c>
    </row>
    <row r="217" spans="1:25" x14ac:dyDescent="0.25">
      <c r="A217" t="s">
        <v>422</v>
      </c>
      <c r="B217">
        <v>0</v>
      </c>
      <c r="C217" t="s">
        <v>258</v>
      </c>
      <c r="D217" t="s">
        <v>423</v>
      </c>
      <c r="E217" t="s">
        <v>260</v>
      </c>
      <c r="F217" t="s">
        <v>261</v>
      </c>
      <c r="G217" t="s">
        <v>84</v>
      </c>
      <c r="H217" t="s">
        <v>80</v>
      </c>
      <c r="I217" t="s">
        <v>444</v>
      </c>
      <c r="J217" t="s">
        <v>446</v>
      </c>
      <c r="K217" t="s">
        <v>82</v>
      </c>
      <c r="L217">
        <v>876794.625</v>
      </c>
      <c r="M217" t="s">
        <v>83</v>
      </c>
      <c r="P217">
        <v>1</v>
      </c>
      <c r="T217">
        <v>1</v>
      </c>
      <c r="U217">
        <v>0</v>
      </c>
      <c r="V217">
        <v>0</v>
      </c>
      <c r="W217">
        <v>758314.41500000004</v>
      </c>
    </row>
    <row r="218" spans="1:25" x14ac:dyDescent="0.25">
      <c r="A218" t="s">
        <v>422</v>
      </c>
      <c r="B218">
        <v>0</v>
      </c>
      <c r="C218" t="s">
        <v>258</v>
      </c>
      <c r="D218" t="s">
        <v>423</v>
      </c>
      <c r="E218" t="s">
        <v>260</v>
      </c>
      <c r="F218" t="s">
        <v>261</v>
      </c>
      <c r="G218" t="s">
        <v>84</v>
      </c>
      <c r="H218" t="s">
        <v>106</v>
      </c>
      <c r="I218" t="s">
        <v>422</v>
      </c>
      <c r="J218" t="s">
        <v>447</v>
      </c>
      <c r="K218" t="s">
        <v>82</v>
      </c>
      <c r="L218">
        <v>6207.47</v>
      </c>
      <c r="M218" t="s">
        <v>83</v>
      </c>
      <c r="P218">
        <v>1</v>
      </c>
      <c r="T218">
        <v>1</v>
      </c>
      <c r="U218">
        <v>0</v>
      </c>
      <c r="V218">
        <v>0</v>
      </c>
      <c r="W218">
        <v>4912.9341666666669</v>
      </c>
    </row>
    <row r="219" spans="1:25" x14ac:dyDescent="0.25">
      <c r="A219" t="s">
        <v>422</v>
      </c>
      <c r="B219">
        <v>1</v>
      </c>
      <c r="C219" t="s">
        <v>258</v>
      </c>
      <c r="D219" t="s">
        <v>423</v>
      </c>
      <c r="E219" t="s">
        <v>260</v>
      </c>
      <c r="F219" t="s">
        <v>261</v>
      </c>
      <c r="G219" t="s">
        <v>248</v>
      </c>
      <c r="H219" t="s">
        <v>106</v>
      </c>
      <c r="I219" t="s">
        <v>444</v>
      </c>
      <c r="J219" t="s">
        <v>448</v>
      </c>
      <c r="K219" t="s">
        <v>82</v>
      </c>
      <c r="L219">
        <v>5356.7</v>
      </c>
      <c r="M219" t="s">
        <v>83</v>
      </c>
      <c r="N219">
        <v>4912.9341670000003</v>
      </c>
      <c r="U219">
        <v>0</v>
      </c>
      <c r="V219">
        <v>0</v>
      </c>
      <c r="W219">
        <v>4912.9341666666669</v>
      </c>
      <c r="X219">
        <v>5356.7</v>
      </c>
      <c r="Y219">
        <v>5356.7</v>
      </c>
    </row>
    <row r="220" spans="1:25" x14ac:dyDescent="0.25">
      <c r="A220" t="s">
        <v>422</v>
      </c>
      <c r="B220">
        <v>0</v>
      </c>
      <c r="C220" t="s">
        <v>258</v>
      </c>
      <c r="D220" t="s">
        <v>423</v>
      </c>
      <c r="E220" t="s">
        <v>260</v>
      </c>
      <c r="F220" t="s">
        <v>261</v>
      </c>
      <c r="G220" t="s">
        <v>84</v>
      </c>
      <c r="H220" t="s">
        <v>106</v>
      </c>
      <c r="I220" t="s">
        <v>444</v>
      </c>
      <c r="J220" t="s">
        <v>449</v>
      </c>
      <c r="K220" t="s">
        <v>82</v>
      </c>
      <c r="L220">
        <v>3174.6325000000002</v>
      </c>
      <c r="M220" t="s">
        <v>83</v>
      </c>
      <c r="P220">
        <v>1</v>
      </c>
      <c r="T220">
        <v>1</v>
      </c>
      <c r="U220">
        <v>0</v>
      </c>
      <c r="V220">
        <v>0</v>
      </c>
      <c r="W220">
        <v>4912.9341666666669</v>
      </c>
    </row>
    <row r="221" spans="1:25" x14ac:dyDescent="0.25">
      <c r="A221" t="s">
        <v>422</v>
      </c>
      <c r="B221">
        <v>0</v>
      </c>
      <c r="C221" t="s">
        <v>258</v>
      </c>
      <c r="D221" t="s">
        <v>423</v>
      </c>
      <c r="E221" t="s">
        <v>260</v>
      </c>
      <c r="F221" t="s">
        <v>261</v>
      </c>
      <c r="G221" t="s">
        <v>84</v>
      </c>
      <c r="H221" t="s">
        <v>110</v>
      </c>
      <c r="I221" t="s">
        <v>422</v>
      </c>
      <c r="J221" t="s">
        <v>450</v>
      </c>
      <c r="K221" t="s">
        <v>82</v>
      </c>
      <c r="L221">
        <v>19592</v>
      </c>
      <c r="M221" t="s">
        <v>83</v>
      </c>
      <c r="P221">
        <v>1</v>
      </c>
      <c r="T221">
        <v>1</v>
      </c>
      <c r="U221">
        <v>0</v>
      </c>
      <c r="V221">
        <v>0</v>
      </c>
      <c r="W221">
        <v>14893</v>
      </c>
    </row>
    <row r="222" spans="1:25" x14ac:dyDescent="0.25">
      <c r="A222" t="s">
        <v>422</v>
      </c>
      <c r="B222">
        <v>1</v>
      </c>
      <c r="C222" t="s">
        <v>258</v>
      </c>
      <c r="D222" t="s">
        <v>423</v>
      </c>
      <c r="E222" t="s">
        <v>260</v>
      </c>
      <c r="F222" t="s">
        <v>261</v>
      </c>
      <c r="G222" t="s">
        <v>248</v>
      </c>
      <c r="H222" t="s">
        <v>110</v>
      </c>
      <c r="I222" t="s">
        <v>444</v>
      </c>
      <c r="J222" t="s">
        <v>451</v>
      </c>
      <c r="K222" t="s">
        <v>82</v>
      </c>
      <c r="L222">
        <v>8704</v>
      </c>
      <c r="M222" t="s">
        <v>83</v>
      </c>
      <c r="N222">
        <v>14893</v>
      </c>
      <c r="U222">
        <v>0</v>
      </c>
      <c r="V222">
        <v>0</v>
      </c>
      <c r="W222">
        <v>14893</v>
      </c>
      <c r="X222">
        <v>8704</v>
      </c>
      <c r="Y222">
        <v>8704</v>
      </c>
    </row>
    <row r="223" spans="1:25" x14ac:dyDescent="0.25">
      <c r="A223" t="s">
        <v>422</v>
      </c>
      <c r="B223">
        <v>0</v>
      </c>
      <c r="C223" t="s">
        <v>258</v>
      </c>
      <c r="D223" t="s">
        <v>423</v>
      </c>
      <c r="E223" t="s">
        <v>260</v>
      </c>
      <c r="F223" t="s">
        <v>261</v>
      </c>
      <c r="G223" t="s">
        <v>84</v>
      </c>
      <c r="H223" t="s">
        <v>110</v>
      </c>
      <c r="I223" t="s">
        <v>444</v>
      </c>
      <c r="J223" t="s">
        <v>452</v>
      </c>
      <c r="K223" t="s">
        <v>82</v>
      </c>
      <c r="L223">
        <v>16383</v>
      </c>
      <c r="M223" t="s">
        <v>83</v>
      </c>
      <c r="P223">
        <v>1</v>
      </c>
      <c r="T223">
        <v>1</v>
      </c>
      <c r="U223">
        <v>0</v>
      </c>
      <c r="V223">
        <v>0</v>
      </c>
      <c r="W223">
        <v>14893</v>
      </c>
    </row>
    <row r="224" spans="1:25" x14ac:dyDescent="0.25">
      <c r="A224" t="s">
        <v>422</v>
      </c>
      <c r="B224">
        <v>0</v>
      </c>
      <c r="C224" t="s">
        <v>258</v>
      </c>
      <c r="D224" t="s">
        <v>423</v>
      </c>
      <c r="E224" t="s">
        <v>260</v>
      </c>
      <c r="F224" t="s">
        <v>261</v>
      </c>
      <c r="G224" t="s">
        <v>84</v>
      </c>
      <c r="H224" t="s">
        <v>114</v>
      </c>
      <c r="I224" t="s">
        <v>432</v>
      </c>
      <c r="J224" t="s">
        <v>453</v>
      </c>
      <c r="K224" t="s">
        <v>82</v>
      </c>
      <c r="L224">
        <v>38700</v>
      </c>
      <c r="M224" t="s">
        <v>83</v>
      </c>
      <c r="U224">
        <v>0</v>
      </c>
      <c r="V224">
        <v>0</v>
      </c>
      <c r="W224">
        <v>47966.666666666664</v>
      </c>
    </row>
    <row r="225" spans="1:25" x14ac:dyDescent="0.25">
      <c r="A225" t="s">
        <v>422</v>
      </c>
      <c r="B225">
        <v>0</v>
      </c>
      <c r="C225" t="s">
        <v>258</v>
      </c>
      <c r="D225" t="s">
        <v>423</v>
      </c>
      <c r="E225" t="s">
        <v>260</v>
      </c>
      <c r="F225" t="s">
        <v>261</v>
      </c>
      <c r="G225" t="s">
        <v>84</v>
      </c>
      <c r="H225" t="s">
        <v>114</v>
      </c>
      <c r="I225" t="s">
        <v>434</v>
      </c>
      <c r="J225" t="s">
        <v>454</v>
      </c>
      <c r="K225" t="s">
        <v>82</v>
      </c>
      <c r="L225">
        <v>50000</v>
      </c>
      <c r="M225" t="s">
        <v>83</v>
      </c>
      <c r="U225">
        <v>0</v>
      </c>
      <c r="V225">
        <v>0</v>
      </c>
      <c r="W225">
        <v>47966.666666666664</v>
      </c>
    </row>
    <row r="226" spans="1:25" x14ac:dyDescent="0.25">
      <c r="A226" t="s">
        <v>422</v>
      </c>
      <c r="B226">
        <v>1</v>
      </c>
      <c r="C226" t="s">
        <v>258</v>
      </c>
      <c r="D226" t="s">
        <v>423</v>
      </c>
      <c r="E226" t="s">
        <v>260</v>
      </c>
      <c r="F226" t="s">
        <v>261</v>
      </c>
      <c r="G226" t="s">
        <v>436</v>
      </c>
      <c r="H226" t="s">
        <v>114</v>
      </c>
      <c r="I226" t="s">
        <v>437</v>
      </c>
      <c r="J226" t="s">
        <v>455</v>
      </c>
      <c r="K226" t="s">
        <v>82</v>
      </c>
      <c r="L226">
        <v>55200</v>
      </c>
      <c r="M226" t="s">
        <v>83</v>
      </c>
      <c r="N226">
        <v>47966.666669999999</v>
      </c>
      <c r="P226">
        <v>1</v>
      </c>
      <c r="U226">
        <v>0</v>
      </c>
      <c r="V226">
        <v>0</v>
      </c>
      <c r="W226">
        <v>47966.666666666664</v>
      </c>
      <c r="X226">
        <v>55200</v>
      </c>
      <c r="Y226">
        <v>55200</v>
      </c>
    </row>
    <row r="227" spans="1:25" x14ac:dyDescent="0.25">
      <c r="A227" t="s">
        <v>456</v>
      </c>
      <c r="B227">
        <v>0</v>
      </c>
      <c r="C227" t="s">
        <v>258</v>
      </c>
      <c r="D227" t="s">
        <v>423</v>
      </c>
      <c r="E227" t="s">
        <v>260</v>
      </c>
      <c r="F227" t="s">
        <v>261</v>
      </c>
      <c r="G227" t="s">
        <v>84</v>
      </c>
      <c r="H227" t="s">
        <v>92</v>
      </c>
      <c r="I227" t="s">
        <v>221</v>
      </c>
      <c r="J227" t="s">
        <v>457</v>
      </c>
      <c r="K227" t="s">
        <v>82</v>
      </c>
      <c r="L227">
        <v>24500</v>
      </c>
      <c r="M227" t="s">
        <v>83</v>
      </c>
      <c r="O227">
        <v>1</v>
      </c>
      <c r="P227">
        <v>1</v>
      </c>
      <c r="Q227">
        <v>1</v>
      </c>
      <c r="T227">
        <v>1</v>
      </c>
      <c r="U227">
        <v>24500</v>
      </c>
      <c r="V227">
        <v>0</v>
      </c>
      <c r="W227">
        <v>25766.666666666668</v>
      </c>
    </row>
    <row r="228" spans="1:25" x14ac:dyDescent="0.25">
      <c r="A228" t="s">
        <v>456</v>
      </c>
      <c r="B228">
        <v>1</v>
      </c>
      <c r="C228" t="s">
        <v>258</v>
      </c>
      <c r="D228" t="s">
        <v>423</v>
      </c>
      <c r="E228" t="s">
        <v>260</v>
      </c>
      <c r="F228" t="s">
        <v>261</v>
      </c>
      <c r="G228" t="s">
        <v>181</v>
      </c>
      <c r="H228" t="s">
        <v>92</v>
      </c>
      <c r="I228" t="s">
        <v>458</v>
      </c>
      <c r="J228" t="s">
        <v>181</v>
      </c>
      <c r="K228" t="s">
        <v>82</v>
      </c>
      <c r="L228">
        <v>20690</v>
      </c>
      <c r="M228" t="s">
        <v>83</v>
      </c>
      <c r="N228">
        <v>25766.666669999999</v>
      </c>
      <c r="O228">
        <v>1</v>
      </c>
      <c r="S228">
        <v>1</v>
      </c>
      <c r="T228">
        <v>1</v>
      </c>
      <c r="U228">
        <v>20690</v>
      </c>
      <c r="V228">
        <v>20690</v>
      </c>
      <c r="W228">
        <v>25766.666666666668</v>
      </c>
      <c r="X228">
        <v>20690</v>
      </c>
      <c r="Y228">
        <v>20690</v>
      </c>
    </row>
    <row r="229" spans="1:25" x14ac:dyDescent="0.25">
      <c r="A229" t="s">
        <v>456</v>
      </c>
      <c r="B229">
        <v>0</v>
      </c>
      <c r="C229" t="s">
        <v>258</v>
      </c>
      <c r="D229" t="s">
        <v>423</v>
      </c>
      <c r="E229" t="s">
        <v>260</v>
      </c>
      <c r="F229" t="s">
        <v>261</v>
      </c>
      <c r="G229" t="s">
        <v>84</v>
      </c>
      <c r="H229" t="s">
        <v>92</v>
      </c>
      <c r="I229" t="s">
        <v>459</v>
      </c>
      <c r="J229" t="s">
        <v>460</v>
      </c>
      <c r="K229" t="s">
        <v>82</v>
      </c>
      <c r="L229">
        <v>32110</v>
      </c>
      <c r="M229" t="s">
        <v>83</v>
      </c>
      <c r="U229">
        <v>0</v>
      </c>
      <c r="V229">
        <v>0</v>
      </c>
      <c r="W229">
        <v>25766.666666666668</v>
      </c>
    </row>
    <row r="230" spans="1:25" x14ac:dyDescent="0.25">
      <c r="A230" t="s">
        <v>456</v>
      </c>
      <c r="B230">
        <v>0</v>
      </c>
      <c r="C230" t="s">
        <v>258</v>
      </c>
      <c r="D230" t="s">
        <v>423</v>
      </c>
      <c r="E230" t="s">
        <v>260</v>
      </c>
      <c r="F230" t="s">
        <v>261</v>
      </c>
      <c r="G230" t="s">
        <v>84</v>
      </c>
      <c r="H230" t="s">
        <v>80</v>
      </c>
      <c r="I230" t="s">
        <v>456</v>
      </c>
      <c r="J230" t="s">
        <v>461</v>
      </c>
      <c r="K230" t="s">
        <v>82</v>
      </c>
      <c r="L230">
        <v>783241.875</v>
      </c>
      <c r="M230" t="s">
        <v>83</v>
      </c>
      <c r="P230">
        <v>1</v>
      </c>
      <c r="T230">
        <v>1</v>
      </c>
      <c r="U230">
        <v>0</v>
      </c>
      <c r="V230">
        <v>0</v>
      </c>
      <c r="W230">
        <v>711043.51246666664</v>
      </c>
    </row>
    <row r="231" spans="1:25" x14ac:dyDescent="0.25">
      <c r="A231" t="s">
        <v>456</v>
      </c>
      <c r="B231">
        <v>1</v>
      </c>
      <c r="C231" t="s">
        <v>258</v>
      </c>
      <c r="D231" t="s">
        <v>423</v>
      </c>
      <c r="E231" t="s">
        <v>260</v>
      </c>
      <c r="F231" t="s">
        <v>261</v>
      </c>
      <c r="G231" t="s">
        <v>167</v>
      </c>
      <c r="H231" t="s">
        <v>80</v>
      </c>
      <c r="I231" t="s">
        <v>456</v>
      </c>
      <c r="J231" t="s">
        <v>462</v>
      </c>
      <c r="K231" t="s">
        <v>82</v>
      </c>
      <c r="L231">
        <v>613851.47239999997</v>
      </c>
      <c r="M231" t="s">
        <v>83</v>
      </c>
      <c r="N231">
        <v>711043.51249999995</v>
      </c>
      <c r="U231">
        <v>0</v>
      </c>
      <c r="V231">
        <v>0</v>
      </c>
      <c r="W231">
        <v>711043.51246666664</v>
      </c>
      <c r="X231">
        <v>613851.47239999997</v>
      </c>
      <c r="Y231">
        <v>613851.47239999997</v>
      </c>
    </row>
    <row r="232" spans="1:25" x14ac:dyDescent="0.25">
      <c r="A232" t="s">
        <v>456</v>
      </c>
      <c r="B232">
        <v>0</v>
      </c>
      <c r="C232" t="s">
        <v>258</v>
      </c>
      <c r="D232" t="s">
        <v>423</v>
      </c>
      <c r="E232" t="s">
        <v>260</v>
      </c>
      <c r="F232" t="s">
        <v>261</v>
      </c>
      <c r="G232" t="s">
        <v>84</v>
      </c>
      <c r="H232" t="s">
        <v>80</v>
      </c>
      <c r="I232" t="s">
        <v>456</v>
      </c>
      <c r="J232" t="s">
        <v>463</v>
      </c>
      <c r="K232" t="s">
        <v>82</v>
      </c>
      <c r="L232">
        <v>736037.19</v>
      </c>
      <c r="M232" t="s">
        <v>83</v>
      </c>
      <c r="S232">
        <v>1</v>
      </c>
      <c r="U232">
        <v>0</v>
      </c>
      <c r="V232">
        <v>0</v>
      </c>
      <c r="W232">
        <v>711043.51246666664</v>
      </c>
    </row>
    <row r="233" spans="1:25" x14ac:dyDescent="0.25">
      <c r="A233" t="s">
        <v>456</v>
      </c>
      <c r="B233">
        <v>0</v>
      </c>
      <c r="C233" t="s">
        <v>258</v>
      </c>
      <c r="D233" t="s">
        <v>423</v>
      </c>
      <c r="E233" t="s">
        <v>260</v>
      </c>
      <c r="F233" t="s">
        <v>261</v>
      </c>
      <c r="G233" t="s">
        <v>84</v>
      </c>
      <c r="H233" t="s">
        <v>106</v>
      </c>
      <c r="I233" t="s">
        <v>456</v>
      </c>
      <c r="J233" t="s">
        <v>464</v>
      </c>
      <c r="K233" t="s">
        <v>82</v>
      </c>
      <c r="L233">
        <v>3883.6075000000001</v>
      </c>
      <c r="M233" t="s">
        <v>83</v>
      </c>
      <c r="P233">
        <v>1</v>
      </c>
      <c r="T233">
        <v>1</v>
      </c>
      <c r="U233">
        <v>0</v>
      </c>
      <c r="V233">
        <v>0</v>
      </c>
      <c r="W233">
        <v>5621.9091666666673</v>
      </c>
    </row>
    <row r="234" spans="1:25" x14ac:dyDescent="0.25">
      <c r="A234" t="s">
        <v>456</v>
      </c>
      <c r="B234">
        <v>1</v>
      </c>
      <c r="C234" t="s">
        <v>258</v>
      </c>
      <c r="D234" t="s">
        <v>423</v>
      </c>
      <c r="E234" t="s">
        <v>260</v>
      </c>
      <c r="F234" t="s">
        <v>261</v>
      </c>
      <c r="G234" t="s">
        <v>167</v>
      </c>
      <c r="H234" t="s">
        <v>106</v>
      </c>
      <c r="I234" t="s">
        <v>456</v>
      </c>
      <c r="J234" t="s">
        <v>465</v>
      </c>
      <c r="K234" t="s">
        <v>82</v>
      </c>
      <c r="L234">
        <v>7207.9125000000004</v>
      </c>
      <c r="M234" t="s">
        <v>83</v>
      </c>
      <c r="N234">
        <v>5621.9091669999998</v>
      </c>
      <c r="U234">
        <v>0</v>
      </c>
      <c r="V234">
        <v>0</v>
      </c>
      <c r="W234">
        <v>5621.9091666666673</v>
      </c>
      <c r="X234">
        <v>7207.9125000000004</v>
      </c>
      <c r="Y234">
        <v>7207.9125000000004</v>
      </c>
    </row>
    <row r="235" spans="1:25" x14ac:dyDescent="0.25">
      <c r="A235" t="s">
        <v>456</v>
      </c>
      <c r="B235">
        <v>0</v>
      </c>
      <c r="C235" t="s">
        <v>258</v>
      </c>
      <c r="D235" t="s">
        <v>423</v>
      </c>
      <c r="E235" t="s">
        <v>260</v>
      </c>
      <c r="F235" t="s">
        <v>261</v>
      </c>
      <c r="G235" t="s">
        <v>84</v>
      </c>
      <c r="H235" t="s">
        <v>106</v>
      </c>
      <c r="I235" t="s">
        <v>456</v>
      </c>
      <c r="J235" t="s">
        <v>466</v>
      </c>
      <c r="K235" t="s">
        <v>82</v>
      </c>
      <c r="L235">
        <v>5774.2075000000004</v>
      </c>
      <c r="M235" t="s">
        <v>83</v>
      </c>
      <c r="S235">
        <v>1</v>
      </c>
      <c r="U235">
        <v>0</v>
      </c>
      <c r="V235">
        <v>0</v>
      </c>
      <c r="W235">
        <v>5621.9091666666673</v>
      </c>
    </row>
    <row r="236" spans="1:25" x14ac:dyDescent="0.25">
      <c r="A236" t="s">
        <v>456</v>
      </c>
      <c r="B236">
        <v>0</v>
      </c>
      <c r="C236" t="s">
        <v>258</v>
      </c>
      <c r="D236" t="s">
        <v>423</v>
      </c>
      <c r="E236" t="s">
        <v>260</v>
      </c>
      <c r="F236" t="s">
        <v>261</v>
      </c>
      <c r="G236" t="s">
        <v>84</v>
      </c>
      <c r="H236" t="s">
        <v>110</v>
      </c>
      <c r="I236" t="s">
        <v>456</v>
      </c>
      <c r="J236" t="s">
        <v>467</v>
      </c>
      <c r="K236" t="s">
        <v>82</v>
      </c>
      <c r="L236">
        <v>9271</v>
      </c>
      <c r="M236" t="s">
        <v>83</v>
      </c>
      <c r="P236">
        <v>1</v>
      </c>
      <c r="T236">
        <v>1</v>
      </c>
      <c r="U236">
        <v>0</v>
      </c>
      <c r="V236">
        <v>0</v>
      </c>
      <c r="W236">
        <v>16903.666666666668</v>
      </c>
    </row>
    <row r="237" spans="1:25" x14ac:dyDescent="0.25">
      <c r="A237" t="s">
        <v>456</v>
      </c>
      <c r="B237">
        <v>1</v>
      </c>
      <c r="C237" t="s">
        <v>258</v>
      </c>
      <c r="D237" t="s">
        <v>423</v>
      </c>
      <c r="E237" t="s">
        <v>260</v>
      </c>
      <c r="F237" t="s">
        <v>261</v>
      </c>
      <c r="G237" t="s">
        <v>167</v>
      </c>
      <c r="H237" t="s">
        <v>110</v>
      </c>
      <c r="I237" t="s">
        <v>456</v>
      </c>
      <c r="J237" t="s">
        <v>468</v>
      </c>
      <c r="K237" t="s">
        <v>82</v>
      </c>
      <c r="L237">
        <v>20320</v>
      </c>
      <c r="M237" t="s">
        <v>83</v>
      </c>
      <c r="N237">
        <v>16903.666669999999</v>
      </c>
      <c r="U237">
        <v>0</v>
      </c>
      <c r="V237">
        <v>0</v>
      </c>
      <c r="W237">
        <v>16903.666666666668</v>
      </c>
      <c r="X237">
        <v>20320</v>
      </c>
      <c r="Y237">
        <v>20320</v>
      </c>
    </row>
    <row r="238" spans="1:25" x14ac:dyDescent="0.25">
      <c r="A238" t="s">
        <v>456</v>
      </c>
      <c r="B238">
        <v>0</v>
      </c>
      <c r="C238" t="s">
        <v>258</v>
      </c>
      <c r="D238" t="s">
        <v>423</v>
      </c>
      <c r="E238" t="s">
        <v>260</v>
      </c>
      <c r="F238" t="s">
        <v>261</v>
      </c>
      <c r="G238" t="s">
        <v>84</v>
      </c>
      <c r="H238" t="s">
        <v>110</v>
      </c>
      <c r="I238" t="s">
        <v>456</v>
      </c>
      <c r="J238" t="s">
        <v>469</v>
      </c>
      <c r="K238" t="s">
        <v>82</v>
      </c>
      <c r="L238">
        <v>21120</v>
      </c>
      <c r="M238" t="s">
        <v>83</v>
      </c>
      <c r="S238">
        <v>1</v>
      </c>
      <c r="U238">
        <v>0</v>
      </c>
      <c r="V238">
        <v>0</v>
      </c>
      <c r="W238">
        <v>16903.666666666668</v>
      </c>
    </row>
    <row r="239" spans="1:25" x14ac:dyDescent="0.25">
      <c r="A239" t="s">
        <v>456</v>
      </c>
      <c r="B239">
        <v>0</v>
      </c>
      <c r="C239" t="s">
        <v>258</v>
      </c>
      <c r="D239" t="s">
        <v>423</v>
      </c>
      <c r="E239" t="s">
        <v>260</v>
      </c>
      <c r="F239" t="s">
        <v>261</v>
      </c>
      <c r="G239" t="s">
        <v>84</v>
      </c>
      <c r="H239" t="s">
        <v>87</v>
      </c>
      <c r="I239" t="s">
        <v>456</v>
      </c>
      <c r="J239" t="s">
        <v>470</v>
      </c>
      <c r="K239" t="s">
        <v>82</v>
      </c>
      <c r="L239">
        <v>115561.25</v>
      </c>
      <c r="M239" t="s">
        <v>83</v>
      </c>
      <c r="T239">
        <v>1</v>
      </c>
      <c r="U239">
        <v>0</v>
      </c>
      <c r="V239">
        <v>0</v>
      </c>
      <c r="W239">
        <v>147026.44443333332</v>
      </c>
    </row>
    <row r="240" spans="1:25" x14ac:dyDescent="0.25">
      <c r="A240" t="s">
        <v>456</v>
      </c>
      <c r="B240">
        <v>1</v>
      </c>
      <c r="C240" t="s">
        <v>258</v>
      </c>
      <c r="D240" t="s">
        <v>423</v>
      </c>
      <c r="E240" t="s">
        <v>260</v>
      </c>
      <c r="F240" t="s">
        <v>261</v>
      </c>
      <c r="G240" t="s">
        <v>316</v>
      </c>
      <c r="H240" t="s">
        <v>87</v>
      </c>
      <c r="I240" t="s">
        <v>456</v>
      </c>
      <c r="J240" t="s">
        <v>471</v>
      </c>
      <c r="K240" t="s">
        <v>82</v>
      </c>
      <c r="L240">
        <v>173646.2</v>
      </c>
      <c r="M240" t="s">
        <v>83</v>
      </c>
      <c r="N240">
        <v>147026.44440000001</v>
      </c>
      <c r="Q240">
        <v>1</v>
      </c>
      <c r="U240">
        <v>0</v>
      </c>
      <c r="V240">
        <v>0</v>
      </c>
      <c r="W240">
        <v>147026.44443333332</v>
      </c>
      <c r="X240">
        <v>173646.2</v>
      </c>
      <c r="Y240">
        <v>173646.2</v>
      </c>
    </row>
    <row r="241" spans="1:25" x14ac:dyDescent="0.25">
      <c r="A241" t="s">
        <v>456</v>
      </c>
      <c r="B241">
        <v>0</v>
      </c>
      <c r="C241" t="s">
        <v>258</v>
      </c>
      <c r="D241" t="s">
        <v>423</v>
      </c>
      <c r="E241" t="s">
        <v>472</v>
      </c>
      <c r="F241" t="s">
        <v>261</v>
      </c>
      <c r="G241" t="s">
        <v>84</v>
      </c>
      <c r="H241" t="s">
        <v>87</v>
      </c>
      <c r="I241" t="s">
        <v>473</v>
      </c>
      <c r="J241" t="s">
        <v>474</v>
      </c>
      <c r="K241" t="s">
        <v>82</v>
      </c>
      <c r="L241">
        <v>151871.88329999999</v>
      </c>
      <c r="M241" t="s">
        <v>83</v>
      </c>
      <c r="U241">
        <v>0</v>
      </c>
      <c r="V241">
        <v>0</v>
      </c>
      <c r="W241">
        <v>147026.44443333332</v>
      </c>
    </row>
    <row r="242" spans="1:25" x14ac:dyDescent="0.25">
      <c r="A242" t="s">
        <v>456</v>
      </c>
      <c r="B242">
        <v>1</v>
      </c>
      <c r="C242" t="s">
        <v>258</v>
      </c>
      <c r="D242" t="s">
        <v>423</v>
      </c>
      <c r="E242" t="s">
        <v>472</v>
      </c>
      <c r="F242" t="s">
        <v>261</v>
      </c>
      <c r="G242" t="s">
        <v>289</v>
      </c>
      <c r="H242" t="s">
        <v>98</v>
      </c>
      <c r="I242" t="s">
        <v>475</v>
      </c>
      <c r="J242" t="s">
        <v>476</v>
      </c>
      <c r="K242" t="s">
        <v>82</v>
      </c>
      <c r="L242">
        <v>56650</v>
      </c>
      <c r="M242" t="s">
        <v>83</v>
      </c>
      <c r="N242">
        <v>36483.333330000001</v>
      </c>
      <c r="U242">
        <v>0</v>
      </c>
      <c r="V242">
        <v>0</v>
      </c>
      <c r="W242">
        <v>36483.333333333328</v>
      </c>
      <c r="X242">
        <v>56650</v>
      </c>
      <c r="Y242">
        <v>56650</v>
      </c>
    </row>
    <row r="243" spans="1:25" x14ac:dyDescent="0.25">
      <c r="A243" t="s">
        <v>456</v>
      </c>
      <c r="B243">
        <v>0</v>
      </c>
      <c r="C243" t="s">
        <v>258</v>
      </c>
      <c r="D243" t="s">
        <v>423</v>
      </c>
      <c r="E243" t="s">
        <v>472</v>
      </c>
      <c r="F243" t="s">
        <v>261</v>
      </c>
      <c r="G243" t="s">
        <v>84</v>
      </c>
      <c r="H243" t="s">
        <v>98</v>
      </c>
      <c r="I243" t="s">
        <v>477</v>
      </c>
      <c r="J243" t="s">
        <v>478</v>
      </c>
      <c r="K243" t="s">
        <v>82</v>
      </c>
      <c r="L243">
        <v>21950</v>
      </c>
      <c r="M243" t="s">
        <v>83</v>
      </c>
      <c r="U243">
        <v>0</v>
      </c>
      <c r="V243">
        <v>0</v>
      </c>
      <c r="W243">
        <v>36483.333333333328</v>
      </c>
    </row>
    <row r="244" spans="1:25" x14ac:dyDescent="0.25">
      <c r="A244" t="s">
        <v>456</v>
      </c>
      <c r="B244">
        <v>0</v>
      </c>
      <c r="C244" t="s">
        <v>258</v>
      </c>
      <c r="D244" t="s">
        <v>423</v>
      </c>
      <c r="E244" t="s">
        <v>472</v>
      </c>
      <c r="F244" t="s">
        <v>261</v>
      </c>
      <c r="G244" t="s">
        <v>84</v>
      </c>
      <c r="H244" t="s">
        <v>98</v>
      </c>
      <c r="I244" t="s">
        <v>479</v>
      </c>
      <c r="J244" t="s">
        <v>480</v>
      </c>
      <c r="K244" t="s">
        <v>82</v>
      </c>
      <c r="L244">
        <v>30850</v>
      </c>
      <c r="M244" t="s">
        <v>83</v>
      </c>
      <c r="S244">
        <v>1</v>
      </c>
      <c r="U244">
        <v>0</v>
      </c>
      <c r="V244">
        <v>0</v>
      </c>
      <c r="W244">
        <v>36483.333333333328</v>
      </c>
    </row>
    <row r="245" spans="1:25" x14ac:dyDescent="0.25">
      <c r="A245" t="s">
        <v>481</v>
      </c>
      <c r="B245">
        <v>1</v>
      </c>
      <c r="C245" t="s">
        <v>258</v>
      </c>
      <c r="D245" t="s">
        <v>423</v>
      </c>
      <c r="E245" t="s">
        <v>472</v>
      </c>
      <c r="F245" t="s">
        <v>261</v>
      </c>
      <c r="G245" t="s">
        <v>248</v>
      </c>
      <c r="H245" t="s">
        <v>80</v>
      </c>
      <c r="I245" t="s">
        <v>481</v>
      </c>
      <c r="J245" t="s">
        <v>482</v>
      </c>
      <c r="K245" t="s">
        <v>82</v>
      </c>
      <c r="L245">
        <v>1025091.738</v>
      </c>
      <c r="M245" t="s">
        <v>83</v>
      </c>
      <c r="N245">
        <v>791032.91899999999</v>
      </c>
      <c r="U245">
        <v>0</v>
      </c>
      <c r="V245">
        <v>0</v>
      </c>
      <c r="W245">
        <v>791032.91916666669</v>
      </c>
      <c r="X245">
        <v>1025091.738</v>
      </c>
      <c r="Y245">
        <v>1025091.738</v>
      </c>
    </row>
    <row r="246" spans="1:25" x14ac:dyDescent="0.25">
      <c r="A246" t="s">
        <v>481</v>
      </c>
      <c r="B246">
        <v>0</v>
      </c>
      <c r="C246" t="s">
        <v>258</v>
      </c>
      <c r="D246" t="s">
        <v>423</v>
      </c>
      <c r="E246" t="s">
        <v>472</v>
      </c>
      <c r="F246" t="s">
        <v>261</v>
      </c>
      <c r="G246" t="s">
        <v>84</v>
      </c>
      <c r="H246" t="s">
        <v>80</v>
      </c>
      <c r="I246" t="s">
        <v>481</v>
      </c>
      <c r="J246" t="s">
        <v>483</v>
      </c>
      <c r="K246" t="s">
        <v>82</v>
      </c>
      <c r="L246">
        <v>726861.22089999996</v>
      </c>
      <c r="M246" t="s">
        <v>83</v>
      </c>
      <c r="U246">
        <v>0</v>
      </c>
      <c r="V246">
        <v>0</v>
      </c>
      <c r="W246">
        <v>791032.91916666669</v>
      </c>
    </row>
    <row r="247" spans="1:25" x14ac:dyDescent="0.25">
      <c r="A247" t="s">
        <v>481</v>
      </c>
      <c r="B247">
        <v>0</v>
      </c>
      <c r="C247" t="s">
        <v>258</v>
      </c>
      <c r="D247" t="s">
        <v>423</v>
      </c>
      <c r="E247" t="s">
        <v>472</v>
      </c>
      <c r="F247" t="s">
        <v>261</v>
      </c>
      <c r="G247" t="s">
        <v>84</v>
      </c>
      <c r="H247" t="s">
        <v>80</v>
      </c>
      <c r="I247" t="s">
        <v>484</v>
      </c>
      <c r="J247" t="s">
        <v>485</v>
      </c>
      <c r="K247" t="s">
        <v>82</v>
      </c>
      <c r="L247">
        <v>621145.79859999998</v>
      </c>
      <c r="M247" t="s">
        <v>83</v>
      </c>
      <c r="U247">
        <v>0</v>
      </c>
      <c r="V247">
        <v>0</v>
      </c>
      <c r="W247">
        <v>791032.91916666669</v>
      </c>
    </row>
    <row r="248" spans="1:25" x14ac:dyDescent="0.25">
      <c r="A248" t="s">
        <v>481</v>
      </c>
      <c r="B248">
        <v>1</v>
      </c>
      <c r="C248" t="s">
        <v>258</v>
      </c>
      <c r="D248" t="s">
        <v>423</v>
      </c>
      <c r="E248" t="s">
        <v>472</v>
      </c>
      <c r="F248" t="s">
        <v>261</v>
      </c>
      <c r="G248" t="s">
        <v>182</v>
      </c>
      <c r="H248" t="s">
        <v>92</v>
      </c>
      <c r="I248" t="s">
        <v>486</v>
      </c>
      <c r="J248" t="s">
        <v>487</v>
      </c>
      <c r="K248" t="s">
        <v>82</v>
      </c>
      <c r="L248">
        <v>27850</v>
      </c>
      <c r="M248" t="s">
        <v>83</v>
      </c>
      <c r="N248">
        <v>38780</v>
      </c>
      <c r="R248">
        <v>1</v>
      </c>
      <c r="T248">
        <v>1</v>
      </c>
      <c r="U248">
        <v>0</v>
      </c>
      <c r="V248">
        <v>0</v>
      </c>
      <c r="W248">
        <v>38780</v>
      </c>
      <c r="X248">
        <v>27850</v>
      </c>
      <c r="Y248">
        <v>27850</v>
      </c>
    </row>
    <row r="249" spans="1:25" x14ac:dyDescent="0.25">
      <c r="A249" t="s">
        <v>481</v>
      </c>
      <c r="B249">
        <v>0</v>
      </c>
      <c r="C249" t="s">
        <v>258</v>
      </c>
      <c r="D249" t="s">
        <v>423</v>
      </c>
      <c r="E249" t="s">
        <v>472</v>
      </c>
      <c r="F249" t="s">
        <v>261</v>
      </c>
      <c r="G249" t="s">
        <v>84</v>
      </c>
      <c r="H249" t="s">
        <v>92</v>
      </c>
      <c r="I249" t="s">
        <v>488</v>
      </c>
      <c r="J249" t="s">
        <v>303</v>
      </c>
      <c r="K249" t="s">
        <v>82</v>
      </c>
      <c r="L249">
        <v>49710</v>
      </c>
      <c r="M249" t="s">
        <v>83</v>
      </c>
      <c r="Q249">
        <v>1</v>
      </c>
      <c r="R249">
        <v>1</v>
      </c>
      <c r="U249">
        <v>0</v>
      </c>
      <c r="V249">
        <v>0</v>
      </c>
      <c r="W249">
        <v>38780</v>
      </c>
    </row>
    <row r="250" spans="1:25" x14ac:dyDescent="0.25">
      <c r="A250" t="s">
        <v>481</v>
      </c>
      <c r="B250">
        <v>1</v>
      </c>
      <c r="C250" t="s">
        <v>258</v>
      </c>
      <c r="D250" t="s">
        <v>423</v>
      </c>
      <c r="E250" t="s">
        <v>472</v>
      </c>
      <c r="F250" t="s">
        <v>261</v>
      </c>
      <c r="G250" t="s">
        <v>248</v>
      </c>
      <c r="H250" t="s">
        <v>106</v>
      </c>
      <c r="I250" t="s">
        <v>481</v>
      </c>
      <c r="J250" t="s">
        <v>489</v>
      </c>
      <c r="K250" t="s">
        <v>82</v>
      </c>
      <c r="L250">
        <v>10327.4025</v>
      </c>
      <c r="M250" t="s">
        <v>83</v>
      </c>
      <c r="N250">
        <v>10028.057500000001</v>
      </c>
      <c r="U250">
        <v>0</v>
      </c>
      <c r="V250">
        <v>0</v>
      </c>
      <c r="W250">
        <v>10028.057500000001</v>
      </c>
      <c r="X250">
        <v>10327.4025</v>
      </c>
      <c r="Y250">
        <v>10327.4025</v>
      </c>
    </row>
    <row r="251" spans="1:25" x14ac:dyDescent="0.25">
      <c r="A251" t="s">
        <v>481</v>
      </c>
      <c r="B251">
        <v>0</v>
      </c>
      <c r="C251" t="s">
        <v>258</v>
      </c>
      <c r="D251" t="s">
        <v>423</v>
      </c>
      <c r="E251" t="s">
        <v>472</v>
      </c>
      <c r="F251" t="s">
        <v>261</v>
      </c>
      <c r="G251" t="s">
        <v>84</v>
      </c>
      <c r="H251" t="s">
        <v>106</v>
      </c>
      <c r="I251" t="s">
        <v>481</v>
      </c>
      <c r="J251" t="s">
        <v>490</v>
      </c>
      <c r="K251" t="s">
        <v>82</v>
      </c>
      <c r="L251">
        <v>6168.0825000000004</v>
      </c>
      <c r="M251" t="s">
        <v>83</v>
      </c>
      <c r="U251">
        <v>0</v>
      </c>
      <c r="V251">
        <v>0</v>
      </c>
      <c r="W251">
        <v>10028.057500000001</v>
      </c>
    </row>
    <row r="252" spans="1:25" x14ac:dyDescent="0.25">
      <c r="A252" t="s">
        <v>481</v>
      </c>
      <c r="B252">
        <v>0</v>
      </c>
      <c r="C252" t="s">
        <v>258</v>
      </c>
      <c r="D252" t="s">
        <v>423</v>
      </c>
      <c r="E252" t="s">
        <v>338</v>
      </c>
      <c r="F252" t="s">
        <v>261</v>
      </c>
      <c r="G252" t="s">
        <v>84</v>
      </c>
      <c r="H252" t="s">
        <v>106</v>
      </c>
      <c r="I252" t="s">
        <v>484</v>
      </c>
      <c r="J252" t="s">
        <v>491</v>
      </c>
      <c r="K252" t="s">
        <v>82</v>
      </c>
      <c r="L252">
        <v>13588.6875</v>
      </c>
      <c r="M252" t="s">
        <v>83</v>
      </c>
      <c r="U252">
        <v>0</v>
      </c>
      <c r="V252">
        <v>0</v>
      </c>
      <c r="W252">
        <v>10028.057500000001</v>
      </c>
    </row>
    <row r="253" spans="1:25" x14ac:dyDescent="0.25">
      <c r="A253" t="s">
        <v>481</v>
      </c>
      <c r="B253">
        <v>1</v>
      </c>
      <c r="C253" t="s">
        <v>258</v>
      </c>
      <c r="D253" t="s">
        <v>423</v>
      </c>
      <c r="E253" t="s">
        <v>338</v>
      </c>
      <c r="F253" t="s">
        <v>261</v>
      </c>
      <c r="G253" t="s">
        <v>248</v>
      </c>
      <c r="H253" t="s">
        <v>110</v>
      </c>
      <c r="I253" t="s">
        <v>481</v>
      </c>
      <c r="J253" t="s">
        <v>492</v>
      </c>
      <c r="K253" t="s">
        <v>82</v>
      </c>
      <c r="L253">
        <v>18576</v>
      </c>
      <c r="M253" t="s">
        <v>83</v>
      </c>
      <c r="N253">
        <v>16579.333330000001</v>
      </c>
      <c r="U253">
        <v>0</v>
      </c>
      <c r="V253">
        <v>0</v>
      </c>
      <c r="W253">
        <v>16579.333333333332</v>
      </c>
      <c r="X253">
        <v>18576</v>
      </c>
      <c r="Y253">
        <v>18576</v>
      </c>
    </row>
    <row r="254" spans="1:25" x14ac:dyDescent="0.25">
      <c r="A254" t="s">
        <v>481</v>
      </c>
      <c r="B254">
        <v>0</v>
      </c>
      <c r="C254" t="s">
        <v>258</v>
      </c>
      <c r="D254" t="s">
        <v>423</v>
      </c>
      <c r="E254" t="s">
        <v>338</v>
      </c>
      <c r="F254" t="s">
        <v>261</v>
      </c>
      <c r="G254" t="s">
        <v>84</v>
      </c>
      <c r="H254" t="s">
        <v>110</v>
      </c>
      <c r="I254" t="s">
        <v>481</v>
      </c>
      <c r="J254" t="s">
        <v>493</v>
      </c>
      <c r="K254" t="s">
        <v>82</v>
      </c>
      <c r="L254">
        <v>12474</v>
      </c>
      <c r="M254" t="s">
        <v>83</v>
      </c>
      <c r="U254">
        <v>0</v>
      </c>
      <c r="V254">
        <v>0</v>
      </c>
      <c r="W254">
        <v>16579.333333333332</v>
      </c>
    </row>
    <row r="255" spans="1:25" x14ac:dyDescent="0.25">
      <c r="A255" t="s">
        <v>481</v>
      </c>
      <c r="B255">
        <v>0</v>
      </c>
      <c r="C255" t="s">
        <v>258</v>
      </c>
      <c r="D255" t="s">
        <v>423</v>
      </c>
      <c r="E255" t="s">
        <v>338</v>
      </c>
      <c r="F255" t="s">
        <v>261</v>
      </c>
      <c r="G255" t="s">
        <v>84</v>
      </c>
      <c r="H255" t="s">
        <v>110</v>
      </c>
      <c r="I255" t="s">
        <v>484</v>
      </c>
      <c r="J255" t="s">
        <v>494</v>
      </c>
      <c r="K255" t="s">
        <v>82</v>
      </c>
      <c r="L255">
        <v>18688</v>
      </c>
      <c r="M255" t="s">
        <v>83</v>
      </c>
      <c r="U255">
        <v>0</v>
      </c>
      <c r="V255">
        <v>0</v>
      </c>
      <c r="W255">
        <v>16579.333333333332</v>
      </c>
    </row>
    <row r="256" spans="1:25" x14ac:dyDescent="0.25">
      <c r="A256" t="s">
        <v>481</v>
      </c>
      <c r="B256">
        <v>1</v>
      </c>
      <c r="C256" t="s">
        <v>258</v>
      </c>
      <c r="D256" t="s">
        <v>423</v>
      </c>
      <c r="E256" t="s">
        <v>338</v>
      </c>
      <c r="F256" t="s">
        <v>261</v>
      </c>
      <c r="G256" t="s">
        <v>495</v>
      </c>
      <c r="H256" t="s">
        <v>87</v>
      </c>
      <c r="I256" t="s">
        <v>481</v>
      </c>
      <c r="J256" t="s">
        <v>496</v>
      </c>
      <c r="K256" t="s">
        <v>82</v>
      </c>
      <c r="L256">
        <v>86910.833329999994</v>
      </c>
      <c r="M256" t="s">
        <v>83</v>
      </c>
      <c r="N256">
        <v>91396.2</v>
      </c>
      <c r="U256">
        <v>0</v>
      </c>
      <c r="V256">
        <v>0</v>
      </c>
      <c r="W256">
        <v>91396.2</v>
      </c>
      <c r="X256">
        <v>86910.833329999994</v>
      </c>
      <c r="Y256">
        <v>86910.833329999994</v>
      </c>
    </row>
    <row r="257" spans="1:25" x14ac:dyDescent="0.25">
      <c r="A257" t="s">
        <v>481</v>
      </c>
      <c r="B257">
        <v>0</v>
      </c>
      <c r="C257" t="s">
        <v>258</v>
      </c>
      <c r="D257" t="s">
        <v>423</v>
      </c>
      <c r="E257" t="s">
        <v>338</v>
      </c>
      <c r="F257" t="s">
        <v>261</v>
      </c>
      <c r="G257" t="s">
        <v>84</v>
      </c>
      <c r="H257" t="s">
        <v>87</v>
      </c>
      <c r="I257" t="s">
        <v>497</v>
      </c>
      <c r="J257" t="s">
        <v>498</v>
      </c>
      <c r="K257" t="s">
        <v>82</v>
      </c>
      <c r="L257">
        <v>95881.56667</v>
      </c>
      <c r="M257" t="s">
        <v>83</v>
      </c>
      <c r="U257">
        <v>0</v>
      </c>
      <c r="V257">
        <v>0</v>
      </c>
      <c r="W257">
        <v>91396.2</v>
      </c>
    </row>
    <row r="258" spans="1:25" x14ac:dyDescent="0.25">
      <c r="A258" t="s">
        <v>481</v>
      </c>
      <c r="B258">
        <v>0</v>
      </c>
      <c r="C258" t="s">
        <v>258</v>
      </c>
      <c r="D258" t="s">
        <v>423</v>
      </c>
      <c r="E258" t="s">
        <v>338</v>
      </c>
      <c r="F258" t="s">
        <v>261</v>
      </c>
      <c r="G258" t="s">
        <v>84</v>
      </c>
      <c r="H258" t="s">
        <v>98</v>
      </c>
      <c r="I258" t="s">
        <v>499</v>
      </c>
      <c r="J258" t="s">
        <v>500</v>
      </c>
      <c r="K258" t="s">
        <v>82</v>
      </c>
      <c r="L258">
        <v>36850</v>
      </c>
      <c r="M258" t="s">
        <v>83</v>
      </c>
      <c r="U258">
        <v>0</v>
      </c>
      <c r="V258">
        <v>0</v>
      </c>
      <c r="W258">
        <v>28966.666666666668</v>
      </c>
    </row>
    <row r="259" spans="1:25" x14ac:dyDescent="0.25">
      <c r="A259" t="s">
        <v>481</v>
      </c>
      <c r="B259">
        <v>1</v>
      </c>
      <c r="C259" t="s">
        <v>258</v>
      </c>
      <c r="D259" t="s">
        <v>423</v>
      </c>
      <c r="E259" t="s">
        <v>338</v>
      </c>
      <c r="F259" t="s">
        <v>261</v>
      </c>
      <c r="G259" t="s">
        <v>158</v>
      </c>
      <c r="H259" t="s">
        <v>98</v>
      </c>
      <c r="I259" t="s">
        <v>501</v>
      </c>
      <c r="J259" t="s">
        <v>502</v>
      </c>
      <c r="K259" t="s">
        <v>82</v>
      </c>
      <c r="L259">
        <v>29550</v>
      </c>
      <c r="M259" t="s">
        <v>83</v>
      </c>
      <c r="N259">
        <v>28966.666669999999</v>
      </c>
      <c r="Q259">
        <v>1</v>
      </c>
      <c r="S259">
        <v>1</v>
      </c>
      <c r="U259">
        <v>0</v>
      </c>
      <c r="V259">
        <v>0</v>
      </c>
      <c r="W259">
        <v>28966.666666666668</v>
      </c>
      <c r="X259">
        <v>29550</v>
      </c>
      <c r="Y259">
        <v>29550</v>
      </c>
    </row>
    <row r="260" spans="1:25" x14ac:dyDescent="0.25">
      <c r="A260" t="s">
        <v>481</v>
      </c>
      <c r="B260">
        <v>0</v>
      </c>
      <c r="C260" t="s">
        <v>258</v>
      </c>
      <c r="D260" t="s">
        <v>423</v>
      </c>
      <c r="E260" t="s">
        <v>338</v>
      </c>
      <c r="F260" t="s">
        <v>261</v>
      </c>
      <c r="G260" t="s">
        <v>84</v>
      </c>
      <c r="H260" t="s">
        <v>98</v>
      </c>
      <c r="I260" t="s">
        <v>503</v>
      </c>
      <c r="J260" t="s">
        <v>504</v>
      </c>
      <c r="K260" t="s">
        <v>82</v>
      </c>
      <c r="L260">
        <v>20500</v>
      </c>
      <c r="M260" t="s">
        <v>83</v>
      </c>
      <c r="R260">
        <v>1</v>
      </c>
      <c r="T260">
        <v>1</v>
      </c>
      <c r="U260">
        <v>0</v>
      </c>
      <c r="V260">
        <v>0</v>
      </c>
      <c r="W260">
        <v>28966.666666666668</v>
      </c>
    </row>
    <row r="261" spans="1:25" x14ac:dyDescent="0.25">
      <c r="A261" t="s">
        <v>505</v>
      </c>
      <c r="B261">
        <v>0</v>
      </c>
      <c r="C261" t="s">
        <v>507</v>
      </c>
      <c r="D261" t="s">
        <v>508</v>
      </c>
      <c r="E261" t="s">
        <v>338</v>
      </c>
      <c r="F261" t="s">
        <v>509</v>
      </c>
      <c r="G261" t="s">
        <v>84</v>
      </c>
      <c r="H261" t="s">
        <v>87</v>
      </c>
      <c r="I261" t="s">
        <v>505</v>
      </c>
      <c r="J261" t="s">
        <v>510</v>
      </c>
      <c r="K261" t="s">
        <v>82</v>
      </c>
      <c r="L261">
        <v>153774.6</v>
      </c>
      <c r="M261" t="s">
        <v>83</v>
      </c>
      <c r="U261">
        <v>0</v>
      </c>
      <c r="V261">
        <v>0</v>
      </c>
      <c r="W261">
        <v>143791.27776666667</v>
      </c>
    </row>
    <row r="262" spans="1:25" x14ac:dyDescent="0.25">
      <c r="A262" t="s">
        <v>505</v>
      </c>
      <c r="B262">
        <v>0</v>
      </c>
      <c r="C262" t="s">
        <v>507</v>
      </c>
      <c r="D262" t="s">
        <v>508</v>
      </c>
      <c r="E262" t="s">
        <v>338</v>
      </c>
      <c r="F262" t="s">
        <v>509</v>
      </c>
      <c r="G262" t="s">
        <v>84</v>
      </c>
      <c r="H262" t="s">
        <v>87</v>
      </c>
      <c r="I262" t="s">
        <v>505</v>
      </c>
      <c r="J262" t="s">
        <v>511</v>
      </c>
      <c r="K262" t="s">
        <v>82</v>
      </c>
      <c r="L262">
        <v>145154.79999999999</v>
      </c>
      <c r="M262" t="s">
        <v>83</v>
      </c>
      <c r="U262">
        <v>0</v>
      </c>
      <c r="V262">
        <v>0</v>
      </c>
      <c r="W262">
        <v>143791.27776666667</v>
      </c>
    </row>
    <row r="263" spans="1:25" x14ac:dyDescent="0.25">
      <c r="A263" t="s">
        <v>505</v>
      </c>
      <c r="B263">
        <v>1</v>
      </c>
      <c r="C263" t="s">
        <v>507</v>
      </c>
      <c r="D263" t="s">
        <v>508</v>
      </c>
      <c r="E263" t="s">
        <v>338</v>
      </c>
      <c r="F263" t="s">
        <v>509</v>
      </c>
      <c r="G263" t="s">
        <v>512</v>
      </c>
      <c r="H263" t="s">
        <v>87</v>
      </c>
      <c r="I263" t="s">
        <v>505</v>
      </c>
      <c r="J263" t="s">
        <v>513</v>
      </c>
      <c r="K263" t="s">
        <v>82</v>
      </c>
      <c r="L263">
        <v>132444.4333</v>
      </c>
      <c r="M263" t="s">
        <v>83</v>
      </c>
      <c r="N263">
        <v>143791.27780000001</v>
      </c>
      <c r="U263">
        <v>0</v>
      </c>
      <c r="V263">
        <v>0</v>
      </c>
      <c r="W263">
        <v>143791.27776666667</v>
      </c>
      <c r="X263">
        <v>132444.4333</v>
      </c>
      <c r="Y263">
        <v>132444.4333</v>
      </c>
    </row>
    <row r="264" spans="1:25" x14ac:dyDescent="0.25">
      <c r="A264" t="s">
        <v>514</v>
      </c>
      <c r="B264">
        <v>0</v>
      </c>
      <c r="C264" t="s">
        <v>507</v>
      </c>
      <c r="D264" t="s">
        <v>508</v>
      </c>
      <c r="E264" t="s">
        <v>338</v>
      </c>
      <c r="F264" t="s">
        <v>509</v>
      </c>
      <c r="G264" t="s">
        <v>84</v>
      </c>
      <c r="H264" t="s">
        <v>92</v>
      </c>
      <c r="I264" t="s">
        <v>515</v>
      </c>
      <c r="J264" t="s">
        <v>303</v>
      </c>
      <c r="K264" t="s">
        <v>82</v>
      </c>
      <c r="L264">
        <v>50780</v>
      </c>
      <c r="M264" t="s">
        <v>83</v>
      </c>
      <c r="U264">
        <v>0</v>
      </c>
      <c r="V264">
        <v>0</v>
      </c>
      <c r="W264">
        <v>52585</v>
      </c>
    </row>
    <row r="265" spans="1:25" x14ac:dyDescent="0.25">
      <c r="A265" t="s">
        <v>514</v>
      </c>
      <c r="B265">
        <v>1</v>
      </c>
      <c r="C265" t="s">
        <v>507</v>
      </c>
      <c r="D265" t="s">
        <v>508</v>
      </c>
      <c r="E265" t="s">
        <v>338</v>
      </c>
      <c r="F265" t="s">
        <v>509</v>
      </c>
      <c r="G265" t="s">
        <v>141</v>
      </c>
      <c r="H265" t="s">
        <v>92</v>
      </c>
      <c r="I265" t="s">
        <v>516</v>
      </c>
      <c r="J265" t="s">
        <v>517</v>
      </c>
      <c r="K265" t="s">
        <v>82</v>
      </c>
      <c r="L265">
        <v>54390</v>
      </c>
      <c r="M265" t="s">
        <v>83</v>
      </c>
      <c r="N265">
        <v>52585</v>
      </c>
      <c r="U265">
        <v>0</v>
      </c>
      <c r="V265">
        <v>0</v>
      </c>
      <c r="W265">
        <v>52585</v>
      </c>
      <c r="X265">
        <v>54390</v>
      </c>
      <c r="Y265">
        <v>54390</v>
      </c>
    </row>
    <row r="266" spans="1:25" x14ac:dyDescent="0.25">
      <c r="A266" t="s">
        <v>514</v>
      </c>
      <c r="B266">
        <v>0</v>
      </c>
      <c r="C266" t="s">
        <v>507</v>
      </c>
      <c r="D266" t="s">
        <v>508</v>
      </c>
      <c r="E266" t="s">
        <v>338</v>
      </c>
      <c r="F266" t="s">
        <v>509</v>
      </c>
      <c r="G266" t="s">
        <v>84</v>
      </c>
      <c r="H266" t="s">
        <v>80</v>
      </c>
      <c r="I266" t="s">
        <v>514</v>
      </c>
      <c r="J266" t="s">
        <v>518</v>
      </c>
      <c r="K266" t="s">
        <v>82</v>
      </c>
      <c r="L266">
        <v>766626.6825</v>
      </c>
      <c r="M266" t="s">
        <v>83</v>
      </c>
      <c r="P266">
        <v>1</v>
      </c>
      <c r="T266">
        <v>1</v>
      </c>
      <c r="U266">
        <v>0</v>
      </c>
      <c r="V266">
        <v>0</v>
      </c>
      <c r="W266">
        <v>825872.91529999999</v>
      </c>
    </row>
    <row r="267" spans="1:25" x14ac:dyDescent="0.25">
      <c r="A267" t="s">
        <v>514</v>
      </c>
      <c r="B267">
        <v>0</v>
      </c>
      <c r="C267" t="s">
        <v>507</v>
      </c>
      <c r="D267" t="s">
        <v>508</v>
      </c>
      <c r="E267" t="s">
        <v>338</v>
      </c>
      <c r="F267" t="s">
        <v>509</v>
      </c>
      <c r="G267" t="s">
        <v>84</v>
      </c>
      <c r="H267" t="s">
        <v>80</v>
      </c>
      <c r="I267" t="s">
        <v>514</v>
      </c>
      <c r="J267" t="s">
        <v>519</v>
      </c>
      <c r="K267" t="s">
        <v>82</v>
      </c>
      <c r="L267">
        <v>942912.96</v>
      </c>
      <c r="M267" t="s">
        <v>83</v>
      </c>
      <c r="U267">
        <v>0</v>
      </c>
      <c r="V267">
        <v>0</v>
      </c>
      <c r="W267">
        <v>825872.91529999999</v>
      </c>
    </row>
    <row r="268" spans="1:25" x14ac:dyDescent="0.25">
      <c r="A268" t="s">
        <v>514</v>
      </c>
      <c r="B268">
        <v>1</v>
      </c>
      <c r="C268" t="s">
        <v>507</v>
      </c>
      <c r="D268" t="s">
        <v>508</v>
      </c>
      <c r="E268" t="s">
        <v>338</v>
      </c>
      <c r="F268" t="s">
        <v>509</v>
      </c>
      <c r="G268" t="s">
        <v>326</v>
      </c>
      <c r="H268" t="s">
        <v>80</v>
      </c>
      <c r="I268" t="s">
        <v>514</v>
      </c>
      <c r="J268" t="s">
        <v>520</v>
      </c>
      <c r="K268" t="s">
        <v>82</v>
      </c>
      <c r="L268">
        <v>768079.10340000002</v>
      </c>
      <c r="M268" t="s">
        <v>83</v>
      </c>
      <c r="N268">
        <v>825872.91529999999</v>
      </c>
      <c r="P268">
        <v>1</v>
      </c>
      <c r="T268">
        <v>1</v>
      </c>
      <c r="U268">
        <v>0</v>
      </c>
      <c r="V268">
        <v>0</v>
      </c>
      <c r="W268">
        <v>825872.91529999999</v>
      </c>
      <c r="X268">
        <v>768079.10340000002</v>
      </c>
      <c r="Y268">
        <v>768079.10340000002</v>
      </c>
    </row>
    <row r="269" spans="1:25" x14ac:dyDescent="0.25">
      <c r="A269" t="s">
        <v>514</v>
      </c>
      <c r="B269">
        <v>0</v>
      </c>
      <c r="C269" t="s">
        <v>507</v>
      </c>
      <c r="D269" t="s">
        <v>508</v>
      </c>
      <c r="E269" t="s">
        <v>338</v>
      </c>
      <c r="F269" t="s">
        <v>509</v>
      </c>
      <c r="G269" t="s">
        <v>84</v>
      </c>
      <c r="H269" t="s">
        <v>106</v>
      </c>
      <c r="I269" t="s">
        <v>514</v>
      </c>
      <c r="J269" t="s">
        <v>521</v>
      </c>
      <c r="K269" t="s">
        <v>82</v>
      </c>
      <c r="L269">
        <v>11107.275</v>
      </c>
      <c r="M269" t="s">
        <v>83</v>
      </c>
      <c r="P269">
        <v>1</v>
      </c>
      <c r="T269">
        <v>1</v>
      </c>
      <c r="U269">
        <v>0</v>
      </c>
      <c r="V269">
        <v>0</v>
      </c>
      <c r="W269">
        <v>7738.3308333333334</v>
      </c>
    </row>
    <row r="270" spans="1:25" x14ac:dyDescent="0.25">
      <c r="A270" t="s">
        <v>514</v>
      </c>
      <c r="B270">
        <v>0</v>
      </c>
      <c r="C270" t="s">
        <v>507</v>
      </c>
      <c r="D270" t="s">
        <v>508</v>
      </c>
      <c r="E270" t="s">
        <v>338</v>
      </c>
      <c r="F270" t="s">
        <v>509</v>
      </c>
      <c r="G270" t="s">
        <v>84</v>
      </c>
      <c r="H270" t="s">
        <v>106</v>
      </c>
      <c r="I270" t="s">
        <v>514</v>
      </c>
      <c r="J270" t="s">
        <v>522</v>
      </c>
      <c r="K270" t="s">
        <v>82</v>
      </c>
      <c r="L270">
        <v>4852.54</v>
      </c>
      <c r="M270" t="s">
        <v>83</v>
      </c>
      <c r="U270">
        <v>0</v>
      </c>
      <c r="V270">
        <v>0</v>
      </c>
      <c r="W270">
        <v>7738.3308333333334</v>
      </c>
    </row>
    <row r="271" spans="1:25" x14ac:dyDescent="0.25">
      <c r="A271" t="s">
        <v>514</v>
      </c>
      <c r="B271">
        <v>1</v>
      </c>
      <c r="C271" t="s">
        <v>507</v>
      </c>
      <c r="D271" t="s">
        <v>508</v>
      </c>
      <c r="E271" t="s">
        <v>338</v>
      </c>
      <c r="F271" t="s">
        <v>509</v>
      </c>
      <c r="G271" t="s">
        <v>326</v>
      </c>
      <c r="H271" t="s">
        <v>106</v>
      </c>
      <c r="I271" t="s">
        <v>514</v>
      </c>
      <c r="J271" t="s">
        <v>523</v>
      </c>
      <c r="K271" t="s">
        <v>82</v>
      </c>
      <c r="L271">
        <v>7255.1774999999998</v>
      </c>
      <c r="M271" t="s">
        <v>83</v>
      </c>
      <c r="N271">
        <v>7738.330833</v>
      </c>
      <c r="P271">
        <v>1</v>
      </c>
      <c r="T271">
        <v>1</v>
      </c>
      <c r="U271">
        <v>0</v>
      </c>
      <c r="V271">
        <v>0</v>
      </c>
      <c r="W271">
        <v>7738.3308333333334</v>
      </c>
      <c r="X271">
        <v>7255.1774999999998</v>
      </c>
      <c r="Y271">
        <v>7255.1774999999998</v>
      </c>
    </row>
    <row r="272" spans="1:25" x14ac:dyDescent="0.25">
      <c r="A272" t="s">
        <v>514</v>
      </c>
      <c r="B272">
        <v>0</v>
      </c>
      <c r="C272" t="s">
        <v>507</v>
      </c>
      <c r="D272" t="s">
        <v>508</v>
      </c>
      <c r="E272" t="s">
        <v>338</v>
      </c>
      <c r="F272" t="s">
        <v>509</v>
      </c>
      <c r="G272" t="s">
        <v>84</v>
      </c>
      <c r="H272" t="s">
        <v>87</v>
      </c>
      <c r="I272" t="s">
        <v>524</v>
      </c>
      <c r="J272" t="s">
        <v>525</v>
      </c>
      <c r="K272" t="s">
        <v>82</v>
      </c>
      <c r="L272">
        <v>122741.675</v>
      </c>
      <c r="M272" t="s">
        <v>83</v>
      </c>
      <c r="R272">
        <v>1</v>
      </c>
      <c r="T272">
        <v>1</v>
      </c>
      <c r="U272">
        <v>0</v>
      </c>
      <c r="V272">
        <v>0</v>
      </c>
      <c r="W272">
        <v>133351.01110999999</v>
      </c>
    </row>
    <row r="273" spans="1:25" x14ac:dyDescent="0.25">
      <c r="A273" t="s">
        <v>514</v>
      </c>
      <c r="B273">
        <v>1</v>
      </c>
      <c r="C273" t="s">
        <v>507</v>
      </c>
      <c r="D273" t="s">
        <v>508</v>
      </c>
      <c r="E273" t="s">
        <v>338</v>
      </c>
      <c r="F273" t="s">
        <v>509</v>
      </c>
      <c r="G273" t="s">
        <v>207</v>
      </c>
      <c r="H273" t="s">
        <v>87</v>
      </c>
      <c r="I273" t="s">
        <v>514</v>
      </c>
      <c r="J273" t="s">
        <v>526</v>
      </c>
      <c r="K273" t="s">
        <v>82</v>
      </c>
      <c r="L273">
        <v>95547.083329999994</v>
      </c>
      <c r="M273" t="s">
        <v>83</v>
      </c>
      <c r="N273">
        <v>133351.0111</v>
      </c>
      <c r="S273">
        <v>1</v>
      </c>
      <c r="T273">
        <v>1</v>
      </c>
      <c r="U273">
        <v>0</v>
      </c>
      <c r="V273">
        <v>0</v>
      </c>
      <c r="W273">
        <v>133351.01110999999</v>
      </c>
      <c r="X273">
        <v>95547.083329999994</v>
      </c>
      <c r="Y273">
        <v>95547.083329999994</v>
      </c>
    </row>
    <row r="274" spans="1:25" x14ac:dyDescent="0.25">
      <c r="A274" t="s">
        <v>514</v>
      </c>
      <c r="B274">
        <v>0</v>
      </c>
      <c r="C274" t="s">
        <v>507</v>
      </c>
      <c r="D274" t="s">
        <v>508</v>
      </c>
      <c r="E274" t="s">
        <v>338</v>
      </c>
      <c r="F274" t="s">
        <v>509</v>
      </c>
      <c r="G274" t="s">
        <v>84</v>
      </c>
      <c r="H274" t="s">
        <v>87</v>
      </c>
      <c r="I274" t="s">
        <v>514</v>
      </c>
      <c r="J274" t="s">
        <v>527</v>
      </c>
      <c r="K274" t="s">
        <v>82</v>
      </c>
      <c r="L274">
        <v>181764.27499999999</v>
      </c>
      <c r="M274" t="s">
        <v>83</v>
      </c>
      <c r="U274">
        <v>0</v>
      </c>
      <c r="V274">
        <v>0</v>
      </c>
      <c r="W274">
        <v>133351.01110999999</v>
      </c>
    </row>
    <row r="275" spans="1:25" x14ac:dyDescent="0.25">
      <c r="A275" t="s">
        <v>514</v>
      </c>
      <c r="B275">
        <v>1</v>
      </c>
      <c r="C275" t="s">
        <v>507</v>
      </c>
      <c r="D275" t="s">
        <v>508</v>
      </c>
      <c r="E275" t="s">
        <v>338</v>
      </c>
      <c r="F275" t="s">
        <v>509</v>
      </c>
      <c r="G275" t="s">
        <v>528</v>
      </c>
      <c r="H275" t="s">
        <v>98</v>
      </c>
      <c r="I275" t="s">
        <v>529</v>
      </c>
      <c r="J275" t="s">
        <v>530</v>
      </c>
      <c r="K275" t="s">
        <v>82</v>
      </c>
      <c r="L275">
        <v>32300</v>
      </c>
      <c r="M275" t="s">
        <v>83</v>
      </c>
      <c r="N275">
        <v>30325</v>
      </c>
      <c r="Q275">
        <v>1</v>
      </c>
      <c r="U275">
        <v>0</v>
      </c>
      <c r="V275">
        <v>0</v>
      </c>
      <c r="W275">
        <v>30325</v>
      </c>
      <c r="X275">
        <v>32300</v>
      </c>
      <c r="Y275">
        <v>32300</v>
      </c>
    </row>
    <row r="276" spans="1:25" x14ac:dyDescent="0.25">
      <c r="A276" t="s">
        <v>514</v>
      </c>
      <c r="B276">
        <v>0</v>
      </c>
      <c r="C276" t="s">
        <v>507</v>
      </c>
      <c r="D276" t="s">
        <v>508</v>
      </c>
      <c r="E276" t="s">
        <v>338</v>
      </c>
      <c r="F276" t="s">
        <v>509</v>
      </c>
      <c r="G276" t="s">
        <v>84</v>
      </c>
      <c r="H276" t="s">
        <v>98</v>
      </c>
      <c r="I276" t="s">
        <v>531</v>
      </c>
      <c r="J276" t="s">
        <v>532</v>
      </c>
      <c r="K276" t="s">
        <v>82</v>
      </c>
      <c r="L276">
        <v>28350</v>
      </c>
      <c r="M276" t="s">
        <v>83</v>
      </c>
      <c r="R276">
        <v>1</v>
      </c>
      <c r="T276">
        <v>1</v>
      </c>
      <c r="U276">
        <v>0</v>
      </c>
      <c r="V276">
        <v>0</v>
      </c>
      <c r="W276">
        <v>30325</v>
      </c>
    </row>
    <row r="277" spans="1:25" x14ac:dyDescent="0.25">
      <c r="A277" t="s">
        <v>533</v>
      </c>
      <c r="B277">
        <v>0</v>
      </c>
      <c r="C277" t="s">
        <v>507</v>
      </c>
      <c r="D277" t="s">
        <v>508</v>
      </c>
      <c r="E277" t="s">
        <v>338</v>
      </c>
      <c r="F277" t="s">
        <v>509</v>
      </c>
      <c r="G277" t="s">
        <v>84</v>
      </c>
      <c r="H277" t="s">
        <v>87</v>
      </c>
      <c r="I277" t="s">
        <v>533</v>
      </c>
      <c r="J277" t="s">
        <v>534</v>
      </c>
      <c r="K277" t="s">
        <v>82</v>
      </c>
      <c r="L277">
        <v>144247.3083</v>
      </c>
      <c r="M277" t="s">
        <v>83</v>
      </c>
      <c r="U277">
        <v>0</v>
      </c>
      <c r="V277">
        <v>0</v>
      </c>
      <c r="W277">
        <v>138920.25</v>
      </c>
    </row>
    <row r="278" spans="1:25" x14ac:dyDescent="0.25">
      <c r="A278" t="s">
        <v>533</v>
      </c>
      <c r="B278">
        <v>1</v>
      </c>
      <c r="C278" t="s">
        <v>507</v>
      </c>
      <c r="D278" t="s">
        <v>508</v>
      </c>
      <c r="E278" t="s">
        <v>338</v>
      </c>
      <c r="F278" t="s">
        <v>509</v>
      </c>
      <c r="G278" t="s">
        <v>413</v>
      </c>
      <c r="H278" t="s">
        <v>87</v>
      </c>
      <c r="I278" t="s">
        <v>535</v>
      </c>
      <c r="J278" t="s">
        <v>536</v>
      </c>
      <c r="K278" t="s">
        <v>82</v>
      </c>
      <c r="L278">
        <v>161621.25</v>
      </c>
      <c r="M278" t="s">
        <v>83</v>
      </c>
      <c r="N278">
        <v>138920.25</v>
      </c>
      <c r="U278">
        <v>0</v>
      </c>
      <c r="V278">
        <v>0</v>
      </c>
      <c r="W278">
        <v>138920.25</v>
      </c>
      <c r="X278">
        <v>161621.25</v>
      </c>
      <c r="Y278">
        <v>161621.25</v>
      </c>
    </row>
    <row r="279" spans="1:25" x14ac:dyDescent="0.25">
      <c r="A279" t="s">
        <v>533</v>
      </c>
      <c r="B279">
        <v>0</v>
      </c>
      <c r="C279" t="s">
        <v>507</v>
      </c>
      <c r="D279" t="s">
        <v>508</v>
      </c>
      <c r="E279" t="s">
        <v>338</v>
      </c>
      <c r="F279" t="s">
        <v>509</v>
      </c>
      <c r="G279" t="s">
        <v>84</v>
      </c>
      <c r="H279" t="s">
        <v>87</v>
      </c>
      <c r="I279" t="s">
        <v>533</v>
      </c>
      <c r="J279" t="s">
        <v>537</v>
      </c>
      <c r="K279" t="s">
        <v>82</v>
      </c>
      <c r="L279">
        <v>110892.1917</v>
      </c>
      <c r="M279" t="s">
        <v>83</v>
      </c>
      <c r="U279">
        <v>0</v>
      </c>
      <c r="V279">
        <v>0</v>
      </c>
      <c r="W279">
        <v>138920.25</v>
      </c>
    </row>
    <row r="280" spans="1:25" x14ac:dyDescent="0.25">
      <c r="A280" t="s">
        <v>538</v>
      </c>
      <c r="B280">
        <v>0</v>
      </c>
      <c r="C280" t="s">
        <v>507</v>
      </c>
      <c r="D280" t="s">
        <v>539</v>
      </c>
      <c r="E280" t="s">
        <v>338</v>
      </c>
      <c r="F280" t="s">
        <v>509</v>
      </c>
      <c r="G280" t="s">
        <v>84</v>
      </c>
      <c r="H280" t="s">
        <v>92</v>
      </c>
      <c r="I280" t="s">
        <v>540</v>
      </c>
      <c r="J280" t="s">
        <v>541</v>
      </c>
      <c r="K280" t="s">
        <v>82</v>
      </c>
      <c r="L280">
        <v>13050</v>
      </c>
      <c r="M280" t="s">
        <v>83</v>
      </c>
      <c r="U280">
        <v>0</v>
      </c>
      <c r="V280">
        <v>0</v>
      </c>
      <c r="W280">
        <v>28613.333333333336</v>
      </c>
    </row>
    <row r="281" spans="1:25" x14ac:dyDescent="0.25">
      <c r="A281" t="s">
        <v>538</v>
      </c>
      <c r="B281">
        <v>1</v>
      </c>
      <c r="C281" t="s">
        <v>507</v>
      </c>
      <c r="D281" t="s">
        <v>539</v>
      </c>
      <c r="E281" t="s">
        <v>338</v>
      </c>
      <c r="F281" t="s">
        <v>509</v>
      </c>
      <c r="G281" t="s">
        <v>264</v>
      </c>
      <c r="H281" t="s">
        <v>92</v>
      </c>
      <c r="I281" t="s">
        <v>542</v>
      </c>
      <c r="J281" t="s">
        <v>543</v>
      </c>
      <c r="K281" t="s">
        <v>82</v>
      </c>
      <c r="L281">
        <v>27240</v>
      </c>
      <c r="M281" t="s">
        <v>83</v>
      </c>
      <c r="N281">
        <v>28613.333330000001</v>
      </c>
      <c r="U281">
        <v>0</v>
      </c>
      <c r="V281">
        <v>0</v>
      </c>
      <c r="W281">
        <v>28613.333333333336</v>
      </c>
      <c r="X281">
        <v>27240</v>
      </c>
      <c r="Y281">
        <v>27240</v>
      </c>
    </row>
    <row r="282" spans="1:25" x14ac:dyDescent="0.25">
      <c r="A282" t="s">
        <v>538</v>
      </c>
      <c r="B282">
        <v>0</v>
      </c>
      <c r="C282" t="s">
        <v>507</v>
      </c>
      <c r="D282" t="s">
        <v>539</v>
      </c>
      <c r="E282" t="s">
        <v>338</v>
      </c>
      <c r="F282" t="s">
        <v>509</v>
      </c>
      <c r="G282" t="s">
        <v>84</v>
      </c>
      <c r="H282" t="s">
        <v>92</v>
      </c>
      <c r="I282" t="s">
        <v>544</v>
      </c>
      <c r="J282" t="s">
        <v>181</v>
      </c>
      <c r="K282" t="s">
        <v>82</v>
      </c>
      <c r="L282">
        <v>45550</v>
      </c>
      <c r="M282" t="s">
        <v>83</v>
      </c>
      <c r="S282">
        <v>1</v>
      </c>
      <c r="U282">
        <v>0</v>
      </c>
      <c r="V282">
        <v>0</v>
      </c>
      <c r="W282">
        <v>28613.333333333336</v>
      </c>
    </row>
    <row r="283" spans="1:25" x14ac:dyDescent="0.25">
      <c r="A283" t="s">
        <v>538</v>
      </c>
      <c r="B283">
        <v>1</v>
      </c>
      <c r="C283" t="s">
        <v>507</v>
      </c>
      <c r="D283" t="s">
        <v>539</v>
      </c>
      <c r="E283" t="s">
        <v>338</v>
      </c>
      <c r="F283" t="s">
        <v>509</v>
      </c>
      <c r="G283" t="s">
        <v>289</v>
      </c>
      <c r="H283" t="s">
        <v>98</v>
      </c>
      <c r="I283" t="s">
        <v>545</v>
      </c>
      <c r="J283" t="s">
        <v>546</v>
      </c>
      <c r="K283" t="s">
        <v>82</v>
      </c>
      <c r="L283">
        <v>14200</v>
      </c>
      <c r="M283" t="s">
        <v>83</v>
      </c>
      <c r="N283">
        <v>23825</v>
      </c>
      <c r="Q283">
        <v>1</v>
      </c>
      <c r="R283">
        <v>1</v>
      </c>
      <c r="U283">
        <v>0</v>
      </c>
      <c r="V283">
        <v>0</v>
      </c>
      <c r="W283">
        <v>23825</v>
      </c>
      <c r="X283">
        <v>14200</v>
      </c>
      <c r="Y283">
        <v>14200</v>
      </c>
    </row>
    <row r="284" spans="1:25" x14ac:dyDescent="0.25">
      <c r="A284" t="s">
        <v>538</v>
      </c>
      <c r="B284">
        <v>0</v>
      </c>
      <c r="C284" t="s">
        <v>507</v>
      </c>
      <c r="D284" t="s">
        <v>539</v>
      </c>
      <c r="E284" t="s">
        <v>338</v>
      </c>
      <c r="F284" t="s">
        <v>509</v>
      </c>
      <c r="G284" t="s">
        <v>84</v>
      </c>
      <c r="H284" t="s">
        <v>98</v>
      </c>
      <c r="I284" t="s">
        <v>547</v>
      </c>
      <c r="J284" t="s">
        <v>548</v>
      </c>
      <c r="K284" t="s">
        <v>82</v>
      </c>
      <c r="L284">
        <v>33450</v>
      </c>
      <c r="M284" t="s">
        <v>83</v>
      </c>
      <c r="U284">
        <v>0</v>
      </c>
      <c r="V284">
        <v>0</v>
      </c>
      <c r="W284">
        <v>23825</v>
      </c>
    </row>
    <row r="285" spans="1:25" x14ac:dyDescent="0.25">
      <c r="A285" t="s">
        <v>538</v>
      </c>
      <c r="B285">
        <v>1</v>
      </c>
      <c r="C285" t="s">
        <v>507</v>
      </c>
      <c r="D285" t="s">
        <v>539</v>
      </c>
      <c r="E285" t="s">
        <v>338</v>
      </c>
      <c r="F285" t="s">
        <v>509</v>
      </c>
      <c r="G285" t="s">
        <v>495</v>
      </c>
      <c r="H285" t="s">
        <v>87</v>
      </c>
      <c r="I285" t="s">
        <v>538</v>
      </c>
      <c r="J285" t="s">
        <v>549</v>
      </c>
      <c r="K285" t="s">
        <v>82</v>
      </c>
      <c r="L285">
        <v>145993.75</v>
      </c>
      <c r="M285" t="s">
        <v>83</v>
      </c>
      <c r="N285">
        <v>127258.5708</v>
      </c>
      <c r="Q285">
        <v>1</v>
      </c>
      <c r="U285">
        <v>0</v>
      </c>
      <c r="V285">
        <v>0</v>
      </c>
      <c r="W285">
        <v>127258.57084999999</v>
      </c>
      <c r="X285">
        <v>145993.75</v>
      </c>
      <c r="Y285">
        <v>145993.75</v>
      </c>
    </row>
    <row r="286" spans="1:25" x14ac:dyDescent="0.25">
      <c r="A286" t="s">
        <v>538</v>
      </c>
      <c r="B286">
        <v>0</v>
      </c>
      <c r="C286" t="s">
        <v>507</v>
      </c>
      <c r="D286" t="s">
        <v>539</v>
      </c>
      <c r="E286" t="s">
        <v>338</v>
      </c>
      <c r="F286" t="s">
        <v>509</v>
      </c>
      <c r="G286" t="s">
        <v>84</v>
      </c>
      <c r="H286" t="s">
        <v>87</v>
      </c>
      <c r="I286" t="s">
        <v>538</v>
      </c>
      <c r="J286" t="s">
        <v>550</v>
      </c>
      <c r="K286" t="s">
        <v>82</v>
      </c>
      <c r="L286">
        <v>108523.39169999999</v>
      </c>
      <c r="M286" t="s">
        <v>83</v>
      </c>
      <c r="T286">
        <v>1</v>
      </c>
      <c r="U286">
        <v>0</v>
      </c>
      <c r="V286">
        <v>0</v>
      </c>
      <c r="W286">
        <v>127258.57084999999</v>
      </c>
    </row>
    <row r="287" spans="1:25" x14ac:dyDescent="0.25">
      <c r="A287" t="s">
        <v>538</v>
      </c>
      <c r="B287">
        <v>1</v>
      </c>
      <c r="C287" t="s">
        <v>507</v>
      </c>
      <c r="D287" t="s">
        <v>539</v>
      </c>
      <c r="E287" t="s">
        <v>338</v>
      </c>
      <c r="F287" t="s">
        <v>509</v>
      </c>
      <c r="G287" t="s">
        <v>79</v>
      </c>
      <c r="H287" t="s">
        <v>106</v>
      </c>
      <c r="I287" t="s">
        <v>538</v>
      </c>
      <c r="J287" t="s">
        <v>551</v>
      </c>
      <c r="K287" t="s">
        <v>82</v>
      </c>
      <c r="L287">
        <v>9350.5925000000007</v>
      </c>
      <c r="M287" t="s">
        <v>83</v>
      </c>
      <c r="N287">
        <v>8098.07</v>
      </c>
      <c r="U287">
        <v>0</v>
      </c>
      <c r="V287">
        <v>0</v>
      </c>
      <c r="W287">
        <v>8098.07</v>
      </c>
      <c r="X287">
        <v>9350.5925000000007</v>
      </c>
      <c r="Y287">
        <v>9350.5925000000007</v>
      </c>
    </row>
    <row r="288" spans="1:25" x14ac:dyDescent="0.25">
      <c r="A288" t="s">
        <v>538</v>
      </c>
      <c r="B288">
        <v>0</v>
      </c>
      <c r="C288" t="s">
        <v>507</v>
      </c>
      <c r="D288" t="s">
        <v>539</v>
      </c>
      <c r="E288" t="s">
        <v>552</v>
      </c>
      <c r="F288" t="s">
        <v>509</v>
      </c>
      <c r="G288" t="s">
        <v>84</v>
      </c>
      <c r="H288" t="s">
        <v>106</v>
      </c>
      <c r="I288" t="s">
        <v>538</v>
      </c>
      <c r="J288" t="s">
        <v>553</v>
      </c>
      <c r="K288" t="s">
        <v>82</v>
      </c>
      <c r="L288">
        <v>6845.5474999999997</v>
      </c>
      <c r="M288" t="s">
        <v>83</v>
      </c>
      <c r="S288">
        <v>1</v>
      </c>
      <c r="U288">
        <v>0</v>
      </c>
      <c r="V288">
        <v>0</v>
      </c>
      <c r="W288">
        <v>8098.07</v>
      </c>
    </row>
    <row r="289" spans="1:25" x14ac:dyDescent="0.25">
      <c r="A289" t="s">
        <v>538</v>
      </c>
      <c r="B289">
        <v>1</v>
      </c>
      <c r="C289" t="s">
        <v>507</v>
      </c>
      <c r="D289" t="s">
        <v>539</v>
      </c>
      <c r="E289" t="s">
        <v>552</v>
      </c>
      <c r="F289" t="s">
        <v>509</v>
      </c>
      <c r="G289" t="s">
        <v>79</v>
      </c>
      <c r="H289" t="s">
        <v>80</v>
      </c>
      <c r="I289" t="s">
        <v>538</v>
      </c>
      <c r="J289" t="s">
        <v>554</v>
      </c>
      <c r="K289" t="s">
        <v>82</v>
      </c>
      <c r="L289">
        <v>895921.25</v>
      </c>
      <c r="M289" t="s">
        <v>83</v>
      </c>
      <c r="N289">
        <v>775087.81499999994</v>
      </c>
      <c r="U289">
        <v>0</v>
      </c>
      <c r="V289">
        <v>0</v>
      </c>
      <c r="W289">
        <v>775087.81499999994</v>
      </c>
      <c r="X289">
        <v>895921.25</v>
      </c>
      <c r="Y289">
        <v>895921.25</v>
      </c>
    </row>
    <row r="290" spans="1:25" x14ac:dyDescent="0.25">
      <c r="A290" t="s">
        <v>538</v>
      </c>
      <c r="B290">
        <v>0</v>
      </c>
      <c r="C290" t="s">
        <v>507</v>
      </c>
      <c r="D290" t="s">
        <v>539</v>
      </c>
      <c r="E290" t="s">
        <v>552</v>
      </c>
      <c r="F290" t="s">
        <v>509</v>
      </c>
      <c r="G290" t="s">
        <v>84</v>
      </c>
      <c r="H290" t="s">
        <v>80</v>
      </c>
      <c r="I290" t="s">
        <v>538</v>
      </c>
      <c r="J290" t="s">
        <v>555</v>
      </c>
      <c r="K290" t="s">
        <v>82</v>
      </c>
      <c r="L290">
        <v>654254.38</v>
      </c>
      <c r="M290" t="s">
        <v>83</v>
      </c>
      <c r="S290">
        <v>1</v>
      </c>
      <c r="U290">
        <v>0</v>
      </c>
      <c r="V290">
        <v>0</v>
      </c>
      <c r="W290">
        <v>775087.81499999994</v>
      </c>
    </row>
    <row r="291" spans="1:25" x14ac:dyDescent="0.25">
      <c r="A291" t="s">
        <v>556</v>
      </c>
      <c r="B291">
        <v>0</v>
      </c>
      <c r="C291" t="s">
        <v>557</v>
      </c>
      <c r="D291" t="s">
        <v>558</v>
      </c>
      <c r="E291" t="s">
        <v>552</v>
      </c>
      <c r="F291" t="s">
        <v>559</v>
      </c>
      <c r="G291" t="s">
        <v>84</v>
      </c>
      <c r="H291" t="s">
        <v>92</v>
      </c>
      <c r="I291" t="s">
        <v>560</v>
      </c>
      <c r="J291" t="s">
        <v>543</v>
      </c>
      <c r="K291" t="s">
        <v>82</v>
      </c>
      <c r="L291">
        <v>34420</v>
      </c>
      <c r="M291" t="s">
        <v>83</v>
      </c>
      <c r="Q291">
        <v>1</v>
      </c>
      <c r="U291">
        <v>0</v>
      </c>
      <c r="V291">
        <v>0</v>
      </c>
      <c r="W291">
        <v>32550</v>
      </c>
    </row>
    <row r="292" spans="1:25" x14ac:dyDescent="0.25">
      <c r="A292" t="s">
        <v>556</v>
      </c>
      <c r="B292">
        <v>0</v>
      </c>
      <c r="C292" t="s">
        <v>557</v>
      </c>
      <c r="D292" t="s">
        <v>558</v>
      </c>
      <c r="E292" t="s">
        <v>552</v>
      </c>
      <c r="F292" t="s">
        <v>559</v>
      </c>
      <c r="G292" t="s">
        <v>84</v>
      </c>
      <c r="H292" t="s">
        <v>92</v>
      </c>
      <c r="I292" t="s">
        <v>561</v>
      </c>
      <c r="J292" t="s">
        <v>562</v>
      </c>
      <c r="K292" t="s">
        <v>82</v>
      </c>
      <c r="L292">
        <v>34780</v>
      </c>
      <c r="M292" t="s">
        <v>83</v>
      </c>
      <c r="P292">
        <v>1</v>
      </c>
      <c r="R292">
        <v>1</v>
      </c>
      <c r="U292">
        <v>0</v>
      </c>
      <c r="V292">
        <v>0</v>
      </c>
      <c r="W292">
        <v>32550</v>
      </c>
    </row>
    <row r="293" spans="1:25" x14ac:dyDescent="0.25">
      <c r="A293" t="s">
        <v>556</v>
      </c>
      <c r="B293">
        <v>1</v>
      </c>
      <c r="C293" t="s">
        <v>557</v>
      </c>
      <c r="D293" t="s">
        <v>558</v>
      </c>
      <c r="E293" t="s">
        <v>552</v>
      </c>
      <c r="F293" t="s">
        <v>559</v>
      </c>
      <c r="G293" t="s">
        <v>301</v>
      </c>
      <c r="H293" t="s">
        <v>92</v>
      </c>
      <c r="I293" t="s">
        <v>563</v>
      </c>
      <c r="J293" t="s">
        <v>303</v>
      </c>
      <c r="K293" t="s">
        <v>82</v>
      </c>
      <c r="L293">
        <v>28450</v>
      </c>
      <c r="M293" t="s">
        <v>83</v>
      </c>
      <c r="N293">
        <v>32550</v>
      </c>
      <c r="S293">
        <v>1</v>
      </c>
      <c r="U293">
        <v>0</v>
      </c>
      <c r="V293">
        <v>0</v>
      </c>
      <c r="W293">
        <v>32550</v>
      </c>
      <c r="X293">
        <v>28450</v>
      </c>
      <c r="Y293">
        <v>28450</v>
      </c>
    </row>
    <row r="294" spans="1:25" x14ac:dyDescent="0.25">
      <c r="A294" t="s">
        <v>556</v>
      </c>
      <c r="B294">
        <v>0</v>
      </c>
      <c r="C294" t="s">
        <v>557</v>
      </c>
      <c r="D294" t="s">
        <v>558</v>
      </c>
      <c r="E294" t="s">
        <v>552</v>
      </c>
      <c r="F294" t="s">
        <v>559</v>
      </c>
      <c r="G294" t="s">
        <v>84</v>
      </c>
      <c r="H294" t="s">
        <v>185</v>
      </c>
      <c r="I294" t="s">
        <v>556</v>
      </c>
      <c r="J294" t="s">
        <v>564</v>
      </c>
      <c r="K294" t="s">
        <v>82</v>
      </c>
      <c r="L294">
        <v>15439.9</v>
      </c>
      <c r="M294" t="s">
        <v>83</v>
      </c>
      <c r="U294">
        <v>0</v>
      </c>
      <c r="V294">
        <v>0</v>
      </c>
      <c r="W294">
        <v>16175.133333333333</v>
      </c>
    </row>
    <row r="295" spans="1:25" x14ac:dyDescent="0.25">
      <c r="A295" t="s">
        <v>556</v>
      </c>
      <c r="B295">
        <v>1</v>
      </c>
      <c r="C295" t="s">
        <v>557</v>
      </c>
      <c r="D295" t="s">
        <v>558</v>
      </c>
      <c r="E295" t="s">
        <v>552</v>
      </c>
      <c r="F295" t="s">
        <v>559</v>
      </c>
      <c r="G295" t="s">
        <v>79</v>
      </c>
      <c r="H295" t="s">
        <v>185</v>
      </c>
      <c r="I295" t="s">
        <v>556</v>
      </c>
      <c r="J295" t="s">
        <v>565</v>
      </c>
      <c r="K295" t="s">
        <v>82</v>
      </c>
      <c r="L295">
        <v>13549.3</v>
      </c>
      <c r="M295" t="s">
        <v>83</v>
      </c>
      <c r="N295">
        <v>16175.133330000001</v>
      </c>
      <c r="U295">
        <v>0</v>
      </c>
      <c r="V295">
        <v>0</v>
      </c>
      <c r="W295">
        <v>16175.133333333333</v>
      </c>
      <c r="X295">
        <v>13549.3</v>
      </c>
      <c r="Y295">
        <v>13549.3</v>
      </c>
    </row>
    <row r="296" spans="1:25" x14ac:dyDescent="0.25">
      <c r="A296" t="s">
        <v>556</v>
      </c>
      <c r="B296">
        <v>0</v>
      </c>
      <c r="C296" t="s">
        <v>557</v>
      </c>
      <c r="D296" t="s">
        <v>558</v>
      </c>
      <c r="E296" t="s">
        <v>552</v>
      </c>
      <c r="F296" t="s">
        <v>559</v>
      </c>
      <c r="G296" t="s">
        <v>84</v>
      </c>
      <c r="H296" t="s">
        <v>185</v>
      </c>
      <c r="I296" t="s">
        <v>556</v>
      </c>
      <c r="J296" t="s">
        <v>566</v>
      </c>
      <c r="K296" t="s">
        <v>82</v>
      </c>
      <c r="L296">
        <v>19536.2</v>
      </c>
      <c r="M296" t="s">
        <v>83</v>
      </c>
      <c r="U296">
        <v>0</v>
      </c>
      <c r="V296">
        <v>0</v>
      </c>
      <c r="W296">
        <v>16175.133333333333</v>
      </c>
    </row>
    <row r="297" spans="1:25" x14ac:dyDescent="0.25">
      <c r="A297" t="s">
        <v>556</v>
      </c>
      <c r="B297">
        <v>1</v>
      </c>
      <c r="C297" t="s">
        <v>557</v>
      </c>
      <c r="D297" t="s">
        <v>558</v>
      </c>
      <c r="E297" t="s">
        <v>552</v>
      </c>
      <c r="F297" t="s">
        <v>559</v>
      </c>
      <c r="G297" t="s">
        <v>203</v>
      </c>
      <c r="H297" t="s">
        <v>98</v>
      </c>
      <c r="I297" t="s">
        <v>567</v>
      </c>
      <c r="J297" t="s">
        <v>568</v>
      </c>
      <c r="K297" t="s">
        <v>82</v>
      </c>
      <c r="L297">
        <v>34400</v>
      </c>
      <c r="M297" t="s">
        <v>83</v>
      </c>
      <c r="N297">
        <v>30133.333330000001</v>
      </c>
      <c r="U297">
        <v>0</v>
      </c>
      <c r="V297">
        <v>0</v>
      </c>
      <c r="W297">
        <v>30133.333333333332</v>
      </c>
      <c r="X297">
        <v>34400</v>
      </c>
      <c r="Y297">
        <v>34400</v>
      </c>
    </row>
    <row r="298" spans="1:25" x14ac:dyDescent="0.25">
      <c r="A298" t="s">
        <v>556</v>
      </c>
      <c r="B298">
        <v>0</v>
      </c>
      <c r="C298" t="s">
        <v>557</v>
      </c>
      <c r="D298" t="s">
        <v>558</v>
      </c>
      <c r="E298" t="s">
        <v>552</v>
      </c>
      <c r="F298" t="s">
        <v>559</v>
      </c>
      <c r="G298" t="s">
        <v>84</v>
      </c>
      <c r="H298" t="s">
        <v>98</v>
      </c>
      <c r="I298" t="s">
        <v>569</v>
      </c>
      <c r="J298" t="s">
        <v>570</v>
      </c>
      <c r="K298" t="s">
        <v>82</v>
      </c>
      <c r="L298">
        <v>23350</v>
      </c>
      <c r="M298" t="s">
        <v>83</v>
      </c>
      <c r="S298">
        <v>1</v>
      </c>
      <c r="U298">
        <v>0</v>
      </c>
      <c r="V298">
        <v>0</v>
      </c>
      <c r="W298">
        <v>30133.333333333332</v>
      </c>
    </row>
    <row r="299" spans="1:25" x14ac:dyDescent="0.25">
      <c r="A299" t="s">
        <v>556</v>
      </c>
      <c r="B299">
        <v>0</v>
      </c>
      <c r="C299" t="s">
        <v>557</v>
      </c>
      <c r="D299" t="s">
        <v>558</v>
      </c>
      <c r="E299" t="s">
        <v>552</v>
      </c>
      <c r="F299" t="s">
        <v>559</v>
      </c>
      <c r="G299" t="s">
        <v>84</v>
      </c>
      <c r="H299" t="s">
        <v>98</v>
      </c>
      <c r="I299" t="s">
        <v>571</v>
      </c>
      <c r="J299" t="s">
        <v>572</v>
      </c>
      <c r="K299" t="s">
        <v>82</v>
      </c>
      <c r="L299">
        <v>32650</v>
      </c>
      <c r="M299" t="s">
        <v>83</v>
      </c>
      <c r="Q299">
        <v>1</v>
      </c>
      <c r="S299">
        <v>1</v>
      </c>
      <c r="U299">
        <v>0</v>
      </c>
      <c r="V299">
        <v>0</v>
      </c>
      <c r="W299">
        <v>30133.333333333332</v>
      </c>
    </row>
    <row r="300" spans="1:25" x14ac:dyDescent="0.25">
      <c r="A300" t="s">
        <v>556</v>
      </c>
      <c r="B300">
        <v>1</v>
      </c>
      <c r="C300" t="s">
        <v>557</v>
      </c>
      <c r="D300" t="s">
        <v>558</v>
      </c>
      <c r="E300" t="s">
        <v>552</v>
      </c>
      <c r="F300" t="s">
        <v>559</v>
      </c>
      <c r="G300" t="s">
        <v>384</v>
      </c>
      <c r="H300" t="s">
        <v>87</v>
      </c>
      <c r="I300" t="s">
        <v>556</v>
      </c>
      <c r="J300" t="s">
        <v>573</v>
      </c>
      <c r="K300" t="s">
        <v>82</v>
      </c>
      <c r="L300">
        <v>76794.083329999994</v>
      </c>
      <c r="M300" t="s">
        <v>83</v>
      </c>
      <c r="N300">
        <v>87986.9375</v>
      </c>
      <c r="R300">
        <v>1</v>
      </c>
      <c r="U300">
        <v>0</v>
      </c>
      <c r="V300">
        <v>0</v>
      </c>
      <c r="W300">
        <v>87986.9375</v>
      </c>
      <c r="X300">
        <v>76794.083329999994</v>
      </c>
      <c r="Y300">
        <v>76794.083329999994</v>
      </c>
    </row>
    <row r="301" spans="1:25" x14ac:dyDescent="0.25">
      <c r="A301" t="s">
        <v>556</v>
      </c>
      <c r="B301">
        <v>0</v>
      </c>
      <c r="C301" t="s">
        <v>557</v>
      </c>
      <c r="D301" t="s">
        <v>558</v>
      </c>
      <c r="E301" t="s">
        <v>552</v>
      </c>
      <c r="F301" t="s">
        <v>559</v>
      </c>
      <c r="G301" t="s">
        <v>84</v>
      </c>
      <c r="H301" t="s">
        <v>87</v>
      </c>
      <c r="I301" t="s">
        <v>556</v>
      </c>
      <c r="J301" t="s">
        <v>574</v>
      </c>
      <c r="K301" t="s">
        <v>82</v>
      </c>
      <c r="L301">
        <v>99179.791670000006</v>
      </c>
      <c r="M301" t="s">
        <v>83</v>
      </c>
      <c r="U301">
        <v>0</v>
      </c>
      <c r="V301">
        <v>0</v>
      </c>
      <c r="W301">
        <v>87986.9375</v>
      </c>
    </row>
    <row r="302" spans="1:25" x14ac:dyDescent="0.25">
      <c r="A302" t="s">
        <v>556</v>
      </c>
      <c r="B302">
        <v>0</v>
      </c>
      <c r="C302" t="s">
        <v>557</v>
      </c>
      <c r="D302" t="s">
        <v>558</v>
      </c>
      <c r="E302" t="s">
        <v>552</v>
      </c>
      <c r="F302" t="s">
        <v>559</v>
      </c>
      <c r="G302" t="s">
        <v>84</v>
      </c>
      <c r="H302" t="s">
        <v>110</v>
      </c>
      <c r="I302" t="s">
        <v>556</v>
      </c>
      <c r="J302" t="s">
        <v>575</v>
      </c>
      <c r="K302" t="s">
        <v>82</v>
      </c>
      <c r="L302">
        <v>12065</v>
      </c>
      <c r="M302" t="s">
        <v>83</v>
      </c>
      <c r="U302">
        <v>0</v>
      </c>
      <c r="V302">
        <v>0</v>
      </c>
      <c r="W302">
        <v>14816.666666666666</v>
      </c>
    </row>
    <row r="303" spans="1:25" x14ac:dyDescent="0.25">
      <c r="A303" t="s">
        <v>556</v>
      </c>
      <c r="B303">
        <v>1</v>
      </c>
      <c r="C303" t="s">
        <v>557</v>
      </c>
      <c r="D303" t="s">
        <v>558</v>
      </c>
      <c r="E303" t="s">
        <v>552</v>
      </c>
      <c r="F303" t="s">
        <v>559</v>
      </c>
      <c r="G303" t="s">
        <v>79</v>
      </c>
      <c r="H303" t="s">
        <v>110</v>
      </c>
      <c r="I303" t="s">
        <v>556</v>
      </c>
      <c r="J303" t="s">
        <v>576</v>
      </c>
      <c r="K303" t="s">
        <v>82</v>
      </c>
      <c r="L303">
        <v>18288</v>
      </c>
      <c r="M303" t="s">
        <v>83</v>
      </c>
      <c r="N303">
        <v>14816.666670000001</v>
      </c>
      <c r="U303">
        <v>0</v>
      </c>
      <c r="V303">
        <v>0</v>
      </c>
      <c r="W303">
        <v>14816.666666666666</v>
      </c>
      <c r="X303">
        <v>18288</v>
      </c>
      <c r="Y303">
        <v>18288</v>
      </c>
    </row>
    <row r="304" spans="1:25" x14ac:dyDescent="0.25">
      <c r="A304" t="s">
        <v>556</v>
      </c>
      <c r="B304">
        <v>0</v>
      </c>
      <c r="C304" t="s">
        <v>557</v>
      </c>
      <c r="D304" t="s">
        <v>558</v>
      </c>
      <c r="E304" t="s">
        <v>552</v>
      </c>
      <c r="F304" t="s">
        <v>559</v>
      </c>
      <c r="G304" t="s">
        <v>84</v>
      </c>
      <c r="H304" t="s">
        <v>110</v>
      </c>
      <c r="I304" t="s">
        <v>556</v>
      </c>
      <c r="J304" t="s">
        <v>577</v>
      </c>
      <c r="K304" t="s">
        <v>82</v>
      </c>
      <c r="L304">
        <v>14097</v>
      </c>
      <c r="M304" t="s">
        <v>83</v>
      </c>
      <c r="U304">
        <v>0</v>
      </c>
      <c r="V304">
        <v>0</v>
      </c>
      <c r="W304">
        <v>14816.666666666666</v>
      </c>
    </row>
    <row r="305" spans="1:25" x14ac:dyDescent="0.25">
      <c r="A305" t="s">
        <v>556</v>
      </c>
      <c r="B305">
        <v>0</v>
      </c>
      <c r="C305" t="s">
        <v>557</v>
      </c>
      <c r="D305" t="s">
        <v>558</v>
      </c>
      <c r="E305" t="s">
        <v>552</v>
      </c>
      <c r="F305" t="s">
        <v>559</v>
      </c>
      <c r="G305" t="s">
        <v>84</v>
      </c>
      <c r="H305" t="s">
        <v>106</v>
      </c>
      <c r="I305" t="s">
        <v>556</v>
      </c>
      <c r="J305" t="s">
        <v>578</v>
      </c>
      <c r="K305" t="s">
        <v>82</v>
      </c>
      <c r="L305">
        <v>10083.200000000001</v>
      </c>
      <c r="M305" t="s">
        <v>83</v>
      </c>
      <c r="U305">
        <v>0</v>
      </c>
      <c r="V305">
        <v>0</v>
      </c>
      <c r="W305">
        <v>7780.3441666666668</v>
      </c>
    </row>
    <row r="306" spans="1:25" x14ac:dyDescent="0.25">
      <c r="A306" t="s">
        <v>556</v>
      </c>
      <c r="B306">
        <v>1</v>
      </c>
      <c r="C306" t="s">
        <v>557</v>
      </c>
      <c r="D306" t="s">
        <v>558</v>
      </c>
      <c r="E306" t="s">
        <v>552</v>
      </c>
      <c r="F306" t="s">
        <v>559</v>
      </c>
      <c r="G306" t="s">
        <v>79</v>
      </c>
      <c r="H306" t="s">
        <v>106</v>
      </c>
      <c r="I306" t="s">
        <v>556</v>
      </c>
      <c r="J306" t="s">
        <v>579</v>
      </c>
      <c r="K306" t="s">
        <v>82</v>
      </c>
      <c r="L306">
        <v>8736.1474999999991</v>
      </c>
      <c r="M306" t="s">
        <v>83</v>
      </c>
      <c r="N306">
        <v>7780.3441670000002</v>
      </c>
      <c r="U306">
        <v>0</v>
      </c>
      <c r="V306">
        <v>0</v>
      </c>
      <c r="W306">
        <v>7780.3441666666668</v>
      </c>
      <c r="X306">
        <v>8736.1474999999991</v>
      </c>
      <c r="Y306">
        <v>8736.1474999999991</v>
      </c>
    </row>
    <row r="307" spans="1:25" x14ac:dyDescent="0.25">
      <c r="A307" t="s">
        <v>556</v>
      </c>
      <c r="B307">
        <v>0</v>
      </c>
      <c r="C307" t="s">
        <v>557</v>
      </c>
      <c r="D307" t="s">
        <v>558</v>
      </c>
      <c r="E307" t="s">
        <v>552</v>
      </c>
      <c r="F307" t="s">
        <v>559</v>
      </c>
      <c r="G307" t="s">
        <v>84</v>
      </c>
      <c r="H307" t="s">
        <v>106</v>
      </c>
      <c r="I307" t="s">
        <v>556</v>
      </c>
      <c r="J307" t="s">
        <v>580</v>
      </c>
      <c r="K307" t="s">
        <v>82</v>
      </c>
      <c r="L307">
        <v>4521.6850000000004</v>
      </c>
      <c r="M307" t="s">
        <v>83</v>
      </c>
      <c r="U307">
        <v>0</v>
      </c>
      <c r="V307">
        <v>0</v>
      </c>
      <c r="W307">
        <v>7780.3441666666668</v>
      </c>
    </row>
    <row r="308" spans="1:25" x14ac:dyDescent="0.25">
      <c r="A308" t="s">
        <v>556</v>
      </c>
      <c r="B308">
        <v>0</v>
      </c>
      <c r="C308" t="s">
        <v>557</v>
      </c>
      <c r="D308" t="s">
        <v>558</v>
      </c>
      <c r="E308" t="s">
        <v>552</v>
      </c>
      <c r="F308" t="s">
        <v>559</v>
      </c>
      <c r="G308" t="s">
        <v>84</v>
      </c>
      <c r="H308" t="s">
        <v>80</v>
      </c>
      <c r="I308" t="s">
        <v>556</v>
      </c>
      <c r="J308" t="s">
        <v>581</v>
      </c>
      <c r="K308" t="s">
        <v>82</v>
      </c>
      <c r="L308">
        <v>891654.0625</v>
      </c>
      <c r="M308" t="s">
        <v>83</v>
      </c>
      <c r="U308">
        <v>0</v>
      </c>
      <c r="V308">
        <v>0</v>
      </c>
      <c r="W308">
        <v>834064.01939999999</v>
      </c>
    </row>
    <row r="309" spans="1:25" x14ac:dyDescent="0.25">
      <c r="A309" t="s">
        <v>556</v>
      </c>
      <c r="B309">
        <v>1</v>
      </c>
      <c r="C309" t="s">
        <v>557</v>
      </c>
      <c r="D309" t="s">
        <v>558</v>
      </c>
      <c r="E309" t="s">
        <v>552</v>
      </c>
      <c r="F309" t="s">
        <v>559</v>
      </c>
      <c r="G309" t="s">
        <v>79</v>
      </c>
      <c r="H309" t="s">
        <v>80</v>
      </c>
      <c r="I309" t="s">
        <v>556</v>
      </c>
      <c r="J309" t="s">
        <v>582</v>
      </c>
      <c r="K309" t="s">
        <v>82</v>
      </c>
      <c r="L309">
        <v>805591.46250000002</v>
      </c>
      <c r="M309" t="s">
        <v>83</v>
      </c>
      <c r="N309">
        <v>834064.01939999999</v>
      </c>
      <c r="U309">
        <v>0</v>
      </c>
      <c r="V309">
        <v>0</v>
      </c>
      <c r="W309">
        <v>834064.01939999999</v>
      </c>
      <c r="X309">
        <v>805591.46250000002</v>
      </c>
      <c r="Y309">
        <v>805591.46250000002</v>
      </c>
    </row>
    <row r="310" spans="1:25" x14ac:dyDescent="0.25">
      <c r="A310" t="s">
        <v>556</v>
      </c>
      <c r="B310">
        <v>0</v>
      </c>
      <c r="C310" t="s">
        <v>557</v>
      </c>
      <c r="D310" t="s">
        <v>558</v>
      </c>
      <c r="E310" t="s">
        <v>552</v>
      </c>
      <c r="F310" t="s">
        <v>559</v>
      </c>
      <c r="G310" t="s">
        <v>84</v>
      </c>
      <c r="H310" t="s">
        <v>80</v>
      </c>
      <c r="I310" t="s">
        <v>556</v>
      </c>
      <c r="J310" t="s">
        <v>583</v>
      </c>
      <c r="K310" t="s">
        <v>82</v>
      </c>
      <c r="L310">
        <v>804946.53319999995</v>
      </c>
      <c r="M310" t="s">
        <v>83</v>
      </c>
      <c r="U310">
        <v>0</v>
      </c>
      <c r="V310">
        <v>0</v>
      </c>
      <c r="W310">
        <v>834064.01939999999</v>
      </c>
    </row>
    <row r="311" spans="1:25" x14ac:dyDescent="0.25">
      <c r="A311" t="s">
        <v>584</v>
      </c>
      <c r="B311">
        <v>1</v>
      </c>
      <c r="C311" t="s">
        <v>557</v>
      </c>
      <c r="D311" t="s">
        <v>585</v>
      </c>
      <c r="E311" t="s">
        <v>552</v>
      </c>
      <c r="F311" t="s">
        <v>559</v>
      </c>
      <c r="G311" t="s">
        <v>141</v>
      </c>
      <c r="H311" t="s">
        <v>92</v>
      </c>
      <c r="I311" t="s">
        <v>586</v>
      </c>
      <c r="J311" t="s">
        <v>587</v>
      </c>
      <c r="K311" t="s">
        <v>82</v>
      </c>
      <c r="L311">
        <v>30170</v>
      </c>
      <c r="M311" t="s">
        <v>83</v>
      </c>
      <c r="N311">
        <v>38485</v>
      </c>
      <c r="O311">
        <v>1</v>
      </c>
      <c r="U311">
        <v>30170</v>
      </c>
      <c r="V311">
        <v>30170</v>
      </c>
      <c r="W311">
        <v>38485</v>
      </c>
      <c r="X311">
        <v>30170</v>
      </c>
      <c r="Y311">
        <v>30170</v>
      </c>
    </row>
    <row r="312" spans="1:25" x14ac:dyDescent="0.25">
      <c r="A312" t="s">
        <v>584</v>
      </c>
      <c r="B312">
        <v>0</v>
      </c>
      <c r="C312" t="s">
        <v>557</v>
      </c>
      <c r="D312" t="s">
        <v>585</v>
      </c>
      <c r="E312" t="s">
        <v>552</v>
      </c>
      <c r="F312" t="s">
        <v>559</v>
      </c>
      <c r="G312" t="s">
        <v>84</v>
      </c>
      <c r="H312" t="s">
        <v>92</v>
      </c>
      <c r="I312" t="s">
        <v>543</v>
      </c>
      <c r="J312" t="s">
        <v>543</v>
      </c>
      <c r="K312" t="s">
        <v>82</v>
      </c>
      <c r="L312">
        <v>46800</v>
      </c>
      <c r="M312" t="s">
        <v>83</v>
      </c>
      <c r="U312">
        <v>0</v>
      </c>
      <c r="V312">
        <v>0</v>
      </c>
      <c r="W312">
        <v>38485</v>
      </c>
    </row>
    <row r="313" spans="1:25" x14ac:dyDescent="0.25">
      <c r="A313" t="s">
        <v>584</v>
      </c>
      <c r="B313">
        <v>0</v>
      </c>
      <c r="C313" t="s">
        <v>557</v>
      </c>
      <c r="D313" t="s">
        <v>585</v>
      </c>
      <c r="E313" t="s">
        <v>552</v>
      </c>
      <c r="F313" t="s">
        <v>559</v>
      </c>
      <c r="G313" t="s">
        <v>84</v>
      </c>
      <c r="H313" t="s">
        <v>80</v>
      </c>
      <c r="I313" t="s">
        <v>584</v>
      </c>
      <c r="J313" t="s">
        <v>588</v>
      </c>
      <c r="K313" t="s">
        <v>82</v>
      </c>
      <c r="L313">
        <v>767907.3125</v>
      </c>
      <c r="M313" t="s">
        <v>83</v>
      </c>
      <c r="P313">
        <v>1</v>
      </c>
      <c r="U313">
        <v>0</v>
      </c>
      <c r="V313">
        <v>0</v>
      </c>
      <c r="W313">
        <v>831311.73625000007</v>
      </c>
    </row>
    <row r="314" spans="1:25" x14ac:dyDescent="0.25">
      <c r="A314" t="s">
        <v>584</v>
      </c>
      <c r="B314">
        <v>1</v>
      </c>
      <c r="C314" t="s">
        <v>557</v>
      </c>
      <c r="D314" t="s">
        <v>585</v>
      </c>
      <c r="E314" t="s">
        <v>552</v>
      </c>
      <c r="F314" t="s">
        <v>559</v>
      </c>
      <c r="G314" t="s">
        <v>248</v>
      </c>
      <c r="H314" t="s">
        <v>80</v>
      </c>
      <c r="I314" t="s">
        <v>589</v>
      </c>
      <c r="J314" t="s">
        <v>590</v>
      </c>
      <c r="K314" t="s">
        <v>82</v>
      </c>
      <c r="L314">
        <v>894716.16</v>
      </c>
      <c r="M314" t="s">
        <v>83</v>
      </c>
      <c r="N314">
        <v>831311.73629999999</v>
      </c>
      <c r="U314">
        <v>0</v>
      </c>
      <c r="V314">
        <v>0</v>
      </c>
      <c r="W314">
        <v>831311.73625000007</v>
      </c>
      <c r="X314">
        <v>894716.16</v>
      </c>
      <c r="Y314">
        <v>894716.16</v>
      </c>
    </row>
    <row r="315" spans="1:25" x14ac:dyDescent="0.25">
      <c r="A315" t="s">
        <v>584</v>
      </c>
      <c r="B315">
        <v>0</v>
      </c>
      <c r="C315" t="s">
        <v>557</v>
      </c>
      <c r="D315" t="s">
        <v>585</v>
      </c>
      <c r="E315" t="s">
        <v>552</v>
      </c>
      <c r="F315" t="s">
        <v>559</v>
      </c>
      <c r="G315" t="s">
        <v>84</v>
      </c>
      <c r="H315" t="s">
        <v>87</v>
      </c>
      <c r="I315" t="s">
        <v>584</v>
      </c>
      <c r="J315" t="s">
        <v>591</v>
      </c>
      <c r="K315" t="s">
        <v>82</v>
      </c>
      <c r="L315">
        <v>103909.1667</v>
      </c>
      <c r="M315" t="s">
        <v>83</v>
      </c>
      <c r="Q315">
        <v>1</v>
      </c>
      <c r="U315">
        <v>0</v>
      </c>
      <c r="V315">
        <v>0</v>
      </c>
      <c r="W315">
        <v>122096.46946666666</v>
      </c>
    </row>
    <row r="316" spans="1:25" x14ac:dyDescent="0.25">
      <c r="A316" t="s">
        <v>584</v>
      </c>
      <c r="B316">
        <v>1</v>
      </c>
      <c r="C316" t="s">
        <v>557</v>
      </c>
      <c r="D316" t="s">
        <v>585</v>
      </c>
      <c r="E316" t="s">
        <v>552</v>
      </c>
      <c r="F316" t="s">
        <v>559</v>
      </c>
      <c r="G316" t="s">
        <v>495</v>
      </c>
      <c r="H316" t="s">
        <v>87</v>
      </c>
      <c r="I316" t="s">
        <v>584</v>
      </c>
      <c r="J316" t="s">
        <v>592</v>
      </c>
      <c r="K316" t="s">
        <v>82</v>
      </c>
      <c r="L316">
        <v>109025.1167</v>
      </c>
      <c r="M316" t="s">
        <v>83</v>
      </c>
      <c r="N316">
        <v>122096.4694</v>
      </c>
      <c r="U316">
        <v>0</v>
      </c>
      <c r="V316">
        <v>0</v>
      </c>
      <c r="W316">
        <v>122096.46946666666</v>
      </c>
      <c r="X316">
        <v>109025.1167</v>
      </c>
      <c r="Y316">
        <v>109025.1167</v>
      </c>
    </row>
    <row r="317" spans="1:25" x14ac:dyDescent="0.25">
      <c r="A317" t="s">
        <v>584</v>
      </c>
      <c r="B317">
        <v>0</v>
      </c>
      <c r="C317" t="s">
        <v>557</v>
      </c>
      <c r="D317" t="s">
        <v>585</v>
      </c>
      <c r="E317" t="s">
        <v>552</v>
      </c>
      <c r="F317" t="s">
        <v>559</v>
      </c>
      <c r="G317" t="s">
        <v>84</v>
      </c>
      <c r="H317" t="s">
        <v>87</v>
      </c>
      <c r="I317" t="s">
        <v>593</v>
      </c>
      <c r="J317" t="s">
        <v>594</v>
      </c>
      <c r="K317" t="s">
        <v>82</v>
      </c>
      <c r="L317">
        <v>153355.125</v>
      </c>
      <c r="M317" t="s">
        <v>83</v>
      </c>
      <c r="R317">
        <v>1</v>
      </c>
      <c r="T317">
        <v>1</v>
      </c>
      <c r="U317">
        <v>0</v>
      </c>
      <c r="V317">
        <v>0</v>
      </c>
      <c r="W317">
        <v>122096.46946666666</v>
      </c>
    </row>
    <row r="318" spans="1:25" x14ac:dyDescent="0.25">
      <c r="A318" t="s">
        <v>584</v>
      </c>
      <c r="B318">
        <v>0</v>
      </c>
      <c r="C318" t="s">
        <v>557</v>
      </c>
      <c r="D318" t="s">
        <v>585</v>
      </c>
      <c r="E318" t="s">
        <v>552</v>
      </c>
      <c r="F318" t="s">
        <v>559</v>
      </c>
      <c r="G318" t="s">
        <v>84</v>
      </c>
      <c r="H318" t="s">
        <v>98</v>
      </c>
      <c r="I318" t="s">
        <v>595</v>
      </c>
      <c r="J318" t="s">
        <v>596</v>
      </c>
      <c r="K318" t="s">
        <v>82</v>
      </c>
      <c r="L318">
        <v>16750</v>
      </c>
      <c r="M318" t="s">
        <v>83</v>
      </c>
      <c r="Q318">
        <v>1</v>
      </c>
      <c r="U318">
        <v>0</v>
      </c>
      <c r="V318">
        <v>0</v>
      </c>
      <c r="W318">
        <v>23066.666666666668</v>
      </c>
    </row>
    <row r="319" spans="1:25" x14ac:dyDescent="0.25">
      <c r="A319" t="s">
        <v>584</v>
      </c>
      <c r="B319">
        <v>1</v>
      </c>
      <c r="C319" t="s">
        <v>557</v>
      </c>
      <c r="D319" t="s">
        <v>585</v>
      </c>
      <c r="E319" t="s">
        <v>552</v>
      </c>
      <c r="F319" t="s">
        <v>559</v>
      </c>
      <c r="G319" t="s">
        <v>528</v>
      </c>
      <c r="H319" t="s">
        <v>98</v>
      </c>
      <c r="I319" t="s">
        <v>597</v>
      </c>
      <c r="J319" t="s">
        <v>598</v>
      </c>
      <c r="K319" t="s">
        <v>82</v>
      </c>
      <c r="L319">
        <v>30450</v>
      </c>
      <c r="M319" t="s">
        <v>83</v>
      </c>
      <c r="N319">
        <v>23066.666669999999</v>
      </c>
      <c r="U319">
        <v>0</v>
      </c>
      <c r="V319">
        <v>0</v>
      </c>
      <c r="W319">
        <v>23066.666666666668</v>
      </c>
      <c r="X319">
        <v>30450</v>
      </c>
      <c r="Y319">
        <v>30450</v>
      </c>
    </row>
    <row r="320" spans="1:25" x14ac:dyDescent="0.25">
      <c r="A320" t="s">
        <v>584</v>
      </c>
      <c r="B320">
        <v>0</v>
      </c>
      <c r="C320" t="s">
        <v>557</v>
      </c>
      <c r="D320" t="s">
        <v>585</v>
      </c>
      <c r="E320" t="s">
        <v>552</v>
      </c>
      <c r="F320" t="s">
        <v>559</v>
      </c>
      <c r="G320" t="s">
        <v>84</v>
      </c>
      <c r="H320" t="s">
        <v>98</v>
      </c>
      <c r="I320" t="s">
        <v>599</v>
      </c>
      <c r="J320" t="s">
        <v>600</v>
      </c>
      <c r="K320" t="s">
        <v>82</v>
      </c>
      <c r="L320">
        <v>22000</v>
      </c>
      <c r="M320" t="s">
        <v>83</v>
      </c>
      <c r="S320">
        <v>1</v>
      </c>
      <c r="U320">
        <v>0</v>
      </c>
      <c r="V320">
        <v>0</v>
      </c>
      <c r="W320">
        <v>23066.666666666668</v>
      </c>
    </row>
    <row r="321" spans="1:25" x14ac:dyDescent="0.25">
      <c r="A321" t="s">
        <v>584</v>
      </c>
      <c r="B321">
        <v>0</v>
      </c>
      <c r="C321" t="s">
        <v>557</v>
      </c>
      <c r="D321" t="s">
        <v>585</v>
      </c>
      <c r="E321" t="s">
        <v>552</v>
      </c>
      <c r="F321" t="s">
        <v>559</v>
      </c>
      <c r="G321" t="s">
        <v>84</v>
      </c>
      <c r="H321" t="s">
        <v>106</v>
      </c>
      <c r="I321" t="s">
        <v>584</v>
      </c>
      <c r="J321" t="s">
        <v>601</v>
      </c>
      <c r="K321" t="s">
        <v>82</v>
      </c>
      <c r="L321">
        <v>13147.547500000001</v>
      </c>
      <c r="M321" t="s">
        <v>83</v>
      </c>
      <c r="P321">
        <v>1</v>
      </c>
      <c r="U321">
        <v>0</v>
      </c>
      <c r="V321">
        <v>0</v>
      </c>
      <c r="W321">
        <v>9449.0612500000007</v>
      </c>
    </row>
    <row r="322" spans="1:25" x14ac:dyDescent="0.25">
      <c r="A322" t="s">
        <v>584</v>
      </c>
      <c r="B322">
        <v>1</v>
      </c>
      <c r="C322" t="s">
        <v>557</v>
      </c>
      <c r="D322" t="s">
        <v>585</v>
      </c>
      <c r="E322" t="s">
        <v>552</v>
      </c>
      <c r="F322" t="s">
        <v>559</v>
      </c>
      <c r="G322" t="s">
        <v>248</v>
      </c>
      <c r="H322" t="s">
        <v>106</v>
      </c>
      <c r="I322" t="s">
        <v>589</v>
      </c>
      <c r="J322" t="s">
        <v>602</v>
      </c>
      <c r="K322" t="s">
        <v>82</v>
      </c>
      <c r="L322">
        <v>5750.5749999999998</v>
      </c>
      <c r="M322" t="s">
        <v>83</v>
      </c>
      <c r="N322">
        <v>9449.0612500000007</v>
      </c>
      <c r="U322">
        <v>0</v>
      </c>
      <c r="V322">
        <v>0</v>
      </c>
      <c r="W322">
        <v>9449.0612500000007</v>
      </c>
      <c r="X322">
        <v>5750.5749999999998</v>
      </c>
      <c r="Y322">
        <v>5750.5749999999998</v>
      </c>
    </row>
    <row r="323" spans="1:25" x14ac:dyDescent="0.25">
      <c r="A323" t="s">
        <v>584</v>
      </c>
      <c r="B323">
        <v>0</v>
      </c>
      <c r="C323" t="s">
        <v>557</v>
      </c>
      <c r="D323" t="s">
        <v>585</v>
      </c>
      <c r="E323" t="s">
        <v>552</v>
      </c>
      <c r="F323" t="s">
        <v>559</v>
      </c>
      <c r="G323" t="s">
        <v>84</v>
      </c>
      <c r="H323" t="s">
        <v>110</v>
      </c>
      <c r="I323" t="s">
        <v>584</v>
      </c>
      <c r="J323" t="s">
        <v>603</v>
      </c>
      <c r="K323" t="s">
        <v>82</v>
      </c>
      <c r="L323">
        <v>7680</v>
      </c>
      <c r="M323" t="s">
        <v>83</v>
      </c>
      <c r="P323">
        <v>1</v>
      </c>
      <c r="U323">
        <v>0</v>
      </c>
      <c r="V323">
        <v>0</v>
      </c>
      <c r="W323">
        <v>13794</v>
      </c>
    </row>
    <row r="324" spans="1:25" x14ac:dyDescent="0.25">
      <c r="A324" t="s">
        <v>584</v>
      </c>
      <c r="B324">
        <v>1</v>
      </c>
      <c r="C324" t="s">
        <v>557</v>
      </c>
      <c r="D324" t="s">
        <v>585</v>
      </c>
      <c r="E324" t="s">
        <v>552</v>
      </c>
      <c r="F324" t="s">
        <v>559</v>
      </c>
      <c r="G324" t="s">
        <v>248</v>
      </c>
      <c r="H324" t="s">
        <v>110</v>
      </c>
      <c r="I324" t="s">
        <v>589</v>
      </c>
      <c r="J324" t="s">
        <v>604</v>
      </c>
      <c r="K324" t="s">
        <v>82</v>
      </c>
      <c r="L324">
        <v>19908</v>
      </c>
      <c r="M324" t="s">
        <v>83</v>
      </c>
      <c r="N324">
        <v>13794</v>
      </c>
      <c r="U324">
        <v>0</v>
      </c>
      <c r="V324">
        <v>0</v>
      </c>
      <c r="W324">
        <v>13794</v>
      </c>
      <c r="X324">
        <v>19908</v>
      </c>
      <c r="Y324">
        <v>19908</v>
      </c>
    </row>
    <row r="325" spans="1:25" x14ac:dyDescent="0.25">
      <c r="A325" t="s">
        <v>584</v>
      </c>
      <c r="B325">
        <v>0</v>
      </c>
      <c r="C325" t="s">
        <v>557</v>
      </c>
      <c r="D325" t="s">
        <v>585</v>
      </c>
      <c r="E325" t="s">
        <v>552</v>
      </c>
      <c r="F325" t="s">
        <v>559</v>
      </c>
      <c r="G325" t="s">
        <v>84</v>
      </c>
      <c r="H325" t="s">
        <v>185</v>
      </c>
      <c r="I325" t="s">
        <v>584</v>
      </c>
      <c r="J325" t="s">
        <v>605</v>
      </c>
      <c r="K325" t="s">
        <v>82</v>
      </c>
      <c r="L325">
        <v>19299.875</v>
      </c>
      <c r="M325" t="s">
        <v>83</v>
      </c>
      <c r="P325">
        <v>1</v>
      </c>
      <c r="U325">
        <v>0</v>
      </c>
      <c r="V325">
        <v>0</v>
      </c>
      <c r="W325">
        <v>20323.95</v>
      </c>
    </row>
    <row r="326" spans="1:25" x14ac:dyDescent="0.25">
      <c r="A326" t="s">
        <v>584</v>
      </c>
      <c r="B326">
        <v>1</v>
      </c>
      <c r="C326" t="s">
        <v>557</v>
      </c>
      <c r="D326" t="s">
        <v>585</v>
      </c>
      <c r="E326" t="s">
        <v>552</v>
      </c>
      <c r="F326" t="s">
        <v>559</v>
      </c>
      <c r="G326" t="s">
        <v>248</v>
      </c>
      <c r="H326" t="s">
        <v>185</v>
      </c>
      <c r="I326" t="s">
        <v>589</v>
      </c>
      <c r="J326" t="s">
        <v>606</v>
      </c>
      <c r="K326" t="s">
        <v>82</v>
      </c>
      <c r="L326">
        <v>21348.025000000001</v>
      </c>
      <c r="M326" t="s">
        <v>83</v>
      </c>
      <c r="N326">
        <v>20323.95</v>
      </c>
      <c r="U326">
        <v>0</v>
      </c>
      <c r="V326">
        <v>0</v>
      </c>
      <c r="W326">
        <v>20323.95</v>
      </c>
      <c r="X326">
        <v>21348.025000000001</v>
      </c>
      <c r="Y326">
        <v>21348.025000000001</v>
      </c>
    </row>
    <row r="327" spans="1:25" x14ac:dyDescent="0.25">
      <c r="A327" t="s">
        <v>607</v>
      </c>
      <c r="B327">
        <v>0</v>
      </c>
      <c r="C327" t="s">
        <v>608</v>
      </c>
      <c r="D327" t="s">
        <v>609</v>
      </c>
      <c r="E327" t="s">
        <v>552</v>
      </c>
      <c r="F327" t="s">
        <v>610</v>
      </c>
      <c r="G327" t="s">
        <v>84</v>
      </c>
      <c r="H327" t="s">
        <v>92</v>
      </c>
      <c r="I327" t="s">
        <v>611</v>
      </c>
      <c r="J327" t="s">
        <v>612</v>
      </c>
      <c r="K327" t="s">
        <v>82</v>
      </c>
      <c r="L327">
        <v>77780</v>
      </c>
      <c r="M327" t="s">
        <v>83</v>
      </c>
      <c r="Q327">
        <v>1</v>
      </c>
      <c r="T327">
        <v>1</v>
      </c>
      <c r="U327">
        <v>0</v>
      </c>
      <c r="V327">
        <v>0</v>
      </c>
      <c r="W327">
        <v>65180</v>
      </c>
    </row>
    <row r="328" spans="1:25" x14ac:dyDescent="0.25">
      <c r="A328" t="s">
        <v>607</v>
      </c>
      <c r="B328">
        <v>1</v>
      </c>
      <c r="C328" t="s">
        <v>608</v>
      </c>
      <c r="D328" t="s">
        <v>609</v>
      </c>
      <c r="E328" t="s">
        <v>552</v>
      </c>
      <c r="F328" t="s">
        <v>610</v>
      </c>
      <c r="G328" t="s">
        <v>221</v>
      </c>
      <c r="H328" t="s">
        <v>92</v>
      </c>
      <c r="I328" t="s">
        <v>613</v>
      </c>
      <c r="J328" t="s">
        <v>221</v>
      </c>
      <c r="K328" t="s">
        <v>82</v>
      </c>
      <c r="L328">
        <v>52580</v>
      </c>
      <c r="M328" t="s">
        <v>83</v>
      </c>
      <c r="N328">
        <v>65180</v>
      </c>
      <c r="U328">
        <v>0</v>
      </c>
      <c r="V328">
        <v>0</v>
      </c>
      <c r="W328">
        <v>65180</v>
      </c>
      <c r="X328">
        <v>52580</v>
      </c>
      <c r="Y328">
        <v>52580</v>
      </c>
    </row>
    <row r="329" spans="1:25" x14ac:dyDescent="0.25">
      <c r="A329" t="s">
        <v>607</v>
      </c>
      <c r="B329">
        <v>0</v>
      </c>
      <c r="C329" t="s">
        <v>608</v>
      </c>
      <c r="D329" t="s">
        <v>609</v>
      </c>
      <c r="E329" t="s">
        <v>552</v>
      </c>
      <c r="F329" t="s">
        <v>610</v>
      </c>
      <c r="G329" t="s">
        <v>84</v>
      </c>
      <c r="H329" t="s">
        <v>98</v>
      </c>
      <c r="I329" t="s">
        <v>614</v>
      </c>
      <c r="J329" t="s">
        <v>615</v>
      </c>
      <c r="K329" t="s">
        <v>82</v>
      </c>
      <c r="L329">
        <v>29750</v>
      </c>
      <c r="M329" t="s">
        <v>83</v>
      </c>
      <c r="U329">
        <v>0</v>
      </c>
      <c r="V329">
        <v>0</v>
      </c>
      <c r="W329">
        <v>36666.666666666664</v>
      </c>
    </row>
    <row r="330" spans="1:25" x14ac:dyDescent="0.25">
      <c r="A330" t="s">
        <v>607</v>
      </c>
      <c r="B330">
        <v>0</v>
      </c>
      <c r="C330" t="s">
        <v>608</v>
      </c>
      <c r="D330" t="s">
        <v>609</v>
      </c>
      <c r="E330" t="s">
        <v>552</v>
      </c>
      <c r="F330" t="s">
        <v>610</v>
      </c>
      <c r="G330" t="s">
        <v>84</v>
      </c>
      <c r="H330" t="s">
        <v>98</v>
      </c>
      <c r="I330" t="s">
        <v>616</v>
      </c>
      <c r="J330" t="s">
        <v>617</v>
      </c>
      <c r="K330" t="s">
        <v>82</v>
      </c>
      <c r="L330">
        <v>16600</v>
      </c>
      <c r="M330" t="s">
        <v>83</v>
      </c>
      <c r="S330">
        <v>1</v>
      </c>
      <c r="U330">
        <v>0</v>
      </c>
      <c r="V330">
        <v>0</v>
      </c>
      <c r="W330">
        <v>36666.666666666664</v>
      </c>
    </row>
    <row r="331" spans="1:25" x14ac:dyDescent="0.25">
      <c r="A331" t="s">
        <v>607</v>
      </c>
      <c r="B331">
        <v>1</v>
      </c>
      <c r="C331" t="s">
        <v>608</v>
      </c>
      <c r="D331" t="s">
        <v>609</v>
      </c>
      <c r="E331" t="s">
        <v>552</v>
      </c>
      <c r="F331" t="s">
        <v>610</v>
      </c>
      <c r="G331" t="s">
        <v>103</v>
      </c>
      <c r="H331" t="s">
        <v>98</v>
      </c>
      <c r="I331" t="s">
        <v>618</v>
      </c>
      <c r="J331" t="s">
        <v>619</v>
      </c>
      <c r="K331" t="s">
        <v>82</v>
      </c>
      <c r="L331">
        <v>63650</v>
      </c>
      <c r="M331" t="s">
        <v>83</v>
      </c>
      <c r="N331">
        <v>36666.666669999999</v>
      </c>
      <c r="R331">
        <v>1</v>
      </c>
      <c r="T331">
        <v>1</v>
      </c>
      <c r="U331">
        <v>0</v>
      </c>
      <c r="V331">
        <v>0</v>
      </c>
      <c r="W331">
        <v>36666.666666666664</v>
      </c>
      <c r="X331">
        <v>63650</v>
      </c>
      <c r="Y331">
        <v>63650</v>
      </c>
    </row>
    <row r="332" spans="1:25" x14ac:dyDescent="0.25">
      <c r="A332" t="s">
        <v>607</v>
      </c>
      <c r="B332">
        <v>0</v>
      </c>
      <c r="C332" t="s">
        <v>608</v>
      </c>
      <c r="D332" t="s">
        <v>609</v>
      </c>
      <c r="E332" t="s">
        <v>552</v>
      </c>
      <c r="F332" t="s">
        <v>610</v>
      </c>
      <c r="G332" t="s">
        <v>84</v>
      </c>
      <c r="H332" t="s">
        <v>87</v>
      </c>
      <c r="I332" t="s">
        <v>620</v>
      </c>
      <c r="J332" t="s">
        <v>621</v>
      </c>
      <c r="K332" t="s">
        <v>82</v>
      </c>
      <c r="L332">
        <v>110045.01669999999</v>
      </c>
      <c r="M332" t="s">
        <v>83</v>
      </c>
      <c r="U332">
        <v>0</v>
      </c>
      <c r="V332">
        <v>0</v>
      </c>
      <c r="W332">
        <v>116541.85279999999</v>
      </c>
    </row>
    <row r="333" spans="1:25" x14ac:dyDescent="0.25">
      <c r="A333" t="s">
        <v>607</v>
      </c>
      <c r="B333">
        <v>1</v>
      </c>
      <c r="C333" t="s">
        <v>608</v>
      </c>
      <c r="D333" t="s">
        <v>609</v>
      </c>
      <c r="E333" t="s">
        <v>552</v>
      </c>
      <c r="F333" t="s">
        <v>610</v>
      </c>
      <c r="G333" t="s">
        <v>413</v>
      </c>
      <c r="H333" t="s">
        <v>87</v>
      </c>
      <c r="I333" t="s">
        <v>622</v>
      </c>
      <c r="J333" t="s">
        <v>623</v>
      </c>
      <c r="K333" t="s">
        <v>82</v>
      </c>
      <c r="L333">
        <v>112271.25</v>
      </c>
      <c r="M333" t="s">
        <v>83</v>
      </c>
      <c r="N333">
        <v>116541.85279999999</v>
      </c>
      <c r="U333">
        <v>0</v>
      </c>
      <c r="V333">
        <v>0</v>
      </c>
      <c r="W333">
        <v>116541.85279999999</v>
      </c>
      <c r="X333">
        <v>112271.25</v>
      </c>
      <c r="Y333">
        <v>112271.25</v>
      </c>
    </row>
    <row r="334" spans="1:25" x14ac:dyDescent="0.25">
      <c r="A334" t="s">
        <v>607</v>
      </c>
      <c r="B334">
        <v>0</v>
      </c>
      <c r="C334" t="s">
        <v>608</v>
      </c>
      <c r="D334" t="s">
        <v>609</v>
      </c>
      <c r="E334" t="s">
        <v>552</v>
      </c>
      <c r="F334" t="s">
        <v>610</v>
      </c>
      <c r="G334" t="s">
        <v>84</v>
      </c>
      <c r="H334" t="s">
        <v>87</v>
      </c>
      <c r="I334" t="s">
        <v>624</v>
      </c>
      <c r="J334" t="s">
        <v>625</v>
      </c>
      <c r="K334" t="s">
        <v>82</v>
      </c>
      <c r="L334">
        <v>127309.2917</v>
      </c>
      <c r="M334" t="s">
        <v>83</v>
      </c>
      <c r="Q334">
        <v>1</v>
      </c>
      <c r="R334">
        <v>1</v>
      </c>
      <c r="U334">
        <v>0</v>
      </c>
      <c r="V334">
        <v>0</v>
      </c>
      <c r="W334">
        <v>116541.85279999999</v>
      </c>
    </row>
    <row r="335" spans="1:25" x14ac:dyDescent="0.25">
      <c r="A335" t="s">
        <v>607</v>
      </c>
      <c r="B335">
        <v>1</v>
      </c>
      <c r="C335" t="s">
        <v>608</v>
      </c>
      <c r="D335" t="s">
        <v>609</v>
      </c>
      <c r="E335" t="s">
        <v>552</v>
      </c>
      <c r="F335" t="s">
        <v>610</v>
      </c>
      <c r="G335" t="s">
        <v>626</v>
      </c>
      <c r="H335" t="s">
        <v>80</v>
      </c>
      <c r="I335" t="s">
        <v>607</v>
      </c>
      <c r="J335" t="s">
        <v>627</v>
      </c>
      <c r="K335" t="s">
        <v>82</v>
      </c>
      <c r="L335">
        <v>696940.44</v>
      </c>
      <c r="M335" t="s">
        <v>83</v>
      </c>
      <c r="N335">
        <v>729332.05169999995</v>
      </c>
      <c r="U335">
        <v>0</v>
      </c>
      <c r="V335">
        <v>0</v>
      </c>
      <c r="W335">
        <v>729332.05169999995</v>
      </c>
      <c r="X335">
        <v>696940.44</v>
      </c>
      <c r="Y335">
        <v>696940.44</v>
      </c>
    </row>
    <row r="336" spans="1:25" x14ac:dyDescent="0.25">
      <c r="A336" t="s">
        <v>607</v>
      </c>
      <c r="B336">
        <v>0</v>
      </c>
      <c r="C336" t="s">
        <v>608</v>
      </c>
      <c r="D336" t="s">
        <v>609</v>
      </c>
      <c r="E336" t="s">
        <v>552</v>
      </c>
      <c r="F336" t="s">
        <v>610</v>
      </c>
      <c r="G336" t="s">
        <v>84</v>
      </c>
      <c r="H336" t="s">
        <v>80</v>
      </c>
      <c r="I336" t="s">
        <v>628</v>
      </c>
      <c r="J336" t="s">
        <v>629</v>
      </c>
      <c r="K336" t="s">
        <v>82</v>
      </c>
      <c r="L336">
        <v>761723.66339999996</v>
      </c>
      <c r="M336" t="s">
        <v>83</v>
      </c>
      <c r="U336">
        <v>0</v>
      </c>
      <c r="V336">
        <v>0</v>
      </c>
      <c r="W336">
        <v>729332.05169999995</v>
      </c>
    </row>
    <row r="337" spans="1:25" x14ac:dyDescent="0.25">
      <c r="A337" t="s">
        <v>630</v>
      </c>
      <c r="B337">
        <v>1</v>
      </c>
      <c r="C337" t="s">
        <v>608</v>
      </c>
      <c r="D337" t="s">
        <v>609</v>
      </c>
      <c r="E337" t="s">
        <v>552</v>
      </c>
      <c r="F337" t="s">
        <v>610</v>
      </c>
      <c r="G337" t="s">
        <v>181</v>
      </c>
      <c r="H337" t="s">
        <v>92</v>
      </c>
      <c r="I337" t="s">
        <v>631</v>
      </c>
      <c r="J337" t="s">
        <v>181</v>
      </c>
      <c r="K337" t="s">
        <v>82</v>
      </c>
      <c r="L337">
        <v>31110</v>
      </c>
      <c r="M337" t="s">
        <v>83</v>
      </c>
      <c r="N337">
        <v>29100</v>
      </c>
      <c r="U337">
        <v>0</v>
      </c>
      <c r="V337">
        <v>0</v>
      </c>
      <c r="W337">
        <v>29100</v>
      </c>
      <c r="X337">
        <v>31110</v>
      </c>
      <c r="Y337">
        <v>31110</v>
      </c>
    </row>
    <row r="338" spans="1:25" x14ac:dyDescent="0.25">
      <c r="A338" t="s">
        <v>630</v>
      </c>
      <c r="B338">
        <v>0</v>
      </c>
      <c r="C338" t="s">
        <v>608</v>
      </c>
      <c r="D338" t="s">
        <v>609</v>
      </c>
      <c r="E338" t="s">
        <v>552</v>
      </c>
      <c r="F338" t="s">
        <v>610</v>
      </c>
      <c r="G338" t="s">
        <v>84</v>
      </c>
      <c r="H338" t="s">
        <v>92</v>
      </c>
      <c r="I338" t="s">
        <v>632</v>
      </c>
      <c r="J338" t="s">
        <v>633</v>
      </c>
      <c r="K338" t="s">
        <v>82</v>
      </c>
      <c r="L338">
        <v>27090</v>
      </c>
      <c r="M338" t="s">
        <v>83</v>
      </c>
      <c r="U338">
        <v>0</v>
      </c>
      <c r="V338">
        <v>0</v>
      </c>
      <c r="W338">
        <v>29100</v>
      </c>
    </row>
    <row r="339" spans="1:25" x14ac:dyDescent="0.25">
      <c r="A339" t="s">
        <v>630</v>
      </c>
      <c r="B339">
        <v>0</v>
      </c>
      <c r="C339" t="s">
        <v>608</v>
      </c>
      <c r="D339" t="s">
        <v>609</v>
      </c>
      <c r="E339" t="s">
        <v>552</v>
      </c>
      <c r="F339" t="s">
        <v>610</v>
      </c>
      <c r="G339" t="s">
        <v>84</v>
      </c>
      <c r="H339" t="s">
        <v>98</v>
      </c>
      <c r="I339" t="s">
        <v>634</v>
      </c>
      <c r="J339" t="s">
        <v>635</v>
      </c>
      <c r="K339" t="s">
        <v>82</v>
      </c>
      <c r="L339">
        <v>34400</v>
      </c>
      <c r="M339" t="s">
        <v>83</v>
      </c>
      <c r="S339">
        <v>1</v>
      </c>
      <c r="U339">
        <v>0</v>
      </c>
      <c r="V339">
        <v>0</v>
      </c>
      <c r="W339">
        <v>30216.666666666668</v>
      </c>
    </row>
    <row r="340" spans="1:25" x14ac:dyDescent="0.25">
      <c r="A340" t="s">
        <v>630</v>
      </c>
      <c r="B340">
        <v>1</v>
      </c>
      <c r="C340" t="s">
        <v>608</v>
      </c>
      <c r="D340" t="s">
        <v>609</v>
      </c>
      <c r="E340" t="s">
        <v>552</v>
      </c>
      <c r="F340" t="s">
        <v>610</v>
      </c>
      <c r="G340" t="s">
        <v>289</v>
      </c>
      <c r="H340" t="s">
        <v>98</v>
      </c>
      <c r="I340" t="s">
        <v>636</v>
      </c>
      <c r="J340" t="s">
        <v>637</v>
      </c>
      <c r="K340" t="s">
        <v>82</v>
      </c>
      <c r="L340">
        <v>35000</v>
      </c>
      <c r="M340" t="s">
        <v>83</v>
      </c>
      <c r="N340">
        <v>30216.666669999999</v>
      </c>
      <c r="U340">
        <v>0</v>
      </c>
      <c r="V340">
        <v>0</v>
      </c>
      <c r="W340">
        <v>30216.666666666668</v>
      </c>
      <c r="X340">
        <v>35000</v>
      </c>
      <c r="Y340">
        <v>35000</v>
      </c>
    </row>
    <row r="341" spans="1:25" x14ac:dyDescent="0.25">
      <c r="A341" t="s">
        <v>630</v>
      </c>
      <c r="B341">
        <v>0</v>
      </c>
      <c r="C341" t="s">
        <v>608</v>
      </c>
      <c r="D341" t="s">
        <v>609</v>
      </c>
      <c r="E341" t="s">
        <v>552</v>
      </c>
      <c r="F341" t="s">
        <v>610</v>
      </c>
      <c r="G341" t="s">
        <v>84</v>
      </c>
      <c r="H341" t="s">
        <v>98</v>
      </c>
      <c r="I341" t="s">
        <v>638</v>
      </c>
      <c r="J341" t="s">
        <v>639</v>
      </c>
      <c r="K341" t="s">
        <v>82</v>
      </c>
      <c r="L341">
        <v>21250</v>
      </c>
      <c r="M341" t="s">
        <v>83</v>
      </c>
      <c r="U341">
        <v>0</v>
      </c>
      <c r="V341">
        <v>0</v>
      </c>
      <c r="W341">
        <v>30216.666666666668</v>
      </c>
    </row>
    <row r="342" spans="1:25" x14ac:dyDescent="0.25">
      <c r="A342" t="s">
        <v>630</v>
      </c>
      <c r="B342">
        <v>0</v>
      </c>
      <c r="C342" t="s">
        <v>608</v>
      </c>
      <c r="D342" t="s">
        <v>609</v>
      </c>
      <c r="E342" t="s">
        <v>552</v>
      </c>
      <c r="F342" t="s">
        <v>610</v>
      </c>
      <c r="G342" t="s">
        <v>84</v>
      </c>
      <c r="H342" t="s">
        <v>87</v>
      </c>
      <c r="I342" t="s">
        <v>630</v>
      </c>
      <c r="J342" t="s">
        <v>640</v>
      </c>
      <c r="K342" t="s">
        <v>82</v>
      </c>
      <c r="L342">
        <v>101570.52499999999</v>
      </c>
      <c r="M342" t="s">
        <v>83</v>
      </c>
      <c r="S342">
        <v>1</v>
      </c>
      <c r="T342">
        <v>1</v>
      </c>
      <c r="U342">
        <v>0</v>
      </c>
      <c r="V342">
        <v>0</v>
      </c>
      <c r="W342">
        <v>109087.2611</v>
      </c>
    </row>
    <row r="343" spans="1:25" x14ac:dyDescent="0.25">
      <c r="A343" t="s">
        <v>630</v>
      </c>
      <c r="B343">
        <v>1</v>
      </c>
      <c r="C343" t="s">
        <v>608</v>
      </c>
      <c r="D343" t="s">
        <v>609</v>
      </c>
      <c r="E343" t="s">
        <v>552</v>
      </c>
      <c r="F343" t="s">
        <v>610</v>
      </c>
      <c r="G343" t="s">
        <v>495</v>
      </c>
      <c r="H343" t="s">
        <v>87</v>
      </c>
      <c r="I343" t="s">
        <v>630</v>
      </c>
      <c r="J343" t="s">
        <v>641</v>
      </c>
      <c r="K343" t="s">
        <v>82</v>
      </c>
      <c r="L343">
        <v>109992.925</v>
      </c>
      <c r="M343" t="s">
        <v>83</v>
      </c>
      <c r="N343">
        <v>109087.2611</v>
      </c>
      <c r="U343">
        <v>0</v>
      </c>
      <c r="V343">
        <v>0</v>
      </c>
      <c r="W343">
        <v>109087.2611</v>
      </c>
      <c r="X343">
        <v>109992.925</v>
      </c>
      <c r="Y343">
        <v>109992.925</v>
      </c>
    </row>
    <row r="344" spans="1:25" x14ac:dyDescent="0.25">
      <c r="A344" t="s">
        <v>630</v>
      </c>
      <c r="B344">
        <v>0</v>
      </c>
      <c r="C344" t="s">
        <v>608</v>
      </c>
      <c r="D344" t="s">
        <v>609</v>
      </c>
      <c r="E344" t="s">
        <v>552</v>
      </c>
      <c r="F344" t="s">
        <v>610</v>
      </c>
      <c r="G344" t="s">
        <v>84</v>
      </c>
      <c r="H344" t="s">
        <v>87</v>
      </c>
      <c r="I344" t="s">
        <v>642</v>
      </c>
      <c r="J344" t="s">
        <v>643</v>
      </c>
      <c r="K344" t="s">
        <v>82</v>
      </c>
      <c r="L344">
        <v>115698.3333</v>
      </c>
      <c r="M344" t="s">
        <v>83</v>
      </c>
      <c r="T344">
        <v>1</v>
      </c>
      <c r="U344">
        <v>0</v>
      </c>
      <c r="V344">
        <v>0</v>
      </c>
      <c r="W344">
        <v>109087.2611</v>
      </c>
    </row>
    <row r="345" spans="1:25" x14ac:dyDescent="0.25">
      <c r="A345" t="s">
        <v>630</v>
      </c>
      <c r="B345">
        <v>0</v>
      </c>
      <c r="C345" t="s">
        <v>608</v>
      </c>
      <c r="D345" t="s">
        <v>609</v>
      </c>
      <c r="E345" t="s">
        <v>552</v>
      </c>
      <c r="F345" t="s">
        <v>610</v>
      </c>
      <c r="G345" t="s">
        <v>84</v>
      </c>
      <c r="H345" t="s">
        <v>80</v>
      </c>
      <c r="I345" t="s">
        <v>630</v>
      </c>
      <c r="J345" t="s">
        <v>644</v>
      </c>
      <c r="K345" t="s">
        <v>82</v>
      </c>
      <c r="L345">
        <v>797565.82929999998</v>
      </c>
      <c r="M345" t="s">
        <v>83</v>
      </c>
      <c r="U345">
        <v>0</v>
      </c>
      <c r="V345">
        <v>0</v>
      </c>
      <c r="W345">
        <v>801505.2209666667</v>
      </c>
    </row>
    <row r="346" spans="1:25" x14ac:dyDescent="0.25">
      <c r="A346" t="s">
        <v>630</v>
      </c>
      <c r="B346">
        <v>0</v>
      </c>
      <c r="C346" t="s">
        <v>608</v>
      </c>
      <c r="D346" t="s">
        <v>609</v>
      </c>
      <c r="E346" t="s">
        <v>552</v>
      </c>
      <c r="F346" t="s">
        <v>610</v>
      </c>
      <c r="G346" t="s">
        <v>84</v>
      </c>
      <c r="H346" t="s">
        <v>80</v>
      </c>
      <c r="I346" t="s">
        <v>630</v>
      </c>
      <c r="J346" t="s">
        <v>645</v>
      </c>
      <c r="K346" t="s">
        <v>82</v>
      </c>
      <c r="L346">
        <v>808227.59360000002</v>
      </c>
      <c r="M346" t="s">
        <v>83</v>
      </c>
      <c r="U346">
        <v>0</v>
      </c>
      <c r="V346">
        <v>0</v>
      </c>
      <c r="W346">
        <v>801505.2209666667</v>
      </c>
    </row>
    <row r="347" spans="1:25" x14ac:dyDescent="0.25">
      <c r="A347" t="s">
        <v>630</v>
      </c>
      <c r="B347">
        <v>1</v>
      </c>
      <c r="C347" t="s">
        <v>608</v>
      </c>
      <c r="D347" t="s">
        <v>609</v>
      </c>
      <c r="E347" t="s">
        <v>552</v>
      </c>
      <c r="F347" t="s">
        <v>610</v>
      </c>
      <c r="G347" t="s">
        <v>167</v>
      </c>
      <c r="H347" t="s">
        <v>80</v>
      </c>
      <c r="I347" t="s">
        <v>630</v>
      </c>
      <c r="J347" t="s">
        <v>646</v>
      </c>
      <c r="K347" t="s">
        <v>82</v>
      </c>
      <c r="L347">
        <v>798722.24</v>
      </c>
      <c r="M347" t="s">
        <v>83</v>
      </c>
      <c r="N347">
        <v>801505.22100000002</v>
      </c>
      <c r="U347">
        <v>0</v>
      </c>
      <c r="V347">
        <v>0</v>
      </c>
      <c r="W347">
        <v>801505.2209666667</v>
      </c>
      <c r="X347">
        <v>798722.24</v>
      </c>
      <c r="Y347">
        <v>798722.24</v>
      </c>
    </row>
    <row r="348" spans="1:25" x14ac:dyDescent="0.25">
      <c r="A348" t="s">
        <v>647</v>
      </c>
      <c r="B348">
        <v>0</v>
      </c>
      <c r="C348" t="s">
        <v>608</v>
      </c>
      <c r="D348" t="s">
        <v>648</v>
      </c>
      <c r="E348" t="s">
        <v>552</v>
      </c>
      <c r="F348" t="s">
        <v>610</v>
      </c>
      <c r="G348" t="s">
        <v>84</v>
      </c>
      <c r="H348" t="s">
        <v>92</v>
      </c>
      <c r="I348" t="s">
        <v>649</v>
      </c>
      <c r="J348" t="s">
        <v>181</v>
      </c>
      <c r="K348" t="s">
        <v>82</v>
      </c>
      <c r="L348">
        <v>38480</v>
      </c>
      <c r="M348" t="s">
        <v>83</v>
      </c>
      <c r="P348">
        <v>1</v>
      </c>
      <c r="U348">
        <v>0</v>
      </c>
      <c r="V348">
        <v>0</v>
      </c>
      <c r="W348">
        <v>48485</v>
      </c>
    </row>
    <row r="349" spans="1:25" x14ac:dyDescent="0.25">
      <c r="A349" t="s">
        <v>647</v>
      </c>
      <c r="B349">
        <v>1</v>
      </c>
      <c r="C349" t="s">
        <v>608</v>
      </c>
      <c r="D349" t="s">
        <v>648</v>
      </c>
      <c r="E349" t="s">
        <v>552</v>
      </c>
      <c r="F349" t="s">
        <v>610</v>
      </c>
      <c r="G349" t="s">
        <v>301</v>
      </c>
      <c r="H349" t="s">
        <v>92</v>
      </c>
      <c r="I349" t="s">
        <v>650</v>
      </c>
      <c r="J349" t="s">
        <v>303</v>
      </c>
      <c r="K349" t="s">
        <v>82</v>
      </c>
      <c r="L349">
        <v>58490</v>
      </c>
      <c r="M349" t="s">
        <v>83</v>
      </c>
      <c r="N349">
        <v>48485</v>
      </c>
      <c r="O349">
        <v>1</v>
      </c>
      <c r="R349">
        <v>1</v>
      </c>
      <c r="S349">
        <v>1</v>
      </c>
      <c r="U349">
        <v>58490</v>
      </c>
      <c r="V349">
        <v>58490</v>
      </c>
      <c r="W349">
        <v>48485</v>
      </c>
      <c r="X349">
        <v>58490</v>
      </c>
      <c r="Y349">
        <v>58490</v>
      </c>
    </row>
    <row r="350" spans="1:25" x14ac:dyDescent="0.25">
      <c r="A350" t="s">
        <v>647</v>
      </c>
      <c r="B350">
        <v>1</v>
      </c>
      <c r="C350" t="s">
        <v>608</v>
      </c>
      <c r="D350" t="s">
        <v>648</v>
      </c>
      <c r="E350" t="s">
        <v>552</v>
      </c>
      <c r="F350" t="s">
        <v>610</v>
      </c>
      <c r="G350" t="s">
        <v>238</v>
      </c>
      <c r="H350" t="s">
        <v>98</v>
      </c>
      <c r="I350" t="s">
        <v>651</v>
      </c>
      <c r="J350" t="s">
        <v>652</v>
      </c>
      <c r="K350" t="s">
        <v>82</v>
      </c>
      <c r="L350">
        <v>47100</v>
      </c>
      <c r="M350" t="s">
        <v>83</v>
      </c>
      <c r="N350">
        <v>29333.333330000001</v>
      </c>
      <c r="U350">
        <v>0</v>
      </c>
      <c r="V350">
        <v>0</v>
      </c>
      <c r="W350">
        <v>29333.333333333332</v>
      </c>
      <c r="X350">
        <v>47100</v>
      </c>
      <c r="Y350">
        <v>47100</v>
      </c>
    </row>
    <row r="351" spans="1:25" x14ac:dyDescent="0.25">
      <c r="A351" t="s">
        <v>647</v>
      </c>
      <c r="B351">
        <v>0</v>
      </c>
      <c r="C351" t="s">
        <v>608</v>
      </c>
      <c r="D351" t="s">
        <v>648</v>
      </c>
      <c r="E351" t="s">
        <v>552</v>
      </c>
      <c r="F351" t="s">
        <v>610</v>
      </c>
      <c r="G351" t="s">
        <v>84</v>
      </c>
      <c r="H351" t="s">
        <v>98</v>
      </c>
      <c r="I351" t="s">
        <v>653</v>
      </c>
      <c r="J351" t="s">
        <v>654</v>
      </c>
      <c r="K351" t="s">
        <v>82</v>
      </c>
      <c r="L351">
        <v>22650</v>
      </c>
      <c r="M351" t="s">
        <v>83</v>
      </c>
      <c r="S351">
        <v>1</v>
      </c>
      <c r="U351">
        <v>0</v>
      </c>
      <c r="V351">
        <v>0</v>
      </c>
      <c r="W351">
        <v>29333.333333333332</v>
      </c>
    </row>
    <row r="352" spans="1:25" x14ac:dyDescent="0.25">
      <c r="A352" t="s">
        <v>647</v>
      </c>
      <c r="B352">
        <v>0</v>
      </c>
      <c r="C352" t="s">
        <v>608</v>
      </c>
      <c r="D352" t="s">
        <v>648</v>
      </c>
      <c r="E352" t="s">
        <v>552</v>
      </c>
      <c r="F352" t="s">
        <v>610</v>
      </c>
      <c r="G352" t="s">
        <v>84</v>
      </c>
      <c r="H352" t="s">
        <v>98</v>
      </c>
      <c r="I352" t="s">
        <v>655</v>
      </c>
      <c r="J352" t="s">
        <v>656</v>
      </c>
      <c r="K352" t="s">
        <v>82</v>
      </c>
      <c r="L352">
        <v>18250</v>
      </c>
      <c r="M352" t="s">
        <v>83</v>
      </c>
      <c r="R352">
        <v>1</v>
      </c>
      <c r="U352">
        <v>0</v>
      </c>
      <c r="V352">
        <v>0</v>
      </c>
      <c r="W352">
        <v>29333.333333333332</v>
      </c>
    </row>
    <row r="353" spans="1:25" x14ac:dyDescent="0.25">
      <c r="A353" t="s">
        <v>647</v>
      </c>
      <c r="B353">
        <v>1</v>
      </c>
      <c r="C353" t="s">
        <v>608</v>
      </c>
      <c r="D353" t="s">
        <v>648</v>
      </c>
      <c r="E353" t="s">
        <v>552</v>
      </c>
      <c r="F353" t="s">
        <v>610</v>
      </c>
      <c r="G353" t="s">
        <v>413</v>
      </c>
      <c r="H353" t="s">
        <v>87</v>
      </c>
      <c r="I353" t="s">
        <v>657</v>
      </c>
      <c r="J353" t="s">
        <v>658</v>
      </c>
      <c r="K353" t="s">
        <v>82</v>
      </c>
      <c r="L353">
        <v>128682.8667</v>
      </c>
      <c r="M353" t="s">
        <v>83</v>
      </c>
      <c r="N353">
        <v>128325.07919999999</v>
      </c>
      <c r="U353">
        <v>0</v>
      </c>
      <c r="V353">
        <v>0</v>
      </c>
      <c r="W353">
        <v>128325.07920000001</v>
      </c>
      <c r="X353">
        <v>128682.8667</v>
      </c>
      <c r="Y353">
        <v>128682.8667</v>
      </c>
    </row>
    <row r="354" spans="1:25" x14ac:dyDescent="0.25">
      <c r="A354" t="s">
        <v>647</v>
      </c>
      <c r="B354">
        <v>0</v>
      </c>
      <c r="C354" t="s">
        <v>608</v>
      </c>
      <c r="D354" t="s">
        <v>648</v>
      </c>
      <c r="E354" t="s">
        <v>552</v>
      </c>
      <c r="F354" t="s">
        <v>610</v>
      </c>
      <c r="G354" t="s">
        <v>84</v>
      </c>
      <c r="H354" t="s">
        <v>87</v>
      </c>
      <c r="I354" t="s">
        <v>647</v>
      </c>
      <c r="J354" t="s">
        <v>659</v>
      </c>
      <c r="K354" t="s">
        <v>82</v>
      </c>
      <c r="L354">
        <v>127967.2917</v>
      </c>
      <c r="M354" t="s">
        <v>83</v>
      </c>
      <c r="U354">
        <v>0</v>
      </c>
      <c r="V354">
        <v>0</v>
      </c>
      <c r="W354">
        <v>128325.07920000001</v>
      </c>
    </row>
    <row r="355" spans="1:25" x14ac:dyDescent="0.25">
      <c r="A355" t="s">
        <v>647</v>
      </c>
      <c r="B355">
        <v>0</v>
      </c>
      <c r="C355" t="s">
        <v>608</v>
      </c>
      <c r="D355" t="s">
        <v>648</v>
      </c>
      <c r="E355" t="s">
        <v>552</v>
      </c>
      <c r="F355" t="s">
        <v>610</v>
      </c>
      <c r="G355" t="s">
        <v>84</v>
      </c>
      <c r="H355" t="s">
        <v>80</v>
      </c>
      <c r="I355" t="s">
        <v>660</v>
      </c>
      <c r="J355" t="s">
        <v>661</v>
      </c>
      <c r="K355" t="s">
        <v>82</v>
      </c>
      <c r="L355">
        <v>921879.46180000005</v>
      </c>
      <c r="M355" t="s">
        <v>83</v>
      </c>
      <c r="U355">
        <v>0</v>
      </c>
      <c r="V355">
        <v>0</v>
      </c>
      <c r="W355">
        <v>752620.27560000005</v>
      </c>
    </row>
    <row r="356" spans="1:25" x14ac:dyDescent="0.25">
      <c r="A356" t="s">
        <v>647</v>
      </c>
      <c r="B356">
        <v>0</v>
      </c>
      <c r="C356" t="s">
        <v>608</v>
      </c>
      <c r="D356" t="s">
        <v>648</v>
      </c>
      <c r="E356" t="s">
        <v>552</v>
      </c>
      <c r="F356" t="s">
        <v>610</v>
      </c>
      <c r="G356" t="s">
        <v>84</v>
      </c>
      <c r="H356" t="s">
        <v>80</v>
      </c>
      <c r="I356" t="s">
        <v>662</v>
      </c>
      <c r="J356" t="s">
        <v>663</v>
      </c>
      <c r="K356" t="s">
        <v>82</v>
      </c>
      <c r="L356">
        <v>664739.125</v>
      </c>
      <c r="M356" t="s">
        <v>83</v>
      </c>
      <c r="S356">
        <v>1</v>
      </c>
      <c r="U356">
        <v>0</v>
      </c>
      <c r="V356">
        <v>0</v>
      </c>
      <c r="W356">
        <v>752620.27560000005</v>
      </c>
    </row>
    <row r="357" spans="1:25" x14ac:dyDescent="0.25">
      <c r="A357" t="s">
        <v>647</v>
      </c>
      <c r="B357">
        <v>1</v>
      </c>
      <c r="C357" t="s">
        <v>608</v>
      </c>
      <c r="D357" t="s">
        <v>648</v>
      </c>
      <c r="E357" t="s">
        <v>552</v>
      </c>
      <c r="F357" t="s">
        <v>610</v>
      </c>
      <c r="G357" t="s">
        <v>326</v>
      </c>
      <c r="H357" t="s">
        <v>80</v>
      </c>
      <c r="I357" t="s">
        <v>664</v>
      </c>
      <c r="J357" t="s">
        <v>665</v>
      </c>
      <c r="K357" t="s">
        <v>82</v>
      </c>
      <c r="L357">
        <v>671242.23999999999</v>
      </c>
      <c r="M357" t="s">
        <v>83</v>
      </c>
      <c r="N357">
        <v>752620.27560000005</v>
      </c>
      <c r="P357">
        <v>1</v>
      </c>
      <c r="T357">
        <v>1</v>
      </c>
      <c r="U357">
        <v>0</v>
      </c>
      <c r="V357">
        <v>0</v>
      </c>
      <c r="W357">
        <v>752620.27560000005</v>
      </c>
      <c r="X357">
        <v>671242.23999999999</v>
      </c>
      <c r="Y357">
        <v>671242.23999999999</v>
      </c>
    </row>
    <row r="358" spans="1:25" x14ac:dyDescent="0.25">
      <c r="A358" t="s">
        <v>666</v>
      </c>
      <c r="B358">
        <v>0</v>
      </c>
      <c r="C358" t="s">
        <v>608</v>
      </c>
      <c r="D358" t="s">
        <v>648</v>
      </c>
      <c r="E358" t="s">
        <v>552</v>
      </c>
      <c r="F358" t="s">
        <v>610</v>
      </c>
      <c r="G358" t="s">
        <v>84</v>
      </c>
      <c r="H358" t="s">
        <v>92</v>
      </c>
      <c r="I358" t="s">
        <v>667</v>
      </c>
      <c r="J358" t="s">
        <v>543</v>
      </c>
      <c r="K358" t="s">
        <v>82</v>
      </c>
      <c r="L358">
        <v>38410</v>
      </c>
      <c r="M358" t="s">
        <v>83</v>
      </c>
      <c r="R358">
        <v>1</v>
      </c>
      <c r="S358">
        <v>1</v>
      </c>
      <c r="U358">
        <v>0</v>
      </c>
      <c r="V358">
        <v>0</v>
      </c>
      <c r="W358">
        <v>40866.666666666664</v>
      </c>
    </row>
    <row r="359" spans="1:25" x14ac:dyDescent="0.25">
      <c r="A359" t="s">
        <v>666</v>
      </c>
      <c r="B359">
        <v>1</v>
      </c>
      <c r="C359" t="s">
        <v>608</v>
      </c>
      <c r="D359" t="s">
        <v>648</v>
      </c>
      <c r="E359" t="s">
        <v>552</v>
      </c>
      <c r="F359" t="s">
        <v>610</v>
      </c>
      <c r="G359" t="s">
        <v>221</v>
      </c>
      <c r="H359" t="s">
        <v>92</v>
      </c>
      <c r="I359" t="s">
        <v>221</v>
      </c>
      <c r="J359" t="s">
        <v>221</v>
      </c>
      <c r="K359" t="s">
        <v>82</v>
      </c>
      <c r="L359">
        <v>55620</v>
      </c>
      <c r="M359" t="s">
        <v>83</v>
      </c>
      <c r="N359">
        <v>40866.666669999999</v>
      </c>
      <c r="O359">
        <v>1</v>
      </c>
      <c r="R359">
        <v>1</v>
      </c>
      <c r="U359">
        <v>55620</v>
      </c>
      <c r="V359">
        <v>55620</v>
      </c>
      <c r="W359">
        <v>40866.666666666664</v>
      </c>
      <c r="X359">
        <v>55620</v>
      </c>
      <c r="Y359">
        <v>55620</v>
      </c>
    </row>
    <row r="360" spans="1:25" x14ac:dyDescent="0.25">
      <c r="A360" t="s">
        <v>666</v>
      </c>
      <c r="B360">
        <v>0</v>
      </c>
      <c r="C360" t="s">
        <v>608</v>
      </c>
      <c r="D360" t="s">
        <v>648</v>
      </c>
      <c r="E360" t="s">
        <v>552</v>
      </c>
      <c r="F360" t="s">
        <v>610</v>
      </c>
      <c r="G360" t="s">
        <v>84</v>
      </c>
      <c r="H360" t="s">
        <v>92</v>
      </c>
      <c r="I360" t="s">
        <v>668</v>
      </c>
      <c r="J360" t="s">
        <v>343</v>
      </c>
      <c r="K360" t="s">
        <v>82</v>
      </c>
      <c r="L360">
        <v>28570</v>
      </c>
      <c r="M360" t="s">
        <v>83</v>
      </c>
      <c r="P360">
        <v>1</v>
      </c>
      <c r="R360">
        <v>1</v>
      </c>
      <c r="T360">
        <v>1</v>
      </c>
      <c r="U360">
        <v>0</v>
      </c>
      <c r="V360">
        <v>0</v>
      </c>
      <c r="W360">
        <v>40866.666666666664</v>
      </c>
    </row>
    <row r="361" spans="1:25" x14ac:dyDescent="0.25">
      <c r="A361" t="s">
        <v>666</v>
      </c>
      <c r="B361">
        <v>0</v>
      </c>
      <c r="C361" t="s">
        <v>608</v>
      </c>
      <c r="D361" t="s">
        <v>648</v>
      </c>
      <c r="E361" t="s">
        <v>552</v>
      </c>
      <c r="F361" t="s">
        <v>610</v>
      </c>
      <c r="G361" t="s">
        <v>84</v>
      </c>
      <c r="H361" t="s">
        <v>98</v>
      </c>
      <c r="I361" t="s">
        <v>669</v>
      </c>
      <c r="J361" t="s">
        <v>670</v>
      </c>
      <c r="K361" t="s">
        <v>82</v>
      </c>
      <c r="L361">
        <v>20550</v>
      </c>
      <c r="M361" t="s">
        <v>83</v>
      </c>
      <c r="R361">
        <v>1</v>
      </c>
      <c r="T361">
        <v>1</v>
      </c>
      <c r="U361">
        <v>0</v>
      </c>
      <c r="V361">
        <v>0</v>
      </c>
      <c r="W361">
        <v>27483.333333333332</v>
      </c>
    </row>
    <row r="362" spans="1:25" x14ac:dyDescent="0.25">
      <c r="A362" t="s">
        <v>666</v>
      </c>
      <c r="B362">
        <v>1</v>
      </c>
      <c r="C362" t="s">
        <v>608</v>
      </c>
      <c r="D362" t="s">
        <v>648</v>
      </c>
      <c r="E362" t="s">
        <v>552</v>
      </c>
      <c r="F362" t="s">
        <v>610</v>
      </c>
      <c r="G362" t="s">
        <v>289</v>
      </c>
      <c r="H362" t="s">
        <v>98</v>
      </c>
      <c r="I362" t="s">
        <v>671</v>
      </c>
      <c r="J362" t="s">
        <v>672</v>
      </c>
      <c r="K362" t="s">
        <v>82</v>
      </c>
      <c r="L362">
        <v>28950</v>
      </c>
      <c r="M362" t="s">
        <v>83</v>
      </c>
      <c r="N362">
        <v>27483.333330000001</v>
      </c>
      <c r="U362">
        <v>0</v>
      </c>
      <c r="V362">
        <v>0</v>
      </c>
      <c r="W362">
        <v>27483.333333333332</v>
      </c>
      <c r="X362">
        <v>28950</v>
      </c>
      <c r="Y362">
        <v>28950</v>
      </c>
    </row>
    <row r="363" spans="1:25" x14ac:dyDescent="0.25">
      <c r="A363" t="s">
        <v>666</v>
      </c>
      <c r="B363">
        <v>0</v>
      </c>
      <c r="C363" t="s">
        <v>608</v>
      </c>
      <c r="D363" t="s">
        <v>648</v>
      </c>
      <c r="E363" t="s">
        <v>552</v>
      </c>
      <c r="F363" t="s">
        <v>610</v>
      </c>
      <c r="G363" t="s">
        <v>84</v>
      </c>
      <c r="H363" t="s">
        <v>98</v>
      </c>
      <c r="I363" t="s">
        <v>673</v>
      </c>
      <c r="J363" t="s">
        <v>674</v>
      </c>
      <c r="K363" t="s">
        <v>82</v>
      </c>
      <c r="L363">
        <v>32950</v>
      </c>
      <c r="M363" t="s">
        <v>83</v>
      </c>
      <c r="U363">
        <v>0</v>
      </c>
      <c r="V363">
        <v>0</v>
      </c>
      <c r="W363">
        <v>27483.333333333332</v>
      </c>
    </row>
    <row r="364" spans="1:25" x14ac:dyDescent="0.25">
      <c r="A364" t="s">
        <v>666</v>
      </c>
      <c r="B364">
        <v>0</v>
      </c>
      <c r="C364" t="s">
        <v>608</v>
      </c>
      <c r="D364" t="s">
        <v>648</v>
      </c>
      <c r="E364" t="s">
        <v>552</v>
      </c>
      <c r="F364" t="s">
        <v>610</v>
      </c>
      <c r="G364" t="s">
        <v>84</v>
      </c>
      <c r="H364" t="s">
        <v>87</v>
      </c>
      <c r="I364" t="s">
        <v>666</v>
      </c>
      <c r="J364" t="s">
        <v>675</v>
      </c>
      <c r="K364" t="s">
        <v>82</v>
      </c>
      <c r="L364">
        <v>96361.358330000003</v>
      </c>
      <c r="M364" t="s">
        <v>83</v>
      </c>
      <c r="Q364">
        <v>1</v>
      </c>
      <c r="U364">
        <v>0</v>
      </c>
      <c r="V364">
        <v>0</v>
      </c>
      <c r="W364">
        <v>112854.31111</v>
      </c>
    </row>
    <row r="365" spans="1:25" x14ac:dyDescent="0.25">
      <c r="A365" t="s">
        <v>666</v>
      </c>
      <c r="B365">
        <v>0</v>
      </c>
      <c r="C365" t="s">
        <v>608</v>
      </c>
      <c r="D365" t="s">
        <v>648</v>
      </c>
      <c r="E365" t="s">
        <v>552</v>
      </c>
      <c r="F365" t="s">
        <v>610</v>
      </c>
      <c r="G365" t="s">
        <v>84</v>
      </c>
      <c r="H365" t="s">
        <v>87</v>
      </c>
      <c r="I365" t="s">
        <v>676</v>
      </c>
      <c r="J365" t="s">
        <v>677</v>
      </c>
      <c r="K365" t="s">
        <v>82</v>
      </c>
      <c r="L365">
        <v>169632.4</v>
      </c>
      <c r="M365" t="s">
        <v>83</v>
      </c>
      <c r="Q365">
        <v>1</v>
      </c>
      <c r="U365">
        <v>0</v>
      </c>
      <c r="V365">
        <v>0</v>
      </c>
      <c r="W365">
        <v>112854.31111</v>
      </c>
    </row>
    <row r="366" spans="1:25" x14ac:dyDescent="0.25">
      <c r="A366" t="s">
        <v>666</v>
      </c>
      <c r="B366">
        <v>1</v>
      </c>
      <c r="C366" t="s">
        <v>608</v>
      </c>
      <c r="D366" t="s">
        <v>648</v>
      </c>
      <c r="E366" t="s">
        <v>552</v>
      </c>
      <c r="F366" t="s">
        <v>610</v>
      </c>
      <c r="G366" t="s">
        <v>163</v>
      </c>
      <c r="H366" t="s">
        <v>87</v>
      </c>
      <c r="I366" t="s">
        <v>666</v>
      </c>
      <c r="J366" t="s">
        <v>678</v>
      </c>
      <c r="K366" t="s">
        <v>82</v>
      </c>
      <c r="L366">
        <v>72569.175000000003</v>
      </c>
      <c r="M366" t="s">
        <v>83</v>
      </c>
      <c r="N366">
        <v>112854.31110000001</v>
      </c>
      <c r="T366">
        <v>1</v>
      </c>
      <c r="U366">
        <v>0</v>
      </c>
      <c r="V366">
        <v>0</v>
      </c>
      <c r="W366">
        <v>112854.31111</v>
      </c>
      <c r="X366">
        <v>72569.175000000003</v>
      </c>
      <c r="Y366">
        <v>72569.175000000003</v>
      </c>
    </row>
    <row r="367" spans="1:25" x14ac:dyDescent="0.25">
      <c r="A367" t="s">
        <v>666</v>
      </c>
      <c r="B367">
        <v>0</v>
      </c>
      <c r="C367" t="s">
        <v>608</v>
      </c>
      <c r="D367" t="s">
        <v>648</v>
      </c>
      <c r="E367" t="s">
        <v>552</v>
      </c>
      <c r="F367" t="s">
        <v>610</v>
      </c>
      <c r="G367" t="s">
        <v>84</v>
      </c>
      <c r="H367" t="s">
        <v>80</v>
      </c>
      <c r="I367" t="s">
        <v>666</v>
      </c>
      <c r="J367" t="s">
        <v>679</v>
      </c>
      <c r="K367" t="s">
        <v>82</v>
      </c>
      <c r="L367">
        <v>718279.31240000005</v>
      </c>
      <c r="M367" t="s">
        <v>83</v>
      </c>
      <c r="U367">
        <v>0</v>
      </c>
      <c r="V367">
        <v>0</v>
      </c>
      <c r="W367">
        <v>815339.00746666675</v>
      </c>
    </row>
    <row r="368" spans="1:25" x14ac:dyDescent="0.25">
      <c r="A368" t="s">
        <v>666</v>
      </c>
      <c r="B368">
        <v>1</v>
      </c>
      <c r="C368" t="s">
        <v>608</v>
      </c>
      <c r="D368" t="s">
        <v>648</v>
      </c>
      <c r="E368" t="s">
        <v>552</v>
      </c>
      <c r="F368" t="s">
        <v>610</v>
      </c>
      <c r="G368" t="s">
        <v>680</v>
      </c>
      <c r="H368" t="s">
        <v>80</v>
      </c>
      <c r="I368" t="s">
        <v>681</v>
      </c>
      <c r="J368" t="s">
        <v>682</v>
      </c>
      <c r="K368" t="s">
        <v>82</v>
      </c>
      <c r="L368">
        <v>787930.41</v>
      </c>
      <c r="M368" t="s">
        <v>83</v>
      </c>
      <c r="N368">
        <v>815339.00749999995</v>
      </c>
      <c r="P368">
        <v>1</v>
      </c>
      <c r="U368">
        <v>0</v>
      </c>
      <c r="V368">
        <v>0</v>
      </c>
      <c r="W368">
        <v>815339.00746666675</v>
      </c>
      <c r="X368">
        <v>787930.41</v>
      </c>
      <c r="Y368">
        <v>787930.41</v>
      </c>
    </row>
    <row r="369" spans="1:25" x14ac:dyDescent="0.25">
      <c r="A369" t="s">
        <v>666</v>
      </c>
      <c r="B369">
        <v>0</v>
      </c>
      <c r="C369" t="s">
        <v>608</v>
      </c>
      <c r="D369" t="s">
        <v>648</v>
      </c>
      <c r="E369" t="s">
        <v>552</v>
      </c>
      <c r="F369" t="s">
        <v>610</v>
      </c>
      <c r="G369" t="s">
        <v>84</v>
      </c>
      <c r="H369" t="s">
        <v>80</v>
      </c>
      <c r="I369" t="s">
        <v>683</v>
      </c>
      <c r="J369" t="s">
        <v>684</v>
      </c>
      <c r="K369" t="s">
        <v>82</v>
      </c>
      <c r="L369">
        <v>939807.3</v>
      </c>
      <c r="M369" t="s">
        <v>83</v>
      </c>
      <c r="U369">
        <v>0</v>
      </c>
      <c r="V369">
        <v>0</v>
      </c>
      <c r="W369">
        <v>815339.00746666675</v>
      </c>
    </row>
    <row r="370" spans="1:25" x14ac:dyDescent="0.25">
      <c r="A370" t="s">
        <v>685</v>
      </c>
      <c r="B370">
        <v>1</v>
      </c>
      <c r="C370" t="s">
        <v>608</v>
      </c>
      <c r="D370" t="s">
        <v>686</v>
      </c>
      <c r="E370" t="s">
        <v>552</v>
      </c>
      <c r="F370" t="s">
        <v>610</v>
      </c>
      <c r="G370" t="s">
        <v>140</v>
      </c>
      <c r="H370" t="s">
        <v>92</v>
      </c>
      <c r="I370" t="s">
        <v>140</v>
      </c>
      <c r="J370" t="s">
        <v>140</v>
      </c>
      <c r="K370" t="s">
        <v>82</v>
      </c>
      <c r="L370">
        <v>39180</v>
      </c>
      <c r="M370" t="s">
        <v>83</v>
      </c>
      <c r="N370">
        <v>39333.333330000001</v>
      </c>
      <c r="O370">
        <v>1</v>
      </c>
      <c r="U370">
        <v>39180</v>
      </c>
      <c r="V370">
        <v>39180</v>
      </c>
      <c r="W370">
        <v>39333.333333333336</v>
      </c>
      <c r="X370">
        <v>39180</v>
      </c>
      <c r="Y370">
        <v>39180</v>
      </c>
    </row>
    <row r="371" spans="1:25" x14ac:dyDescent="0.25">
      <c r="A371" t="s">
        <v>685</v>
      </c>
      <c r="B371">
        <v>0</v>
      </c>
      <c r="C371" t="s">
        <v>608</v>
      </c>
      <c r="D371" t="s">
        <v>686</v>
      </c>
      <c r="E371" t="s">
        <v>552</v>
      </c>
      <c r="F371" t="s">
        <v>610</v>
      </c>
      <c r="G371" t="s">
        <v>84</v>
      </c>
      <c r="H371" t="s">
        <v>92</v>
      </c>
      <c r="I371" t="s">
        <v>687</v>
      </c>
      <c r="J371" t="s">
        <v>303</v>
      </c>
      <c r="K371" t="s">
        <v>82</v>
      </c>
      <c r="L371">
        <v>41010</v>
      </c>
      <c r="M371" t="s">
        <v>83</v>
      </c>
      <c r="O371">
        <v>1</v>
      </c>
      <c r="P371">
        <v>1</v>
      </c>
      <c r="Q371">
        <v>1</v>
      </c>
      <c r="R371">
        <v>1</v>
      </c>
      <c r="S371">
        <v>1</v>
      </c>
      <c r="T371">
        <v>1</v>
      </c>
      <c r="U371">
        <v>41010</v>
      </c>
      <c r="V371">
        <v>0</v>
      </c>
      <c r="W371">
        <v>39333.333333333336</v>
      </c>
    </row>
    <row r="372" spans="1:25" x14ac:dyDescent="0.25">
      <c r="A372" t="s">
        <v>685</v>
      </c>
      <c r="B372">
        <v>0</v>
      </c>
      <c r="C372" t="s">
        <v>608</v>
      </c>
      <c r="D372" t="s">
        <v>686</v>
      </c>
      <c r="E372" t="s">
        <v>552</v>
      </c>
      <c r="F372" t="s">
        <v>610</v>
      </c>
      <c r="G372" t="s">
        <v>84</v>
      </c>
      <c r="H372" t="s">
        <v>92</v>
      </c>
      <c r="I372" t="s">
        <v>688</v>
      </c>
      <c r="J372" t="s">
        <v>181</v>
      </c>
      <c r="K372" t="s">
        <v>82</v>
      </c>
      <c r="L372">
        <v>37810</v>
      </c>
      <c r="M372" t="s">
        <v>83</v>
      </c>
      <c r="U372">
        <v>0</v>
      </c>
      <c r="V372">
        <v>0</v>
      </c>
      <c r="W372">
        <v>39333.333333333336</v>
      </c>
    </row>
    <row r="373" spans="1:25" x14ac:dyDescent="0.25">
      <c r="A373" t="s">
        <v>685</v>
      </c>
      <c r="B373">
        <v>0</v>
      </c>
      <c r="C373" t="s">
        <v>608</v>
      </c>
      <c r="D373" t="s">
        <v>686</v>
      </c>
      <c r="E373" t="s">
        <v>552</v>
      </c>
      <c r="F373" t="s">
        <v>610</v>
      </c>
      <c r="G373" t="s">
        <v>84</v>
      </c>
      <c r="H373" t="s">
        <v>98</v>
      </c>
      <c r="I373" t="s">
        <v>689</v>
      </c>
      <c r="J373" t="s">
        <v>690</v>
      </c>
      <c r="K373" t="s">
        <v>82</v>
      </c>
      <c r="L373">
        <v>21400</v>
      </c>
      <c r="M373" t="s">
        <v>83</v>
      </c>
      <c r="S373">
        <v>1</v>
      </c>
      <c r="U373">
        <v>0</v>
      </c>
      <c r="V373">
        <v>0</v>
      </c>
      <c r="W373">
        <v>34116.666666666664</v>
      </c>
    </row>
    <row r="374" spans="1:25" x14ac:dyDescent="0.25">
      <c r="A374" t="s">
        <v>685</v>
      </c>
      <c r="B374">
        <v>0</v>
      </c>
      <c r="C374" t="s">
        <v>608</v>
      </c>
      <c r="D374" t="s">
        <v>686</v>
      </c>
      <c r="E374" t="s">
        <v>552</v>
      </c>
      <c r="F374" t="s">
        <v>610</v>
      </c>
      <c r="G374" t="s">
        <v>84</v>
      </c>
      <c r="H374" t="s">
        <v>98</v>
      </c>
      <c r="I374" t="s">
        <v>691</v>
      </c>
      <c r="J374" t="s">
        <v>692</v>
      </c>
      <c r="K374" t="s">
        <v>82</v>
      </c>
      <c r="L374">
        <v>30950</v>
      </c>
      <c r="M374" t="s">
        <v>83</v>
      </c>
      <c r="Q374">
        <v>1</v>
      </c>
      <c r="R374">
        <v>1</v>
      </c>
      <c r="U374">
        <v>0</v>
      </c>
      <c r="V374">
        <v>0</v>
      </c>
      <c r="W374">
        <v>34116.666666666664</v>
      </c>
    </row>
    <row r="375" spans="1:25" x14ac:dyDescent="0.25">
      <c r="A375" t="s">
        <v>685</v>
      </c>
      <c r="B375">
        <v>1</v>
      </c>
      <c r="C375" t="s">
        <v>608</v>
      </c>
      <c r="D375" t="s">
        <v>686</v>
      </c>
      <c r="E375" t="s">
        <v>552</v>
      </c>
      <c r="F375" t="s">
        <v>610</v>
      </c>
      <c r="G375" t="s">
        <v>693</v>
      </c>
      <c r="H375" t="s">
        <v>98</v>
      </c>
      <c r="I375" t="s">
        <v>694</v>
      </c>
      <c r="J375" t="s">
        <v>695</v>
      </c>
      <c r="K375" t="s">
        <v>82</v>
      </c>
      <c r="L375">
        <v>50000</v>
      </c>
      <c r="M375" t="s">
        <v>83</v>
      </c>
      <c r="N375">
        <v>34116.666669999999</v>
      </c>
      <c r="S375">
        <v>1</v>
      </c>
      <c r="U375">
        <v>0</v>
      </c>
      <c r="V375">
        <v>0</v>
      </c>
      <c r="W375">
        <v>34116.666666666664</v>
      </c>
      <c r="X375">
        <v>50000</v>
      </c>
      <c r="Y375">
        <v>50000</v>
      </c>
    </row>
    <row r="376" spans="1:25" x14ac:dyDescent="0.25">
      <c r="A376" t="s">
        <v>685</v>
      </c>
      <c r="B376">
        <v>0</v>
      </c>
      <c r="C376" t="s">
        <v>608</v>
      </c>
      <c r="D376" t="s">
        <v>686</v>
      </c>
      <c r="E376" t="s">
        <v>552</v>
      </c>
      <c r="F376" t="s">
        <v>610</v>
      </c>
      <c r="G376" t="s">
        <v>84</v>
      </c>
      <c r="H376" t="s">
        <v>87</v>
      </c>
      <c r="I376" t="s">
        <v>685</v>
      </c>
      <c r="J376" t="s">
        <v>696</v>
      </c>
      <c r="K376" t="s">
        <v>82</v>
      </c>
      <c r="L376">
        <v>114637.3083</v>
      </c>
      <c r="M376" t="s">
        <v>83</v>
      </c>
      <c r="U376">
        <v>0</v>
      </c>
      <c r="V376">
        <v>0</v>
      </c>
      <c r="W376">
        <v>100280.11387666667</v>
      </c>
    </row>
    <row r="377" spans="1:25" x14ac:dyDescent="0.25">
      <c r="A377" t="s">
        <v>685</v>
      </c>
      <c r="B377">
        <v>0</v>
      </c>
      <c r="C377" t="s">
        <v>608</v>
      </c>
      <c r="D377" t="s">
        <v>686</v>
      </c>
      <c r="E377" t="s">
        <v>552</v>
      </c>
      <c r="F377" t="s">
        <v>610</v>
      </c>
      <c r="G377" t="s">
        <v>84</v>
      </c>
      <c r="H377" t="s">
        <v>87</v>
      </c>
      <c r="I377" t="s">
        <v>697</v>
      </c>
      <c r="J377" t="s">
        <v>698</v>
      </c>
      <c r="K377" t="s">
        <v>82</v>
      </c>
      <c r="L377">
        <v>101759.7</v>
      </c>
      <c r="M377" t="s">
        <v>83</v>
      </c>
      <c r="U377">
        <v>0</v>
      </c>
      <c r="V377">
        <v>0</v>
      </c>
      <c r="W377">
        <v>100280.11387666667</v>
      </c>
    </row>
    <row r="378" spans="1:25" x14ac:dyDescent="0.25">
      <c r="A378" t="s">
        <v>685</v>
      </c>
      <c r="B378">
        <v>1</v>
      </c>
      <c r="C378" t="s">
        <v>608</v>
      </c>
      <c r="D378" t="s">
        <v>686</v>
      </c>
      <c r="E378" t="s">
        <v>552</v>
      </c>
      <c r="F378" t="s">
        <v>610</v>
      </c>
      <c r="G378" t="s">
        <v>316</v>
      </c>
      <c r="H378" t="s">
        <v>87</v>
      </c>
      <c r="I378" t="s">
        <v>685</v>
      </c>
      <c r="J378" t="s">
        <v>699</v>
      </c>
      <c r="K378" t="s">
        <v>82</v>
      </c>
      <c r="L378">
        <v>84443.333329999994</v>
      </c>
      <c r="M378" t="s">
        <v>83</v>
      </c>
      <c r="N378">
        <v>100280.1139</v>
      </c>
      <c r="U378">
        <v>0</v>
      </c>
      <c r="V378">
        <v>0</v>
      </c>
      <c r="W378">
        <v>100280.11387666667</v>
      </c>
      <c r="X378">
        <v>84443.333329999994</v>
      </c>
      <c r="Y378">
        <v>84443.333329999994</v>
      </c>
    </row>
    <row r="379" spans="1:25" x14ac:dyDescent="0.25">
      <c r="A379" t="s">
        <v>685</v>
      </c>
      <c r="B379">
        <v>1</v>
      </c>
      <c r="C379" t="s">
        <v>608</v>
      </c>
      <c r="D379" t="s">
        <v>686</v>
      </c>
      <c r="E379" t="s">
        <v>552</v>
      </c>
      <c r="F379" t="s">
        <v>610</v>
      </c>
      <c r="G379" t="s">
        <v>700</v>
      </c>
      <c r="H379" t="s">
        <v>80</v>
      </c>
      <c r="I379" t="s">
        <v>685</v>
      </c>
      <c r="J379" t="s">
        <v>701</v>
      </c>
      <c r="K379" t="s">
        <v>82</v>
      </c>
      <c r="L379">
        <v>695741.97759999998</v>
      </c>
      <c r="M379" t="s">
        <v>83</v>
      </c>
      <c r="N379">
        <v>747040.61529999995</v>
      </c>
      <c r="S379">
        <v>1</v>
      </c>
      <c r="U379">
        <v>0</v>
      </c>
      <c r="V379">
        <v>0</v>
      </c>
      <c r="W379">
        <v>747040.61526666663</v>
      </c>
      <c r="X379">
        <v>695741.97759999998</v>
      </c>
      <c r="Y379">
        <v>695741.97759999998</v>
      </c>
    </row>
    <row r="380" spans="1:25" x14ac:dyDescent="0.25">
      <c r="A380" t="s">
        <v>685</v>
      </c>
      <c r="B380">
        <v>0</v>
      </c>
      <c r="C380" t="s">
        <v>608</v>
      </c>
      <c r="D380" t="s">
        <v>686</v>
      </c>
      <c r="E380" t="s">
        <v>552</v>
      </c>
      <c r="F380" t="s">
        <v>610</v>
      </c>
      <c r="G380" t="s">
        <v>84</v>
      </c>
      <c r="H380" t="s">
        <v>80</v>
      </c>
      <c r="I380" t="s">
        <v>685</v>
      </c>
      <c r="J380" t="s">
        <v>702</v>
      </c>
      <c r="K380" t="s">
        <v>82</v>
      </c>
      <c r="L380">
        <v>873108.54399999999</v>
      </c>
      <c r="M380" t="s">
        <v>83</v>
      </c>
      <c r="P380">
        <v>1</v>
      </c>
      <c r="U380">
        <v>0</v>
      </c>
      <c r="V380">
        <v>0</v>
      </c>
      <c r="W380">
        <v>747040.61526666663</v>
      </c>
    </row>
    <row r="381" spans="1:25" x14ac:dyDescent="0.25">
      <c r="A381" t="s">
        <v>685</v>
      </c>
      <c r="B381">
        <v>0</v>
      </c>
      <c r="C381" t="s">
        <v>608</v>
      </c>
      <c r="D381" t="s">
        <v>686</v>
      </c>
      <c r="E381" t="s">
        <v>552</v>
      </c>
      <c r="F381" t="s">
        <v>610</v>
      </c>
      <c r="G381" t="s">
        <v>84</v>
      </c>
      <c r="H381" t="s">
        <v>80</v>
      </c>
      <c r="I381" t="s">
        <v>685</v>
      </c>
      <c r="J381" t="s">
        <v>703</v>
      </c>
      <c r="K381" t="s">
        <v>82</v>
      </c>
      <c r="L381">
        <v>672271.32420000003</v>
      </c>
      <c r="M381" t="s">
        <v>83</v>
      </c>
      <c r="O381">
        <v>1</v>
      </c>
      <c r="U381">
        <v>672271.32420000003</v>
      </c>
      <c r="V381">
        <v>0</v>
      </c>
      <c r="W381">
        <v>747040.61526666663</v>
      </c>
    </row>
    <row r="382" spans="1:25" x14ac:dyDescent="0.25">
      <c r="A382" t="s">
        <v>685</v>
      </c>
      <c r="B382">
        <v>1</v>
      </c>
      <c r="C382" t="s">
        <v>608</v>
      </c>
      <c r="D382" t="s">
        <v>686</v>
      </c>
      <c r="E382" t="s">
        <v>552</v>
      </c>
      <c r="F382" t="s">
        <v>610</v>
      </c>
      <c r="G382" t="s">
        <v>700</v>
      </c>
      <c r="H382" t="s">
        <v>106</v>
      </c>
      <c r="I382" t="s">
        <v>685</v>
      </c>
      <c r="J382" t="s">
        <v>704</v>
      </c>
      <c r="K382" t="s">
        <v>82</v>
      </c>
      <c r="L382">
        <v>13817.135</v>
      </c>
      <c r="M382" t="s">
        <v>83</v>
      </c>
      <c r="N382">
        <v>10621.49583</v>
      </c>
      <c r="S382">
        <v>1</v>
      </c>
      <c r="U382">
        <v>0</v>
      </c>
      <c r="V382">
        <v>0</v>
      </c>
      <c r="W382">
        <v>10621.495833333334</v>
      </c>
      <c r="X382">
        <v>13817.135</v>
      </c>
      <c r="Y382">
        <v>13817.135</v>
      </c>
    </row>
    <row r="383" spans="1:25" x14ac:dyDescent="0.25">
      <c r="A383" t="s">
        <v>685</v>
      </c>
      <c r="B383">
        <v>0</v>
      </c>
      <c r="C383" t="s">
        <v>608</v>
      </c>
      <c r="D383" t="s">
        <v>686</v>
      </c>
      <c r="E383" t="s">
        <v>552</v>
      </c>
      <c r="F383" t="s">
        <v>610</v>
      </c>
      <c r="G383" t="s">
        <v>84</v>
      </c>
      <c r="H383" t="s">
        <v>106</v>
      </c>
      <c r="I383" t="s">
        <v>685</v>
      </c>
      <c r="J383" t="s">
        <v>705</v>
      </c>
      <c r="K383" t="s">
        <v>82</v>
      </c>
      <c r="L383">
        <v>9098.5125000000007</v>
      </c>
      <c r="M383" t="s">
        <v>83</v>
      </c>
      <c r="P383">
        <v>1</v>
      </c>
      <c r="U383">
        <v>0</v>
      </c>
      <c r="V383">
        <v>0</v>
      </c>
      <c r="W383">
        <v>10621.495833333334</v>
      </c>
    </row>
    <row r="384" spans="1:25" x14ac:dyDescent="0.25">
      <c r="A384" t="s">
        <v>685</v>
      </c>
      <c r="B384">
        <v>0</v>
      </c>
      <c r="C384" t="s">
        <v>608</v>
      </c>
      <c r="D384" t="s">
        <v>686</v>
      </c>
      <c r="E384" t="s">
        <v>552</v>
      </c>
      <c r="F384" t="s">
        <v>610</v>
      </c>
      <c r="G384" t="s">
        <v>84</v>
      </c>
      <c r="H384" t="s">
        <v>106</v>
      </c>
      <c r="I384" t="s">
        <v>685</v>
      </c>
      <c r="J384" t="s">
        <v>706</v>
      </c>
      <c r="K384" t="s">
        <v>82</v>
      </c>
      <c r="L384">
        <v>8948.84</v>
      </c>
      <c r="M384" t="s">
        <v>83</v>
      </c>
      <c r="O384">
        <v>1</v>
      </c>
      <c r="U384">
        <v>8948.84</v>
      </c>
      <c r="V384">
        <v>0</v>
      </c>
      <c r="W384">
        <v>10621.495833333334</v>
      </c>
    </row>
    <row r="385" spans="1:25" x14ac:dyDescent="0.25">
      <c r="A385" t="s">
        <v>685</v>
      </c>
      <c r="B385">
        <v>1</v>
      </c>
      <c r="C385" t="s">
        <v>608</v>
      </c>
      <c r="D385" t="s">
        <v>686</v>
      </c>
      <c r="E385" t="s">
        <v>552</v>
      </c>
      <c r="F385" t="s">
        <v>610</v>
      </c>
      <c r="G385" t="s">
        <v>700</v>
      </c>
      <c r="H385" t="s">
        <v>110</v>
      </c>
      <c r="I385" t="s">
        <v>685</v>
      </c>
      <c r="J385" t="s">
        <v>707</v>
      </c>
      <c r="K385" t="s">
        <v>82</v>
      </c>
      <c r="L385">
        <v>9300</v>
      </c>
      <c r="M385" t="s">
        <v>83</v>
      </c>
      <c r="N385">
        <v>11143.333329999999</v>
      </c>
      <c r="S385">
        <v>1</v>
      </c>
      <c r="U385">
        <v>0</v>
      </c>
      <c r="V385">
        <v>0</v>
      </c>
      <c r="W385">
        <v>11143.333333333334</v>
      </c>
      <c r="X385">
        <v>9300</v>
      </c>
      <c r="Y385">
        <v>9300</v>
      </c>
    </row>
    <row r="386" spans="1:25" x14ac:dyDescent="0.25">
      <c r="A386" t="s">
        <v>685</v>
      </c>
      <c r="B386">
        <v>0</v>
      </c>
      <c r="C386" t="s">
        <v>608</v>
      </c>
      <c r="D386" t="s">
        <v>686</v>
      </c>
      <c r="E386" t="s">
        <v>552</v>
      </c>
      <c r="F386" t="s">
        <v>610</v>
      </c>
      <c r="G386" t="s">
        <v>84</v>
      </c>
      <c r="H386" t="s">
        <v>110</v>
      </c>
      <c r="I386" t="s">
        <v>685</v>
      </c>
      <c r="J386" t="s">
        <v>708</v>
      </c>
      <c r="K386" t="s">
        <v>82</v>
      </c>
      <c r="L386">
        <v>9250</v>
      </c>
      <c r="M386" t="s">
        <v>83</v>
      </c>
      <c r="P386">
        <v>1</v>
      </c>
      <c r="U386">
        <v>0</v>
      </c>
      <c r="V386">
        <v>0</v>
      </c>
      <c r="W386">
        <v>11143.333333333334</v>
      </c>
    </row>
    <row r="387" spans="1:25" x14ac:dyDescent="0.25">
      <c r="A387" t="s">
        <v>685</v>
      </c>
      <c r="B387">
        <v>0</v>
      </c>
      <c r="C387" t="s">
        <v>608</v>
      </c>
      <c r="D387" t="s">
        <v>686</v>
      </c>
      <c r="E387" t="s">
        <v>552</v>
      </c>
      <c r="F387" t="s">
        <v>610</v>
      </c>
      <c r="G387" t="s">
        <v>84</v>
      </c>
      <c r="H387" t="s">
        <v>110</v>
      </c>
      <c r="I387" t="s">
        <v>685</v>
      </c>
      <c r="J387" t="s">
        <v>709</v>
      </c>
      <c r="K387" t="s">
        <v>82</v>
      </c>
      <c r="L387">
        <v>14880</v>
      </c>
      <c r="M387" t="s">
        <v>83</v>
      </c>
      <c r="O387">
        <v>1</v>
      </c>
      <c r="U387">
        <v>14880</v>
      </c>
      <c r="V387">
        <v>0</v>
      </c>
      <c r="W387">
        <v>11143.333333333334</v>
      </c>
    </row>
    <row r="388" spans="1:25" x14ac:dyDescent="0.25">
      <c r="A388" t="s">
        <v>710</v>
      </c>
      <c r="B388">
        <v>1</v>
      </c>
      <c r="C388" t="s">
        <v>608</v>
      </c>
      <c r="D388" t="s">
        <v>686</v>
      </c>
      <c r="E388" t="s">
        <v>552</v>
      </c>
      <c r="F388" t="s">
        <v>610</v>
      </c>
      <c r="G388" t="s">
        <v>140</v>
      </c>
      <c r="H388" t="s">
        <v>92</v>
      </c>
      <c r="I388" t="s">
        <v>711</v>
      </c>
      <c r="J388" t="s">
        <v>140</v>
      </c>
      <c r="K388" t="s">
        <v>82</v>
      </c>
      <c r="L388">
        <v>28890</v>
      </c>
      <c r="M388" t="s">
        <v>83</v>
      </c>
      <c r="N388">
        <v>37863.333330000001</v>
      </c>
      <c r="R388">
        <v>1</v>
      </c>
      <c r="U388">
        <v>0</v>
      </c>
      <c r="V388">
        <v>0</v>
      </c>
      <c r="W388">
        <v>37863.333333333336</v>
      </c>
      <c r="X388">
        <v>28890</v>
      </c>
      <c r="Y388">
        <v>28890</v>
      </c>
    </row>
    <row r="389" spans="1:25" x14ac:dyDescent="0.25">
      <c r="A389" t="s">
        <v>710</v>
      </c>
      <c r="B389">
        <v>0</v>
      </c>
      <c r="C389" t="s">
        <v>608</v>
      </c>
      <c r="D389" t="s">
        <v>686</v>
      </c>
      <c r="E389" t="s">
        <v>552</v>
      </c>
      <c r="F389" t="s">
        <v>610</v>
      </c>
      <c r="G389" t="s">
        <v>84</v>
      </c>
      <c r="H389" t="s">
        <v>92</v>
      </c>
      <c r="I389" t="s">
        <v>712</v>
      </c>
      <c r="J389" t="s">
        <v>713</v>
      </c>
      <c r="K389" t="s">
        <v>82</v>
      </c>
      <c r="L389">
        <v>43020</v>
      </c>
      <c r="M389" t="s">
        <v>83</v>
      </c>
      <c r="Q389">
        <v>1</v>
      </c>
      <c r="U389">
        <v>0</v>
      </c>
      <c r="V389">
        <v>0</v>
      </c>
      <c r="W389">
        <v>37863.333333333336</v>
      </c>
    </row>
    <row r="390" spans="1:25" x14ac:dyDescent="0.25">
      <c r="A390" t="s">
        <v>710</v>
      </c>
      <c r="B390">
        <v>0</v>
      </c>
      <c r="C390" t="s">
        <v>608</v>
      </c>
      <c r="D390" t="s">
        <v>686</v>
      </c>
      <c r="E390" t="s">
        <v>552</v>
      </c>
      <c r="F390" t="s">
        <v>610</v>
      </c>
      <c r="G390" t="s">
        <v>84</v>
      </c>
      <c r="H390" t="s">
        <v>92</v>
      </c>
      <c r="I390" t="s">
        <v>714</v>
      </c>
      <c r="J390" t="s">
        <v>221</v>
      </c>
      <c r="K390" t="s">
        <v>82</v>
      </c>
      <c r="L390">
        <v>41680</v>
      </c>
      <c r="M390" t="s">
        <v>83</v>
      </c>
      <c r="U390">
        <v>0</v>
      </c>
      <c r="V390">
        <v>0</v>
      </c>
      <c r="W390">
        <v>37863.333333333336</v>
      </c>
    </row>
    <row r="391" spans="1:25" x14ac:dyDescent="0.25">
      <c r="A391" t="s">
        <v>710</v>
      </c>
      <c r="B391">
        <v>0</v>
      </c>
      <c r="C391" t="s">
        <v>608</v>
      </c>
      <c r="D391" t="s">
        <v>686</v>
      </c>
      <c r="E391" t="s">
        <v>552</v>
      </c>
      <c r="F391" t="s">
        <v>610</v>
      </c>
      <c r="G391" t="s">
        <v>84</v>
      </c>
      <c r="H391" t="s">
        <v>98</v>
      </c>
      <c r="I391" t="s">
        <v>715</v>
      </c>
      <c r="J391" t="s">
        <v>716</v>
      </c>
      <c r="K391" t="s">
        <v>82</v>
      </c>
      <c r="L391">
        <v>26750</v>
      </c>
      <c r="M391" t="s">
        <v>83</v>
      </c>
      <c r="S391">
        <v>1</v>
      </c>
      <c r="U391">
        <v>0</v>
      </c>
      <c r="V391">
        <v>0</v>
      </c>
      <c r="W391">
        <v>31400</v>
      </c>
    </row>
    <row r="392" spans="1:25" x14ac:dyDescent="0.25">
      <c r="A392" t="s">
        <v>710</v>
      </c>
      <c r="B392">
        <v>1</v>
      </c>
      <c r="C392" t="s">
        <v>608</v>
      </c>
      <c r="D392" t="s">
        <v>686</v>
      </c>
      <c r="E392" t="s">
        <v>552</v>
      </c>
      <c r="F392" t="s">
        <v>610</v>
      </c>
      <c r="G392" t="s">
        <v>238</v>
      </c>
      <c r="H392" t="s">
        <v>98</v>
      </c>
      <c r="I392" t="s">
        <v>717</v>
      </c>
      <c r="J392" t="s">
        <v>718</v>
      </c>
      <c r="K392" t="s">
        <v>82</v>
      </c>
      <c r="L392">
        <v>36050</v>
      </c>
      <c r="M392" t="s">
        <v>83</v>
      </c>
      <c r="N392">
        <v>31400</v>
      </c>
      <c r="U392">
        <v>0</v>
      </c>
      <c r="V392">
        <v>0</v>
      </c>
      <c r="W392">
        <v>31400</v>
      </c>
      <c r="X392">
        <v>36050</v>
      </c>
      <c r="Y392">
        <v>36050</v>
      </c>
    </row>
    <row r="393" spans="1:25" x14ac:dyDescent="0.25">
      <c r="A393" t="s">
        <v>710</v>
      </c>
      <c r="B393">
        <v>0</v>
      </c>
      <c r="C393" t="s">
        <v>608</v>
      </c>
      <c r="D393" t="s">
        <v>686</v>
      </c>
      <c r="E393" t="s">
        <v>552</v>
      </c>
      <c r="F393" t="s">
        <v>610</v>
      </c>
      <c r="G393" t="s">
        <v>84</v>
      </c>
      <c r="H393" t="s">
        <v>87</v>
      </c>
      <c r="I393" t="s">
        <v>719</v>
      </c>
      <c r="J393" t="s">
        <v>720</v>
      </c>
      <c r="K393" t="s">
        <v>82</v>
      </c>
      <c r="L393">
        <v>154630</v>
      </c>
      <c r="M393" t="s">
        <v>83</v>
      </c>
      <c r="Q393">
        <v>1</v>
      </c>
      <c r="T393">
        <v>1</v>
      </c>
      <c r="U393">
        <v>0</v>
      </c>
      <c r="V393">
        <v>0</v>
      </c>
      <c r="W393">
        <v>154258.96113333333</v>
      </c>
    </row>
    <row r="394" spans="1:25" x14ac:dyDescent="0.25">
      <c r="A394" t="s">
        <v>710</v>
      </c>
      <c r="B394">
        <v>1</v>
      </c>
      <c r="C394" t="s">
        <v>608</v>
      </c>
      <c r="D394" t="s">
        <v>686</v>
      </c>
      <c r="E394" t="s">
        <v>552</v>
      </c>
      <c r="F394" t="s">
        <v>610</v>
      </c>
      <c r="G394" t="s">
        <v>413</v>
      </c>
      <c r="H394" t="s">
        <v>87</v>
      </c>
      <c r="I394" t="s">
        <v>721</v>
      </c>
      <c r="J394" t="s">
        <v>722</v>
      </c>
      <c r="K394" t="s">
        <v>82</v>
      </c>
      <c r="L394">
        <v>135575.4167</v>
      </c>
      <c r="M394" t="s">
        <v>83</v>
      </c>
      <c r="N394">
        <v>154258.96109999999</v>
      </c>
      <c r="U394">
        <v>0</v>
      </c>
      <c r="V394">
        <v>0</v>
      </c>
      <c r="W394">
        <v>154258.96113333333</v>
      </c>
      <c r="X394">
        <v>135575.4167</v>
      </c>
      <c r="Y394">
        <v>135575.4167</v>
      </c>
    </row>
    <row r="395" spans="1:25" x14ac:dyDescent="0.25">
      <c r="A395" t="s">
        <v>710</v>
      </c>
      <c r="B395">
        <v>0</v>
      </c>
      <c r="C395" t="s">
        <v>608</v>
      </c>
      <c r="D395" t="s">
        <v>686</v>
      </c>
      <c r="E395" t="s">
        <v>552</v>
      </c>
      <c r="F395" t="s">
        <v>610</v>
      </c>
      <c r="G395" t="s">
        <v>84</v>
      </c>
      <c r="H395" t="s">
        <v>87</v>
      </c>
      <c r="I395" t="s">
        <v>710</v>
      </c>
      <c r="J395" t="s">
        <v>723</v>
      </c>
      <c r="K395" t="s">
        <v>82</v>
      </c>
      <c r="L395">
        <v>172571.46669999999</v>
      </c>
      <c r="M395" t="s">
        <v>83</v>
      </c>
      <c r="S395">
        <v>1</v>
      </c>
      <c r="T395">
        <v>1</v>
      </c>
      <c r="U395">
        <v>0</v>
      </c>
      <c r="V395">
        <v>0</v>
      </c>
      <c r="W395">
        <v>154258.96113333333</v>
      </c>
    </row>
    <row r="396" spans="1:25" x14ac:dyDescent="0.25">
      <c r="A396" t="s">
        <v>710</v>
      </c>
      <c r="B396">
        <v>0</v>
      </c>
      <c r="C396" t="s">
        <v>608</v>
      </c>
      <c r="D396" t="s">
        <v>686</v>
      </c>
      <c r="E396" t="s">
        <v>552</v>
      </c>
      <c r="F396" t="s">
        <v>610</v>
      </c>
      <c r="G396" t="s">
        <v>84</v>
      </c>
      <c r="H396" t="s">
        <v>110</v>
      </c>
      <c r="I396" t="s">
        <v>724</v>
      </c>
      <c r="J396" t="s">
        <v>725</v>
      </c>
      <c r="K396" t="s">
        <v>82</v>
      </c>
      <c r="L396">
        <v>12750</v>
      </c>
      <c r="M396" t="s">
        <v>83</v>
      </c>
      <c r="P396">
        <v>1</v>
      </c>
      <c r="T396">
        <v>1</v>
      </c>
      <c r="U396">
        <v>0</v>
      </c>
      <c r="V396">
        <v>0</v>
      </c>
      <c r="W396">
        <v>15299.666666666666</v>
      </c>
    </row>
    <row r="397" spans="1:25" x14ac:dyDescent="0.25">
      <c r="A397" t="s">
        <v>710</v>
      </c>
      <c r="B397">
        <v>1</v>
      </c>
      <c r="C397" t="s">
        <v>608</v>
      </c>
      <c r="D397" t="s">
        <v>686</v>
      </c>
      <c r="E397" t="s">
        <v>552</v>
      </c>
      <c r="F397" t="s">
        <v>610</v>
      </c>
      <c r="G397" t="s">
        <v>188</v>
      </c>
      <c r="H397" t="s">
        <v>110</v>
      </c>
      <c r="I397" t="s">
        <v>710</v>
      </c>
      <c r="J397" t="s">
        <v>726</v>
      </c>
      <c r="K397" t="s">
        <v>82</v>
      </c>
      <c r="L397">
        <v>14375</v>
      </c>
      <c r="M397" t="s">
        <v>83</v>
      </c>
      <c r="N397">
        <v>15299.666670000001</v>
      </c>
      <c r="P397">
        <v>1</v>
      </c>
      <c r="T397">
        <v>1</v>
      </c>
      <c r="U397">
        <v>0</v>
      </c>
      <c r="V397">
        <v>0</v>
      </c>
      <c r="W397">
        <v>15299.666666666666</v>
      </c>
      <c r="X397">
        <v>14375</v>
      </c>
      <c r="Y397">
        <v>14375</v>
      </c>
    </row>
    <row r="398" spans="1:25" x14ac:dyDescent="0.25">
      <c r="A398" t="s">
        <v>710</v>
      </c>
      <c r="B398">
        <v>0</v>
      </c>
      <c r="C398" t="s">
        <v>608</v>
      </c>
      <c r="D398" t="s">
        <v>686</v>
      </c>
      <c r="E398" t="s">
        <v>552</v>
      </c>
      <c r="F398" t="s">
        <v>610</v>
      </c>
      <c r="G398" t="s">
        <v>84</v>
      </c>
      <c r="H398" t="s">
        <v>110</v>
      </c>
      <c r="I398" t="s">
        <v>710</v>
      </c>
      <c r="J398" t="s">
        <v>84</v>
      </c>
      <c r="K398" t="s">
        <v>82</v>
      </c>
      <c r="L398">
        <v>18774</v>
      </c>
      <c r="M398" t="s">
        <v>83</v>
      </c>
      <c r="S398">
        <v>1</v>
      </c>
      <c r="U398">
        <v>0</v>
      </c>
      <c r="V398">
        <v>0</v>
      </c>
      <c r="W398">
        <v>15299.666666666666</v>
      </c>
    </row>
    <row r="399" spans="1:25" x14ac:dyDescent="0.25">
      <c r="A399" t="s">
        <v>710</v>
      </c>
      <c r="B399">
        <v>0</v>
      </c>
      <c r="C399" t="s">
        <v>608</v>
      </c>
      <c r="D399" t="s">
        <v>686</v>
      </c>
      <c r="E399" t="s">
        <v>552</v>
      </c>
      <c r="F399" t="s">
        <v>610</v>
      </c>
      <c r="G399" t="s">
        <v>84</v>
      </c>
      <c r="H399" t="s">
        <v>106</v>
      </c>
      <c r="I399" t="s">
        <v>724</v>
      </c>
      <c r="J399" t="s">
        <v>727</v>
      </c>
      <c r="K399" t="s">
        <v>82</v>
      </c>
      <c r="L399">
        <v>10839.44</v>
      </c>
      <c r="M399" t="s">
        <v>83</v>
      </c>
      <c r="P399">
        <v>1</v>
      </c>
      <c r="T399">
        <v>1</v>
      </c>
      <c r="U399">
        <v>0</v>
      </c>
      <c r="V399">
        <v>0</v>
      </c>
      <c r="W399">
        <v>10064.819166666666</v>
      </c>
    </row>
    <row r="400" spans="1:25" x14ac:dyDescent="0.25">
      <c r="A400" t="s">
        <v>710</v>
      </c>
      <c r="B400">
        <v>1</v>
      </c>
      <c r="C400" t="s">
        <v>608</v>
      </c>
      <c r="D400" t="s">
        <v>686</v>
      </c>
      <c r="E400" t="s">
        <v>552</v>
      </c>
      <c r="F400" t="s">
        <v>610</v>
      </c>
      <c r="G400" t="s">
        <v>188</v>
      </c>
      <c r="H400" t="s">
        <v>106</v>
      </c>
      <c r="I400" t="s">
        <v>710</v>
      </c>
      <c r="J400" t="s">
        <v>728</v>
      </c>
      <c r="K400" t="s">
        <v>82</v>
      </c>
      <c r="L400">
        <v>10926.092500000001</v>
      </c>
      <c r="M400" t="s">
        <v>83</v>
      </c>
      <c r="N400">
        <v>10064.819170000001</v>
      </c>
      <c r="P400">
        <v>1</v>
      </c>
      <c r="T400">
        <v>1</v>
      </c>
      <c r="U400">
        <v>0</v>
      </c>
      <c r="V400">
        <v>0</v>
      </c>
      <c r="W400">
        <v>10064.819166666666</v>
      </c>
      <c r="X400">
        <v>10926.092500000001</v>
      </c>
      <c r="Y400">
        <v>10926.092500000001</v>
      </c>
    </row>
    <row r="401" spans="1:25" x14ac:dyDescent="0.25">
      <c r="A401" t="s">
        <v>710</v>
      </c>
      <c r="B401">
        <v>0</v>
      </c>
      <c r="C401" t="s">
        <v>608</v>
      </c>
      <c r="D401" t="s">
        <v>686</v>
      </c>
      <c r="E401" t="s">
        <v>552</v>
      </c>
      <c r="F401" t="s">
        <v>610</v>
      </c>
      <c r="G401" t="s">
        <v>84</v>
      </c>
      <c r="H401" t="s">
        <v>106</v>
      </c>
      <c r="I401" t="s">
        <v>710</v>
      </c>
      <c r="J401" t="s">
        <v>729</v>
      </c>
      <c r="K401" t="s">
        <v>82</v>
      </c>
      <c r="L401">
        <v>8428.9249999999993</v>
      </c>
      <c r="M401" t="s">
        <v>83</v>
      </c>
      <c r="S401">
        <v>1</v>
      </c>
      <c r="U401">
        <v>0</v>
      </c>
      <c r="V401">
        <v>0</v>
      </c>
      <c r="W401">
        <v>10064.819166666666</v>
      </c>
    </row>
    <row r="402" spans="1:25" x14ac:dyDescent="0.25">
      <c r="A402" t="s">
        <v>710</v>
      </c>
      <c r="B402">
        <v>0</v>
      </c>
      <c r="C402" t="s">
        <v>608</v>
      </c>
      <c r="D402" t="s">
        <v>686</v>
      </c>
      <c r="E402" t="s">
        <v>552</v>
      </c>
      <c r="F402" t="s">
        <v>610</v>
      </c>
      <c r="G402" t="s">
        <v>84</v>
      </c>
      <c r="H402" t="s">
        <v>80</v>
      </c>
      <c r="I402" t="s">
        <v>724</v>
      </c>
      <c r="J402" t="s">
        <v>730</v>
      </c>
      <c r="K402" t="s">
        <v>82</v>
      </c>
      <c r="L402">
        <v>654508.57499999995</v>
      </c>
      <c r="M402" t="s">
        <v>83</v>
      </c>
      <c r="P402">
        <v>1</v>
      </c>
      <c r="T402">
        <v>1</v>
      </c>
      <c r="U402">
        <v>0</v>
      </c>
      <c r="V402">
        <v>0</v>
      </c>
      <c r="W402">
        <v>706387.15280000004</v>
      </c>
    </row>
    <row r="403" spans="1:25" x14ac:dyDescent="0.25">
      <c r="A403" t="s">
        <v>710</v>
      </c>
      <c r="B403">
        <v>1</v>
      </c>
      <c r="C403" t="s">
        <v>608</v>
      </c>
      <c r="D403" t="s">
        <v>686</v>
      </c>
      <c r="E403" t="s">
        <v>552</v>
      </c>
      <c r="F403" t="s">
        <v>610</v>
      </c>
      <c r="G403" t="s">
        <v>188</v>
      </c>
      <c r="H403" t="s">
        <v>80</v>
      </c>
      <c r="I403" t="s">
        <v>710</v>
      </c>
      <c r="J403" t="s">
        <v>731</v>
      </c>
      <c r="K403" t="s">
        <v>82</v>
      </c>
      <c r="L403">
        <v>831998.99340000004</v>
      </c>
      <c r="M403" t="s">
        <v>83</v>
      </c>
      <c r="N403">
        <v>706387.15280000004</v>
      </c>
      <c r="P403">
        <v>1</v>
      </c>
      <c r="T403">
        <v>1</v>
      </c>
      <c r="U403">
        <v>0</v>
      </c>
      <c r="V403">
        <v>0</v>
      </c>
      <c r="W403">
        <v>706387.15280000004</v>
      </c>
      <c r="X403">
        <v>831998.99340000004</v>
      </c>
      <c r="Y403">
        <v>831998.99340000004</v>
      </c>
    </row>
    <row r="404" spans="1:25" x14ac:dyDescent="0.25">
      <c r="A404" t="s">
        <v>710</v>
      </c>
      <c r="B404">
        <v>0</v>
      </c>
      <c r="C404" t="s">
        <v>608</v>
      </c>
      <c r="D404" t="s">
        <v>686</v>
      </c>
      <c r="E404" t="s">
        <v>552</v>
      </c>
      <c r="F404" t="s">
        <v>610</v>
      </c>
      <c r="G404" t="s">
        <v>84</v>
      </c>
      <c r="H404" t="s">
        <v>80</v>
      </c>
      <c r="I404" t="s">
        <v>710</v>
      </c>
      <c r="J404" t="s">
        <v>732</v>
      </c>
      <c r="K404" t="s">
        <v>82</v>
      </c>
      <c r="L404">
        <v>632653.89</v>
      </c>
      <c r="M404" t="s">
        <v>83</v>
      </c>
      <c r="S404">
        <v>1</v>
      </c>
      <c r="U404">
        <v>0</v>
      </c>
      <c r="V404">
        <v>0</v>
      </c>
      <c r="W404">
        <v>706387.15280000004</v>
      </c>
    </row>
    <row r="405" spans="1:25" x14ac:dyDescent="0.25">
      <c r="A405" t="s">
        <v>733</v>
      </c>
      <c r="B405">
        <v>0</v>
      </c>
      <c r="C405" t="s">
        <v>735</v>
      </c>
      <c r="D405" t="s">
        <v>736</v>
      </c>
      <c r="E405" t="s">
        <v>179</v>
      </c>
      <c r="F405" t="s">
        <v>737</v>
      </c>
      <c r="G405" t="s">
        <v>84</v>
      </c>
      <c r="H405" t="s">
        <v>92</v>
      </c>
      <c r="I405" t="s">
        <v>738</v>
      </c>
      <c r="J405" t="s">
        <v>181</v>
      </c>
      <c r="K405" t="s">
        <v>82</v>
      </c>
      <c r="L405">
        <v>26570</v>
      </c>
      <c r="M405" t="s">
        <v>83</v>
      </c>
      <c r="U405">
        <v>0</v>
      </c>
      <c r="V405">
        <v>0</v>
      </c>
      <c r="W405">
        <v>46565</v>
      </c>
    </row>
    <row r="406" spans="1:25" x14ac:dyDescent="0.25">
      <c r="A406" t="s">
        <v>733</v>
      </c>
      <c r="B406">
        <v>1</v>
      </c>
      <c r="C406" t="s">
        <v>735</v>
      </c>
      <c r="D406" t="s">
        <v>736</v>
      </c>
      <c r="E406" t="s">
        <v>179</v>
      </c>
      <c r="F406" t="s">
        <v>737</v>
      </c>
      <c r="G406" t="s">
        <v>221</v>
      </c>
      <c r="H406" t="s">
        <v>92</v>
      </c>
      <c r="I406" t="s">
        <v>739</v>
      </c>
      <c r="J406" t="s">
        <v>221</v>
      </c>
      <c r="K406" t="s">
        <v>82</v>
      </c>
      <c r="L406">
        <v>66560</v>
      </c>
      <c r="M406" t="s">
        <v>83</v>
      </c>
      <c r="N406">
        <v>46565</v>
      </c>
      <c r="U406">
        <v>0</v>
      </c>
      <c r="V406">
        <v>0</v>
      </c>
      <c r="W406">
        <v>46565</v>
      </c>
      <c r="X406">
        <v>66560</v>
      </c>
      <c r="Y406">
        <v>66560</v>
      </c>
    </row>
    <row r="407" spans="1:25" x14ac:dyDescent="0.25">
      <c r="A407" t="s">
        <v>733</v>
      </c>
      <c r="B407">
        <v>1</v>
      </c>
      <c r="C407" t="s">
        <v>735</v>
      </c>
      <c r="D407" t="s">
        <v>736</v>
      </c>
      <c r="E407" t="s">
        <v>179</v>
      </c>
      <c r="F407" t="s">
        <v>737</v>
      </c>
      <c r="G407" t="s">
        <v>700</v>
      </c>
      <c r="H407" t="s">
        <v>114</v>
      </c>
      <c r="I407" t="s">
        <v>733</v>
      </c>
      <c r="J407" t="s">
        <v>740</v>
      </c>
      <c r="K407" t="s">
        <v>82</v>
      </c>
      <c r="L407">
        <v>42850</v>
      </c>
      <c r="M407" t="s">
        <v>83</v>
      </c>
      <c r="N407">
        <v>31316.666669999999</v>
      </c>
      <c r="S407">
        <v>1</v>
      </c>
      <c r="U407">
        <v>0</v>
      </c>
      <c r="V407">
        <v>0</v>
      </c>
      <c r="W407">
        <v>31316.666666666664</v>
      </c>
      <c r="X407">
        <v>42850</v>
      </c>
      <c r="Y407">
        <v>42850</v>
      </c>
    </row>
    <row r="408" spans="1:25" x14ac:dyDescent="0.25">
      <c r="A408" t="s">
        <v>733</v>
      </c>
      <c r="B408">
        <v>0</v>
      </c>
      <c r="C408" t="s">
        <v>735</v>
      </c>
      <c r="D408" t="s">
        <v>736</v>
      </c>
      <c r="E408" t="s">
        <v>179</v>
      </c>
      <c r="F408" t="s">
        <v>737</v>
      </c>
      <c r="G408" t="s">
        <v>84</v>
      </c>
      <c r="H408" t="s">
        <v>114</v>
      </c>
      <c r="I408" t="s">
        <v>741</v>
      </c>
      <c r="J408" t="s">
        <v>742</v>
      </c>
      <c r="K408" t="s">
        <v>82</v>
      </c>
      <c r="L408">
        <v>23200</v>
      </c>
      <c r="M408" t="s">
        <v>83</v>
      </c>
      <c r="O408">
        <v>1</v>
      </c>
      <c r="U408">
        <v>23200</v>
      </c>
      <c r="V408">
        <v>0</v>
      </c>
      <c r="W408">
        <v>31316.666666666664</v>
      </c>
    </row>
    <row r="409" spans="1:25" x14ac:dyDescent="0.25">
      <c r="A409" t="s">
        <v>733</v>
      </c>
      <c r="B409">
        <v>0</v>
      </c>
      <c r="C409" t="s">
        <v>735</v>
      </c>
      <c r="D409" t="s">
        <v>736</v>
      </c>
      <c r="E409" t="s">
        <v>179</v>
      </c>
      <c r="F409" t="s">
        <v>737</v>
      </c>
      <c r="G409" t="s">
        <v>84</v>
      </c>
      <c r="H409" t="s">
        <v>114</v>
      </c>
      <c r="I409" t="s">
        <v>733</v>
      </c>
      <c r="J409" t="s">
        <v>743</v>
      </c>
      <c r="K409" t="s">
        <v>82</v>
      </c>
      <c r="L409">
        <v>27900</v>
      </c>
      <c r="M409" t="s">
        <v>83</v>
      </c>
      <c r="P409">
        <v>1</v>
      </c>
      <c r="T409">
        <v>1</v>
      </c>
      <c r="U409">
        <v>0</v>
      </c>
      <c r="V409">
        <v>0</v>
      </c>
      <c r="W409">
        <v>31316.666666666664</v>
      </c>
    </row>
    <row r="410" spans="1:25" x14ac:dyDescent="0.25">
      <c r="A410" t="s">
        <v>733</v>
      </c>
      <c r="B410">
        <v>1</v>
      </c>
      <c r="C410" t="s">
        <v>735</v>
      </c>
      <c r="D410" t="s">
        <v>736</v>
      </c>
      <c r="E410" t="s">
        <v>179</v>
      </c>
      <c r="F410" t="s">
        <v>737</v>
      </c>
      <c r="G410" t="s">
        <v>700</v>
      </c>
      <c r="H410" t="s">
        <v>121</v>
      </c>
      <c r="I410" t="s">
        <v>733</v>
      </c>
      <c r="J410" t="s">
        <v>744</v>
      </c>
      <c r="K410" t="s">
        <v>82</v>
      </c>
      <c r="L410">
        <v>193795.97099999999</v>
      </c>
      <c r="M410" t="s">
        <v>83</v>
      </c>
      <c r="N410">
        <v>182920.4215</v>
      </c>
      <c r="S410">
        <v>1</v>
      </c>
      <c r="U410">
        <v>0</v>
      </c>
      <c r="V410">
        <v>0</v>
      </c>
      <c r="W410">
        <v>182920.4215</v>
      </c>
      <c r="X410">
        <v>193795.97099999999</v>
      </c>
      <c r="Y410">
        <v>193795.97099999999</v>
      </c>
    </row>
    <row r="411" spans="1:25" x14ac:dyDescent="0.25">
      <c r="A411" t="s">
        <v>733</v>
      </c>
      <c r="B411">
        <v>0</v>
      </c>
      <c r="C411" t="s">
        <v>735</v>
      </c>
      <c r="D411" t="s">
        <v>736</v>
      </c>
      <c r="E411" t="s">
        <v>179</v>
      </c>
      <c r="F411" t="s">
        <v>737</v>
      </c>
      <c r="G411" t="s">
        <v>84</v>
      </c>
      <c r="H411" t="s">
        <v>121</v>
      </c>
      <c r="I411" t="s">
        <v>741</v>
      </c>
      <c r="J411" t="s">
        <v>745</v>
      </c>
      <c r="K411" t="s">
        <v>82</v>
      </c>
      <c r="L411">
        <v>170725.97829999999</v>
      </c>
      <c r="M411" t="s">
        <v>83</v>
      </c>
      <c r="O411">
        <v>1</v>
      </c>
      <c r="U411">
        <v>170725.97829999999</v>
      </c>
      <c r="V411">
        <v>0</v>
      </c>
      <c r="W411">
        <v>182920.4215</v>
      </c>
    </row>
    <row r="412" spans="1:25" x14ac:dyDescent="0.25">
      <c r="A412" t="s">
        <v>733</v>
      </c>
      <c r="B412">
        <v>0</v>
      </c>
      <c r="C412" t="s">
        <v>735</v>
      </c>
      <c r="D412" t="s">
        <v>736</v>
      </c>
      <c r="E412" t="s">
        <v>179</v>
      </c>
      <c r="F412" t="s">
        <v>737</v>
      </c>
      <c r="G412" t="s">
        <v>84</v>
      </c>
      <c r="H412" t="s">
        <v>121</v>
      </c>
      <c r="I412" t="s">
        <v>733</v>
      </c>
      <c r="J412" t="s">
        <v>746</v>
      </c>
      <c r="K412" t="s">
        <v>82</v>
      </c>
      <c r="L412">
        <v>184239.31520000001</v>
      </c>
      <c r="M412" t="s">
        <v>83</v>
      </c>
      <c r="P412">
        <v>1</v>
      </c>
      <c r="T412">
        <v>1</v>
      </c>
      <c r="U412">
        <v>0</v>
      </c>
      <c r="V412">
        <v>0</v>
      </c>
      <c r="W412">
        <v>182920.4215</v>
      </c>
    </row>
    <row r="413" spans="1:25" x14ac:dyDescent="0.25">
      <c r="A413" t="s">
        <v>733</v>
      </c>
      <c r="B413">
        <v>0</v>
      </c>
      <c r="C413" t="s">
        <v>735</v>
      </c>
      <c r="D413" t="s">
        <v>736</v>
      </c>
      <c r="E413" t="s">
        <v>179</v>
      </c>
      <c r="F413" t="s">
        <v>737</v>
      </c>
      <c r="G413" t="s">
        <v>84</v>
      </c>
      <c r="H413" t="s">
        <v>151</v>
      </c>
      <c r="I413" t="s">
        <v>747</v>
      </c>
      <c r="J413" t="s">
        <v>748</v>
      </c>
      <c r="K413" t="s">
        <v>82</v>
      </c>
      <c r="L413">
        <v>108745</v>
      </c>
      <c r="M413" t="s">
        <v>83</v>
      </c>
      <c r="U413">
        <v>0</v>
      </c>
      <c r="V413">
        <v>0</v>
      </c>
      <c r="W413">
        <v>98085</v>
      </c>
    </row>
    <row r="414" spans="1:25" x14ac:dyDescent="0.25">
      <c r="A414" t="s">
        <v>733</v>
      </c>
      <c r="B414">
        <v>1</v>
      </c>
      <c r="C414" t="s">
        <v>735</v>
      </c>
      <c r="D414" t="s">
        <v>736</v>
      </c>
      <c r="E414" t="s">
        <v>179</v>
      </c>
      <c r="F414" t="s">
        <v>737</v>
      </c>
      <c r="G414" t="s">
        <v>229</v>
      </c>
      <c r="H414" t="s">
        <v>151</v>
      </c>
      <c r="I414" t="s">
        <v>749</v>
      </c>
      <c r="J414" t="s">
        <v>750</v>
      </c>
      <c r="K414" t="s">
        <v>82</v>
      </c>
      <c r="L414">
        <v>87425</v>
      </c>
      <c r="M414" t="s">
        <v>83</v>
      </c>
      <c r="N414">
        <v>98085</v>
      </c>
      <c r="U414">
        <v>0</v>
      </c>
      <c r="V414">
        <v>0</v>
      </c>
      <c r="W414">
        <v>98085</v>
      </c>
      <c r="X414">
        <v>87425</v>
      </c>
      <c r="Y414">
        <v>87425</v>
      </c>
    </row>
    <row r="415" spans="1:25" x14ac:dyDescent="0.25">
      <c r="A415" t="s">
        <v>733</v>
      </c>
      <c r="B415">
        <v>1</v>
      </c>
      <c r="C415" t="s">
        <v>735</v>
      </c>
      <c r="D415" t="s">
        <v>736</v>
      </c>
      <c r="E415" t="s">
        <v>179</v>
      </c>
      <c r="F415" t="s">
        <v>737</v>
      </c>
      <c r="G415" t="s">
        <v>203</v>
      </c>
      <c r="H415" t="s">
        <v>98</v>
      </c>
      <c r="I415" t="s">
        <v>751</v>
      </c>
      <c r="J415" t="s">
        <v>752</v>
      </c>
      <c r="K415" t="s">
        <v>82</v>
      </c>
      <c r="L415">
        <v>51900</v>
      </c>
      <c r="M415" t="s">
        <v>83</v>
      </c>
      <c r="N415">
        <v>44125</v>
      </c>
      <c r="Q415">
        <v>1</v>
      </c>
      <c r="U415">
        <v>0</v>
      </c>
      <c r="V415">
        <v>0</v>
      </c>
      <c r="W415">
        <v>44125</v>
      </c>
      <c r="X415">
        <v>51900</v>
      </c>
      <c r="Y415">
        <v>51900</v>
      </c>
    </row>
    <row r="416" spans="1:25" x14ac:dyDescent="0.25">
      <c r="A416" t="s">
        <v>733</v>
      </c>
      <c r="B416">
        <v>0</v>
      </c>
      <c r="C416" t="s">
        <v>735</v>
      </c>
      <c r="D416" t="s">
        <v>736</v>
      </c>
      <c r="E416" t="s">
        <v>179</v>
      </c>
      <c r="F416" t="s">
        <v>737</v>
      </c>
      <c r="G416" t="s">
        <v>84</v>
      </c>
      <c r="H416" t="s">
        <v>98</v>
      </c>
      <c r="I416" t="s">
        <v>753</v>
      </c>
      <c r="J416" t="s">
        <v>754</v>
      </c>
      <c r="K416" t="s">
        <v>82</v>
      </c>
      <c r="L416">
        <v>36350</v>
      </c>
      <c r="M416" t="s">
        <v>83</v>
      </c>
      <c r="U416">
        <v>0</v>
      </c>
      <c r="V416">
        <v>0</v>
      </c>
      <c r="W416">
        <v>44125</v>
      </c>
    </row>
    <row r="417" spans="1:25" x14ac:dyDescent="0.25">
      <c r="A417" t="s">
        <v>733</v>
      </c>
      <c r="B417">
        <v>0</v>
      </c>
      <c r="C417" t="s">
        <v>735</v>
      </c>
      <c r="D417" t="s">
        <v>736</v>
      </c>
      <c r="E417" t="s">
        <v>179</v>
      </c>
      <c r="F417" t="s">
        <v>737</v>
      </c>
      <c r="G417" t="s">
        <v>84</v>
      </c>
      <c r="H417" t="s">
        <v>87</v>
      </c>
      <c r="I417" t="s">
        <v>733</v>
      </c>
      <c r="J417" t="s">
        <v>755</v>
      </c>
      <c r="K417" t="s">
        <v>82</v>
      </c>
      <c r="L417">
        <v>125431.25</v>
      </c>
      <c r="M417" t="s">
        <v>83</v>
      </c>
      <c r="U417">
        <v>0</v>
      </c>
      <c r="V417">
        <v>0</v>
      </c>
      <c r="W417">
        <v>97059.569433333338</v>
      </c>
    </row>
    <row r="418" spans="1:25" x14ac:dyDescent="0.25">
      <c r="A418" t="s">
        <v>733</v>
      </c>
      <c r="B418">
        <v>0</v>
      </c>
      <c r="C418" t="s">
        <v>735</v>
      </c>
      <c r="D418" t="s">
        <v>736</v>
      </c>
      <c r="E418" t="s">
        <v>179</v>
      </c>
      <c r="F418" t="s">
        <v>737</v>
      </c>
      <c r="G418" t="s">
        <v>84</v>
      </c>
      <c r="H418" t="s">
        <v>87</v>
      </c>
      <c r="I418" t="s">
        <v>733</v>
      </c>
      <c r="J418" t="s">
        <v>756</v>
      </c>
      <c r="K418" t="s">
        <v>82</v>
      </c>
      <c r="L418">
        <v>65076.2</v>
      </c>
      <c r="M418" t="s">
        <v>83</v>
      </c>
      <c r="U418">
        <v>0</v>
      </c>
      <c r="V418">
        <v>0</v>
      </c>
      <c r="W418">
        <v>97059.569433333338</v>
      </c>
    </row>
    <row r="419" spans="1:25" x14ac:dyDescent="0.25">
      <c r="A419" t="s">
        <v>733</v>
      </c>
      <c r="B419">
        <v>1</v>
      </c>
      <c r="C419" t="s">
        <v>735</v>
      </c>
      <c r="D419" t="s">
        <v>736</v>
      </c>
      <c r="E419" t="s">
        <v>179</v>
      </c>
      <c r="F419" t="s">
        <v>737</v>
      </c>
      <c r="G419" t="s">
        <v>413</v>
      </c>
      <c r="H419" t="s">
        <v>87</v>
      </c>
      <c r="I419" t="s">
        <v>757</v>
      </c>
      <c r="J419" t="s">
        <v>758</v>
      </c>
      <c r="K419" t="s">
        <v>82</v>
      </c>
      <c r="L419">
        <v>100671.2583</v>
      </c>
      <c r="M419" t="s">
        <v>83</v>
      </c>
      <c r="N419">
        <v>97059.569440000007</v>
      </c>
      <c r="U419">
        <v>0</v>
      </c>
      <c r="V419">
        <v>0</v>
      </c>
      <c r="W419">
        <v>97059.569433333338</v>
      </c>
      <c r="X419">
        <v>100671.2583</v>
      </c>
      <c r="Y419">
        <v>100671.2583</v>
      </c>
    </row>
    <row r="420" spans="1:25" x14ac:dyDescent="0.25">
      <c r="A420" t="s">
        <v>733</v>
      </c>
      <c r="B420">
        <v>0</v>
      </c>
      <c r="C420" t="s">
        <v>735</v>
      </c>
      <c r="D420" t="s">
        <v>736</v>
      </c>
      <c r="E420" t="s">
        <v>179</v>
      </c>
      <c r="F420" t="s">
        <v>737</v>
      </c>
      <c r="G420" t="s">
        <v>84</v>
      </c>
      <c r="H420" t="s">
        <v>110</v>
      </c>
      <c r="I420" t="s">
        <v>733</v>
      </c>
      <c r="J420" t="s">
        <v>759</v>
      </c>
      <c r="K420" t="s">
        <v>82</v>
      </c>
      <c r="L420">
        <v>11532</v>
      </c>
      <c r="M420" t="s">
        <v>83</v>
      </c>
      <c r="P420">
        <v>1</v>
      </c>
      <c r="T420">
        <v>1</v>
      </c>
      <c r="U420">
        <v>0</v>
      </c>
      <c r="V420">
        <v>0</v>
      </c>
      <c r="W420">
        <v>10374.666666666666</v>
      </c>
    </row>
    <row r="421" spans="1:25" x14ac:dyDescent="0.25">
      <c r="A421" t="s">
        <v>733</v>
      </c>
      <c r="B421">
        <v>1</v>
      </c>
      <c r="C421" t="s">
        <v>735</v>
      </c>
      <c r="D421" t="s">
        <v>736</v>
      </c>
      <c r="E421" t="s">
        <v>179</v>
      </c>
      <c r="F421" t="s">
        <v>737</v>
      </c>
      <c r="G421" t="s">
        <v>79</v>
      </c>
      <c r="H421" t="s">
        <v>110</v>
      </c>
      <c r="I421" t="s">
        <v>733</v>
      </c>
      <c r="J421" t="s">
        <v>760</v>
      </c>
      <c r="K421" t="s">
        <v>82</v>
      </c>
      <c r="L421">
        <v>12032</v>
      </c>
      <c r="M421" t="s">
        <v>83</v>
      </c>
      <c r="N421">
        <v>10374.666670000001</v>
      </c>
      <c r="P421">
        <v>1</v>
      </c>
      <c r="U421">
        <v>0</v>
      </c>
      <c r="V421">
        <v>0</v>
      </c>
      <c r="W421">
        <v>10374.666666666666</v>
      </c>
      <c r="X421">
        <v>12032</v>
      </c>
      <c r="Y421">
        <v>12032</v>
      </c>
    </row>
    <row r="422" spans="1:25" x14ac:dyDescent="0.25">
      <c r="A422" t="s">
        <v>733</v>
      </c>
      <c r="B422">
        <v>0</v>
      </c>
      <c r="C422" t="s">
        <v>735</v>
      </c>
      <c r="D422" t="s">
        <v>736</v>
      </c>
      <c r="E422" t="s">
        <v>179</v>
      </c>
      <c r="F422" t="s">
        <v>737</v>
      </c>
      <c r="G422" t="s">
        <v>84</v>
      </c>
      <c r="H422" t="s">
        <v>110</v>
      </c>
      <c r="I422" t="s">
        <v>733</v>
      </c>
      <c r="J422" t="s">
        <v>761</v>
      </c>
      <c r="K422" t="s">
        <v>82</v>
      </c>
      <c r="L422">
        <v>7560</v>
      </c>
      <c r="M422" t="s">
        <v>83</v>
      </c>
      <c r="U422">
        <v>0</v>
      </c>
      <c r="V422">
        <v>0</v>
      </c>
      <c r="W422">
        <v>10374.666666666666</v>
      </c>
    </row>
    <row r="423" spans="1:25" x14ac:dyDescent="0.25">
      <c r="A423" t="s">
        <v>733</v>
      </c>
      <c r="B423">
        <v>0</v>
      </c>
      <c r="C423" t="s">
        <v>735</v>
      </c>
      <c r="D423" t="s">
        <v>736</v>
      </c>
      <c r="E423" t="s">
        <v>179</v>
      </c>
      <c r="F423" t="s">
        <v>737</v>
      </c>
      <c r="G423" t="s">
        <v>84</v>
      </c>
      <c r="H423" t="s">
        <v>106</v>
      </c>
      <c r="I423" t="s">
        <v>733</v>
      </c>
      <c r="J423" t="s">
        <v>762</v>
      </c>
      <c r="K423" t="s">
        <v>82</v>
      </c>
      <c r="L423">
        <v>5340.9449999999997</v>
      </c>
      <c r="M423" t="s">
        <v>83</v>
      </c>
      <c r="P423">
        <v>1</v>
      </c>
      <c r="T423">
        <v>1</v>
      </c>
      <c r="U423">
        <v>0</v>
      </c>
      <c r="V423">
        <v>0</v>
      </c>
      <c r="W423">
        <v>7102.8791666666666</v>
      </c>
    </row>
    <row r="424" spans="1:25" x14ac:dyDescent="0.25">
      <c r="A424" t="s">
        <v>733</v>
      </c>
      <c r="B424">
        <v>1</v>
      </c>
      <c r="C424" t="s">
        <v>735</v>
      </c>
      <c r="D424" t="s">
        <v>736</v>
      </c>
      <c r="E424" t="s">
        <v>179</v>
      </c>
      <c r="F424" t="s">
        <v>737</v>
      </c>
      <c r="G424" t="s">
        <v>79</v>
      </c>
      <c r="H424" t="s">
        <v>106</v>
      </c>
      <c r="I424" t="s">
        <v>733</v>
      </c>
      <c r="J424" t="s">
        <v>763</v>
      </c>
      <c r="K424" t="s">
        <v>82</v>
      </c>
      <c r="L424">
        <v>10996.99</v>
      </c>
      <c r="M424" t="s">
        <v>83</v>
      </c>
      <c r="N424">
        <v>7102.8791670000001</v>
      </c>
      <c r="P424">
        <v>1</v>
      </c>
      <c r="U424">
        <v>0</v>
      </c>
      <c r="V424">
        <v>0</v>
      </c>
      <c r="W424">
        <v>7102.8791666666666</v>
      </c>
      <c r="X424">
        <v>10996.99</v>
      </c>
      <c r="Y424">
        <v>10996.99</v>
      </c>
    </row>
    <row r="425" spans="1:25" x14ac:dyDescent="0.25">
      <c r="A425" t="s">
        <v>733</v>
      </c>
      <c r="B425">
        <v>0</v>
      </c>
      <c r="C425" t="s">
        <v>735</v>
      </c>
      <c r="D425" t="s">
        <v>736</v>
      </c>
      <c r="E425" t="s">
        <v>179</v>
      </c>
      <c r="F425" t="s">
        <v>737</v>
      </c>
      <c r="G425" t="s">
        <v>84</v>
      </c>
      <c r="H425" t="s">
        <v>106</v>
      </c>
      <c r="I425" t="s">
        <v>733</v>
      </c>
      <c r="J425" t="s">
        <v>764</v>
      </c>
      <c r="K425" t="s">
        <v>82</v>
      </c>
      <c r="L425">
        <v>4970.7025000000003</v>
      </c>
      <c r="M425" t="s">
        <v>83</v>
      </c>
      <c r="U425">
        <v>0</v>
      </c>
      <c r="V425">
        <v>0</v>
      </c>
      <c r="W425">
        <v>7102.8791666666666</v>
      </c>
    </row>
    <row r="426" spans="1:25" x14ac:dyDescent="0.25">
      <c r="A426" t="s">
        <v>733</v>
      </c>
      <c r="B426">
        <v>0</v>
      </c>
      <c r="C426" t="s">
        <v>735</v>
      </c>
      <c r="D426" t="s">
        <v>736</v>
      </c>
      <c r="E426" t="s">
        <v>179</v>
      </c>
      <c r="F426" t="s">
        <v>737</v>
      </c>
      <c r="G426" t="s">
        <v>84</v>
      </c>
      <c r="H426" t="s">
        <v>80</v>
      </c>
      <c r="I426" t="s">
        <v>733</v>
      </c>
      <c r="J426" t="s">
        <v>765</v>
      </c>
      <c r="K426" t="s">
        <v>82</v>
      </c>
      <c r="L426">
        <v>804761.98400000005</v>
      </c>
      <c r="M426" t="s">
        <v>83</v>
      </c>
      <c r="P426">
        <v>1</v>
      </c>
      <c r="T426">
        <v>1</v>
      </c>
      <c r="U426">
        <v>0</v>
      </c>
      <c r="V426">
        <v>0</v>
      </c>
      <c r="W426">
        <v>823789.01633333333</v>
      </c>
    </row>
    <row r="427" spans="1:25" x14ac:dyDescent="0.25">
      <c r="A427" t="s">
        <v>733</v>
      </c>
      <c r="B427">
        <v>1</v>
      </c>
      <c r="C427" t="s">
        <v>735</v>
      </c>
      <c r="D427" t="s">
        <v>736</v>
      </c>
      <c r="E427" t="s">
        <v>179</v>
      </c>
      <c r="F427" t="s">
        <v>737</v>
      </c>
      <c r="G427" t="s">
        <v>79</v>
      </c>
      <c r="H427" t="s">
        <v>80</v>
      </c>
      <c r="I427" t="s">
        <v>733</v>
      </c>
      <c r="J427" t="s">
        <v>766</v>
      </c>
      <c r="K427" t="s">
        <v>82</v>
      </c>
      <c r="L427">
        <v>881024.64</v>
      </c>
      <c r="M427" t="s">
        <v>83</v>
      </c>
      <c r="N427">
        <v>823789.01630000002</v>
      </c>
      <c r="P427">
        <v>1</v>
      </c>
      <c r="U427">
        <v>0</v>
      </c>
      <c r="V427">
        <v>0</v>
      </c>
      <c r="W427">
        <v>823789.01633333333</v>
      </c>
      <c r="X427">
        <v>881024.64</v>
      </c>
      <c r="Y427">
        <v>881024.64</v>
      </c>
    </row>
    <row r="428" spans="1:25" x14ac:dyDescent="0.25">
      <c r="A428" t="s">
        <v>733</v>
      </c>
      <c r="B428">
        <v>0</v>
      </c>
      <c r="C428" t="s">
        <v>735</v>
      </c>
      <c r="D428" t="s">
        <v>736</v>
      </c>
      <c r="E428" t="s">
        <v>179</v>
      </c>
      <c r="F428" t="s">
        <v>737</v>
      </c>
      <c r="G428" t="s">
        <v>84</v>
      </c>
      <c r="H428" t="s">
        <v>80</v>
      </c>
      <c r="I428" t="s">
        <v>733</v>
      </c>
      <c r="J428" t="s">
        <v>767</v>
      </c>
      <c r="K428" t="s">
        <v>82</v>
      </c>
      <c r="L428">
        <v>785580.42500000005</v>
      </c>
      <c r="M428" t="s">
        <v>83</v>
      </c>
      <c r="U428">
        <v>0</v>
      </c>
      <c r="V428">
        <v>0</v>
      </c>
      <c r="W428">
        <v>823789.01633333333</v>
      </c>
    </row>
    <row r="429" spans="1:25" x14ac:dyDescent="0.25">
      <c r="A429" t="s">
        <v>768</v>
      </c>
      <c r="B429">
        <v>0</v>
      </c>
      <c r="C429" t="s">
        <v>735</v>
      </c>
      <c r="D429" t="s">
        <v>736</v>
      </c>
      <c r="E429" t="s">
        <v>179</v>
      </c>
      <c r="F429" t="s">
        <v>737</v>
      </c>
      <c r="G429" t="s">
        <v>84</v>
      </c>
      <c r="H429" t="s">
        <v>92</v>
      </c>
      <c r="I429" t="s">
        <v>221</v>
      </c>
      <c r="J429" t="s">
        <v>221</v>
      </c>
      <c r="K429" t="s">
        <v>82</v>
      </c>
      <c r="L429">
        <v>32510</v>
      </c>
      <c r="M429" t="s">
        <v>83</v>
      </c>
      <c r="Q429">
        <v>1</v>
      </c>
      <c r="S429">
        <v>1</v>
      </c>
      <c r="U429">
        <v>0</v>
      </c>
      <c r="V429">
        <v>0</v>
      </c>
      <c r="W429">
        <v>26410</v>
      </c>
    </row>
    <row r="430" spans="1:25" x14ac:dyDescent="0.25">
      <c r="A430" t="s">
        <v>768</v>
      </c>
      <c r="B430">
        <v>1</v>
      </c>
      <c r="C430" t="s">
        <v>735</v>
      </c>
      <c r="D430" t="s">
        <v>736</v>
      </c>
      <c r="E430" t="s">
        <v>179</v>
      </c>
      <c r="F430" t="s">
        <v>737</v>
      </c>
      <c r="G430" t="s">
        <v>141</v>
      </c>
      <c r="H430" t="s">
        <v>92</v>
      </c>
      <c r="I430" t="s">
        <v>769</v>
      </c>
      <c r="J430" t="s">
        <v>770</v>
      </c>
      <c r="K430" t="s">
        <v>82</v>
      </c>
      <c r="L430">
        <v>20310</v>
      </c>
      <c r="M430" t="s">
        <v>83</v>
      </c>
      <c r="N430">
        <v>26410</v>
      </c>
      <c r="Q430">
        <v>1</v>
      </c>
      <c r="T430">
        <v>1</v>
      </c>
      <c r="U430">
        <v>0</v>
      </c>
      <c r="V430">
        <v>0</v>
      </c>
      <c r="W430">
        <v>26410</v>
      </c>
      <c r="X430">
        <v>20310</v>
      </c>
      <c r="Y430">
        <v>20310</v>
      </c>
    </row>
    <row r="431" spans="1:25" x14ac:dyDescent="0.25">
      <c r="A431" t="s">
        <v>768</v>
      </c>
      <c r="B431">
        <v>0</v>
      </c>
      <c r="C431" t="s">
        <v>735</v>
      </c>
      <c r="D431" t="s">
        <v>736</v>
      </c>
      <c r="E431" t="s">
        <v>179</v>
      </c>
      <c r="F431" t="s">
        <v>737</v>
      </c>
      <c r="G431" t="s">
        <v>84</v>
      </c>
      <c r="H431" t="s">
        <v>185</v>
      </c>
      <c r="I431" t="s">
        <v>768</v>
      </c>
      <c r="J431" t="s">
        <v>771</v>
      </c>
      <c r="K431" t="s">
        <v>82</v>
      </c>
      <c r="L431">
        <v>17960.7</v>
      </c>
      <c r="M431" t="s">
        <v>83</v>
      </c>
      <c r="U431">
        <v>0</v>
      </c>
      <c r="V431">
        <v>0</v>
      </c>
      <c r="W431">
        <v>19142.325000000001</v>
      </c>
    </row>
    <row r="432" spans="1:25" x14ac:dyDescent="0.25">
      <c r="A432" t="s">
        <v>768</v>
      </c>
      <c r="B432">
        <v>1</v>
      </c>
      <c r="C432" t="s">
        <v>735</v>
      </c>
      <c r="D432" t="s">
        <v>736</v>
      </c>
      <c r="E432" t="s">
        <v>179</v>
      </c>
      <c r="F432" t="s">
        <v>737</v>
      </c>
      <c r="G432" t="s">
        <v>79</v>
      </c>
      <c r="H432" t="s">
        <v>185</v>
      </c>
      <c r="I432" t="s">
        <v>772</v>
      </c>
      <c r="J432" t="s">
        <v>773</v>
      </c>
      <c r="K432" t="s">
        <v>82</v>
      </c>
      <c r="L432">
        <v>20323.95</v>
      </c>
      <c r="M432" t="s">
        <v>83</v>
      </c>
      <c r="N432">
        <v>19142.325000000001</v>
      </c>
      <c r="P432">
        <v>1</v>
      </c>
      <c r="U432">
        <v>0</v>
      </c>
      <c r="V432">
        <v>0</v>
      </c>
      <c r="W432">
        <v>19142.325000000001</v>
      </c>
      <c r="X432">
        <v>20323.95</v>
      </c>
      <c r="Y432">
        <v>20323.95</v>
      </c>
    </row>
    <row r="433" spans="1:25" x14ac:dyDescent="0.25">
      <c r="A433" t="s">
        <v>768</v>
      </c>
      <c r="B433">
        <v>1</v>
      </c>
      <c r="C433" t="s">
        <v>735</v>
      </c>
      <c r="D433" t="s">
        <v>736</v>
      </c>
      <c r="E433" t="s">
        <v>179</v>
      </c>
      <c r="F433" t="s">
        <v>737</v>
      </c>
      <c r="G433" t="s">
        <v>700</v>
      </c>
      <c r="H433" t="s">
        <v>121</v>
      </c>
      <c r="I433" t="s">
        <v>768</v>
      </c>
      <c r="J433" t="s">
        <v>774</v>
      </c>
      <c r="K433" t="s">
        <v>82</v>
      </c>
      <c r="L433">
        <v>145024.3322</v>
      </c>
      <c r="M433" t="s">
        <v>83</v>
      </c>
      <c r="N433">
        <v>151042.9981</v>
      </c>
      <c r="S433">
        <v>1</v>
      </c>
      <c r="U433">
        <v>0</v>
      </c>
      <c r="V433">
        <v>0</v>
      </c>
      <c r="W433">
        <v>151042.9981</v>
      </c>
      <c r="X433">
        <v>145024.3322</v>
      </c>
      <c r="Y433">
        <v>145024.3322</v>
      </c>
    </row>
    <row r="434" spans="1:25" x14ac:dyDescent="0.25">
      <c r="A434" t="s">
        <v>768</v>
      </c>
      <c r="B434">
        <v>0</v>
      </c>
      <c r="C434" t="s">
        <v>735</v>
      </c>
      <c r="D434" t="s">
        <v>736</v>
      </c>
      <c r="E434" t="s">
        <v>179</v>
      </c>
      <c r="F434" t="s">
        <v>737</v>
      </c>
      <c r="G434" t="s">
        <v>84</v>
      </c>
      <c r="H434" t="s">
        <v>121</v>
      </c>
      <c r="I434" t="s">
        <v>775</v>
      </c>
      <c r="J434" t="s">
        <v>776</v>
      </c>
      <c r="K434" t="s">
        <v>82</v>
      </c>
      <c r="L434">
        <v>157061.66399999999</v>
      </c>
      <c r="M434" t="s">
        <v>83</v>
      </c>
      <c r="O434">
        <v>1</v>
      </c>
      <c r="U434">
        <v>157061.66399999999</v>
      </c>
      <c r="V434">
        <v>0</v>
      </c>
      <c r="W434">
        <v>151042.9981</v>
      </c>
    </row>
    <row r="435" spans="1:25" x14ac:dyDescent="0.25">
      <c r="A435" t="s">
        <v>768</v>
      </c>
      <c r="B435">
        <v>1</v>
      </c>
      <c r="C435" t="s">
        <v>735</v>
      </c>
      <c r="D435" t="s">
        <v>736</v>
      </c>
      <c r="E435" t="s">
        <v>179</v>
      </c>
      <c r="F435" t="s">
        <v>737</v>
      </c>
      <c r="G435" t="s">
        <v>441</v>
      </c>
      <c r="H435" t="s">
        <v>151</v>
      </c>
      <c r="I435" t="s">
        <v>768</v>
      </c>
      <c r="J435" t="s">
        <v>777</v>
      </c>
      <c r="K435" t="s">
        <v>82</v>
      </c>
      <c r="L435">
        <v>87009</v>
      </c>
      <c r="M435" t="s">
        <v>83</v>
      </c>
      <c r="N435">
        <v>127887.5</v>
      </c>
      <c r="U435">
        <v>0</v>
      </c>
      <c r="V435">
        <v>0</v>
      </c>
      <c r="W435">
        <v>127887.5</v>
      </c>
      <c r="X435">
        <v>87009</v>
      </c>
      <c r="Y435">
        <v>87009</v>
      </c>
    </row>
    <row r="436" spans="1:25" x14ac:dyDescent="0.25">
      <c r="A436" t="s">
        <v>768</v>
      </c>
      <c r="B436">
        <v>0</v>
      </c>
      <c r="C436" t="s">
        <v>735</v>
      </c>
      <c r="D436" t="s">
        <v>736</v>
      </c>
      <c r="E436" t="s">
        <v>179</v>
      </c>
      <c r="F436" t="s">
        <v>737</v>
      </c>
      <c r="G436" t="s">
        <v>84</v>
      </c>
      <c r="H436" t="s">
        <v>151</v>
      </c>
      <c r="I436" t="s">
        <v>778</v>
      </c>
      <c r="J436" t="s">
        <v>779</v>
      </c>
      <c r="K436" t="s">
        <v>82</v>
      </c>
      <c r="L436">
        <v>168766</v>
      </c>
      <c r="M436" t="s">
        <v>83</v>
      </c>
      <c r="U436">
        <v>0</v>
      </c>
      <c r="V436">
        <v>0</v>
      </c>
      <c r="W436">
        <v>127887.5</v>
      </c>
    </row>
    <row r="437" spans="1:25" x14ac:dyDescent="0.25">
      <c r="A437" t="s">
        <v>768</v>
      </c>
      <c r="B437">
        <v>0</v>
      </c>
      <c r="C437" t="s">
        <v>735</v>
      </c>
      <c r="D437" t="s">
        <v>736</v>
      </c>
      <c r="E437" t="s">
        <v>179</v>
      </c>
      <c r="F437" t="s">
        <v>737</v>
      </c>
      <c r="G437" t="s">
        <v>84</v>
      </c>
      <c r="H437" t="s">
        <v>98</v>
      </c>
      <c r="I437" t="s">
        <v>780</v>
      </c>
      <c r="J437" t="s">
        <v>781</v>
      </c>
      <c r="K437" t="s">
        <v>82</v>
      </c>
      <c r="L437">
        <v>34500</v>
      </c>
      <c r="M437" t="s">
        <v>83</v>
      </c>
      <c r="Q437">
        <v>1</v>
      </c>
      <c r="R437">
        <v>1</v>
      </c>
      <c r="U437">
        <v>0</v>
      </c>
      <c r="V437">
        <v>0</v>
      </c>
      <c r="W437">
        <v>39187.5</v>
      </c>
    </row>
    <row r="438" spans="1:25" x14ac:dyDescent="0.25">
      <c r="A438" t="s">
        <v>768</v>
      </c>
      <c r="B438">
        <v>1</v>
      </c>
      <c r="C438" t="s">
        <v>735</v>
      </c>
      <c r="D438" t="s">
        <v>736</v>
      </c>
      <c r="E438" t="s">
        <v>179</v>
      </c>
      <c r="F438" t="s">
        <v>737</v>
      </c>
      <c r="G438" t="s">
        <v>158</v>
      </c>
      <c r="H438" t="s">
        <v>98</v>
      </c>
      <c r="I438" t="s">
        <v>782</v>
      </c>
      <c r="J438" t="s">
        <v>783</v>
      </c>
      <c r="K438" t="s">
        <v>82</v>
      </c>
      <c r="L438">
        <v>35150</v>
      </c>
      <c r="M438" t="s">
        <v>83</v>
      </c>
      <c r="N438">
        <v>39187.5</v>
      </c>
      <c r="Q438">
        <v>1</v>
      </c>
      <c r="S438">
        <v>1</v>
      </c>
      <c r="U438">
        <v>0</v>
      </c>
      <c r="V438">
        <v>0</v>
      </c>
      <c r="W438">
        <v>39187.5</v>
      </c>
      <c r="X438">
        <v>35150</v>
      </c>
      <c r="Y438">
        <v>35150</v>
      </c>
    </row>
    <row r="439" spans="1:25" x14ac:dyDescent="0.25">
      <c r="A439" t="s">
        <v>768</v>
      </c>
      <c r="B439">
        <v>0</v>
      </c>
      <c r="C439" t="s">
        <v>735</v>
      </c>
      <c r="D439" t="s">
        <v>736</v>
      </c>
      <c r="E439" t="s">
        <v>179</v>
      </c>
      <c r="F439" t="s">
        <v>737</v>
      </c>
      <c r="G439" t="s">
        <v>84</v>
      </c>
      <c r="H439" t="s">
        <v>98</v>
      </c>
      <c r="I439" t="s">
        <v>784</v>
      </c>
      <c r="J439" t="s">
        <v>785</v>
      </c>
      <c r="K439" t="s">
        <v>82</v>
      </c>
      <c r="L439">
        <v>43550</v>
      </c>
      <c r="M439" t="s">
        <v>83</v>
      </c>
      <c r="U439">
        <v>0</v>
      </c>
      <c r="V439">
        <v>0</v>
      </c>
      <c r="W439">
        <v>39187.5</v>
      </c>
    </row>
    <row r="440" spans="1:25" x14ac:dyDescent="0.25">
      <c r="A440" t="s">
        <v>768</v>
      </c>
      <c r="B440">
        <v>0</v>
      </c>
      <c r="C440" t="s">
        <v>735</v>
      </c>
      <c r="D440" t="s">
        <v>736</v>
      </c>
      <c r="E440" t="s">
        <v>179</v>
      </c>
      <c r="F440" t="s">
        <v>737</v>
      </c>
      <c r="G440" t="s">
        <v>84</v>
      </c>
      <c r="H440" t="s">
        <v>98</v>
      </c>
      <c r="I440" t="s">
        <v>784</v>
      </c>
      <c r="J440" t="s">
        <v>785</v>
      </c>
      <c r="K440" t="s">
        <v>82</v>
      </c>
      <c r="L440">
        <v>43550</v>
      </c>
      <c r="M440" t="s">
        <v>83</v>
      </c>
      <c r="U440">
        <v>0</v>
      </c>
      <c r="V440">
        <v>0</v>
      </c>
      <c r="W440">
        <v>39187.5</v>
      </c>
    </row>
    <row r="441" spans="1:25" x14ac:dyDescent="0.25">
      <c r="A441" t="s">
        <v>768</v>
      </c>
      <c r="B441">
        <v>1</v>
      </c>
      <c r="C441" t="s">
        <v>735</v>
      </c>
      <c r="D441" t="s">
        <v>736</v>
      </c>
      <c r="E441" t="s">
        <v>179</v>
      </c>
      <c r="F441" t="s">
        <v>737</v>
      </c>
      <c r="G441" t="s">
        <v>163</v>
      </c>
      <c r="H441" t="s">
        <v>87</v>
      </c>
      <c r="I441" t="s">
        <v>768</v>
      </c>
      <c r="J441" t="s">
        <v>786</v>
      </c>
      <c r="K441" t="s">
        <v>82</v>
      </c>
      <c r="L441">
        <v>131994.79999999999</v>
      </c>
      <c r="M441" t="s">
        <v>83</v>
      </c>
      <c r="N441">
        <v>92026.783330000006</v>
      </c>
      <c r="T441">
        <v>1</v>
      </c>
      <c r="U441">
        <v>0</v>
      </c>
      <c r="V441">
        <v>0</v>
      </c>
      <c r="W441">
        <v>92026.783334999986</v>
      </c>
      <c r="X441">
        <v>131994.79999999999</v>
      </c>
      <c r="Y441">
        <v>131994.79999999999</v>
      </c>
    </row>
    <row r="442" spans="1:25" x14ac:dyDescent="0.25">
      <c r="A442" t="s">
        <v>768</v>
      </c>
      <c r="B442">
        <v>0</v>
      </c>
      <c r="C442" t="s">
        <v>735</v>
      </c>
      <c r="D442" t="s">
        <v>736</v>
      </c>
      <c r="E442" t="s">
        <v>179</v>
      </c>
      <c r="F442" t="s">
        <v>737</v>
      </c>
      <c r="G442" t="s">
        <v>84</v>
      </c>
      <c r="H442" t="s">
        <v>87</v>
      </c>
      <c r="I442" t="s">
        <v>772</v>
      </c>
      <c r="J442" t="s">
        <v>787</v>
      </c>
      <c r="K442" t="s">
        <v>82</v>
      </c>
      <c r="L442">
        <v>52058.766669999997</v>
      </c>
      <c r="M442" t="s">
        <v>83</v>
      </c>
      <c r="S442">
        <v>1</v>
      </c>
      <c r="T442">
        <v>1</v>
      </c>
      <c r="U442">
        <v>0</v>
      </c>
      <c r="V442">
        <v>0</v>
      </c>
      <c r="W442">
        <v>92026.783334999986</v>
      </c>
    </row>
    <row r="443" spans="1:25" x14ac:dyDescent="0.25">
      <c r="A443" t="s">
        <v>768</v>
      </c>
      <c r="B443">
        <v>0</v>
      </c>
      <c r="C443" t="s">
        <v>735</v>
      </c>
      <c r="D443" t="s">
        <v>736</v>
      </c>
      <c r="E443" t="s">
        <v>179</v>
      </c>
      <c r="F443" t="s">
        <v>737</v>
      </c>
      <c r="G443" t="s">
        <v>84</v>
      </c>
      <c r="H443" t="s">
        <v>80</v>
      </c>
      <c r="I443" t="s">
        <v>768</v>
      </c>
      <c r="J443" t="s">
        <v>788</v>
      </c>
      <c r="K443" t="s">
        <v>82</v>
      </c>
      <c r="L443">
        <v>814542.45</v>
      </c>
      <c r="M443" t="s">
        <v>83</v>
      </c>
      <c r="U443">
        <v>0</v>
      </c>
      <c r="V443">
        <v>0</v>
      </c>
      <c r="W443">
        <v>865895.91999999993</v>
      </c>
    </row>
    <row r="444" spans="1:25" x14ac:dyDescent="0.25">
      <c r="A444" t="s">
        <v>768</v>
      </c>
      <c r="B444">
        <v>1</v>
      </c>
      <c r="C444" t="s">
        <v>735</v>
      </c>
      <c r="D444" t="s">
        <v>736</v>
      </c>
      <c r="E444" t="s">
        <v>179</v>
      </c>
      <c r="F444" t="s">
        <v>737</v>
      </c>
      <c r="G444" t="s">
        <v>79</v>
      </c>
      <c r="H444" t="s">
        <v>80</v>
      </c>
      <c r="I444" t="s">
        <v>772</v>
      </c>
      <c r="J444" t="s">
        <v>789</v>
      </c>
      <c r="K444" t="s">
        <v>82</v>
      </c>
      <c r="L444">
        <v>917249.39</v>
      </c>
      <c r="M444" t="s">
        <v>83</v>
      </c>
      <c r="N444">
        <v>865895.92</v>
      </c>
      <c r="P444">
        <v>1</v>
      </c>
      <c r="U444">
        <v>0</v>
      </c>
      <c r="V444">
        <v>0</v>
      </c>
      <c r="W444">
        <v>865895.91999999993</v>
      </c>
      <c r="X444">
        <v>917249.39</v>
      </c>
      <c r="Y444">
        <v>917249.39</v>
      </c>
    </row>
    <row r="445" spans="1:25" x14ac:dyDescent="0.25">
      <c r="A445" t="s">
        <v>768</v>
      </c>
      <c r="B445">
        <v>0</v>
      </c>
      <c r="C445" t="s">
        <v>735</v>
      </c>
      <c r="D445" t="s">
        <v>736</v>
      </c>
      <c r="E445" t="s">
        <v>179</v>
      </c>
      <c r="F445" t="s">
        <v>737</v>
      </c>
      <c r="G445" t="s">
        <v>84</v>
      </c>
      <c r="H445" t="s">
        <v>106</v>
      </c>
      <c r="I445" t="s">
        <v>768</v>
      </c>
      <c r="J445" t="s">
        <v>790</v>
      </c>
      <c r="K445" t="s">
        <v>82</v>
      </c>
      <c r="L445">
        <v>9334.8374999999996</v>
      </c>
      <c r="M445" t="s">
        <v>83</v>
      </c>
      <c r="U445">
        <v>0</v>
      </c>
      <c r="V445">
        <v>0</v>
      </c>
      <c r="W445">
        <v>8224.11</v>
      </c>
    </row>
    <row r="446" spans="1:25" x14ac:dyDescent="0.25">
      <c r="A446" t="s">
        <v>768</v>
      </c>
      <c r="B446">
        <v>1</v>
      </c>
      <c r="C446" t="s">
        <v>735</v>
      </c>
      <c r="D446" t="s">
        <v>736</v>
      </c>
      <c r="E446" t="s">
        <v>179</v>
      </c>
      <c r="F446" t="s">
        <v>737</v>
      </c>
      <c r="G446" t="s">
        <v>79</v>
      </c>
      <c r="H446" t="s">
        <v>106</v>
      </c>
      <c r="I446" t="s">
        <v>772</v>
      </c>
      <c r="J446" t="s">
        <v>791</v>
      </c>
      <c r="K446" t="s">
        <v>82</v>
      </c>
      <c r="L446">
        <v>7113.3824999999997</v>
      </c>
      <c r="M446" t="s">
        <v>83</v>
      </c>
      <c r="N446">
        <v>8224.11</v>
      </c>
      <c r="P446">
        <v>1</v>
      </c>
      <c r="U446">
        <v>0</v>
      </c>
      <c r="V446">
        <v>0</v>
      </c>
      <c r="W446">
        <v>8224.11</v>
      </c>
      <c r="X446">
        <v>7113.3824999999997</v>
      </c>
      <c r="Y446">
        <v>7113.3824999999997</v>
      </c>
    </row>
    <row r="447" spans="1:25" x14ac:dyDescent="0.25">
      <c r="A447" t="s">
        <v>768</v>
      </c>
      <c r="B447">
        <v>0</v>
      </c>
      <c r="C447" t="s">
        <v>735</v>
      </c>
      <c r="D447" t="s">
        <v>736</v>
      </c>
      <c r="E447" t="s">
        <v>179</v>
      </c>
      <c r="F447" t="s">
        <v>737</v>
      </c>
      <c r="G447" t="s">
        <v>84</v>
      </c>
      <c r="H447" t="s">
        <v>110</v>
      </c>
      <c r="I447" t="s">
        <v>768</v>
      </c>
      <c r="J447" t="s">
        <v>792</v>
      </c>
      <c r="K447" t="s">
        <v>82</v>
      </c>
      <c r="L447">
        <v>13335</v>
      </c>
      <c r="M447" t="s">
        <v>83</v>
      </c>
      <c r="U447">
        <v>0</v>
      </c>
      <c r="V447">
        <v>0</v>
      </c>
      <c r="W447">
        <v>17917.5</v>
      </c>
    </row>
    <row r="448" spans="1:25" x14ac:dyDescent="0.25">
      <c r="A448" t="s">
        <v>768</v>
      </c>
      <c r="B448">
        <v>1</v>
      </c>
      <c r="C448" t="s">
        <v>735</v>
      </c>
      <c r="D448" t="s">
        <v>736</v>
      </c>
      <c r="E448" t="s">
        <v>179</v>
      </c>
      <c r="F448" t="s">
        <v>737</v>
      </c>
      <c r="G448" t="s">
        <v>79</v>
      </c>
      <c r="H448" t="s">
        <v>110</v>
      </c>
      <c r="I448" t="s">
        <v>772</v>
      </c>
      <c r="J448" t="s">
        <v>793</v>
      </c>
      <c r="K448" t="s">
        <v>82</v>
      </c>
      <c r="L448">
        <v>22500</v>
      </c>
      <c r="M448" t="s">
        <v>83</v>
      </c>
      <c r="N448">
        <v>17917.5</v>
      </c>
      <c r="P448">
        <v>1</v>
      </c>
      <c r="U448">
        <v>0</v>
      </c>
      <c r="V448">
        <v>0</v>
      </c>
      <c r="W448">
        <v>17917.5</v>
      </c>
      <c r="X448">
        <v>22500</v>
      </c>
      <c r="Y448">
        <v>22500</v>
      </c>
    </row>
    <row r="449" spans="1:25" x14ac:dyDescent="0.25">
      <c r="A449" t="s">
        <v>768</v>
      </c>
      <c r="B449">
        <v>1</v>
      </c>
      <c r="C449" t="s">
        <v>735</v>
      </c>
      <c r="D449" t="s">
        <v>736</v>
      </c>
      <c r="E449" t="s">
        <v>179</v>
      </c>
      <c r="F449" t="s">
        <v>737</v>
      </c>
      <c r="G449" t="s">
        <v>700</v>
      </c>
      <c r="H449" t="s">
        <v>114</v>
      </c>
      <c r="I449" t="s">
        <v>768</v>
      </c>
      <c r="J449" t="s">
        <v>794</v>
      </c>
      <c r="K449" t="s">
        <v>82</v>
      </c>
      <c r="L449">
        <v>46350</v>
      </c>
      <c r="M449" t="s">
        <v>83</v>
      </c>
      <c r="N449">
        <v>46475</v>
      </c>
      <c r="S449">
        <v>1</v>
      </c>
      <c r="U449">
        <v>0</v>
      </c>
      <c r="V449">
        <v>0</v>
      </c>
      <c r="W449">
        <v>46475</v>
      </c>
      <c r="X449">
        <v>46350</v>
      </c>
      <c r="Y449">
        <v>46350</v>
      </c>
    </row>
    <row r="450" spans="1:25" x14ac:dyDescent="0.25">
      <c r="A450" t="s">
        <v>768</v>
      </c>
      <c r="B450">
        <v>0</v>
      </c>
      <c r="C450" t="s">
        <v>735</v>
      </c>
      <c r="D450" t="s">
        <v>736</v>
      </c>
      <c r="E450" t="s">
        <v>179</v>
      </c>
      <c r="F450" t="s">
        <v>737</v>
      </c>
      <c r="G450" t="s">
        <v>84</v>
      </c>
      <c r="H450" t="s">
        <v>114</v>
      </c>
      <c r="I450" t="s">
        <v>775</v>
      </c>
      <c r="J450" t="s">
        <v>795</v>
      </c>
      <c r="K450" t="s">
        <v>82</v>
      </c>
      <c r="L450">
        <v>46600</v>
      </c>
      <c r="M450" t="s">
        <v>83</v>
      </c>
      <c r="O450">
        <v>1</v>
      </c>
      <c r="U450">
        <v>46600</v>
      </c>
      <c r="V450">
        <v>0</v>
      </c>
      <c r="W450">
        <v>46475</v>
      </c>
    </row>
    <row r="451" spans="1:25" x14ac:dyDescent="0.25">
      <c r="A451" t="s">
        <v>796</v>
      </c>
      <c r="B451">
        <v>0</v>
      </c>
      <c r="C451" t="s">
        <v>797</v>
      </c>
      <c r="D451" t="s">
        <v>798</v>
      </c>
      <c r="E451" t="s">
        <v>260</v>
      </c>
      <c r="F451" t="s">
        <v>799</v>
      </c>
      <c r="G451" t="s">
        <v>84</v>
      </c>
      <c r="H451" t="s">
        <v>92</v>
      </c>
      <c r="I451" t="s">
        <v>800</v>
      </c>
      <c r="J451" t="s">
        <v>801</v>
      </c>
      <c r="K451" t="s">
        <v>82</v>
      </c>
      <c r="L451">
        <v>27510</v>
      </c>
      <c r="M451" t="s">
        <v>83</v>
      </c>
      <c r="U451">
        <v>0</v>
      </c>
      <c r="V451">
        <v>0</v>
      </c>
      <c r="W451">
        <v>28400</v>
      </c>
    </row>
    <row r="452" spans="1:25" x14ac:dyDescent="0.25">
      <c r="A452" t="s">
        <v>796</v>
      </c>
      <c r="B452">
        <v>1</v>
      </c>
      <c r="C452" t="s">
        <v>797</v>
      </c>
      <c r="D452" t="s">
        <v>798</v>
      </c>
      <c r="E452" t="s">
        <v>260</v>
      </c>
      <c r="F452" t="s">
        <v>799</v>
      </c>
      <c r="G452" t="s">
        <v>181</v>
      </c>
      <c r="H452" t="s">
        <v>92</v>
      </c>
      <c r="I452" t="s">
        <v>181</v>
      </c>
      <c r="J452" t="s">
        <v>181</v>
      </c>
      <c r="K452" t="s">
        <v>82</v>
      </c>
      <c r="L452">
        <v>29290</v>
      </c>
      <c r="M452" t="s">
        <v>83</v>
      </c>
      <c r="N452">
        <v>28400</v>
      </c>
      <c r="U452">
        <v>0</v>
      </c>
      <c r="V452">
        <v>0</v>
      </c>
      <c r="W452">
        <v>28400</v>
      </c>
      <c r="X452">
        <v>29290</v>
      </c>
      <c r="Y452">
        <v>29290</v>
      </c>
    </row>
    <row r="453" spans="1:25" x14ac:dyDescent="0.25">
      <c r="A453" t="s">
        <v>796</v>
      </c>
      <c r="B453">
        <v>0</v>
      </c>
      <c r="C453" t="s">
        <v>797</v>
      </c>
      <c r="D453" t="s">
        <v>798</v>
      </c>
      <c r="E453" t="s">
        <v>260</v>
      </c>
      <c r="F453" t="s">
        <v>799</v>
      </c>
      <c r="G453" t="s">
        <v>84</v>
      </c>
      <c r="H453" t="s">
        <v>151</v>
      </c>
      <c r="I453" t="s">
        <v>802</v>
      </c>
      <c r="J453" t="s">
        <v>803</v>
      </c>
      <c r="K453" t="s">
        <v>82</v>
      </c>
      <c r="L453">
        <v>118137.5</v>
      </c>
      <c r="M453" t="s">
        <v>83</v>
      </c>
      <c r="S453">
        <v>1</v>
      </c>
      <c r="U453">
        <v>0</v>
      </c>
      <c r="V453">
        <v>0</v>
      </c>
      <c r="W453">
        <v>98628.833333333328</v>
      </c>
    </row>
    <row r="454" spans="1:25" x14ac:dyDescent="0.25">
      <c r="A454" t="s">
        <v>796</v>
      </c>
      <c r="B454">
        <v>0</v>
      </c>
      <c r="C454" t="s">
        <v>797</v>
      </c>
      <c r="D454" t="s">
        <v>798</v>
      </c>
      <c r="E454" t="s">
        <v>260</v>
      </c>
      <c r="F454" t="s">
        <v>799</v>
      </c>
      <c r="G454" t="s">
        <v>84</v>
      </c>
      <c r="H454" t="s">
        <v>151</v>
      </c>
      <c r="I454" t="s">
        <v>796</v>
      </c>
      <c r="J454" t="s">
        <v>804</v>
      </c>
      <c r="K454" t="s">
        <v>82</v>
      </c>
      <c r="L454">
        <v>75952.5</v>
      </c>
      <c r="M454" t="s">
        <v>83</v>
      </c>
      <c r="U454">
        <v>0</v>
      </c>
      <c r="V454">
        <v>0</v>
      </c>
      <c r="W454">
        <v>98628.833333333328</v>
      </c>
    </row>
    <row r="455" spans="1:25" x14ac:dyDescent="0.25">
      <c r="A455" t="s">
        <v>796</v>
      </c>
      <c r="B455">
        <v>1</v>
      </c>
      <c r="C455" t="s">
        <v>797</v>
      </c>
      <c r="D455" t="s">
        <v>798</v>
      </c>
      <c r="E455" t="s">
        <v>260</v>
      </c>
      <c r="F455" t="s">
        <v>799</v>
      </c>
      <c r="G455" t="s">
        <v>805</v>
      </c>
      <c r="H455" t="s">
        <v>151</v>
      </c>
      <c r="I455" t="s">
        <v>806</v>
      </c>
      <c r="J455" t="s">
        <v>807</v>
      </c>
      <c r="K455" t="s">
        <v>82</v>
      </c>
      <c r="L455">
        <v>101796.5</v>
      </c>
      <c r="M455" t="s">
        <v>83</v>
      </c>
      <c r="N455">
        <v>98628.833329999994</v>
      </c>
      <c r="U455">
        <v>0</v>
      </c>
      <c r="V455">
        <v>0</v>
      </c>
      <c r="W455">
        <v>98628.833333333328</v>
      </c>
      <c r="X455">
        <v>101796.5</v>
      </c>
      <c r="Y455">
        <v>101796.5</v>
      </c>
    </row>
    <row r="456" spans="1:25" x14ac:dyDescent="0.25">
      <c r="A456" t="s">
        <v>796</v>
      </c>
      <c r="B456">
        <v>0</v>
      </c>
      <c r="C456" t="s">
        <v>797</v>
      </c>
      <c r="D456" t="s">
        <v>798</v>
      </c>
      <c r="E456" t="s">
        <v>260</v>
      </c>
      <c r="F456" t="s">
        <v>799</v>
      </c>
      <c r="G456" t="s">
        <v>84</v>
      </c>
      <c r="H456" t="s">
        <v>98</v>
      </c>
      <c r="I456" t="s">
        <v>808</v>
      </c>
      <c r="J456" t="s">
        <v>809</v>
      </c>
      <c r="K456" t="s">
        <v>82</v>
      </c>
      <c r="L456">
        <v>31800</v>
      </c>
      <c r="M456" t="s">
        <v>83</v>
      </c>
      <c r="U456">
        <v>0</v>
      </c>
      <c r="V456">
        <v>0</v>
      </c>
      <c r="W456">
        <v>38150</v>
      </c>
    </row>
    <row r="457" spans="1:25" x14ac:dyDescent="0.25">
      <c r="A457" t="s">
        <v>796</v>
      </c>
      <c r="B457">
        <v>0</v>
      </c>
      <c r="C457" t="s">
        <v>797</v>
      </c>
      <c r="D457" t="s">
        <v>798</v>
      </c>
      <c r="E457" t="s">
        <v>260</v>
      </c>
      <c r="F457" t="s">
        <v>799</v>
      </c>
      <c r="G457" t="s">
        <v>84</v>
      </c>
      <c r="H457" t="s">
        <v>98</v>
      </c>
      <c r="I457" t="s">
        <v>810</v>
      </c>
      <c r="J457" t="s">
        <v>811</v>
      </c>
      <c r="K457" t="s">
        <v>82</v>
      </c>
      <c r="L457">
        <v>17250</v>
      </c>
      <c r="M457" t="s">
        <v>83</v>
      </c>
      <c r="S457">
        <v>1</v>
      </c>
      <c r="U457">
        <v>0</v>
      </c>
      <c r="V457">
        <v>0</v>
      </c>
      <c r="W457">
        <v>38150</v>
      </c>
    </row>
    <row r="458" spans="1:25" x14ac:dyDescent="0.25">
      <c r="A458" t="s">
        <v>796</v>
      </c>
      <c r="B458">
        <v>1</v>
      </c>
      <c r="C458" t="s">
        <v>797</v>
      </c>
      <c r="D458" t="s">
        <v>798</v>
      </c>
      <c r="E458" t="s">
        <v>260</v>
      </c>
      <c r="F458" t="s">
        <v>799</v>
      </c>
      <c r="G458" t="s">
        <v>103</v>
      </c>
      <c r="H458" t="s">
        <v>98</v>
      </c>
      <c r="I458" t="s">
        <v>812</v>
      </c>
      <c r="J458" t="s">
        <v>813</v>
      </c>
      <c r="K458" t="s">
        <v>82</v>
      </c>
      <c r="L458">
        <v>65400</v>
      </c>
      <c r="M458" t="s">
        <v>83</v>
      </c>
      <c r="N458">
        <v>38150</v>
      </c>
      <c r="R458">
        <v>1</v>
      </c>
      <c r="T458">
        <v>1</v>
      </c>
      <c r="U458">
        <v>0</v>
      </c>
      <c r="V458">
        <v>0</v>
      </c>
      <c r="W458">
        <v>38150</v>
      </c>
      <c r="X458">
        <v>65400</v>
      </c>
      <c r="Y458">
        <v>65400</v>
      </c>
    </row>
    <row r="459" spans="1:25" x14ac:dyDescent="0.25">
      <c r="A459" t="s">
        <v>796</v>
      </c>
      <c r="B459">
        <v>0</v>
      </c>
      <c r="C459" t="s">
        <v>797</v>
      </c>
      <c r="D459" t="s">
        <v>798</v>
      </c>
      <c r="E459" t="s">
        <v>260</v>
      </c>
      <c r="F459" t="s">
        <v>799</v>
      </c>
      <c r="G459" t="s">
        <v>84</v>
      </c>
      <c r="H459" t="s">
        <v>87</v>
      </c>
      <c r="I459" t="s">
        <v>796</v>
      </c>
      <c r="J459" t="s">
        <v>814</v>
      </c>
      <c r="K459" t="s">
        <v>82</v>
      </c>
      <c r="L459">
        <v>160661.6667</v>
      </c>
      <c r="M459" t="s">
        <v>83</v>
      </c>
      <c r="R459">
        <v>1</v>
      </c>
      <c r="U459">
        <v>0</v>
      </c>
      <c r="V459">
        <v>0</v>
      </c>
      <c r="W459">
        <v>127133.82501</v>
      </c>
    </row>
    <row r="460" spans="1:25" x14ac:dyDescent="0.25">
      <c r="A460" t="s">
        <v>796</v>
      </c>
      <c r="B460">
        <v>0</v>
      </c>
      <c r="C460" t="s">
        <v>797</v>
      </c>
      <c r="D460" t="s">
        <v>798</v>
      </c>
      <c r="E460" t="s">
        <v>260</v>
      </c>
      <c r="F460" t="s">
        <v>799</v>
      </c>
      <c r="G460" t="s">
        <v>84</v>
      </c>
      <c r="H460" t="s">
        <v>87</v>
      </c>
      <c r="I460" t="s">
        <v>796</v>
      </c>
      <c r="J460" t="s">
        <v>815</v>
      </c>
      <c r="K460" t="s">
        <v>82</v>
      </c>
      <c r="L460">
        <v>124164.6</v>
      </c>
      <c r="M460" t="s">
        <v>83</v>
      </c>
      <c r="T460">
        <v>1</v>
      </c>
      <c r="U460">
        <v>0</v>
      </c>
      <c r="V460">
        <v>0</v>
      </c>
      <c r="W460">
        <v>127133.82501</v>
      </c>
    </row>
    <row r="461" spans="1:25" x14ac:dyDescent="0.25">
      <c r="A461" t="s">
        <v>796</v>
      </c>
      <c r="B461">
        <v>1</v>
      </c>
      <c r="C461" t="s">
        <v>797</v>
      </c>
      <c r="D461" t="s">
        <v>798</v>
      </c>
      <c r="E461" t="s">
        <v>260</v>
      </c>
      <c r="F461" t="s">
        <v>799</v>
      </c>
      <c r="G461" t="s">
        <v>316</v>
      </c>
      <c r="H461" t="s">
        <v>87</v>
      </c>
      <c r="I461" t="s">
        <v>796</v>
      </c>
      <c r="J461" t="s">
        <v>816</v>
      </c>
      <c r="K461" t="s">
        <v>82</v>
      </c>
      <c r="L461">
        <v>96575.208329999994</v>
      </c>
      <c r="M461" t="s">
        <v>83</v>
      </c>
      <c r="N461">
        <v>127133.825</v>
      </c>
      <c r="U461">
        <v>0</v>
      </c>
      <c r="V461">
        <v>0</v>
      </c>
      <c r="W461">
        <v>127133.82501</v>
      </c>
      <c r="X461">
        <v>96575.208329999994</v>
      </c>
      <c r="Y461">
        <v>96575.208329999994</v>
      </c>
    </row>
    <row r="462" spans="1:25" x14ac:dyDescent="0.25">
      <c r="A462" t="s">
        <v>796</v>
      </c>
      <c r="B462">
        <v>0</v>
      </c>
      <c r="C462" t="s">
        <v>797</v>
      </c>
      <c r="D462" t="s">
        <v>798</v>
      </c>
      <c r="E462" t="s">
        <v>260</v>
      </c>
      <c r="F462" t="s">
        <v>799</v>
      </c>
      <c r="G462" t="s">
        <v>84</v>
      </c>
      <c r="H462" t="s">
        <v>110</v>
      </c>
      <c r="I462" t="s">
        <v>796</v>
      </c>
      <c r="J462" t="s">
        <v>817</v>
      </c>
      <c r="K462" t="s">
        <v>82</v>
      </c>
      <c r="L462">
        <v>16380</v>
      </c>
      <c r="M462" t="s">
        <v>83</v>
      </c>
      <c r="P462">
        <v>1</v>
      </c>
      <c r="U462">
        <v>0</v>
      </c>
      <c r="V462">
        <v>0</v>
      </c>
      <c r="W462">
        <v>12223</v>
      </c>
    </row>
    <row r="463" spans="1:25" x14ac:dyDescent="0.25">
      <c r="A463" t="s">
        <v>796</v>
      </c>
      <c r="B463">
        <v>1</v>
      </c>
      <c r="C463" t="s">
        <v>797</v>
      </c>
      <c r="D463" t="s">
        <v>798</v>
      </c>
      <c r="E463" t="s">
        <v>260</v>
      </c>
      <c r="F463" t="s">
        <v>799</v>
      </c>
      <c r="G463" t="s">
        <v>680</v>
      </c>
      <c r="H463" t="s">
        <v>110</v>
      </c>
      <c r="I463" t="s">
        <v>796</v>
      </c>
      <c r="J463" t="s">
        <v>818</v>
      </c>
      <c r="K463" t="s">
        <v>82</v>
      </c>
      <c r="L463">
        <v>9625</v>
      </c>
      <c r="M463" t="s">
        <v>83</v>
      </c>
      <c r="N463">
        <v>12223</v>
      </c>
      <c r="U463">
        <v>0</v>
      </c>
      <c r="V463">
        <v>0</v>
      </c>
      <c r="W463">
        <v>12223</v>
      </c>
      <c r="X463">
        <v>9625</v>
      </c>
      <c r="Y463">
        <v>9625</v>
      </c>
    </row>
    <row r="464" spans="1:25" x14ac:dyDescent="0.25">
      <c r="A464" t="s">
        <v>796</v>
      </c>
      <c r="B464">
        <v>0</v>
      </c>
      <c r="C464" t="s">
        <v>797</v>
      </c>
      <c r="D464" t="s">
        <v>798</v>
      </c>
      <c r="E464" t="s">
        <v>260</v>
      </c>
      <c r="F464" t="s">
        <v>799</v>
      </c>
      <c r="G464" t="s">
        <v>84</v>
      </c>
      <c r="H464" t="s">
        <v>110</v>
      </c>
      <c r="I464" t="s">
        <v>796</v>
      </c>
      <c r="J464" t="s">
        <v>819</v>
      </c>
      <c r="K464" t="s">
        <v>82</v>
      </c>
      <c r="L464">
        <v>10664</v>
      </c>
      <c r="M464" t="s">
        <v>83</v>
      </c>
      <c r="U464">
        <v>0</v>
      </c>
      <c r="V464">
        <v>0</v>
      </c>
      <c r="W464">
        <v>12223</v>
      </c>
    </row>
    <row r="465" spans="1:25" x14ac:dyDescent="0.25">
      <c r="A465" t="s">
        <v>796</v>
      </c>
      <c r="B465">
        <v>0</v>
      </c>
      <c r="C465" t="s">
        <v>797</v>
      </c>
      <c r="D465" t="s">
        <v>798</v>
      </c>
      <c r="E465" t="s">
        <v>260</v>
      </c>
      <c r="F465" t="s">
        <v>799</v>
      </c>
      <c r="G465" t="s">
        <v>84</v>
      </c>
      <c r="H465" t="s">
        <v>106</v>
      </c>
      <c r="I465" t="s">
        <v>796</v>
      </c>
      <c r="J465" t="s">
        <v>820</v>
      </c>
      <c r="K465" t="s">
        <v>82</v>
      </c>
      <c r="L465">
        <v>12036.82</v>
      </c>
      <c r="M465" t="s">
        <v>83</v>
      </c>
      <c r="P465">
        <v>1</v>
      </c>
      <c r="U465">
        <v>0</v>
      </c>
      <c r="V465">
        <v>0</v>
      </c>
      <c r="W465">
        <v>11025.874166666666</v>
      </c>
    </row>
    <row r="466" spans="1:25" x14ac:dyDescent="0.25">
      <c r="A466" t="s">
        <v>796</v>
      </c>
      <c r="B466">
        <v>1</v>
      </c>
      <c r="C466" t="s">
        <v>797</v>
      </c>
      <c r="D466" t="s">
        <v>798</v>
      </c>
      <c r="E466" t="s">
        <v>260</v>
      </c>
      <c r="F466" t="s">
        <v>799</v>
      </c>
      <c r="G466" t="s">
        <v>680</v>
      </c>
      <c r="H466" t="s">
        <v>106</v>
      </c>
      <c r="I466" t="s">
        <v>796</v>
      </c>
      <c r="J466" t="s">
        <v>821</v>
      </c>
      <c r="K466" t="s">
        <v>82</v>
      </c>
      <c r="L466">
        <v>11824.127500000001</v>
      </c>
      <c r="M466" t="s">
        <v>83</v>
      </c>
      <c r="N466">
        <v>11025.874169999999</v>
      </c>
      <c r="U466">
        <v>0</v>
      </c>
      <c r="V466">
        <v>0</v>
      </c>
      <c r="W466">
        <v>11025.874166666666</v>
      </c>
      <c r="X466">
        <v>11824.127500000001</v>
      </c>
      <c r="Y466">
        <v>11824.127500000001</v>
      </c>
    </row>
    <row r="467" spans="1:25" x14ac:dyDescent="0.25">
      <c r="A467" t="s">
        <v>796</v>
      </c>
      <c r="B467">
        <v>0</v>
      </c>
      <c r="C467" t="s">
        <v>797</v>
      </c>
      <c r="D467" t="s">
        <v>798</v>
      </c>
      <c r="E467" t="s">
        <v>260</v>
      </c>
      <c r="F467" t="s">
        <v>799</v>
      </c>
      <c r="G467" t="s">
        <v>84</v>
      </c>
      <c r="H467" t="s">
        <v>106</v>
      </c>
      <c r="I467" t="s">
        <v>796</v>
      </c>
      <c r="J467" t="s">
        <v>822</v>
      </c>
      <c r="K467" t="s">
        <v>82</v>
      </c>
      <c r="L467">
        <v>9216.6749999999993</v>
      </c>
      <c r="M467" t="s">
        <v>83</v>
      </c>
      <c r="U467">
        <v>0</v>
      </c>
      <c r="V467">
        <v>0</v>
      </c>
      <c r="W467">
        <v>11025.874166666666</v>
      </c>
    </row>
    <row r="468" spans="1:25" x14ac:dyDescent="0.25">
      <c r="A468" t="s">
        <v>796</v>
      </c>
      <c r="B468">
        <v>0</v>
      </c>
      <c r="C468" t="s">
        <v>797</v>
      </c>
      <c r="D468" t="s">
        <v>798</v>
      </c>
      <c r="E468" t="s">
        <v>260</v>
      </c>
      <c r="F468" t="s">
        <v>799</v>
      </c>
      <c r="G468" t="s">
        <v>84</v>
      </c>
      <c r="H468" t="s">
        <v>80</v>
      </c>
      <c r="I468" t="s">
        <v>796</v>
      </c>
      <c r="J468" t="s">
        <v>823</v>
      </c>
      <c r="K468" t="s">
        <v>82</v>
      </c>
      <c r="L468">
        <v>727670.19180000003</v>
      </c>
      <c r="M468" t="s">
        <v>83</v>
      </c>
      <c r="P468">
        <v>1</v>
      </c>
      <c r="U468">
        <v>0</v>
      </c>
      <c r="V468">
        <v>0</v>
      </c>
      <c r="W468">
        <v>723920.4031</v>
      </c>
    </row>
    <row r="469" spans="1:25" x14ac:dyDescent="0.25">
      <c r="A469" t="s">
        <v>796</v>
      </c>
      <c r="B469">
        <v>1</v>
      </c>
      <c r="C469" t="s">
        <v>797</v>
      </c>
      <c r="D469" t="s">
        <v>798</v>
      </c>
      <c r="E469" t="s">
        <v>260</v>
      </c>
      <c r="F469" t="s">
        <v>799</v>
      </c>
      <c r="G469" t="s">
        <v>680</v>
      </c>
      <c r="H469" t="s">
        <v>80</v>
      </c>
      <c r="I469" t="s">
        <v>796</v>
      </c>
      <c r="J469" t="s">
        <v>824</v>
      </c>
      <c r="K469" t="s">
        <v>82</v>
      </c>
      <c r="L469">
        <v>798377.58</v>
      </c>
      <c r="M469" t="s">
        <v>83</v>
      </c>
      <c r="N469">
        <v>723920.4031</v>
      </c>
      <c r="U469">
        <v>0</v>
      </c>
      <c r="V469">
        <v>0</v>
      </c>
      <c r="W469">
        <v>723920.4031</v>
      </c>
      <c r="X469">
        <v>798377.58</v>
      </c>
      <c r="Y469">
        <v>798377.58</v>
      </c>
    </row>
    <row r="470" spans="1:25" x14ac:dyDescent="0.25">
      <c r="A470" t="s">
        <v>796</v>
      </c>
      <c r="B470">
        <v>0</v>
      </c>
      <c r="C470" t="s">
        <v>797</v>
      </c>
      <c r="D470" t="s">
        <v>798</v>
      </c>
      <c r="E470" t="s">
        <v>260</v>
      </c>
      <c r="F470" t="s">
        <v>799</v>
      </c>
      <c r="G470" t="s">
        <v>84</v>
      </c>
      <c r="H470" t="s">
        <v>80</v>
      </c>
      <c r="I470" t="s">
        <v>796</v>
      </c>
      <c r="J470" t="s">
        <v>825</v>
      </c>
      <c r="K470" t="s">
        <v>82</v>
      </c>
      <c r="L470">
        <v>645713.4375</v>
      </c>
      <c r="M470" t="s">
        <v>83</v>
      </c>
      <c r="U470">
        <v>0</v>
      </c>
      <c r="V470">
        <v>0</v>
      </c>
      <c r="W470">
        <v>723920.4031</v>
      </c>
    </row>
    <row r="471" spans="1:25" x14ac:dyDescent="0.25">
      <c r="A471" t="s">
        <v>826</v>
      </c>
      <c r="B471">
        <v>0</v>
      </c>
      <c r="C471" t="s">
        <v>797</v>
      </c>
      <c r="D471" t="s">
        <v>827</v>
      </c>
      <c r="E471" t="s">
        <v>260</v>
      </c>
      <c r="F471" t="s">
        <v>828</v>
      </c>
      <c r="G471" t="s">
        <v>84</v>
      </c>
      <c r="H471" t="s">
        <v>92</v>
      </c>
      <c r="I471" t="s">
        <v>543</v>
      </c>
      <c r="J471" t="s">
        <v>543</v>
      </c>
      <c r="K471" t="s">
        <v>82</v>
      </c>
      <c r="L471">
        <v>44140</v>
      </c>
      <c r="M471" t="s">
        <v>83</v>
      </c>
      <c r="P471">
        <v>1</v>
      </c>
      <c r="Q471">
        <v>1</v>
      </c>
      <c r="R471">
        <v>1</v>
      </c>
      <c r="S471">
        <v>1</v>
      </c>
      <c r="U471">
        <v>0</v>
      </c>
      <c r="V471">
        <v>0</v>
      </c>
      <c r="W471">
        <v>33080</v>
      </c>
    </row>
    <row r="472" spans="1:25" x14ac:dyDescent="0.25">
      <c r="A472" t="s">
        <v>826</v>
      </c>
      <c r="B472">
        <v>1</v>
      </c>
      <c r="C472" t="s">
        <v>797</v>
      </c>
      <c r="D472" t="s">
        <v>827</v>
      </c>
      <c r="E472" t="s">
        <v>260</v>
      </c>
      <c r="F472" t="s">
        <v>828</v>
      </c>
      <c r="G472" t="s">
        <v>301</v>
      </c>
      <c r="H472" t="s">
        <v>92</v>
      </c>
      <c r="I472" t="s">
        <v>829</v>
      </c>
      <c r="J472" t="s">
        <v>303</v>
      </c>
      <c r="K472" t="s">
        <v>82</v>
      </c>
      <c r="L472">
        <v>36360</v>
      </c>
      <c r="M472" t="s">
        <v>83</v>
      </c>
      <c r="N472">
        <v>33080</v>
      </c>
      <c r="U472">
        <v>0</v>
      </c>
      <c r="V472">
        <v>0</v>
      </c>
      <c r="W472">
        <v>33080</v>
      </c>
      <c r="X472">
        <v>36360</v>
      </c>
      <c r="Y472">
        <v>36360</v>
      </c>
    </row>
    <row r="473" spans="1:25" x14ac:dyDescent="0.25">
      <c r="A473" t="s">
        <v>826</v>
      </c>
      <c r="B473">
        <v>0</v>
      </c>
      <c r="C473" t="s">
        <v>797</v>
      </c>
      <c r="D473" t="s">
        <v>827</v>
      </c>
      <c r="E473" t="s">
        <v>260</v>
      </c>
      <c r="F473" t="s">
        <v>828</v>
      </c>
      <c r="G473" t="s">
        <v>84</v>
      </c>
      <c r="H473" t="s">
        <v>92</v>
      </c>
      <c r="I473" t="s">
        <v>830</v>
      </c>
      <c r="J473" t="s">
        <v>140</v>
      </c>
      <c r="K473" t="s">
        <v>82</v>
      </c>
      <c r="L473">
        <v>18740</v>
      </c>
      <c r="M473" t="s">
        <v>83</v>
      </c>
      <c r="O473">
        <v>1</v>
      </c>
      <c r="P473">
        <v>1</v>
      </c>
      <c r="R473">
        <v>1</v>
      </c>
      <c r="U473">
        <v>18740</v>
      </c>
      <c r="V473">
        <v>0</v>
      </c>
      <c r="W473">
        <v>33080</v>
      </c>
    </row>
    <row r="474" spans="1:25" x14ac:dyDescent="0.25">
      <c r="A474" t="s">
        <v>826</v>
      </c>
      <c r="B474">
        <v>0</v>
      </c>
      <c r="C474" t="s">
        <v>797</v>
      </c>
      <c r="D474" t="s">
        <v>827</v>
      </c>
      <c r="E474" t="s">
        <v>260</v>
      </c>
      <c r="F474" t="s">
        <v>828</v>
      </c>
      <c r="G474" t="s">
        <v>84</v>
      </c>
      <c r="H474" t="s">
        <v>80</v>
      </c>
      <c r="I474" t="s">
        <v>826</v>
      </c>
      <c r="J474" t="s">
        <v>831</v>
      </c>
      <c r="K474" t="s">
        <v>82</v>
      </c>
      <c r="L474">
        <v>923882.24</v>
      </c>
      <c r="M474" t="s">
        <v>83</v>
      </c>
      <c r="P474">
        <v>1</v>
      </c>
      <c r="T474">
        <v>1</v>
      </c>
      <c r="U474">
        <v>0</v>
      </c>
      <c r="V474">
        <v>0</v>
      </c>
      <c r="W474">
        <v>884250.9711666666</v>
      </c>
    </row>
    <row r="475" spans="1:25" x14ac:dyDescent="0.25">
      <c r="A475" t="s">
        <v>826</v>
      </c>
      <c r="B475">
        <v>1</v>
      </c>
      <c r="C475" t="s">
        <v>797</v>
      </c>
      <c r="D475" t="s">
        <v>827</v>
      </c>
      <c r="E475" t="s">
        <v>260</v>
      </c>
      <c r="F475" t="s">
        <v>828</v>
      </c>
      <c r="G475" t="s">
        <v>680</v>
      </c>
      <c r="H475" t="s">
        <v>80</v>
      </c>
      <c r="I475" t="s">
        <v>826</v>
      </c>
      <c r="J475" t="s">
        <v>832</v>
      </c>
      <c r="K475" t="s">
        <v>82</v>
      </c>
      <c r="L475">
        <v>955820.34</v>
      </c>
      <c r="M475" t="s">
        <v>83</v>
      </c>
      <c r="N475">
        <v>884250.97120000003</v>
      </c>
      <c r="U475">
        <v>0</v>
      </c>
      <c r="V475">
        <v>0</v>
      </c>
      <c r="W475">
        <v>884250.9711666666</v>
      </c>
      <c r="X475">
        <v>955820.34</v>
      </c>
      <c r="Y475">
        <v>955820.34</v>
      </c>
    </row>
    <row r="476" spans="1:25" x14ac:dyDescent="0.25">
      <c r="A476" t="s">
        <v>826</v>
      </c>
      <c r="B476">
        <v>0</v>
      </c>
      <c r="C476" t="s">
        <v>797</v>
      </c>
      <c r="D476" t="s">
        <v>827</v>
      </c>
      <c r="E476" t="s">
        <v>260</v>
      </c>
      <c r="F476" t="s">
        <v>828</v>
      </c>
      <c r="G476" t="s">
        <v>84</v>
      </c>
      <c r="H476" t="s">
        <v>80</v>
      </c>
      <c r="I476" t="s">
        <v>826</v>
      </c>
      <c r="J476" t="s">
        <v>833</v>
      </c>
      <c r="K476" t="s">
        <v>82</v>
      </c>
      <c r="L476">
        <v>773050.33349999995</v>
      </c>
      <c r="M476" t="s">
        <v>83</v>
      </c>
      <c r="U476">
        <v>0</v>
      </c>
      <c r="V476">
        <v>0</v>
      </c>
      <c r="W476">
        <v>884250.9711666666</v>
      </c>
    </row>
    <row r="477" spans="1:25" x14ac:dyDescent="0.25">
      <c r="A477" t="s">
        <v>826</v>
      </c>
      <c r="B477">
        <v>0</v>
      </c>
      <c r="C477" t="s">
        <v>797</v>
      </c>
      <c r="D477" t="s">
        <v>827</v>
      </c>
      <c r="E477" t="s">
        <v>260</v>
      </c>
      <c r="F477" t="s">
        <v>828</v>
      </c>
      <c r="G477" t="s">
        <v>84</v>
      </c>
      <c r="H477" t="s">
        <v>106</v>
      </c>
      <c r="I477" t="s">
        <v>826</v>
      </c>
      <c r="J477" t="s">
        <v>834</v>
      </c>
      <c r="K477" t="s">
        <v>82</v>
      </c>
      <c r="L477">
        <v>8578.5974999999999</v>
      </c>
      <c r="M477" t="s">
        <v>83</v>
      </c>
      <c r="P477">
        <v>1</v>
      </c>
      <c r="T477">
        <v>1</v>
      </c>
      <c r="U477">
        <v>0</v>
      </c>
      <c r="V477">
        <v>0</v>
      </c>
      <c r="W477">
        <v>6467.4274999999998</v>
      </c>
    </row>
    <row r="478" spans="1:25" x14ac:dyDescent="0.25">
      <c r="A478" t="s">
        <v>826</v>
      </c>
      <c r="B478">
        <v>1</v>
      </c>
      <c r="C478" t="s">
        <v>797</v>
      </c>
      <c r="D478" t="s">
        <v>827</v>
      </c>
      <c r="E478" t="s">
        <v>260</v>
      </c>
      <c r="F478" t="s">
        <v>828</v>
      </c>
      <c r="G478" t="s">
        <v>680</v>
      </c>
      <c r="H478" t="s">
        <v>106</v>
      </c>
      <c r="I478" t="s">
        <v>826</v>
      </c>
      <c r="J478" t="s">
        <v>835</v>
      </c>
      <c r="K478" t="s">
        <v>82</v>
      </c>
      <c r="L478">
        <v>8255.6200000000008</v>
      </c>
      <c r="M478" t="s">
        <v>83</v>
      </c>
      <c r="N478">
        <v>6467.4274999999998</v>
      </c>
      <c r="U478">
        <v>0</v>
      </c>
      <c r="V478">
        <v>0</v>
      </c>
      <c r="W478">
        <v>6467.4274999999998</v>
      </c>
      <c r="X478">
        <v>8255.6200000000008</v>
      </c>
      <c r="Y478">
        <v>8255.6200000000008</v>
      </c>
    </row>
    <row r="479" spans="1:25" x14ac:dyDescent="0.25">
      <c r="A479" t="s">
        <v>826</v>
      </c>
      <c r="B479">
        <v>0</v>
      </c>
      <c r="C479" t="s">
        <v>797</v>
      </c>
      <c r="D479" t="s">
        <v>827</v>
      </c>
      <c r="E479" t="s">
        <v>260</v>
      </c>
      <c r="F479" t="s">
        <v>828</v>
      </c>
      <c r="G479" t="s">
        <v>84</v>
      </c>
      <c r="H479" t="s">
        <v>106</v>
      </c>
      <c r="I479" t="s">
        <v>826</v>
      </c>
      <c r="J479" t="s">
        <v>836</v>
      </c>
      <c r="K479" t="s">
        <v>82</v>
      </c>
      <c r="L479">
        <v>2568.0650000000001</v>
      </c>
      <c r="M479" t="s">
        <v>83</v>
      </c>
      <c r="U479">
        <v>0</v>
      </c>
      <c r="V479">
        <v>0</v>
      </c>
      <c r="W479">
        <v>6467.4274999999998</v>
      </c>
    </row>
    <row r="480" spans="1:25" x14ac:dyDescent="0.25">
      <c r="A480" t="s">
        <v>826</v>
      </c>
      <c r="B480">
        <v>0</v>
      </c>
      <c r="C480" t="s">
        <v>797</v>
      </c>
      <c r="D480" t="s">
        <v>827</v>
      </c>
      <c r="E480" t="s">
        <v>260</v>
      </c>
      <c r="F480" t="s">
        <v>828</v>
      </c>
      <c r="G480" t="s">
        <v>84</v>
      </c>
      <c r="H480" t="s">
        <v>110</v>
      </c>
      <c r="I480" t="s">
        <v>826</v>
      </c>
      <c r="J480" t="s">
        <v>837</v>
      </c>
      <c r="K480" t="s">
        <v>82</v>
      </c>
      <c r="L480">
        <v>9198</v>
      </c>
      <c r="M480" t="s">
        <v>83</v>
      </c>
      <c r="P480">
        <v>1</v>
      </c>
      <c r="T480">
        <v>1</v>
      </c>
      <c r="U480">
        <v>0</v>
      </c>
      <c r="V480">
        <v>0</v>
      </c>
      <c r="W480">
        <v>9930</v>
      </c>
    </row>
    <row r="481" spans="1:25" x14ac:dyDescent="0.25">
      <c r="A481" t="s">
        <v>826</v>
      </c>
      <c r="B481">
        <v>1</v>
      </c>
      <c r="C481" t="s">
        <v>797</v>
      </c>
      <c r="D481" t="s">
        <v>827</v>
      </c>
      <c r="E481" t="s">
        <v>260</v>
      </c>
      <c r="F481" t="s">
        <v>828</v>
      </c>
      <c r="G481" t="s">
        <v>680</v>
      </c>
      <c r="H481" t="s">
        <v>110</v>
      </c>
      <c r="I481" t="s">
        <v>826</v>
      </c>
      <c r="J481" t="s">
        <v>838</v>
      </c>
      <c r="K481" t="s">
        <v>82</v>
      </c>
      <c r="L481">
        <v>11592</v>
      </c>
      <c r="M481" t="s">
        <v>83</v>
      </c>
      <c r="N481">
        <v>9930</v>
      </c>
      <c r="U481">
        <v>0</v>
      </c>
      <c r="V481">
        <v>0</v>
      </c>
      <c r="W481">
        <v>9930</v>
      </c>
      <c r="X481">
        <v>11592</v>
      </c>
      <c r="Y481">
        <v>11592</v>
      </c>
    </row>
    <row r="482" spans="1:25" x14ac:dyDescent="0.25">
      <c r="A482" t="s">
        <v>826</v>
      </c>
      <c r="B482">
        <v>0</v>
      </c>
      <c r="C482" t="s">
        <v>797</v>
      </c>
      <c r="D482" t="s">
        <v>827</v>
      </c>
      <c r="E482" t="s">
        <v>260</v>
      </c>
      <c r="F482" t="s">
        <v>828</v>
      </c>
      <c r="G482" t="s">
        <v>84</v>
      </c>
      <c r="H482" t="s">
        <v>110</v>
      </c>
      <c r="I482" t="s">
        <v>826</v>
      </c>
      <c r="J482" t="s">
        <v>839</v>
      </c>
      <c r="K482" t="s">
        <v>82</v>
      </c>
      <c r="L482">
        <v>9000</v>
      </c>
      <c r="M482" t="s">
        <v>83</v>
      </c>
      <c r="U482">
        <v>0</v>
      </c>
      <c r="V482">
        <v>0</v>
      </c>
      <c r="W482">
        <v>9930</v>
      </c>
    </row>
    <row r="483" spans="1:25" x14ac:dyDescent="0.25">
      <c r="A483" t="s">
        <v>826</v>
      </c>
      <c r="B483">
        <v>1</v>
      </c>
      <c r="C483" t="s">
        <v>797</v>
      </c>
      <c r="D483" t="s">
        <v>827</v>
      </c>
      <c r="E483" t="s">
        <v>260</v>
      </c>
      <c r="F483" t="s">
        <v>828</v>
      </c>
      <c r="G483" t="s">
        <v>316</v>
      </c>
      <c r="H483" t="s">
        <v>87</v>
      </c>
      <c r="I483" t="s">
        <v>840</v>
      </c>
      <c r="J483" t="s">
        <v>841</v>
      </c>
      <c r="K483" t="s">
        <v>82</v>
      </c>
      <c r="L483">
        <v>120548.3417</v>
      </c>
      <c r="M483" t="s">
        <v>83</v>
      </c>
      <c r="N483">
        <v>135828.56390000001</v>
      </c>
      <c r="R483">
        <v>1</v>
      </c>
      <c r="U483">
        <v>0</v>
      </c>
      <c r="V483">
        <v>0</v>
      </c>
      <c r="W483">
        <v>135828.56390000001</v>
      </c>
      <c r="X483">
        <v>120548.3417</v>
      </c>
      <c r="Y483">
        <v>120548.3417</v>
      </c>
    </row>
    <row r="484" spans="1:25" x14ac:dyDescent="0.25">
      <c r="A484" t="s">
        <v>826</v>
      </c>
      <c r="B484">
        <v>0</v>
      </c>
      <c r="C484" t="s">
        <v>797</v>
      </c>
      <c r="D484" t="s">
        <v>827</v>
      </c>
      <c r="E484" t="s">
        <v>260</v>
      </c>
      <c r="F484" t="s">
        <v>828</v>
      </c>
      <c r="G484" t="s">
        <v>84</v>
      </c>
      <c r="H484" t="s">
        <v>87</v>
      </c>
      <c r="I484" t="s">
        <v>826</v>
      </c>
      <c r="J484" t="s">
        <v>842</v>
      </c>
      <c r="K484" t="s">
        <v>82</v>
      </c>
      <c r="L484">
        <v>124425.0583</v>
      </c>
      <c r="M484" t="s">
        <v>83</v>
      </c>
      <c r="S484">
        <v>1</v>
      </c>
      <c r="T484">
        <v>1</v>
      </c>
      <c r="U484">
        <v>0</v>
      </c>
      <c r="V484">
        <v>0</v>
      </c>
      <c r="W484">
        <v>135828.56390000001</v>
      </c>
    </row>
    <row r="485" spans="1:25" x14ac:dyDescent="0.25">
      <c r="A485" t="s">
        <v>826</v>
      </c>
      <c r="B485">
        <v>0</v>
      </c>
      <c r="C485" t="s">
        <v>797</v>
      </c>
      <c r="D485" t="s">
        <v>827</v>
      </c>
      <c r="E485" t="s">
        <v>260</v>
      </c>
      <c r="F485" t="s">
        <v>828</v>
      </c>
      <c r="G485" t="s">
        <v>84</v>
      </c>
      <c r="H485" t="s">
        <v>87</v>
      </c>
      <c r="I485" t="s">
        <v>843</v>
      </c>
      <c r="J485" t="s">
        <v>844</v>
      </c>
      <c r="K485" t="s">
        <v>82</v>
      </c>
      <c r="L485">
        <v>162512.2917</v>
      </c>
      <c r="M485" t="s">
        <v>83</v>
      </c>
      <c r="T485">
        <v>1</v>
      </c>
      <c r="U485">
        <v>0</v>
      </c>
      <c r="V485">
        <v>0</v>
      </c>
      <c r="W485">
        <v>135828.56390000001</v>
      </c>
    </row>
    <row r="486" spans="1:25" x14ac:dyDescent="0.25">
      <c r="A486" t="s">
        <v>826</v>
      </c>
      <c r="B486">
        <v>1</v>
      </c>
      <c r="C486" t="s">
        <v>797</v>
      </c>
      <c r="D486" t="s">
        <v>827</v>
      </c>
      <c r="E486" t="s">
        <v>260</v>
      </c>
      <c r="F486" t="s">
        <v>828</v>
      </c>
      <c r="G486" t="s">
        <v>158</v>
      </c>
      <c r="H486" t="s">
        <v>98</v>
      </c>
      <c r="I486" t="s">
        <v>845</v>
      </c>
      <c r="J486" t="s">
        <v>846</v>
      </c>
      <c r="K486" t="s">
        <v>82</v>
      </c>
      <c r="L486">
        <v>22550</v>
      </c>
      <c r="M486" t="s">
        <v>83</v>
      </c>
      <c r="N486">
        <v>21600</v>
      </c>
      <c r="S486">
        <v>1</v>
      </c>
      <c r="U486">
        <v>0</v>
      </c>
      <c r="V486">
        <v>0</v>
      </c>
      <c r="W486">
        <v>21600</v>
      </c>
      <c r="X486">
        <v>22550</v>
      </c>
      <c r="Y486">
        <v>22550</v>
      </c>
    </row>
    <row r="487" spans="1:25" x14ac:dyDescent="0.25">
      <c r="A487" t="s">
        <v>826</v>
      </c>
      <c r="B487">
        <v>0</v>
      </c>
      <c r="C487" t="s">
        <v>797</v>
      </c>
      <c r="D487" t="s">
        <v>827</v>
      </c>
      <c r="E487" t="s">
        <v>260</v>
      </c>
      <c r="F487" t="s">
        <v>828</v>
      </c>
      <c r="G487" t="s">
        <v>84</v>
      </c>
      <c r="H487" t="s">
        <v>98</v>
      </c>
      <c r="I487" t="s">
        <v>847</v>
      </c>
      <c r="J487" t="s">
        <v>848</v>
      </c>
      <c r="K487" t="s">
        <v>82</v>
      </c>
      <c r="L487">
        <v>20650</v>
      </c>
      <c r="M487" t="s">
        <v>83</v>
      </c>
      <c r="U487">
        <v>0</v>
      </c>
      <c r="V487">
        <v>0</v>
      </c>
      <c r="W487">
        <v>21600</v>
      </c>
    </row>
    <row r="488" spans="1:25" x14ac:dyDescent="0.25">
      <c r="A488" t="s">
        <v>826</v>
      </c>
      <c r="B488">
        <v>1</v>
      </c>
      <c r="C488" t="s">
        <v>797</v>
      </c>
      <c r="D488" t="s">
        <v>827</v>
      </c>
      <c r="E488" t="s">
        <v>260</v>
      </c>
      <c r="F488" t="s">
        <v>828</v>
      </c>
      <c r="G488" t="s">
        <v>267</v>
      </c>
      <c r="H488" t="s">
        <v>121</v>
      </c>
      <c r="I488" t="s">
        <v>849</v>
      </c>
      <c r="J488" t="s">
        <v>850</v>
      </c>
      <c r="K488" t="s">
        <v>82</v>
      </c>
      <c r="L488">
        <v>187823.6317</v>
      </c>
      <c r="M488" t="s">
        <v>83</v>
      </c>
      <c r="N488">
        <v>151739.2697</v>
      </c>
      <c r="O488">
        <v>1</v>
      </c>
      <c r="U488">
        <v>187823.6317</v>
      </c>
      <c r="V488">
        <v>187823.6317</v>
      </c>
      <c r="W488">
        <v>151739.2697</v>
      </c>
      <c r="X488">
        <v>187823.6317</v>
      </c>
      <c r="Y488">
        <v>187823.6317</v>
      </c>
    </row>
    <row r="489" spans="1:25" x14ac:dyDescent="0.25">
      <c r="A489" t="s">
        <v>826</v>
      </c>
      <c r="B489">
        <v>0</v>
      </c>
      <c r="C489" t="s">
        <v>797</v>
      </c>
      <c r="D489" t="s">
        <v>827</v>
      </c>
      <c r="E489" t="s">
        <v>260</v>
      </c>
      <c r="F489" t="s">
        <v>828</v>
      </c>
      <c r="G489" t="s">
        <v>84</v>
      </c>
      <c r="H489" t="s">
        <v>121</v>
      </c>
      <c r="I489" t="s">
        <v>826</v>
      </c>
      <c r="J489" t="s">
        <v>851</v>
      </c>
      <c r="K489" t="s">
        <v>82</v>
      </c>
      <c r="L489">
        <v>115654.9077</v>
      </c>
      <c r="M489" t="s">
        <v>83</v>
      </c>
      <c r="S489">
        <v>1</v>
      </c>
      <c r="U489">
        <v>0</v>
      </c>
      <c r="V489">
        <v>0</v>
      </c>
      <c r="W489">
        <v>151739.2697</v>
      </c>
    </row>
    <row r="490" spans="1:25" x14ac:dyDescent="0.25">
      <c r="A490" t="s">
        <v>826</v>
      </c>
      <c r="B490">
        <v>1</v>
      </c>
      <c r="C490" t="s">
        <v>797</v>
      </c>
      <c r="D490" t="s">
        <v>827</v>
      </c>
      <c r="E490" t="s">
        <v>260</v>
      </c>
      <c r="F490" t="s">
        <v>828</v>
      </c>
      <c r="G490" t="s">
        <v>267</v>
      </c>
      <c r="H490" t="s">
        <v>114</v>
      </c>
      <c r="I490" t="s">
        <v>849</v>
      </c>
      <c r="J490" t="s">
        <v>852</v>
      </c>
      <c r="K490" t="s">
        <v>82</v>
      </c>
      <c r="L490">
        <v>12500</v>
      </c>
      <c r="M490" t="s">
        <v>83</v>
      </c>
      <c r="N490">
        <v>26250</v>
      </c>
      <c r="O490">
        <v>1</v>
      </c>
      <c r="U490">
        <v>12500</v>
      </c>
      <c r="V490">
        <v>12500</v>
      </c>
      <c r="W490">
        <v>26250</v>
      </c>
      <c r="X490">
        <v>12500</v>
      </c>
      <c r="Y490">
        <v>12500</v>
      </c>
    </row>
    <row r="491" spans="1:25" x14ac:dyDescent="0.25">
      <c r="A491" t="s">
        <v>826</v>
      </c>
      <c r="B491">
        <v>0</v>
      </c>
      <c r="C491" t="s">
        <v>797</v>
      </c>
      <c r="D491" t="s">
        <v>827</v>
      </c>
      <c r="E491" t="s">
        <v>260</v>
      </c>
      <c r="F491" t="s">
        <v>828</v>
      </c>
      <c r="G491" t="s">
        <v>84</v>
      </c>
      <c r="H491" t="s">
        <v>114</v>
      </c>
      <c r="I491" t="s">
        <v>826</v>
      </c>
      <c r="J491" t="s">
        <v>853</v>
      </c>
      <c r="K491" t="s">
        <v>82</v>
      </c>
      <c r="L491">
        <v>40000</v>
      </c>
      <c r="M491" t="s">
        <v>83</v>
      </c>
      <c r="S491">
        <v>1</v>
      </c>
      <c r="U491">
        <v>0</v>
      </c>
      <c r="V491">
        <v>0</v>
      </c>
      <c r="W491">
        <v>26250</v>
      </c>
    </row>
    <row r="492" spans="1:25" x14ac:dyDescent="0.25">
      <c r="A492" t="s">
        <v>854</v>
      </c>
      <c r="B492">
        <v>0</v>
      </c>
      <c r="C492" t="s">
        <v>855</v>
      </c>
      <c r="D492" t="s">
        <v>856</v>
      </c>
      <c r="E492" t="s">
        <v>179</v>
      </c>
      <c r="F492" t="s">
        <v>857</v>
      </c>
      <c r="G492" t="s">
        <v>84</v>
      </c>
      <c r="H492" t="s">
        <v>92</v>
      </c>
      <c r="I492" t="s">
        <v>858</v>
      </c>
      <c r="J492" t="s">
        <v>303</v>
      </c>
      <c r="K492" t="s">
        <v>82</v>
      </c>
      <c r="L492">
        <v>21840</v>
      </c>
      <c r="M492" t="s">
        <v>83</v>
      </c>
      <c r="Q492">
        <v>1</v>
      </c>
      <c r="U492">
        <v>0</v>
      </c>
      <c r="V492">
        <v>0</v>
      </c>
      <c r="W492">
        <v>37666.666666666664</v>
      </c>
    </row>
    <row r="493" spans="1:25" x14ac:dyDescent="0.25">
      <c r="A493" t="s">
        <v>854</v>
      </c>
      <c r="B493">
        <v>0</v>
      </c>
      <c r="C493" t="s">
        <v>855</v>
      </c>
      <c r="D493" t="s">
        <v>856</v>
      </c>
      <c r="E493" t="s">
        <v>179</v>
      </c>
      <c r="F493" t="s">
        <v>857</v>
      </c>
      <c r="G493" t="s">
        <v>84</v>
      </c>
      <c r="H493" t="s">
        <v>92</v>
      </c>
      <c r="I493" t="s">
        <v>859</v>
      </c>
      <c r="J493" t="s">
        <v>140</v>
      </c>
      <c r="K493" t="s">
        <v>82</v>
      </c>
      <c r="L493">
        <v>23630</v>
      </c>
      <c r="M493" t="s">
        <v>83</v>
      </c>
      <c r="Q493">
        <v>1</v>
      </c>
      <c r="S493">
        <v>1</v>
      </c>
      <c r="T493">
        <v>1</v>
      </c>
      <c r="U493">
        <v>0</v>
      </c>
      <c r="V493">
        <v>0</v>
      </c>
      <c r="W493">
        <v>37666.666666666664</v>
      </c>
    </row>
    <row r="494" spans="1:25" x14ac:dyDescent="0.25">
      <c r="A494" t="s">
        <v>854</v>
      </c>
      <c r="B494">
        <v>1</v>
      </c>
      <c r="C494" t="s">
        <v>855</v>
      </c>
      <c r="D494" t="s">
        <v>856</v>
      </c>
      <c r="E494" t="s">
        <v>179</v>
      </c>
      <c r="F494" t="s">
        <v>857</v>
      </c>
      <c r="G494" t="s">
        <v>181</v>
      </c>
      <c r="H494" t="s">
        <v>92</v>
      </c>
      <c r="I494" t="s">
        <v>860</v>
      </c>
      <c r="J494" t="s">
        <v>181</v>
      </c>
      <c r="K494" t="s">
        <v>82</v>
      </c>
      <c r="L494">
        <v>67530</v>
      </c>
      <c r="M494" t="s">
        <v>83</v>
      </c>
      <c r="N494">
        <v>37666.666669999999</v>
      </c>
      <c r="U494">
        <v>0</v>
      </c>
      <c r="V494">
        <v>0</v>
      </c>
      <c r="W494">
        <v>37666.666666666664</v>
      </c>
      <c r="X494">
        <v>67530</v>
      </c>
      <c r="Y494">
        <v>67530</v>
      </c>
    </row>
    <row r="495" spans="1:25" x14ac:dyDescent="0.25">
      <c r="A495" t="s">
        <v>854</v>
      </c>
      <c r="B495">
        <v>1</v>
      </c>
      <c r="C495" t="s">
        <v>855</v>
      </c>
      <c r="D495" t="s">
        <v>856</v>
      </c>
      <c r="E495" t="s">
        <v>179</v>
      </c>
      <c r="F495" t="s">
        <v>857</v>
      </c>
      <c r="G495" t="s">
        <v>326</v>
      </c>
      <c r="H495" t="s">
        <v>114</v>
      </c>
      <c r="I495" t="s">
        <v>861</v>
      </c>
      <c r="J495" t="s">
        <v>862</v>
      </c>
      <c r="K495" t="s">
        <v>82</v>
      </c>
      <c r="L495">
        <v>40100</v>
      </c>
      <c r="M495" t="s">
        <v>83</v>
      </c>
      <c r="N495">
        <v>39225</v>
      </c>
      <c r="T495">
        <v>1</v>
      </c>
      <c r="U495">
        <v>0</v>
      </c>
      <c r="V495">
        <v>0</v>
      </c>
      <c r="W495">
        <v>39225</v>
      </c>
      <c r="X495">
        <v>40100</v>
      </c>
      <c r="Y495">
        <v>40100</v>
      </c>
    </row>
    <row r="496" spans="1:25" x14ac:dyDescent="0.25">
      <c r="A496" t="s">
        <v>854</v>
      </c>
      <c r="B496">
        <v>0</v>
      </c>
      <c r="C496" t="s">
        <v>855</v>
      </c>
      <c r="D496" t="s">
        <v>856</v>
      </c>
      <c r="E496" t="s">
        <v>179</v>
      </c>
      <c r="F496" t="s">
        <v>857</v>
      </c>
      <c r="G496" t="s">
        <v>84</v>
      </c>
      <c r="H496" t="s">
        <v>114</v>
      </c>
      <c r="I496" t="s">
        <v>854</v>
      </c>
      <c r="J496" t="s">
        <v>863</v>
      </c>
      <c r="K496" t="s">
        <v>82</v>
      </c>
      <c r="L496">
        <v>38350</v>
      </c>
      <c r="M496" t="s">
        <v>83</v>
      </c>
      <c r="S496">
        <v>1</v>
      </c>
      <c r="U496">
        <v>0</v>
      </c>
      <c r="V496">
        <v>0</v>
      </c>
      <c r="W496">
        <v>39225</v>
      </c>
    </row>
    <row r="497" spans="1:25" x14ac:dyDescent="0.25">
      <c r="A497" t="s">
        <v>854</v>
      </c>
      <c r="B497">
        <v>1</v>
      </c>
      <c r="C497" t="s">
        <v>855</v>
      </c>
      <c r="D497" t="s">
        <v>856</v>
      </c>
      <c r="E497" t="s">
        <v>179</v>
      </c>
      <c r="F497" t="s">
        <v>857</v>
      </c>
      <c r="G497" t="s">
        <v>326</v>
      </c>
      <c r="H497" t="s">
        <v>121</v>
      </c>
      <c r="I497" t="s">
        <v>861</v>
      </c>
      <c r="J497" t="s">
        <v>864</v>
      </c>
      <c r="K497" t="s">
        <v>82</v>
      </c>
      <c r="L497">
        <v>151817.5208</v>
      </c>
      <c r="M497" t="s">
        <v>83</v>
      </c>
      <c r="N497">
        <v>142410.3443</v>
      </c>
      <c r="T497">
        <v>1</v>
      </c>
      <c r="U497">
        <v>0</v>
      </c>
      <c r="V497">
        <v>0</v>
      </c>
      <c r="W497">
        <v>142410.3443</v>
      </c>
      <c r="X497">
        <v>151817.5208</v>
      </c>
      <c r="Y497">
        <v>151817.5208</v>
      </c>
    </row>
    <row r="498" spans="1:25" x14ac:dyDescent="0.25">
      <c r="A498" t="s">
        <v>854</v>
      </c>
      <c r="B498">
        <v>0</v>
      </c>
      <c r="C498" t="s">
        <v>855</v>
      </c>
      <c r="D498" t="s">
        <v>856</v>
      </c>
      <c r="E498" t="s">
        <v>179</v>
      </c>
      <c r="F498" t="s">
        <v>857</v>
      </c>
      <c r="G498" t="s">
        <v>84</v>
      </c>
      <c r="H498" t="s">
        <v>121</v>
      </c>
      <c r="I498" t="s">
        <v>854</v>
      </c>
      <c r="J498" t="s">
        <v>865</v>
      </c>
      <c r="K498" t="s">
        <v>82</v>
      </c>
      <c r="L498">
        <v>133003.1678</v>
      </c>
      <c r="M498" t="s">
        <v>83</v>
      </c>
      <c r="S498">
        <v>1</v>
      </c>
      <c r="U498">
        <v>0</v>
      </c>
      <c r="V498">
        <v>0</v>
      </c>
      <c r="W498">
        <v>142410.3443</v>
      </c>
    </row>
    <row r="499" spans="1:25" x14ac:dyDescent="0.25">
      <c r="A499" t="s">
        <v>854</v>
      </c>
      <c r="B499">
        <v>1</v>
      </c>
      <c r="C499" t="s">
        <v>855</v>
      </c>
      <c r="D499" t="s">
        <v>856</v>
      </c>
      <c r="E499" t="s">
        <v>179</v>
      </c>
      <c r="F499" t="s">
        <v>857</v>
      </c>
      <c r="G499" t="s">
        <v>130</v>
      </c>
      <c r="H499" t="s">
        <v>125</v>
      </c>
      <c r="I499" t="s">
        <v>866</v>
      </c>
      <c r="J499" t="s">
        <v>867</v>
      </c>
      <c r="K499" t="s">
        <v>82</v>
      </c>
      <c r="L499">
        <v>40800</v>
      </c>
      <c r="M499" t="s">
        <v>83</v>
      </c>
      <c r="N499">
        <v>30116.666669999999</v>
      </c>
      <c r="T499">
        <v>1</v>
      </c>
      <c r="U499">
        <v>0</v>
      </c>
      <c r="V499">
        <v>0</v>
      </c>
      <c r="W499">
        <v>30116.666666666664</v>
      </c>
      <c r="X499">
        <v>40800</v>
      </c>
      <c r="Y499">
        <v>40800</v>
      </c>
    </row>
    <row r="500" spans="1:25" x14ac:dyDescent="0.25">
      <c r="A500" t="s">
        <v>854</v>
      </c>
      <c r="B500">
        <v>0</v>
      </c>
      <c r="C500" t="s">
        <v>855</v>
      </c>
      <c r="D500" t="s">
        <v>856</v>
      </c>
      <c r="E500" t="s">
        <v>179</v>
      </c>
      <c r="F500" t="s">
        <v>857</v>
      </c>
      <c r="G500" t="s">
        <v>84</v>
      </c>
      <c r="H500" t="s">
        <v>125</v>
      </c>
      <c r="I500" t="s">
        <v>868</v>
      </c>
      <c r="J500" t="s">
        <v>869</v>
      </c>
      <c r="K500" t="s">
        <v>82</v>
      </c>
      <c r="L500">
        <v>22400</v>
      </c>
      <c r="M500" t="s">
        <v>83</v>
      </c>
      <c r="U500">
        <v>0</v>
      </c>
      <c r="V500">
        <v>0</v>
      </c>
      <c r="W500">
        <v>30116.666666666664</v>
      </c>
    </row>
    <row r="501" spans="1:25" x14ac:dyDescent="0.25">
      <c r="A501" t="s">
        <v>854</v>
      </c>
      <c r="B501">
        <v>0</v>
      </c>
      <c r="C501" t="s">
        <v>855</v>
      </c>
      <c r="D501" t="s">
        <v>856</v>
      </c>
      <c r="E501" t="s">
        <v>179</v>
      </c>
      <c r="F501" t="s">
        <v>857</v>
      </c>
      <c r="G501" t="s">
        <v>84</v>
      </c>
      <c r="H501" t="s">
        <v>125</v>
      </c>
      <c r="I501" t="s">
        <v>870</v>
      </c>
      <c r="J501" t="s">
        <v>871</v>
      </c>
      <c r="K501" t="s">
        <v>82</v>
      </c>
      <c r="L501">
        <v>27150</v>
      </c>
      <c r="M501" t="s">
        <v>83</v>
      </c>
      <c r="U501">
        <v>0</v>
      </c>
      <c r="V501">
        <v>0</v>
      </c>
      <c r="W501">
        <v>30116.666666666664</v>
      </c>
    </row>
    <row r="502" spans="1:25" x14ac:dyDescent="0.25">
      <c r="A502" t="s">
        <v>854</v>
      </c>
      <c r="B502">
        <v>0</v>
      </c>
      <c r="C502" t="s">
        <v>855</v>
      </c>
      <c r="D502" t="s">
        <v>856</v>
      </c>
      <c r="E502" t="s">
        <v>179</v>
      </c>
      <c r="F502" t="s">
        <v>857</v>
      </c>
      <c r="G502" t="s">
        <v>84</v>
      </c>
      <c r="H502" t="s">
        <v>98</v>
      </c>
      <c r="I502" t="s">
        <v>872</v>
      </c>
      <c r="J502" t="s">
        <v>873</v>
      </c>
      <c r="K502" t="s">
        <v>82</v>
      </c>
      <c r="L502">
        <v>27450</v>
      </c>
      <c r="M502" t="s">
        <v>83</v>
      </c>
      <c r="U502">
        <v>0</v>
      </c>
      <c r="V502">
        <v>0</v>
      </c>
      <c r="W502">
        <v>33800</v>
      </c>
    </row>
    <row r="503" spans="1:25" x14ac:dyDescent="0.25">
      <c r="A503" t="s">
        <v>854</v>
      </c>
      <c r="B503">
        <v>1</v>
      </c>
      <c r="C503" t="s">
        <v>855</v>
      </c>
      <c r="D503" t="s">
        <v>856</v>
      </c>
      <c r="E503" t="s">
        <v>179</v>
      </c>
      <c r="F503" t="s">
        <v>857</v>
      </c>
      <c r="G503" t="s">
        <v>693</v>
      </c>
      <c r="H503" t="s">
        <v>98</v>
      </c>
      <c r="I503" t="s">
        <v>874</v>
      </c>
      <c r="J503" t="s">
        <v>875</v>
      </c>
      <c r="K503" t="s">
        <v>82</v>
      </c>
      <c r="L503">
        <v>40150</v>
      </c>
      <c r="M503" t="s">
        <v>83</v>
      </c>
      <c r="N503">
        <v>33800</v>
      </c>
      <c r="S503">
        <v>1</v>
      </c>
      <c r="U503">
        <v>0</v>
      </c>
      <c r="V503">
        <v>0</v>
      </c>
      <c r="W503">
        <v>33800</v>
      </c>
      <c r="X503">
        <v>40150</v>
      </c>
      <c r="Y503">
        <v>40150</v>
      </c>
    </row>
    <row r="504" spans="1:25" x14ac:dyDescent="0.25">
      <c r="A504" t="s">
        <v>854</v>
      </c>
      <c r="B504">
        <v>0</v>
      </c>
      <c r="C504" t="s">
        <v>855</v>
      </c>
      <c r="D504" t="s">
        <v>856</v>
      </c>
      <c r="E504" t="s">
        <v>179</v>
      </c>
      <c r="F504" t="s">
        <v>857</v>
      </c>
      <c r="G504" t="s">
        <v>84</v>
      </c>
      <c r="H504" t="s">
        <v>87</v>
      </c>
      <c r="I504" t="s">
        <v>854</v>
      </c>
      <c r="J504" t="s">
        <v>876</v>
      </c>
      <c r="K504" t="s">
        <v>82</v>
      </c>
      <c r="L504">
        <v>119010.26669999999</v>
      </c>
      <c r="M504" t="s">
        <v>83</v>
      </c>
      <c r="R504">
        <v>1</v>
      </c>
      <c r="U504">
        <v>0</v>
      </c>
      <c r="V504">
        <v>0</v>
      </c>
      <c r="W504">
        <v>112430.26669999999</v>
      </c>
    </row>
    <row r="505" spans="1:25" x14ac:dyDescent="0.25">
      <c r="A505" t="s">
        <v>854</v>
      </c>
      <c r="B505">
        <v>1</v>
      </c>
      <c r="C505" t="s">
        <v>855</v>
      </c>
      <c r="D505" t="s">
        <v>856</v>
      </c>
      <c r="E505" t="s">
        <v>179</v>
      </c>
      <c r="F505" t="s">
        <v>857</v>
      </c>
      <c r="G505" t="s">
        <v>163</v>
      </c>
      <c r="H505" t="s">
        <v>87</v>
      </c>
      <c r="I505" t="s">
        <v>854</v>
      </c>
      <c r="J505" t="s">
        <v>877</v>
      </c>
      <c r="K505" t="s">
        <v>82</v>
      </c>
      <c r="L505">
        <v>105850.26669999999</v>
      </c>
      <c r="M505" t="s">
        <v>83</v>
      </c>
      <c r="N505">
        <v>112430.26669999999</v>
      </c>
      <c r="T505">
        <v>1</v>
      </c>
      <c r="U505">
        <v>0</v>
      </c>
      <c r="V505">
        <v>0</v>
      </c>
      <c r="W505">
        <v>112430.26669999999</v>
      </c>
      <c r="X505">
        <v>105850.26669999999</v>
      </c>
      <c r="Y505">
        <v>105850.26669999999</v>
      </c>
    </row>
    <row r="506" spans="1:25" x14ac:dyDescent="0.25">
      <c r="A506" t="s">
        <v>854</v>
      </c>
      <c r="B506">
        <v>0</v>
      </c>
      <c r="C506" t="s">
        <v>855</v>
      </c>
      <c r="D506" t="s">
        <v>856</v>
      </c>
      <c r="E506" t="s">
        <v>179</v>
      </c>
      <c r="F506" t="s">
        <v>857</v>
      </c>
      <c r="G506" t="s">
        <v>84</v>
      </c>
      <c r="H506" t="s">
        <v>110</v>
      </c>
      <c r="I506" t="s">
        <v>854</v>
      </c>
      <c r="J506" t="s">
        <v>878</v>
      </c>
      <c r="K506" t="s">
        <v>82</v>
      </c>
      <c r="L506">
        <v>13986</v>
      </c>
      <c r="M506" t="s">
        <v>83</v>
      </c>
      <c r="U506">
        <v>0</v>
      </c>
      <c r="V506">
        <v>0</v>
      </c>
      <c r="W506">
        <v>12233</v>
      </c>
    </row>
    <row r="507" spans="1:25" x14ac:dyDescent="0.25">
      <c r="A507" t="s">
        <v>854</v>
      </c>
      <c r="B507">
        <v>1</v>
      </c>
      <c r="C507" t="s">
        <v>855</v>
      </c>
      <c r="D507" t="s">
        <v>856</v>
      </c>
      <c r="E507" t="s">
        <v>179</v>
      </c>
      <c r="F507" t="s">
        <v>857</v>
      </c>
      <c r="G507" t="s">
        <v>188</v>
      </c>
      <c r="H507" t="s">
        <v>110</v>
      </c>
      <c r="I507" t="s">
        <v>854</v>
      </c>
      <c r="J507" t="s">
        <v>879</v>
      </c>
      <c r="K507" t="s">
        <v>82</v>
      </c>
      <c r="L507">
        <v>11088</v>
      </c>
      <c r="M507" t="s">
        <v>83</v>
      </c>
      <c r="N507">
        <v>12233</v>
      </c>
      <c r="P507">
        <v>1</v>
      </c>
      <c r="T507">
        <v>1</v>
      </c>
      <c r="U507">
        <v>0</v>
      </c>
      <c r="V507">
        <v>0</v>
      </c>
      <c r="W507">
        <v>12233</v>
      </c>
      <c r="X507">
        <v>11088</v>
      </c>
      <c r="Y507">
        <v>11088</v>
      </c>
    </row>
    <row r="508" spans="1:25" x14ac:dyDescent="0.25">
      <c r="A508" t="s">
        <v>854</v>
      </c>
      <c r="B508">
        <v>0</v>
      </c>
      <c r="C508" t="s">
        <v>855</v>
      </c>
      <c r="D508" t="s">
        <v>856</v>
      </c>
      <c r="E508" t="s">
        <v>179</v>
      </c>
      <c r="F508" t="s">
        <v>857</v>
      </c>
      <c r="G508" t="s">
        <v>84</v>
      </c>
      <c r="H508" t="s">
        <v>110</v>
      </c>
      <c r="I508" t="s">
        <v>854</v>
      </c>
      <c r="J508" t="s">
        <v>880</v>
      </c>
      <c r="K508" t="s">
        <v>82</v>
      </c>
      <c r="L508">
        <v>11625</v>
      </c>
      <c r="M508" t="s">
        <v>83</v>
      </c>
      <c r="U508">
        <v>0</v>
      </c>
      <c r="V508">
        <v>0</v>
      </c>
      <c r="W508">
        <v>12233</v>
      </c>
    </row>
    <row r="509" spans="1:25" x14ac:dyDescent="0.25">
      <c r="A509" t="s">
        <v>854</v>
      </c>
      <c r="B509">
        <v>0</v>
      </c>
      <c r="C509" t="s">
        <v>855</v>
      </c>
      <c r="D509" t="s">
        <v>856</v>
      </c>
      <c r="E509" t="s">
        <v>179</v>
      </c>
      <c r="F509" t="s">
        <v>857</v>
      </c>
      <c r="G509" t="s">
        <v>84</v>
      </c>
      <c r="H509" t="s">
        <v>106</v>
      </c>
      <c r="I509" t="s">
        <v>854</v>
      </c>
      <c r="J509" t="s">
        <v>881</v>
      </c>
      <c r="K509" t="s">
        <v>82</v>
      </c>
      <c r="L509">
        <v>7010.9750000000004</v>
      </c>
      <c r="M509" t="s">
        <v>83</v>
      </c>
      <c r="U509">
        <v>0</v>
      </c>
      <c r="V509">
        <v>0</v>
      </c>
      <c r="W509">
        <v>7084.498333333333</v>
      </c>
    </row>
    <row r="510" spans="1:25" x14ac:dyDescent="0.25">
      <c r="A510" t="s">
        <v>854</v>
      </c>
      <c r="B510">
        <v>1</v>
      </c>
      <c r="C510" t="s">
        <v>855</v>
      </c>
      <c r="D510" t="s">
        <v>856</v>
      </c>
      <c r="E510" t="s">
        <v>179</v>
      </c>
      <c r="F510" t="s">
        <v>857</v>
      </c>
      <c r="G510" t="s">
        <v>188</v>
      </c>
      <c r="H510" t="s">
        <v>106</v>
      </c>
      <c r="I510" t="s">
        <v>854</v>
      </c>
      <c r="J510" t="s">
        <v>882</v>
      </c>
      <c r="K510" t="s">
        <v>82</v>
      </c>
      <c r="L510">
        <v>3552.7525000000001</v>
      </c>
      <c r="M510" t="s">
        <v>83</v>
      </c>
      <c r="N510">
        <v>7084.4983329999995</v>
      </c>
      <c r="P510">
        <v>1</v>
      </c>
      <c r="T510">
        <v>1</v>
      </c>
      <c r="U510">
        <v>0</v>
      </c>
      <c r="V510">
        <v>0</v>
      </c>
      <c r="W510">
        <v>7084.498333333333</v>
      </c>
      <c r="X510">
        <v>3552.7525000000001</v>
      </c>
      <c r="Y510">
        <v>3552.7525000000001</v>
      </c>
    </row>
    <row r="511" spans="1:25" x14ac:dyDescent="0.25">
      <c r="A511" t="s">
        <v>854</v>
      </c>
      <c r="B511">
        <v>0</v>
      </c>
      <c r="C511" t="s">
        <v>855</v>
      </c>
      <c r="D511" t="s">
        <v>856</v>
      </c>
      <c r="E511" t="s">
        <v>179</v>
      </c>
      <c r="F511" t="s">
        <v>857</v>
      </c>
      <c r="G511" t="s">
        <v>84</v>
      </c>
      <c r="H511" t="s">
        <v>106</v>
      </c>
      <c r="I511" t="s">
        <v>854</v>
      </c>
      <c r="J511" t="s">
        <v>883</v>
      </c>
      <c r="K511" t="s">
        <v>82</v>
      </c>
      <c r="L511">
        <v>10689.7675</v>
      </c>
      <c r="M511" t="s">
        <v>83</v>
      </c>
      <c r="U511">
        <v>0</v>
      </c>
      <c r="V511">
        <v>0</v>
      </c>
      <c r="W511">
        <v>7084.498333333333</v>
      </c>
    </row>
    <row r="512" spans="1:25" x14ac:dyDescent="0.25">
      <c r="A512" t="s">
        <v>854</v>
      </c>
      <c r="B512">
        <v>0</v>
      </c>
      <c r="C512" t="s">
        <v>855</v>
      </c>
      <c r="D512" t="s">
        <v>856</v>
      </c>
      <c r="E512" t="s">
        <v>179</v>
      </c>
      <c r="F512" t="s">
        <v>857</v>
      </c>
      <c r="G512" t="s">
        <v>84</v>
      </c>
      <c r="H512" t="s">
        <v>80</v>
      </c>
      <c r="I512" t="s">
        <v>854</v>
      </c>
      <c r="J512" t="s">
        <v>884</v>
      </c>
      <c r="K512" t="s">
        <v>82</v>
      </c>
      <c r="L512">
        <v>609308.48</v>
      </c>
      <c r="M512" t="s">
        <v>83</v>
      </c>
      <c r="U512">
        <v>0</v>
      </c>
      <c r="V512">
        <v>0</v>
      </c>
      <c r="W512">
        <v>706071.20166666666</v>
      </c>
    </row>
    <row r="513" spans="1:25" x14ac:dyDescent="0.25">
      <c r="A513" t="s">
        <v>854</v>
      </c>
      <c r="B513">
        <v>1</v>
      </c>
      <c r="C513" t="s">
        <v>855</v>
      </c>
      <c r="D513" t="s">
        <v>856</v>
      </c>
      <c r="E513" t="s">
        <v>179</v>
      </c>
      <c r="F513" t="s">
        <v>857</v>
      </c>
      <c r="G513" t="s">
        <v>188</v>
      </c>
      <c r="H513" t="s">
        <v>80</v>
      </c>
      <c r="I513" t="s">
        <v>854</v>
      </c>
      <c r="J513" t="s">
        <v>885</v>
      </c>
      <c r="K513" t="s">
        <v>82</v>
      </c>
      <c r="L513">
        <v>650063.18000000005</v>
      </c>
      <c r="M513" t="s">
        <v>83</v>
      </c>
      <c r="N513">
        <v>706071.20169999998</v>
      </c>
      <c r="P513">
        <v>1</v>
      </c>
      <c r="T513">
        <v>1</v>
      </c>
      <c r="U513">
        <v>0</v>
      </c>
      <c r="V513">
        <v>0</v>
      </c>
      <c r="W513">
        <v>706071.20166666666</v>
      </c>
      <c r="X513">
        <v>650063.18000000005</v>
      </c>
      <c r="Y513">
        <v>650063.18000000005</v>
      </c>
    </row>
    <row r="514" spans="1:25" x14ac:dyDescent="0.25">
      <c r="A514" t="s">
        <v>854</v>
      </c>
      <c r="B514">
        <v>0</v>
      </c>
      <c r="C514" t="s">
        <v>855</v>
      </c>
      <c r="D514" t="s">
        <v>856</v>
      </c>
      <c r="E514" t="s">
        <v>179</v>
      </c>
      <c r="F514" t="s">
        <v>857</v>
      </c>
      <c r="G514" t="s">
        <v>84</v>
      </c>
      <c r="H514" t="s">
        <v>80</v>
      </c>
      <c r="I514" t="s">
        <v>854</v>
      </c>
      <c r="J514" t="s">
        <v>886</v>
      </c>
      <c r="K514" t="s">
        <v>82</v>
      </c>
      <c r="L514">
        <v>858841.94499999995</v>
      </c>
      <c r="M514" t="s">
        <v>83</v>
      </c>
      <c r="U514">
        <v>0</v>
      </c>
      <c r="V514">
        <v>0</v>
      </c>
      <c r="W514">
        <v>706071.20166666666</v>
      </c>
    </row>
    <row r="515" spans="1:25" x14ac:dyDescent="0.25">
      <c r="A515" t="s">
        <v>887</v>
      </c>
      <c r="B515">
        <v>1</v>
      </c>
      <c r="C515" t="s">
        <v>855</v>
      </c>
      <c r="D515" t="s">
        <v>888</v>
      </c>
      <c r="E515" t="s">
        <v>179</v>
      </c>
      <c r="F515" t="s">
        <v>889</v>
      </c>
      <c r="G515" t="s">
        <v>182</v>
      </c>
      <c r="H515" t="s">
        <v>92</v>
      </c>
      <c r="I515" t="s">
        <v>890</v>
      </c>
      <c r="J515" t="s">
        <v>891</v>
      </c>
      <c r="K515" t="s">
        <v>82</v>
      </c>
      <c r="L515">
        <v>16840</v>
      </c>
      <c r="M515" t="s">
        <v>83</v>
      </c>
      <c r="N515">
        <v>39090</v>
      </c>
      <c r="P515">
        <v>1</v>
      </c>
      <c r="Q515">
        <v>1</v>
      </c>
      <c r="R515">
        <v>1</v>
      </c>
      <c r="T515">
        <v>1</v>
      </c>
      <c r="U515">
        <v>0</v>
      </c>
      <c r="V515">
        <v>0</v>
      </c>
      <c r="W515">
        <v>39090</v>
      </c>
      <c r="X515">
        <v>16840</v>
      </c>
      <c r="Y515">
        <v>16840</v>
      </c>
    </row>
    <row r="516" spans="1:25" x14ac:dyDescent="0.25">
      <c r="A516" t="s">
        <v>887</v>
      </c>
      <c r="B516">
        <v>0</v>
      </c>
      <c r="C516" t="s">
        <v>855</v>
      </c>
      <c r="D516" t="s">
        <v>888</v>
      </c>
      <c r="E516" t="s">
        <v>179</v>
      </c>
      <c r="F516" t="s">
        <v>889</v>
      </c>
      <c r="G516" t="s">
        <v>84</v>
      </c>
      <c r="H516" t="s">
        <v>92</v>
      </c>
      <c r="I516" t="s">
        <v>892</v>
      </c>
      <c r="J516" t="s">
        <v>893</v>
      </c>
      <c r="K516" t="s">
        <v>82</v>
      </c>
      <c r="L516">
        <v>61340</v>
      </c>
      <c r="M516" t="s">
        <v>83</v>
      </c>
      <c r="O516">
        <v>1</v>
      </c>
      <c r="R516">
        <v>1</v>
      </c>
      <c r="U516">
        <v>61340</v>
      </c>
      <c r="V516">
        <v>0</v>
      </c>
      <c r="W516">
        <v>39090</v>
      </c>
    </row>
    <row r="517" spans="1:25" x14ac:dyDescent="0.25">
      <c r="A517" t="s">
        <v>887</v>
      </c>
      <c r="B517">
        <v>0</v>
      </c>
      <c r="C517" t="s">
        <v>855</v>
      </c>
      <c r="D517" t="s">
        <v>888</v>
      </c>
      <c r="E517" t="s">
        <v>179</v>
      </c>
      <c r="F517" t="s">
        <v>889</v>
      </c>
      <c r="G517" t="s">
        <v>84</v>
      </c>
      <c r="H517" t="s">
        <v>80</v>
      </c>
      <c r="I517" t="s">
        <v>887</v>
      </c>
      <c r="J517" t="s">
        <v>894</v>
      </c>
      <c r="K517" t="s">
        <v>82</v>
      </c>
      <c r="L517">
        <v>845325.12</v>
      </c>
      <c r="M517" t="s">
        <v>83</v>
      </c>
      <c r="U517">
        <v>0</v>
      </c>
      <c r="V517">
        <v>0</v>
      </c>
      <c r="W517">
        <v>887785.07706666668</v>
      </c>
    </row>
    <row r="518" spans="1:25" x14ac:dyDescent="0.25">
      <c r="A518" t="s">
        <v>887</v>
      </c>
      <c r="B518">
        <v>1</v>
      </c>
      <c r="C518" t="s">
        <v>855</v>
      </c>
      <c r="D518" t="s">
        <v>888</v>
      </c>
      <c r="E518" t="s">
        <v>179</v>
      </c>
      <c r="F518" t="s">
        <v>889</v>
      </c>
      <c r="G518" t="s">
        <v>79</v>
      </c>
      <c r="H518" t="s">
        <v>80</v>
      </c>
      <c r="I518" t="s">
        <v>887</v>
      </c>
      <c r="J518" t="s">
        <v>895</v>
      </c>
      <c r="K518" t="s">
        <v>82</v>
      </c>
      <c r="L518">
        <v>924169.75</v>
      </c>
      <c r="M518" t="s">
        <v>83</v>
      </c>
      <c r="N518">
        <v>887785.07709999999</v>
      </c>
      <c r="U518">
        <v>0</v>
      </c>
      <c r="V518">
        <v>0</v>
      </c>
      <c r="W518">
        <v>887785.07706666668</v>
      </c>
      <c r="X518">
        <v>924169.75</v>
      </c>
      <c r="Y518">
        <v>924169.75</v>
      </c>
    </row>
    <row r="519" spans="1:25" x14ac:dyDescent="0.25">
      <c r="A519" t="s">
        <v>887</v>
      </c>
      <c r="B519">
        <v>0</v>
      </c>
      <c r="C519" t="s">
        <v>855</v>
      </c>
      <c r="D519" t="s">
        <v>888</v>
      </c>
      <c r="E519" t="s">
        <v>179</v>
      </c>
      <c r="F519" t="s">
        <v>889</v>
      </c>
      <c r="G519" t="s">
        <v>84</v>
      </c>
      <c r="H519" t="s">
        <v>80</v>
      </c>
      <c r="I519" t="s">
        <v>887</v>
      </c>
      <c r="J519" t="s">
        <v>896</v>
      </c>
      <c r="K519" t="s">
        <v>82</v>
      </c>
      <c r="L519">
        <v>893860.36120000004</v>
      </c>
      <c r="M519" t="s">
        <v>83</v>
      </c>
      <c r="U519">
        <v>0</v>
      </c>
      <c r="V519">
        <v>0</v>
      </c>
      <c r="W519">
        <v>887785.07706666668</v>
      </c>
    </row>
    <row r="520" spans="1:25" x14ac:dyDescent="0.25">
      <c r="A520" t="s">
        <v>887</v>
      </c>
      <c r="B520">
        <v>0</v>
      </c>
      <c r="C520" t="s">
        <v>855</v>
      </c>
      <c r="D520" t="s">
        <v>888</v>
      </c>
      <c r="E520" t="s">
        <v>179</v>
      </c>
      <c r="F520" t="s">
        <v>889</v>
      </c>
      <c r="G520" t="s">
        <v>84</v>
      </c>
      <c r="H520" t="s">
        <v>106</v>
      </c>
      <c r="I520" t="s">
        <v>887</v>
      </c>
      <c r="J520" t="s">
        <v>897</v>
      </c>
      <c r="K520" t="s">
        <v>82</v>
      </c>
      <c r="L520">
        <v>1339.175</v>
      </c>
      <c r="M520" t="s">
        <v>83</v>
      </c>
      <c r="U520">
        <v>0</v>
      </c>
      <c r="V520">
        <v>0</v>
      </c>
      <c r="W520">
        <v>7530.8900000000012</v>
      </c>
    </row>
    <row r="521" spans="1:25" x14ac:dyDescent="0.25">
      <c r="A521" t="s">
        <v>887</v>
      </c>
      <c r="B521">
        <v>1</v>
      </c>
      <c r="C521" t="s">
        <v>855</v>
      </c>
      <c r="D521" t="s">
        <v>888</v>
      </c>
      <c r="E521" t="s">
        <v>179</v>
      </c>
      <c r="F521" t="s">
        <v>889</v>
      </c>
      <c r="G521" t="s">
        <v>79</v>
      </c>
      <c r="H521" t="s">
        <v>106</v>
      </c>
      <c r="I521" t="s">
        <v>887</v>
      </c>
      <c r="J521" t="s">
        <v>898</v>
      </c>
      <c r="K521" t="s">
        <v>82</v>
      </c>
      <c r="L521">
        <v>9886.2625000000007</v>
      </c>
      <c r="M521" t="s">
        <v>83</v>
      </c>
      <c r="N521">
        <v>7530.89</v>
      </c>
      <c r="U521">
        <v>0</v>
      </c>
      <c r="V521">
        <v>0</v>
      </c>
      <c r="W521">
        <v>7530.8900000000012</v>
      </c>
      <c r="X521">
        <v>9886.2625000000007</v>
      </c>
      <c r="Y521">
        <v>9886.2625000000007</v>
      </c>
    </row>
    <row r="522" spans="1:25" x14ac:dyDescent="0.25">
      <c r="A522" t="s">
        <v>887</v>
      </c>
      <c r="B522">
        <v>0</v>
      </c>
      <c r="C522" t="s">
        <v>855</v>
      </c>
      <c r="D522" t="s">
        <v>888</v>
      </c>
      <c r="E522" t="s">
        <v>179</v>
      </c>
      <c r="F522" t="s">
        <v>889</v>
      </c>
      <c r="G522" t="s">
        <v>84</v>
      </c>
      <c r="H522" t="s">
        <v>106</v>
      </c>
      <c r="I522" t="s">
        <v>887</v>
      </c>
      <c r="J522" t="s">
        <v>899</v>
      </c>
      <c r="K522" t="s">
        <v>82</v>
      </c>
      <c r="L522">
        <v>11367.2325</v>
      </c>
      <c r="M522" t="s">
        <v>83</v>
      </c>
      <c r="U522">
        <v>0</v>
      </c>
      <c r="V522">
        <v>0</v>
      </c>
      <c r="W522">
        <v>7530.8900000000012</v>
      </c>
    </row>
    <row r="523" spans="1:25" x14ac:dyDescent="0.25">
      <c r="A523" t="s">
        <v>887</v>
      </c>
      <c r="B523">
        <v>0</v>
      </c>
      <c r="C523" t="s">
        <v>855</v>
      </c>
      <c r="D523" t="s">
        <v>888</v>
      </c>
      <c r="E523" t="s">
        <v>179</v>
      </c>
      <c r="F523" t="s">
        <v>889</v>
      </c>
      <c r="G523" t="s">
        <v>84</v>
      </c>
      <c r="H523" t="s">
        <v>110</v>
      </c>
      <c r="I523" t="s">
        <v>887</v>
      </c>
      <c r="J523" t="s">
        <v>900</v>
      </c>
      <c r="K523" t="s">
        <v>82</v>
      </c>
      <c r="L523">
        <v>20736</v>
      </c>
      <c r="M523" t="s">
        <v>83</v>
      </c>
      <c r="U523">
        <v>0</v>
      </c>
      <c r="V523">
        <v>0</v>
      </c>
      <c r="W523">
        <v>12357</v>
      </c>
    </row>
    <row r="524" spans="1:25" x14ac:dyDescent="0.25">
      <c r="A524" t="s">
        <v>887</v>
      </c>
      <c r="B524">
        <v>1</v>
      </c>
      <c r="C524" t="s">
        <v>855</v>
      </c>
      <c r="D524" t="s">
        <v>888</v>
      </c>
      <c r="E524" t="s">
        <v>179</v>
      </c>
      <c r="F524" t="s">
        <v>889</v>
      </c>
      <c r="G524" t="s">
        <v>79</v>
      </c>
      <c r="H524" t="s">
        <v>110</v>
      </c>
      <c r="I524" t="s">
        <v>887</v>
      </c>
      <c r="J524" t="s">
        <v>901</v>
      </c>
      <c r="K524" t="s">
        <v>82</v>
      </c>
      <c r="L524">
        <v>7434</v>
      </c>
      <c r="M524" t="s">
        <v>83</v>
      </c>
      <c r="N524">
        <v>12357</v>
      </c>
      <c r="U524">
        <v>0</v>
      </c>
      <c r="V524">
        <v>0</v>
      </c>
      <c r="W524">
        <v>12357</v>
      </c>
      <c r="X524">
        <v>7434</v>
      </c>
      <c r="Y524">
        <v>7434</v>
      </c>
    </row>
    <row r="525" spans="1:25" x14ac:dyDescent="0.25">
      <c r="A525" t="s">
        <v>887</v>
      </c>
      <c r="B525">
        <v>0</v>
      </c>
      <c r="C525" t="s">
        <v>855</v>
      </c>
      <c r="D525" t="s">
        <v>888</v>
      </c>
      <c r="E525" t="s">
        <v>179</v>
      </c>
      <c r="F525" t="s">
        <v>889</v>
      </c>
      <c r="G525" t="s">
        <v>84</v>
      </c>
      <c r="H525" t="s">
        <v>110</v>
      </c>
      <c r="I525" t="s">
        <v>887</v>
      </c>
      <c r="J525" t="s">
        <v>902</v>
      </c>
      <c r="K525" t="s">
        <v>82</v>
      </c>
      <c r="L525">
        <v>8901</v>
      </c>
      <c r="M525" t="s">
        <v>83</v>
      </c>
      <c r="U525">
        <v>0</v>
      </c>
      <c r="V525">
        <v>0</v>
      </c>
      <c r="W525">
        <v>12357</v>
      </c>
    </row>
    <row r="526" spans="1:25" x14ac:dyDescent="0.25">
      <c r="A526" t="s">
        <v>887</v>
      </c>
      <c r="B526">
        <v>0</v>
      </c>
      <c r="C526" t="s">
        <v>855</v>
      </c>
      <c r="D526" t="s">
        <v>888</v>
      </c>
      <c r="E526" t="s">
        <v>179</v>
      </c>
      <c r="F526" t="s">
        <v>889</v>
      </c>
      <c r="G526" t="s">
        <v>84</v>
      </c>
      <c r="H526" t="s">
        <v>87</v>
      </c>
      <c r="I526" t="s">
        <v>903</v>
      </c>
      <c r="J526" t="s">
        <v>904</v>
      </c>
      <c r="K526" t="s">
        <v>82</v>
      </c>
      <c r="L526">
        <v>113916.25</v>
      </c>
      <c r="M526" t="s">
        <v>83</v>
      </c>
      <c r="U526">
        <v>0</v>
      </c>
      <c r="V526">
        <v>0</v>
      </c>
      <c r="W526">
        <v>114682.08887666666</v>
      </c>
    </row>
    <row r="527" spans="1:25" x14ac:dyDescent="0.25">
      <c r="A527" t="s">
        <v>887</v>
      </c>
      <c r="B527">
        <v>0</v>
      </c>
      <c r="C527" t="s">
        <v>855</v>
      </c>
      <c r="D527" t="s">
        <v>888</v>
      </c>
      <c r="E527" t="s">
        <v>179</v>
      </c>
      <c r="F527" t="s">
        <v>889</v>
      </c>
      <c r="G527" t="s">
        <v>84</v>
      </c>
      <c r="H527" t="s">
        <v>87</v>
      </c>
      <c r="I527" t="s">
        <v>887</v>
      </c>
      <c r="J527" t="s">
        <v>905</v>
      </c>
      <c r="K527" t="s">
        <v>82</v>
      </c>
      <c r="L527">
        <v>42051.68333</v>
      </c>
      <c r="M527" t="s">
        <v>83</v>
      </c>
      <c r="U527">
        <v>0</v>
      </c>
      <c r="V527">
        <v>0</v>
      </c>
      <c r="W527">
        <v>114682.08887666666</v>
      </c>
    </row>
    <row r="528" spans="1:25" x14ac:dyDescent="0.25">
      <c r="A528" t="s">
        <v>887</v>
      </c>
      <c r="B528">
        <v>1</v>
      </c>
      <c r="C528" t="s">
        <v>855</v>
      </c>
      <c r="D528" t="s">
        <v>888</v>
      </c>
      <c r="E528" t="s">
        <v>179</v>
      </c>
      <c r="F528" t="s">
        <v>889</v>
      </c>
      <c r="G528" t="s">
        <v>316</v>
      </c>
      <c r="H528" t="s">
        <v>87</v>
      </c>
      <c r="I528" t="s">
        <v>887</v>
      </c>
      <c r="J528" t="s">
        <v>906</v>
      </c>
      <c r="K528" t="s">
        <v>82</v>
      </c>
      <c r="L528">
        <v>188078.3333</v>
      </c>
      <c r="M528" t="s">
        <v>83</v>
      </c>
      <c r="N528">
        <v>114682.0889</v>
      </c>
      <c r="R528">
        <v>1</v>
      </c>
      <c r="U528">
        <v>0</v>
      </c>
      <c r="V528">
        <v>0</v>
      </c>
      <c r="W528">
        <v>114682.08887666666</v>
      </c>
      <c r="X528">
        <v>188078.3333</v>
      </c>
      <c r="Y528">
        <v>188078.3333</v>
      </c>
    </row>
    <row r="529" spans="1:25" x14ac:dyDescent="0.25">
      <c r="A529" t="s">
        <v>887</v>
      </c>
      <c r="B529">
        <v>0</v>
      </c>
      <c r="C529" t="s">
        <v>855</v>
      </c>
      <c r="D529" t="s">
        <v>888</v>
      </c>
      <c r="E529" t="s">
        <v>179</v>
      </c>
      <c r="F529" t="s">
        <v>889</v>
      </c>
      <c r="G529" t="s">
        <v>84</v>
      </c>
      <c r="H529" t="s">
        <v>98</v>
      </c>
      <c r="I529" t="s">
        <v>907</v>
      </c>
      <c r="J529" t="s">
        <v>908</v>
      </c>
      <c r="K529" t="s">
        <v>82</v>
      </c>
      <c r="L529">
        <v>50400</v>
      </c>
      <c r="M529" t="s">
        <v>83</v>
      </c>
      <c r="U529">
        <v>0</v>
      </c>
      <c r="V529">
        <v>0</v>
      </c>
      <c r="W529">
        <v>35100</v>
      </c>
    </row>
    <row r="530" spans="1:25" x14ac:dyDescent="0.25">
      <c r="A530" t="s">
        <v>887</v>
      </c>
      <c r="B530">
        <v>1</v>
      </c>
      <c r="C530" t="s">
        <v>855</v>
      </c>
      <c r="D530" t="s">
        <v>888</v>
      </c>
      <c r="E530" t="s">
        <v>179</v>
      </c>
      <c r="F530" t="s">
        <v>889</v>
      </c>
      <c r="G530" t="s">
        <v>909</v>
      </c>
      <c r="H530" t="s">
        <v>98</v>
      </c>
      <c r="I530" t="s">
        <v>910</v>
      </c>
      <c r="J530" t="s">
        <v>911</v>
      </c>
      <c r="K530" t="s">
        <v>82</v>
      </c>
      <c r="L530">
        <v>19800</v>
      </c>
      <c r="M530" t="s">
        <v>83</v>
      </c>
      <c r="N530">
        <v>35100</v>
      </c>
      <c r="U530">
        <v>0</v>
      </c>
      <c r="V530">
        <v>0</v>
      </c>
      <c r="W530">
        <v>35100</v>
      </c>
      <c r="X530">
        <v>19800</v>
      </c>
      <c r="Y530">
        <v>19800</v>
      </c>
    </row>
    <row r="531" spans="1:25" x14ac:dyDescent="0.25">
      <c r="A531" t="s">
        <v>912</v>
      </c>
      <c r="B531">
        <v>1</v>
      </c>
      <c r="C531" t="s">
        <v>855</v>
      </c>
      <c r="D531" t="s">
        <v>913</v>
      </c>
      <c r="E531" t="s">
        <v>179</v>
      </c>
      <c r="F531" t="s">
        <v>914</v>
      </c>
      <c r="G531" t="s">
        <v>221</v>
      </c>
      <c r="H531" t="s">
        <v>92</v>
      </c>
      <c r="I531" t="s">
        <v>915</v>
      </c>
      <c r="J531" t="s">
        <v>221</v>
      </c>
      <c r="K531" t="s">
        <v>82</v>
      </c>
      <c r="L531">
        <v>26860</v>
      </c>
      <c r="M531" t="s">
        <v>83</v>
      </c>
      <c r="N531">
        <v>29703.333330000001</v>
      </c>
      <c r="U531">
        <v>0</v>
      </c>
      <c r="V531">
        <v>0</v>
      </c>
      <c r="W531">
        <v>29703.333333333332</v>
      </c>
      <c r="X531">
        <v>26860</v>
      </c>
      <c r="Y531">
        <v>26860</v>
      </c>
    </row>
    <row r="532" spans="1:25" x14ac:dyDescent="0.25">
      <c r="A532" t="s">
        <v>912</v>
      </c>
      <c r="B532">
        <v>0</v>
      </c>
      <c r="C532" t="s">
        <v>855</v>
      </c>
      <c r="D532" t="s">
        <v>913</v>
      </c>
      <c r="E532" t="s">
        <v>179</v>
      </c>
      <c r="F532" t="s">
        <v>914</v>
      </c>
      <c r="G532" t="s">
        <v>84</v>
      </c>
      <c r="H532" t="s">
        <v>92</v>
      </c>
      <c r="I532" t="s">
        <v>181</v>
      </c>
      <c r="J532" t="s">
        <v>181</v>
      </c>
      <c r="K532" t="s">
        <v>82</v>
      </c>
      <c r="L532">
        <v>35140</v>
      </c>
      <c r="M532" t="s">
        <v>83</v>
      </c>
      <c r="U532">
        <v>0</v>
      </c>
      <c r="V532">
        <v>0</v>
      </c>
      <c r="W532">
        <v>29703.333333333332</v>
      </c>
    </row>
    <row r="533" spans="1:25" x14ac:dyDescent="0.25">
      <c r="A533" t="s">
        <v>912</v>
      </c>
      <c r="B533">
        <v>0</v>
      </c>
      <c r="C533" t="s">
        <v>855</v>
      </c>
      <c r="D533" t="s">
        <v>913</v>
      </c>
      <c r="E533" t="s">
        <v>179</v>
      </c>
      <c r="F533" t="s">
        <v>914</v>
      </c>
      <c r="G533" t="s">
        <v>84</v>
      </c>
      <c r="H533" t="s">
        <v>92</v>
      </c>
      <c r="I533" t="s">
        <v>916</v>
      </c>
      <c r="J533" t="s">
        <v>140</v>
      </c>
      <c r="K533" t="s">
        <v>82</v>
      </c>
      <c r="L533">
        <v>27110</v>
      </c>
      <c r="M533" t="s">
        <v>83</v>
      </c>
      <c r="S533">
        <v>1</v>
      </c>
      <c r="T533">
        <v>1</v>
      </c>
      <c r="U533">
        <v>0</v>
      </c>
      <c r="V533">
        <v>0</v>
      </c>
      <c r="W533">
        <v>29703.333333333332</v>
      </c>
    </row>
    <row r="534" spans="1:25" x14ac:dyDescent="0.25">
      <c r="A534" t="s">
        <v>912</v>
      </c>
      <c r="B534">
        <v>0</v>
      </c>
      <c r="C534" t="s">
        <v>855</v>
      </c>
      <c r="D534" t="s">
        <v>913</v>
      </c>
      <c r="E534" t="s">
        <v>179</v>
      </c>
      <c r="F534" t="s">
        <v>914</v>
      </c>
      <c r="G534" t="s">
        <v>84</v>
      </c>
      <c r="H534" t="s">
        <v>80</v>
      </c>
      <c r="I534" t="s">
        <v>912</v>
      </c>
      <c r="J534" t="s">
        <v>917</v>
      </c>
      <c r="K534" t="s">
        <v>82</v>
      </c>
      <c r="L534">
        <v>747478.50249999994</v>
      </c>
      <c r="M534" t="s">
        <v>83</v>
      </c>
      <c r="T534">
        <v>1</v>
      </c>
      <c r="U534">
        <v>0</v>
      </c>
      <c r="V534">
        <v>0</v>
      </c>
      <c r="W534">
        <v>874857.81183333334</v>
      </c>
    </row>
    <row r="535" spans="1:25" x14ac:dyDescent="0.25">
      <c r="A535" t="s">
        <v>912</v>
      </c>
      <c r="B535">
        <v>1</v>
      </c>
      <c r="C535" t="s">
        <v>855</v>
      </c>
      <c r="D535" t="s">
        <v>913</v>
      </c>
      <c r="E535" t="s">
        <v>179</v>
      </c>
      <c r="F535" t="s">
        <v>914</v>
      </c>
      <c r="G535" t="s">
        <v>167</v>
      </c>
      <c r="H535" t="s">
        <v>80</v>
      </c>
      <c r="I535" t="s">
        <v>912</v>
      </c>
      <c r="J535" t="s">
        <v>918</v>
      </c>
      <c r="K535" t="s">
        <v>82</v>
      </c>
      <c r="L535">
        <v>1004959.898</v>
      </c>
      <c r="M535" t="s">
        <v>83</v>
      </c>
      <c r="N535">
        <v>874857.81169999996</v>
      </c>
      <c r="U535">
        <v>0</v>
      </c>
      <c r="V535">
        <v>0</v>
      </c>
      <c r="W535">
        <v>874857.81183333334</v>
      </c>
      <c r="X535">
        <v>1004959.898</v>
      </c>
      <c r="Y535">
        <v>1004959.898</v>
      </c>
    </row>
    <row r="536" spans="1:25" x14ac:dyDescent="0.25">
      <c r="A536" t="s">
        <v>912</v>
      </c>
      <c r="B536">
        <v>0</v>
      </c>
      <c r="C536" t="s">
        <v>855</v>
      </c>
      <c r="D536" t="s">
        <v>913</v>
      </c>
      <c r="E536" t="s">
        <v>179</v>
      </c>
      <c r="F536" t="s">
        <v>914</v>
      </c>
      <c r="G536" t="s">
        <v>84</v>
      </c>
      <c r="H536" t="s">
        <v>80</v>
      </c>
      <c r="I536" t="s">
        <v>912</v>
      </c>
      <c r="J536" t="s">
        <v>919</v>
      </c>
      <c r="K536" t="s">
        <v>82</v>
      </c>
      <c r="L536">
        <v>872135.03500000003</v>
      </c>
      <c r="M536" t="s">
        <v>83</v>
      </c>
      <c r="U536">
        <v>0</v>
      </c>
      <c r="V536">
        <v>0</v>
      </c>
      <c r="W536">
        <v>874857.81183333334</v>
      </c>
    </row>
    <row r="537" spans="1:25" x14ac:dyDescent="0.25">
      <c r="A537" t="s">
        <v>912</v>
      </c>
      <c r="B537">
        <v>0</v>
      </c>
      <c r="C537" t="s">
        <v>855</v>
      </c>
      <c r="D537" t="s">
        <v>913</v>
      </c>
      <c r="E537" t="s">
        <v>179</v>
      </c>
      <c r="F537" t="s">
        <v>914</v>
      </c>
      <c r="G537" t="s">
        <v>84</v>
      </c>
      <c r="H537" t="s">
        <v>106</v>
      </c>
      <c r="I537" t="s">
        <v>912</v>
      </c>
      <c r="J537" t="s">
        <v>920</v>
      </c>
      <c r="K537" t="s">
        <v>82</v>
      </c>
      <c r="L537">
        <v>7089.75</v>
      </c>
      <c r="M537" t="s">
        <v>83</v>
      </c>
      <c r="T537">
        <v>1</v>
      </c>
      <c r="U537">
        <v>0</v>
      </c>
      <c r="V537">
        <v>0</v>
      </c>
      <c r="W537">
        <v>9665.6924999999992</v>
      </c>
    </row>
    <row r="538" spans="1:25" x14ac:dyDescent="0.25">
      <c r="A538" t="s">
        <v>912</v>
      </c>
      <c r="B538">
        <v>1</v>
      </c>
      <c r="C538" t="s">
        <v>855</v>
      </c>
      <c r="D538" t="s">
        <v>913</v>
      </c>
      <c r="E538" t="s">
        <v>179</v>
      </c>
      <c r="F538" t="s">
        <v>914</v>
      </c>
      <c r="G538" t="s">
        <v>167</v>
      </c>
      <c r="H538" t="s">
        <v>106</v>
      </c>
      <c r="I538" t="s">
        <v>912</v>
      </c>
      <c r="J538" t="s">
        <v>921</v>
      </c>
      <c r="K538" t="s">
        <v>82</v>
      </c>
      <c r="L538">
        <v>11453.885</v>
      </c>
      <c r="M538" t="s">
        <v>83</v>
      </c>
      <c r="N538">
        <v>9665.6924999999992</v>
      </c>
      <c r="U538">
        <v>0</v>
      </c>
      <c r="V538">
        <v>0</v>
      </c>
      <c r="W538">
        <v>9665.6924999999992</v>
      </c>
      <c r="X538">
        <v>11453.885</v>
      </c>
      <c r="Y538">
        <v>11453.885</v>
      </c>
    </row>
    <row r="539" spans="1:25" x14ac:dyDescent="0.25">
      <c r="A539" t="s">
        <v>912</v>
      </c>
      <c r="B539">
        <v>0</v>
      </c>
      <c r="C539" t="s">
        <v>855</v>
      </c>
      <c r="D539" t="s">
        <v>913</v>
      </c>
      <c r="E539" t="s">
        <v>179</v>
      </c>
      <c r="F539" t="s">
        <v>914</v>
      </c>
      <c r="G539" t="s">
        <v>84</v>
      </c>
      <c r="H539" t="s">
        <v>106</v>
      </c>
      <c r="I539" t="s">
        <v>912</v>
      </c>
      <c r="J539" t="s">
        <v>922</v>
      </c>
      <c r="K539" t="s">
        <v>82</v>
      </c>
      <c r="L539">
        <v>10453.442499999999</v>
      </c>
      <c r="M539" t="s">
        <v>83</v>
      </c>
      <c r="U539">
        <v>0</v>
      </c>
      <c r="V539">
        <v>0</v>
      </c>
      <c r="W539">
        <v>9665.6924999999992</v>
      </c>
    </row>
    <row r="540" spans="1:25" x14ac:dyDescent="0.25">
      <c r="A540" t="s">
        <v>912</v>
      </c>
      <c r="B540">
        <v>0</v>
      </c>
      <c r="C540" t="s">
        <v>855</v>
      </c>
      <c r="D540" t="s">
        <v>913</v>
      </c>
      <c r="E540" t="s">
        <v>179</v>
      </c>
      <c r="F540" t="s">
        <v>914</v>
      </c>
      <c r="G540" t="s">
        <v>84</v>
      </c>
      <c r="H540" t="s">
        <v>110</v>
      </c>
      <c r="I540" t="s">
        <v>912</v>
      </c>
      <c r="J540" t="s">
        <v>923</v>
      </c>
      <c r="K540" t="s">
        <v>82</v>
      </c>
      <c r="L540">
        <v>16256</v>
      </c>
      <c r="M540" t="s">
        <v>83</v>
      </c>
      <c r="T540">
        <v>1</v>
      </c>
      <c r="U540">
        <v>0</v>
      </c>
      <c r="V540">
        <v>0</v>
      </c>
      <c r="W540">
        <v>13940.666666666666</v>
      </c>
    </row>
    <row r="541" spans="1:25" x14ac:dyDescent="0.25">
      <c r="A541" t="s">
        <v>912</v>
      </c>
      <c r="B541">
        <v>1</v>
      </c>
      <c r="C541" t="s">
        <v>855</v>
      </c>
      <c r="D541" t="s">
        <v>913</v>
      </c>
      <c r="E541" t="s">
        <v>179</v>
      </c>
      <c r="F541" t="s">
        <v>914</v>
      </c>
      <c r="G541" t="s">
        <v>167</v>
      </c>
      <c r="H541" t="s">
        <v>110</v>
      </c>
      <c r="I541" t="s">
        <v>912</v>
      </c>
      <c r="J541" t="s">
        <v>924</v>
      </c>
      <c r="K541" t="s">
        <v>82</v>
      </c>
      <c r="L541">
        <v>9828</v>
      </c>
      <c r="M541" t="s">
        <v>83</v>
      </c>
      <c r="N541">
        <v>13940.666670000001</v>
      </c>
      <c r="U541">
        <v>0</v>
      </c>
      <c r="V541">
        <v>0</v>
      </c>
      <c r="W541">
        <v>13940.666666666666</v>
      </c>
      <c r="X541">
        <v>9828</v>
      </c>
      <c r="Y541">
        <v>9828</v>
      </c>
    </row>
    <row r="542" spans="1:25" x14ac:dyDescent="0.25">
      <c r="A542" t="s">
        <v>912</v>
      </c>
      <c r="B542">
        <v>0</v>
      </c>
      <c r="C542" t="s">
        <v>855</v>
      </c>
      <c r="D542" t="s">
        <v>913</v>
      </c>
      <c r="E542" t="s">
        <v>179</v>
      </c>
      <c r="F542" t="s">
        <v>914</v>
      </c>
      <c r="G542" t="s">
        <v>84</v>
      </c>
      <c r="H542" t="s">
        <v>110</v>
      </c>
      <c r="I542" t="s">
        <v>912</v>
      </c>
      <c r="J542" t="s">
        <v>925</v>
      </c>
      <c r="K542" t="s">
        <v>82</v>
      </c>
      <c r="L542">
        <v>15738</v>
      </c>
      <c r="M542" t="s">
        <v>83</v>
      </c>
      <c r="U542">
        <v>0</v>
      </c>
      <c r="V542">
        <v>0</v>
      </c>
      <c r="W542">
        <v>13940.666666666666</v>
      </c>
    </row>
    <row r="543" spans="1:25" x14ac:dyDescent="0.25">
      <c r="A543" t="s">
        <v>912</v>
      </c>
      <c r="B543">
        <v>1</v>
      </c>
      <c r="C543" t="s">
        <v>855</v>
      </c>
      <c r="D543" t="s">
        <v>913</v>
      </c>
      <c r="E543" t="s">
        <v>179</v>
      </c>
      <c r="F543" t="s">
        <v>914</v>
      </c>
      <c r="G543" t="s">
        <v>243</v>
      </c>
      <c r="H543" t="s">
        <v>87</v>
      </c>
      <c r="I543" t="s">
        <v>912</v>
      </c>
      <c r="J543" t="s">
        <v>926</v>
      </c>
      <c r="K543" t="s">
        <v>82</v>
      </c>
      <c r="L543">
        <v>126939.1667</v>
      </c>
      <c r="M543" t="s">
        <v>83</v>
      </c>
      <c r="N543">
        <v>115215.8</v>
      </c>
      <c r="U543">
        <v>0</v>
      </c>
      <c r="V543">
        <v>0</v>
      </c>
      <c r="W543">
        <v>115215.80002333333</v>
      </c>
      <c r="X543">
        <v>126939.1667</v>
      </c>
      <c r="Y543">
        <v>126939.1667</v>
      </c>
    </row>
    <row r="544" spans="1:25" x14ac:dyDescent="0.25">
      <c r="A544" t="s">
        <v>912</v>
      </c>
      <c r="B544">
        <v>0</v>
      </c>
      <c r="C544" t="s">
        <v>855</v>
      </c>
      <c r="D544" t="s">
        <v>913</v>
      </c>
      <c r="E544" t="s">
        <v>179</v>
      </c>
      <c r="F544" t="s">
        <v>914</v>
      </c>
      <c r="G544" t="s">
        <v>84</v>
      </c>
      <c r="H544" t="s">
        <v>87</v>
      </c>
      <c r="I544" t="s">
        <v>912</v>
      </c>
      <c r="J544" t="s">
        <v>927</v>
      </c>
      <c r="K544" t="s">
        <v>82</v>
      </c>
      <c r="L544">
        <v>98974.166670000006</v>
      </c>
      <c r="M544" t="s">
        <v>83</v>
      </c>
      <c r="U544">
        <v>0</v>
      </c>
      <c r="V544">
        <v>0</v>
      </c>
      <c r="W544">
        <v>115215.80002333333</v>
      </c>
    </row>
    <row r="545" spans="1:25" x14ac:dyDescent="0.25">
      <c r="A545" t="s">
        <v>912</v>
      </c>
      <c r="B545">
        <v>0</v>
      </c>
      <c r="C545" t="s">
        <v>855</v>
      </c>
      <c r="D545" t="s">
        <v>913</v>
      </c>
      <c r="E545" t="s">
        <v>179</v>
      </c>
      <c r="F545" t="s">
        <v>914</v>
      </c>
      <c r="G545" t="s">
        <v>84</v>
      </c>
      <c r="H545" t="s">
        <v>87</v>
      </c>
      <c r="I545" t="s">
        <v>912</v>
      </c>
      <c r="J545" t="s">
        <v>928</v>
      </c>
      <c r="K545" t="s">
        <v>82</v>
      </c>
      <c r="L545">
        <v>119734.0667</v>
      </c>
      <c r="M545" t="s">
        <v>83</v>
      </c>
      <c r="U545">
        <v>0</v>
      </c>
      <c r="V545">
        <v>0</v>
      </c>
      <c r="W545">
        <v>115215.80002333333</v>
      </c>
    </row>
    <row r="546" spans="1:25" x14ac:dyDescent="0.25">
      <c r="A546" t="s">
        <v>912</v>
      </c>
      <c r="B546">
        <v>1</v>
      </c>
      <c r="C546" t="s">
        <v>855</v>
      </c>
      <c r="D546" t="s">
        <v>913</v>
      </c>
      <c r="E546" t="s">
        <v>179</v>
      </c>
      <c r="F546" t="s">
        <v>914</v>
      </c>
      <c r="G546" t="s">
        <v>693</v>
      </c>
      <c r="H546" t="s">
        <v>98</v>
      </c>
      <c r="I546" t="s">
        <v>929</v>
      </c>
      <c r="J546" t="s">
        <v>930</v>
      </c>
      <c r="K546" t="s">
        <v>82</v>
      </c>
      <c r="L546">
        <v>61200</v>
      </c>
      <c r="M546" t="s">
        <v>83</v>
      </c>
      <c r="N546">
        <v>55050</v>
      </c>
      <c r="S546">
        <v>1</v>
      </c>
      <c r="U546">
        <v>0</v>
      </c>
      <c r="V546">
        <v>0</v>
      </c>
      <c r="W546">
        <v>55050</v>
      </c>
      <c r="X546">
        <v>61200</v>
      </c>
      <c r="Y546">
        <v>61200</v>
      </c>
    </row>
    <row r="547" spans="1:25" x14ac:dyDescent="0.25">
      <c r="A547" t="s">
        <v>912</v>
      </c>
      <c r="B547">
        <v>0</v>
      </c>
      <c r="C547" t="s">
        <v>855</v>
      </c>
      <c r="D547" t="s">
        <v>913</v>
      </c>
      <c r="E547" t="s">
        <v>179</v>
      </c>
      <c r="F547" t="s">
        <v>914</v>
      </c>
      <c r="G547" t="s">
        <v>84</v>
      </c>
      <c r="H547" t="s">
        <v>98</v>
      </c>
      <c r="I547" t="s">
        <v>931</v>
      </c>
      <c r="J547" t="s">
        <v>932</v>
      </c>
      <c r="K547" t="s">
        <v>82</v>
      </c>
      <c r="L547">
        <v>48900</v>
      </c>
      <c r="M547" t="s">
        <v>83</v>
      </c>
      <c r="S547">
        <v>1</v>
      </c>
      <c r="U547">
        <v>0</v>
      </c>
      <c r="V547">
        <v>0</v>
      </c>
      <c r="W547">
        <v>55050</v>
      </c>
    </row>
    <row r="548" spans="1:25" x14ac:dyDescent="0.25">
      <c r="A548" t="s">
        <v>912</v>
      </c>
      <c r="B548">
        <v>0</v>
      </c>
      <c r="C548" t="s">
        <v>855</v>
      </c>
      <c r="D548" t="s">
        <v>913</v>
      </c>
      <c r="E548" t="s">
        <v>179</v>
      </c>
      <c r="F548" t="s">
        <v>914</v>
      </c>
      <c r="G548" t="s">
        <v>84</v>
      </c>
      <c r="H548" t="s">
        <v>121</v>
      </c>
      <c r="I548" t="s">
        <v>912</v>
      </c>
      <c r="J548" t="s">
        <v>933</v>
      </c>
      <c r="K548" t="s">
        <v>82</v>
      </c>
      <c r="L548">
        <v>105544.1578</v>
      </c>
      <c r="M548" t="s">
        <v>83</v>
      </c>
      <c r="T548">
        <v>1</v>
      </c>
      <c r="U548">
        <v>0</v>
      </c>
      <c r="V548">
        <v>0</v>
      </c>
      <c r="W548">
        <v>128176.29536666667</v>
      </c>
    </row>
    <row r="549" spans="1:25" x14ac:dyDescent="0.25">
      <c r="A549" t="s">
        <v>912</v>
      </c>
      <c r="B549">
        <v>1</v>
      </c>
      <c r="C549" t="s">
        <v>855</v>
      </c>
      <c r="D549" t="s">
        <v>913</v>
      </c>
      <c r="E549" t="s">
        <v>179</v>
      </c>
      <c r="F549" t="s">
        <v>914</v>
      </c>
      <c r="G549" t="s">
        <v>436</v>
      </c>
      <c r="H549" t="s">
        <v>121</v>
      </c>
      <c r="I549" t="s">
        <v>934</v>
      </c>
      <c r="J549" t="s">
        <v>935</v>
      </c>
      <c r="K549" t="s">
        <v>82</v>
      </c>
      <c r="L549">
        <v>133961.44750000001</v>
      </c>
      <c r="M549" t="s">
        <v>83</v>
      </c>
      <c r="N549">
        <v>128176.2954</v>
      </c>
      <c r="P549">
        <v>1</v>
      </c>
      <c r="U549">
        <v>0</v>
      </c>
      <c r="V549">
        <v>0</v>
      </c>
      <c r="W549">
        <v>128176.29536666667</v>
      </c>
      <c r="X549">
        <v>133961.44750000001</v>
      </c>
      <c r="Y549">
        <v>133961.44750000001</v>
      </c>
    </row>
    <row r="550" spans="1:25" x14ac:dyDescent="0.25">
      <c r="A550" t="s">
        <v>912</v>
      </c>
      <c r="B550">
        <v>0</v>
      </c>
      <c r="C550" t="s">
        <v>855</v>
      </c>
      <c r="D550" t="s">
        <v>913</v>
      </c>
      <c r="E550" t="s">
        <v>179</v>
      </c>
      <c r="F550" t="s">
        <v>914</v>
      </c>
      <c r="G550" t="s">
        <v>84</v>
      </c>
      <c r="H550" t="s">
        <v>121</v>
      </c>
      <c r="I550" t="s">
        <v>936</v>
      </c>
      <c r="J550" t="s">
        <v>937</v>
      </c>
      <c r="K550" t="s">
        <v>82</v>
      </c>
      <c r="L550">
        <v>145023.28080000001</v>
      </c>
      <c r="M550" t="s">
        <v>83</v>
      </c>
      <c r="O550">
        <v>1</v>
      </c>
      <c r="U550">
        <v>145023.28080000001</v>
      </c>
      <c r="V550">
        <v>0</v>
      </c>
      <c r="W550">
        <v>128176.29536666667</v>
      </c>
    </row>
    <row r="551" spans="1:25" x14ac:dyDescent="0.25">
      <c r="A551" t="s">
        <v>912</v>
      </c>
      <c r="B551">
        <v>0</v>
      </c>
      <c r="C551" t="s">
        <v>855</v>
      </c>
      <c r="D551" t="s">
        <v>913</v>
      </c>
      <c r="E551" t="s">
        <v>179</v>
      </c>
      <c r="F551" t="s">
        <v>914</v>
      </c>
      <c r="G551" t="s">
        <v>84</v>
      </c>
      <c r="H551" t="s">
        <v>114</v>
      </c>
      <c r="I551" t="s">
        <v>912</v>
      </c>
      <c r="J551" t="s">
        <v>938</v>
      </c>
      <c r="K551" t="s">
        <v>82</v>
      </c>
      <c r="L551">
        <v>23500</v>
      </c>
      <c r="M551" t="s">
        <v>83</v>
      </c>
      <c r="T551">
        <v>1</v>
      </c>
      <c r="U551">
        <v>0</v>
      </c>
      <c r="V551">
        <v>0</v>
      </c>
      <c r="W551">
        <v>30533.333333333332</v>
      </c>
    </row>
    <row r="552" spans="1:25" x14ac:dyDescent="0.25">
      <c r="A552" t="s">
        <v>912</v>
      </c>
      <c r="B552">
        <v>1</v>
      </c>
      <c r="C552" t="s">
        <v>855</v>
      </c>
      <c r="D552" t="s">
        <v>913</v>
      </c>
      <c r="E552" t="s">
        <v>179</v>
      </c>
      <c r="F552" t="s">
        <v>914</v>
      </c>
      <c r="G552" t="s">
        <v>436</v>
      </c>
      <c r="H552" t="s">
        <v>114</v>
      </c>
      <c r="I552" t="s">
        <v>934</v>
      </c>
      <c r="J552" t="s">
        <v>939</v>
      </c>
      <c r="K552" t="s">
        <v>82</v>
      </c>
      <c r="L552">
        <v>36150</v>
      </c>
      <c r="M552" t="s">
        <v>83</v>
      </c>
      <c r="N552">
        <v>30533.333330000001</v>
      </c>
      <c r="P552">
        <v>1</v>
      </c>
      <c r="U552">
        <v>0</v>
      </c>
      <c r="V552">
        <v>0</v>
      </c>
      <c r="W552">
        <v>30533.333333333332</v>
      </c>
      <c r="X552">
        <v>36150</v>
      </c>
      <c r="Y552">
        <v>36150</v>
      </c>
    </row>
    <row r="553" spans="1:25" x14ac:dyDescent="0.25">
      <c r="A553" t="s">
        <v>912</v>
      </c>
      <c r="B553">
        <v>0</v>
      </c>
      <c r="C553" t="s">
        <v>855</v>
      </c>
      <c r="D553" t="s">
        <v>913</v>
      </c>
      <c r="E553" t="s">
        <v>179</v>
      </c>
      <c r="F553" t="s">
        <v>914</v>
      </c>
      <c r="G553" t="s">
        <v>84</v>
      </c>
      <c r="H553" t="s">
        <v>114</v>
      </c>
      <c r="I553" t="s">
        <v>936</v>
      </c>
      <c r="J553" t="s">
        <v>940</v>
      </c>
      <c r="K553" t="s">
        <v>82</v>
      </c>
      <c r="L553">
        <v>31950</v>
      </c>
      <c r="M553" t="s">
        <v>83</v>
      </c>
      <c r="O553">
        <v>1</v>
      </c>
      <c r="U553">
        <v>31950</v>
      </c>
      <c r="V553">
        <v>0</v>
      </c>
      <c r="W553">
        <v>30533.333333333332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DAF9-D3D5-4F3E-A61C-23E9F4A9B10A}">
  <sheetPr codeName="Sheet9"/>
  <dimension ref="A1"/>
  <sheetViews>
    <sheetView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426D-B664-4E9F-BFFB-F6120062BE29}">
  <sheetPr codeName="Sheet10"/>
  <dimension ref="A1:BW553"/>
  <sheetViews>
    <sheetView workbookViewId="0"/>
  </sheetViews>
  <sheetFormatPr defaultRowHeight="15" x14ac:dyDescent="0.25"/>
  <cols>
    <col min="1" max="1" width="12" bestFit="1" customWidth="1"/>
    <col min="2" max="2" width="26.7109375" bestFit="1" customWidth="1"/>
    <col min="3" max="3" width="22.7109375" bestFit="1" customWidth="1"/>
    <col min="4" max="4" width="16.42578125" bestFit="1" customWidth="1"/>
    <col min="5" max="5" width="16.28515625" bestFit="1" customWidth="1"/>
    <col min="6" max="6" width="11.42578125" bestFit="1" customWidth="1"/>
    <col min="7" max="7" width="13.28515625" bestFit="1" customWidth="1"/>
    <col min="8" max="8" width="27.42578125" bestFit="1" customWidth="1"/>
    <col min="9" max="9" width="17.85546875" bestFit="1" customWidth="1"/>
    <col min="10" max="10" width="23.42578125" bestFit="1" customWidth="1"/>
    <col min="11" max="11" width="27.7109375" bestFit="1" customWidth="1"/>
    <col min="12" max="12" width="23.42578125" bestFit="1" customWidth="1"/>
    <col min="13" max="13" width="49.140625" bestFit="1" customWidth="1"/>
    <col min="14" max="14" width="44.7109375" bestFit="1" customWidth="1"/>
    <col min="15" max="15" width="13.140625" bestFit="1" customWidth="1"/>
    <col min="16" max="16" width="11.7109375" bestFit="1" customWidth="1"/>
    <col min="17" max="17" width="10" bestFit="1" customWidth="1"/>
    <col min="18" max="18" width="13.85546875" bestFit="1" customWidth="1"/>
    <col min="19" max="19" width="28.7109375" bestFit="1" customWidth="1"/>
    <col min="20" max="20" width="30.42578125" bestFit="1" customWidth="1"/>
    <col min="21" max="21" width="26.5703125" bestFit="1" customWidth="1"/>
    <col min="22" max="22" width="28.28515625" bestFit="1" customWidth="1"/>
    <col min="23" max="23" width="27" bestFit="1" customWidth="1"/>
    <col min="24" max="24" width="28.28515625" bestFit="1" customWidth="1"/>
    <col min="25" max="25" width="19.85546875" bestFit="1" customWidth="1"/>
    <col min="26" max="26" width="30.85546875" bestFit="1" customWidth="1"/>
    <col min="27" max="27" width="34.7109375" bestFit="1" customWidth="1"/>
    <col min="28" max="28" width="20.140625" bestFit="1" customWidth="1"/>
    <col min="29" max="29" width="26.140625" bestFit="1" customWidth="1"/>
    <col min="30" max="30" width="32" bestFit="1" customWidth="1"/>
    <col min="31" max="31" width="23.7109375" bestFit="1" customWidth="1"/>
    <col min="32" max="32" width="21" bestFit="1" customWidth="1"/>
    <col min="33" max="33" width="17" bestFit="1" customWidth="1"/>
    <col min="34" max="34" width="16" bestFit="1" customWidth="1"/>
    <col min="35" max="35" width="31.28515625" bestFit="1" customWidth="1"/>
    <col min="36" max="36" width="20" bestFit="1" customWidth="1"/>
    <col min="37" max="37" width="27.140625" bestFit="1" customWidth="1"/>
    <col min="38" max="38" width="24.42578125" bestFit="1" customWidth="1"/>
    <col min="39" max="39" width="23.140625" bestFit="1" customWidth="1"/>
    <col min="40" max="40" width="25.5703125" bestFit="1" customWidth="1"/>
    <col min="41" max="41" width="23" bestFit="1" customWidth="1"/>
    <col min="42" max="42" width="25.42578125" bestFit="1" customWidth="1"/>
    <col min="43" max="43" width="21.28515625" bestFit="1" customWidth="1"/>
    <col min="44" max="44" width="34.42578125" bestFit="1" customWidth="1"/>
    <col min="45" max="45" width="18.140625" bestFit="1" customWidth="1"/>
    <col min="46" max="46" width="36.7109375" bestFit="1" customWidth="1"/>
    <col min="47" max="47" width="23.42578125" bestFit="1" customWidth="1"/>
    <col min="48" max="48" width="20.42578125" bestFit="1" customWidth="1"/>
    <col min="49" max="49" width="35.42578125" bestFit="1" customWidth="1"/>
    <col min="50" max="50" width="15.42578125" bestFit="1" customWidth="1"/>
    <col min="51" max="51" width="23.5703125" bestFit="1" customWidth="1"/>
    <col min="52" max="52" width="15.28515625" bestFit="1" customWidth="1"/>
    <col min="53" max="53" width="21.28515625" bestFit="1" customWidth="1"/>
    <col min="54" max="54" width="27" bestFit="1" customWidth="1"/>
    <col min="55" max="55" width="33.140625" bestFit="1" customWidth="1"/>
    <col min="56" max="56" width="30.5703125" bestFit="1" customWidth="1"/>
    <col min="57" max="57" width="34.85546875" bestFit="1" customWidth="1"/>
    <col min="58" max="58" width="26.140625" bestFit="1" customWidth="1"/>
    <col min="59" max="59" width="34.7109375" bestFit="1" customWidth="1"/>
    <col min="60" max="60" width="34.5703125" bestFit="1" customWidth="1"/>
    <col min="61" max="61" width="30" bestFit="1" customWidth="1"/>
    <col min="62" max="62" width="21.7109375" bestFit="1" customWidth="1"/>
    <col min="63" max="63" width="26.28515625" bestFit="1" customWidth="1"/>
    <col min="64" max="64" width="32.140625" bestFit="1" customWidth="1"/>
    <col min="65" max="65" width="38.5703125" bestFit="1" customWidth="1"/>
    <col min="66" max="66" width="31" bestFit="1" customWidth="1"/>
    <col min="67" max="67" width="37.42578125" bestFit="1" customWidth="1"/>
    <col min="68" max="68" width="39" bestFit="1" customWidth="1"/>
    <col min="69" max="69" width="16" bestFit="1" customWidth="1"/>
    <col min="70" max="70" width="24.5703125" bestFit="1" customWidth="1"/>
    <col min="71" max="71" width="12.85546875" bestFit="1" customWidth="1"/>
    <col min="72" max="72" width="19.5703125" bestFit="1" customWidth="1"/>
    <col min="73" max="73" width="21" bestFit="1" customWidth="1"/>
    <col min="74" max="74" width="22.28515625" bestFit="1" customWidth="1"/>
    <col min="75" max="75" width="31" bestFit="1" customWidth="1"/>
  </cols>
  <sheetData>
    <row r="1" spans="1: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944</v>
      </c>
      <c r="BV1" t="s">
        <v>945</v>
      </c>
      <c r="BW1" t="s">
        <v>1010</v>
      </c>
    </row>
    <row r="2" spans="1:75" x14ac:dyDescent="0.25">
      <c r="A2">
        <v>318</v>
      </c>
      <c r="B2" s="1">
        <v>45126.801388888889</v>
      </c>
      <c r="C2" t="s">
        <v>72</v>
      </c>
      <c r="D2" t="s">
        <v>73</v>
      </c>
      <c r="E2" t="s">
        <v>74</v>
      </c>
      <c r="F2">
        <v>1</v>
      </c>
      <c r="G2" t="s">
        <v>75</v>
      </c>
      <c r="H2" t="s">
        <v>76</v>
      </c>
      <c r="I2" t="s">
        <v>77</v>
      </c>
      <c r="J2" t="s">
        <v>78</v>
      </c>
      <c r="K2" t="s">
        <v>79</v>
      </c>
      <c r="L2" t="s">
        <v>80</v>
      </c>
      <c r="M2" t="s">
        <v>72</v>
      </c>
      <c r="N2" t="s">
        <v>81</v>
      </c>
      <c r="O2" t="s">
        <v>82</v>
      </c>
      <c r="P2">
        <v>960207.05279999995</v>
      </c>
      <c r="Q2" t="s">
        <v>83</v>
      </c>
      <c r="R2">
        <v>745866.46849999996</v>
      </c>
      <c r="S2">
        <v>1</v>
      </c>
      <c r="Z2">
        <v>36250.5</v>
      </c>
      <c r="AA2">
        <v>4200</v>
      </c>
      <c r="AE2" t="s">
        <v>84</v>
      </c>
      <c r="AG2" t="s">
        <v>84</v>
      </c>
      <c r="AH2" t="s">
        <v>84</v>
      </c>
      <c r="AI2">
        <v>240000</v>
      </c>
      <c r="AJ2" t="s">
        <v>84</v>
      </c>
      <c r="AK2" t="s">
        <v>84</v>
      </c>
      <c r="AL2">
        <v>0</v>
      </c>
      <c r="AN2">
        <v>0</v>
      </c>
      <c r="AP2">
        <v>16550</v>
      </c>
      <c r="AQ2" t="s">
        <v>84</v>
      </c>
      <c r="AR2">
        <v>3000</v>
      </c>
      <c r="AT2" t="s">
        <v>84</v>
      </c>
      <c r="AU2" t="s">
        <v>84</v>
      </c>
      <c r="AV2" t="s">
        <v>84</v>
      </c>
      <c r="AW2">
        <v>37115</v>
      </c>
      <c r="AX2" t="s">
        <v>84</v>
      </c>
      <c r="AY2">
        <v>5000</v>
      </c>
      <c r="BA2" t="s">
        <v>84</v>
      </c>
      <c r="BB2" t="s">
        <v>84</v>
      </c>
      <c r="BC2">
        <v>25950</v>
      </c>
      <c r="BD2">
        <v>141212.5</v>
      </c>
      <c r="BG2" t="s">
        <v>84</v>
      </c>
      <c r="BH2">
        <v>48000</v>
      </c>
      <c r="BI2">
        <v>163923.76</v>
      </c>
      <c r="BJ2" t="s">
        <v>84</v>
      </c>
      <c r="BK2" t="s">
        <v>84</v>
      </c>
      <c r="BM2" t="s">
        <v>84</v>
      </c>
      <c r="BP2">
        <v>28960</v>
      </c>
      <c r="BQ2">
        <v>0</v>
      </c>
      <c r="BR2">
        <v>0</v>
      </c>
      <c r="BS2" t="s">
        <v>84</v>
      </c>
      <c r="BT2" t="s">
        <v>84</v>
      </c>
      <c r="BU2">
        <v>960207.05279999995</v>
      </c>
      <c r="BV2">
        <v>960207.05279999995</v>
      </c>
      <c r="BW2">
        <v>745866.46846666664</v>
      </c>
    </row>
    <row r="3" spans="1:75" x14ac:dyDescent="0.25">
      <c r="A3">
        <v>318</v>
      </c>
      <c r="B3" s="1">
        <v>45126.801388888889</v>
      </c>
      <c r="C3" t="s">
        <v>72</v>
      </c>
      <c r="D3" t="s">
        <v>73</v>
      </c>
      <c r="E3" t="s">
        <v>74</v>
      </c>
      <c r="F3">
        <v>0</v>
      </c>
      <c r="G3" t="s">
        <v>75</v>
      </c>
      <c r="H3" t="s">
        <v>76</v>
      </c>
      <c r="I3" t="s">
        <v>77</v>
      </c>
      <c r="J3" t="s">
        <v>78</v>
      </c>
      <c r="K3" t="s">
        <v>84</v>
      </c>
      <c r="L3" t="s">
        <v>80</v>
      </c>
      <c r="M3" t="s">
        <v>72</v>
      </c>
      <c r="N3" t="s">
        <v>85</v>
      </c>
      <c r="O3" t="s">
        <v>82</v>
      </c>
      <c r="P3">
        <v>662457.18420000002</v>
      </c>
      <c r="Q3" t="s">
        <v>83</v>
      </c>
      <c r="S3">
        <v>1</v>
      </c>
      <c r="T3">
        <v>1</v>
      </c>
      <c r="AE3" t="s">
        <v>84</v>
      </c>
      <c r="AG3" t="s">
        <v>84</v>
      </c>
      <c r="AH3" t="s">
        <v>84</v>
      </c>
      <c r="AJ3" t="s">
        <v>84</v>
      </c>
      <c r="AK3" t="s">
        <v>84</v>
      </c>
      <c r="AQ3" t="s">
        <v>84</v>
      </c>
      <c r="AT3" t="s">
        <v>84</v>
      </c>
      <c r="AU3" t="s">
        <v>84</v>
      </c>
      <c r="AV3" t="s">
        <v>84</v>
      </c>
      <c r="AX3" t="s">
        <v>84</v>
      </c>
      <c r="BA3" t="s">
        <v>84</v>
      </c>
      <c r="BB3" t="s">
        <v>84</v>
      </c>
      <c r="BG3" t="s">
        <v>84</v>
      </c>
      <c r="BJ3" t="s">
        <v>84</v>
      </c>
      <c r="BK3" t="s">
        <v>84</v>
      </c>
      <c r="BM3" t="s">
        <v>84</v>
      </c>
      <c r="BS3" t="s">
        <v>84</v>
      </c>
      <c r="BT3" t="s">
        <v>84</v>
      </c>
      <c r="BU3">
        <v>662457.18420000002</v>
      </c>
      <c r="BV3">
        <v>0</v>
      </c>
      <c r="BW3">
        <v>745866.46846666664</v>
      </c>
    </row>
    <row r="4" spans="1:75" x14ac:dyDescent="0.25">
      <c r="A4">
        <v>318</v>
      </c>
      <c r="B4" s="1">
        <v>45126.801388888889</v>
      </c>
      <c r="C4" t="s">
        <v>72</v>
      </c>
      <c r="D4" t="s">
        <v>73</v>
      </c>
      <c r="E4" t="s">
        <v>74</v>
      </c>
      <c r="F4">
        <v>0</v>
      </c>
      <c r="G4" t="s">
        <v>75</v>
      </c>
      <c r="H4" t="s">
        <v>76</v>
      </c>
      <c r="I4" t="s">
        <v>77</v>
      </c>
      <c r="J4" t="s">
        <v>78</v>
      </c>
      <c r="K4" t="s">
        <v>84</v>
      </c>
      <c r="L4" t="s">
        <v>80</v>
      </c>
      <c r="M4" t="s">
        <v>72</v>
      </c>
      <c r="N4" t="s">
        <v>86</v>
      </c>
      <c r="O4" t="s">
        <v>82</v>
      </c>
      <c r="P4">
        <v>614935.16839999997</v>
      </c>
      <c r="Q4" t="s">
        <v>83</v>
      </c>
      <c r="AE4" t="s">
        <v>84</v>
      </c>
      <c r="AG4" t="s">
        <v>84</v>
      </c>
      <c r="AH4" t="s">
        <v>84</v>
      </c>
      <c r="AJ4" t="s">
        <v>84</v>
      </c>
      <c r="AK4" t="s">
        <v>84</v>
      </c>
      <c r="AQ4" t="s">
        <v>84</v>
      </c>
      <c r="AT4" t="s">
        <v>84</v>
      </c>
      <c r="AU4" t="s">
        <v>84</v>
      </c>
      <c r="AV4" t="s">
        <v>84</v>
      </c>
      <c r="AX4" t="s">
        <v>84</v>
      </c>
      <c r="BA4" t="s">
        <v>84</v>
      </c>
      <c r="BB4" t="s">
        <v>84</v>
      </c>
      <c r="BG4" t="s">
        <v>84</v>
      </c>
      <c r="BJ4" t="s">
        <v>84</v>
      </c>
      <c r="BK4" t="s">
        <v>84</v>
      </c>
      <c r="BM4" t="s">
        <v>84</v>
      </c>
      <c r="BS4" t="s">
        <v>84</v>
      </c>
      <c r="BT4" t="s">
        <v>84</v>
      </c>
      <c r="BU4">
        <v>0</v>
      </c>
      <c r="BV4">
        <v>0</v>
      </c>
      <c r="BW4">
        <v>745866.46846666664</v>
      </c>
    </row>
    <row r="5" spans="1:75" x14ac:dyDescent="0.25">
      <c r="A5">
        <v>318</v>
      </c>
      <c r="B5" s="1">
        <v>45126.801388888889</v>
      </c>
      <c r="C5" t="s">
        <v>72</v>
      </c>
      <c r="D5" t="s">
        <v>73</v>
      </c>
      <c r="E5" t="s">
        <v>74</v>
      </c>
      <c r="F5">
        <v>0</v>
      </c>
      <c r="G5" t="s">
        <v>75</v>
      </c>
      <c r="H5" t="s">
        <v>76</v>
      </c>
      <c r="I5" t="s">
        <v>77</v>
      </c>
      <c r="J5" t="s">
        <v>78</v>
      </c>
      <c r="K5" t="s">
        <v>84</v>
      </c>
      <c r="L5" t="s">
        <v>87</v>
      </c>
      <c r="M5" t="s">
        <v>72</v>
      </c>
      <c r="N5" t="s">
        <v>88</v>
      </c>
      <c r="O5" t="s">
        <v>82</v>
      </c>
      <c r="P5">
        <v>107610.4167</v>
      </c>
      <c r="Q5" t="s">
        <v>83</v>
      </c>
      <c r="AE5" t="s">
        <v>84</v>
      </c>
      <c r="AG5" t="s">
        <v>84</v>
      </c>
      <c r="AH5" t="s">
        <v>84</v>
      </c>
      <c r="AJ5" t="s">
        <v>84</v>
      </c>
      <c r="AK5" t="s">
        <v>84</v>
      </c>
      <c r="AQ5" t="s">
        <v>84</v>
      </c>
      <c r="AT5" t="s">
        <v>84</v>
      </c>
      <c r="AU5" t="s">
        <v>84</v>
      </c>
      <c r="AV5" t="s">
        <v>84</v>
      </c>
      <c r="AX5" t="s">
        <v>84</v>
      </c>
      <c r="BA5" t="s">
        <v>84</v>
      </c>
      <c r="BB5" t="s">
        <v>84</v>
      </c>
      <c r="BG5" t="s">
        <v>84</v>
      </c>
      <c r="BJ5" t="s">
        <v>84</v>
      </c>
      <c r="BK5" t="s">
        <v>84</v>
      </c>
      <c r="BM5" t="s">
        <v>84</v>
      </c>
      <c r="BS5" t="s">
        <v>84</v>
      </c>
      <c r="BT5" t="s">
        <v>84</v>
      </c>
      <c r="BU5">
        <v>0</v>
      </c>
      <c r="BV5">
        <v>0</v>
      </c>
      <c r="BW5">
        <v>109194.18611</v>
      </c>
    </row>
    <row r="6" spans="1:75" x14ac:dyDescent="0.25">
      <c r="A6">
        <v>318</v>
      </c>
      <c r="B6" s="1">
        <v>45126.801388888889</v>
      </c>
      <c r="C6" t="s">
        <v>72</v>
      </c>
      <c r="D6" t="s">
        <v>73</v>
      </c>
      <c r="E6" t="s">
        <v>74</v>
      </c>
      <c r="F6">
        <v>0</v>
      </c>
      <c r="G6" t="s">
        <v>75</v>
      </c>
      <c r="H6" t="s">
        <v>76</v>
      </c>
      <c r="I6" t="s">
        <v>77</v>
      </c>
      <c r="J6" t="s">
        <v>78</v>
      </c>
      <c r="K6" t="s">
        <v>84</v>
      </c>
      <c r="L6" t="s">
        <v>87</v>
      </c>
      <c r="M6" t="s">
        <v>72</v>
      </c>
      <c r="N6" t="s">
        <v>89</v>
      </c>
      <c r="O6" t="s">
        <v>82</v>
      </c>
      <c r="P6">
        <v>133998.9583</v>
      </c>
      <c r="Q6" t="s">
        <v>83</v>
      </c>
      <c r="U6">
        <v>1</v>
      </c>
      <c r="X6">
        <v>1</v>
      </c>
      <c r="AE6" t="s">
        <v>84</v>
      </c>
      <c r="AG6" t="s">
        <v>84</v>
      </c>
      <c r="AH6" t="s">
        <v>84</v>
      </c>
      <c r="AJ6" t="s">
        <v>84</v>
      </c>
      <c r="AK6" t="s">
        <v>84</v>
      </c>
      <c r="AQ6" t="s">
        <v>84</v>
      </c>
      <c r="AT6" t="s">
        <v>84</v>
      </c>
      <c r="AU6" t="s">
        <v>84</v>
      </c>
      <c r="AV6" t="s">
        <v>84</v>
      </c>
      <c r="AX6" t="s">
        <v>84</v>
      </c>
      <c r="BA6" t="s">
        <v>84</v>
      </c>
      <c r="BB6" t="s">
        <v>84</v>
      </c>
      <c r="BG6" t="s">
        <v>84</v>
      </c>
      <c r="BJ6" t="s">
        <v>84</v>
      </c>
      <c r="BK6" t="s">
        <v>84</v>
      </c>
      <c r="BM6" t="s">
        <v>84</v>
      </c>
      <c r="BS6" t="s">
        <v>84</v>
      </c>
      <c r="BT6" t="s">
        <v>84</v>
      </c>
      <c r="BU6">
        <v>0</v>
      </c>
      <c r="BV6">
        <v>0</v>
      </c>
      <c r="BW6">
        <v>109194.18611</v>
      </c>
    </row>
    <row r="7" spans="1:75" x14ac:dyDescent="0.25">
      <c r="A7">
        <v>318</v>
      </c>
      <c r="B7" s="1">
        <v>45126.801388888889</v>
      </c>
      <c r="C7" t="s">
        <v>72</v>
      </c>
      <c r="D7" t="s">
        <v>73</v>
      </c>
      <c r="E7" t="s">
        <v>74</v>
      </c>
      <c r="F7">
        <v>1</v>
      </c>
      <c r="G7" t="s">
        <v>75</v>
      </c>
      <c r="H7" t="s">
        <v>76</v>
      </c>
      <c r="I7" t="s">
        <v>77</v>
      </c>
      <c r="J7" t="s">
        <v>78</v>
      </c>
      <c r="K7" t="s">
        <v>90</v>
      </c>
      <c r="L7" t="s">
        <v>87</v>
      </c>
      <c r="M7" t="s">
        <v>72</v>
      </c>
      <c r="N7" t="s">
        <v>91</v>
      </c>
      <c r="O7" t="s">
        <v>82</v>
      </c>
      <c r="P7">
        <v>85973.18333</v>
      </c>
      <c r="Q7" t="s">
        <v>83</v>
      </c>
      <c r="R7">
        <v>109194.18610000001</v>
      </c>
      <c r="X7">
        <v>1</v>
      </c>
      <c r="AE7" t="s">
        <v>84</v>
      </c>
      <c r="AG7" t="s">
        <v>84</v>
      </c>
      <c r="AH7" t="s">
        <v>84</v>
      </c>
      <c r="AJ7" t="s">
        <v>84</v>
      </c>
      <c r="AK7" t="s">
        <v>84</v>
      </c>
      <c r="AL7">
        <v>13200</v>
      </c>
      <c r="AM7">
        <v>28800</v>
      </c>
      <c r="AN7">
        <v>10550</v>
      </c>
      <c r="AO7">
        <v>10166</v>
      </c>
      <c r="AQ7" t="s">
        <v>84</v>
      </c>
      <c r="AT7" t="s">
        <v>84</v>
      </c>
      <c r="AU7" t="s">
        <v>84</v>
      </c>
      <c r="AV7" t="s">
        <v>84</v>
      </c>
      <c r="AX7" t="s">
        <v>84</v>
      </c>
      <c r="BA7" t="s">
        <v>84</v>
      </c>
      <c r="BB7" t="s">
        <v>84</v>
      </c>
      <c r="BG7" t="s">
        <v>84</v>
      </c>
      <c r="BJ7" t="s">
        <v>84</v>
      </c>
      <c r="BK7" t="s">
        <v>84</v>
      </c>
      <c r="BM7" t="s">
        <v>84</v>
      </c>
      <c r="BS7" t="s">
        <v>84</v>
      </c>
      <c r="BT7" t="s">
        <v>84</v>
      </c>
      <c r="BU7">
        <v>0</v>
      </c>
      <c r="BV7">
        <v>0</v>
      </c>
      <c r="BW7">
        <v>109194.18611</v>
      </c>
    </row>
    <row r="8" spans="1:75" x14ac:dyDescent="0.25">
      <c r="A8">
        <v>318</v>
      </c>
      <c r="B8" s="1">
        <v>45126.801388888889</v>
      </c>
      <c r="C8" t="s">
        <v>72</v>
      </c>
      <c r="D8" t="s">
        <v>73</v>
      </c>
      <c r="E8" t="s">
        <v>74</v>
      </c>
      <c r="F8">
        <v>0</v>
      </c>
      <c r="G8" t="s">
        <v>75</v>
      </c>
      <c r="H8" t="s">
        <v>76</v>
      </c>
      <c r="I8" t="s">
        <v>77</v>
      </c>
      <c r="J8" t="s">
        <v>78</v>
      </c>
      <c r="K8" t="s">
        <v>84</v>
      </c>
      <c r="L8" t="s">
        <v>92</v>
      </c>
      <c r="M8" t="s">
        <v>93</v>
      </c>
      <c r="N8" t="s">
        <v>93</v>
      </c>
      <c r="O8" t="s">
        <v>82</v>
      </c>
      <c r="P8">
        <v>14510</v>
      </c>
      <c r="Q8" t="s">
        <v>83</v>
      </c>
      <c r="AE8" t="s">
        <v>84</v>
      </c>
      <c r="AG8" t="s">
        <v>84</v>
      </c>
      <c r="AH8" t="s">
        <v>84</v>
      </c>
      <c r="AJ8" t="s">
        <v>84</v>
      </c>
      <c r="AK8" t="s">
        <v>84</v>
      </c>
      <c r="AQ8" t="s">
        <v>84</v>
      </c>
      <c r="AT8" t="s">
        <v>84</v>
      </c>
      <c r="AU8" t="s">
        <v>84</v>
      </c>
      <c r="AV8" t="s">
        <v>84</v>
      </c>
      <c r="AX8" t="s">
        <v>84</v>
      </c>
      <c r="BA8" t="s">
        <v>84</v>
      </c>
      <c r="BB8" t="s">
        <v>84</v>
      </c>
      <c r="BG8" t="s">
        <v>84</v>
      </c>
      <c r="BJ8" t="s">
        <v>84</v>
      </c>
      <c r="BK8" t="s">
        <v>84</v>
      </c>
      <c r="BM8" t="s">
        <v>84</v>
      </c>
      <c r="BS8" t="s">
        <v>84</v>
      </c>
      <c r="BT8" t="s">
        <v>84</v>
      </c>
      <c r="BU8">
        <v>0</v>
      </c>
      <c r="BV8">
        <v>0</v>
      </c>
      <c r="BW8">
        <v>21656.666666666668</v>
      </c>
    </row>
    <row r="9" spans="1:75" x14ac:dyDescent="0.25">
      <c r="A9">
        <v>318</v>
      </c>
      <c r="B9" s="1">
        <v>45126.801388888889</v>
      </c>
      <c r="C9" t="s">
        <v>72</v>
      </c>
      <c r="D9" t="s">
        <v>73</v>
      </c>
      <c r="E9" t="s">
        <v>74</v>
      </c>
      <c r="F9">
        <v>1</v>
      </c>
      <c r="G9" t="s">
        <v>75</v>
      </c>
      <c r="H9" t="s">
        <v>76</v>
      </c>
      <c r="I9" t="s">
        <v>77</v>
      </c>
      <c r="J9" t="s">
        <v>78</v>
      </c>
      <c r="K9" t="s">
        <v>94</v>
      </c>
      <c r="L9" t="s">
        <v>92</v>
      </c>
      <c r="M9" t="s">
        <v>94</v>
      </c>
      <c r="N9" t="s">
        <v>95</v>
      </c>
      <c r="O9" t="s">
        <v>82</v>
      </c>
      <c r="P9">
        <v>21040</v>
      </c>
      <c r="Q9" t="s">
        <v>83</v>
      </c>
      <c r="R9">
        <v>21656.666669999999</v>
      </c>
      <c r="S9">
        <v>1</v>
      </c>
      <c r="V9">
        <v>1</v>
      </c>
      <c r="AB9">
        <v>21040</v>
      </c>
      <c r="AE9" t="s">
        <v>84</v>
      </c>
      <c r="AG9" t="s">
        <v>84</v>
      </c>
      <c r="AH9" t="s">
        <v>84</v>
      </c>
      <c r="AJ9" t="s">
        <v>84</v>
      </c>
      <c r="AK9" t="s">
        <v>84</v>
      </c>
      <c r="AQ9" t="s">
        <v>84</v>
      </c>
      <c r="AT9" t="s">
        <v>84</v>
      </c>
      <c r="AU9" t="s">
        <v>84</v>
      </c>
      <c r="AV9" t="s">
        <v>84</v>
      </c>
      <c r="AX9" t="s">
        <v>84</v>
      </c>
      <c r="BA9" t="s">
        <v>84</v>
      </c>
      <c r="BB9" t="s">
        <v>84</v>
      </c>
      <c r="BG9" t="s">
        <v>84</v>
      </c>
      <c r="BJ9" t="s">
        <v>84</v>
      </c>
      <c r="BK9" t="s">
        <v>84</v>
      </c>
      <c r="BM9" t="s">
        <v>84</v>
      </c>
      <c r="BS9" t="s">
        <v>84</v>
      </c>
      <c r="BT9" t="s">
        <v>84</v>
      </c>
      <c r="BU9">
        <v>21040</v>
      </c>
      <c r="BV9">
        <v>21040</v>
      </c>
      <c r="BW9">
        <v>21656.666666666668</v>
      </c>
    </row>
    <row r="10" spans="1:75" x14ac:dyDescent="0.25">
      <c r="A10">
        <v>318</v>
      </c>
      <c r="B10" s="1">
        <v>45126.801388888889</v>
      </c>
      <c r="C10" t="s">
        <v>72</v>
      </c>
      <c r="D10" t="s">
        <v>73</v>
      </c>
      <c r="E10" t="s">
        <v>74</v>
      </c>
      <c r="F10">
        <v>0</v>
      </c>
      <c r="G10" t="s">
        <v>75</v>
      </c>
      <c r="H10" t="s">
        <v>76</v>
      </c>
      <c r="I10" t="s">
        <v>77</v>
      </c>
      <c r="J10" t="s">
        <v>78</v>
      </c>
      <c r="K10" t="s">
        <v>84</v>
      </c>
      <c r="L10" t="s">
        <v>92</v>
      </c>
      <c r="M10" t="s">
        <v>96</v>
      </c>
      <c r="N10" t="s">
        <v>97</v>
      </c>
      <c r="O10" t="s">
        <v>82</v>
      </c>
      <c r="P10">
        <v>29420</v>
      </c>
      <c r="Q10" t="s">
        <v>83</v>
      </c>
      <c r="AE10" t="s">
        <v>84</v>
      </c>
      <c r="AG10" t="s">
        <v>84</v>
      </c>
      <c r="AH10" t="s">
        <v>84</v>
      </c>
      <c r="AJ10" t="s">
        <v>84</v>
      </c>
      <c r="AK10" t="s">
        <v>84</v>
      </c>
      <c r="AQ10" t="s">
        <v>84</v>
      </c>
      <c r="AT10" t="s">
        <v>84</v>
      </c>
      <c r="AU10" t="s">
        <v>84</v>
      </c>
      <c r="AV10" t="s">
        <v>84</v>
      </c>
      <c r="AX10" t="s">
        <v>84</v>
      </c>
      <c r="BA10" t="s">
        <v>84</v>
      </c>
      <c r="BB10" t="s">
        <v>84</v>
      </c>
      <c r="BG10" t="s">
        <v>84</v>
      </c>
      <c r="BJ10" t="s">
        <v>84</v>
      </c>
      <c r="BK10" t="s">
        <v>84</v>
      </c>
      <c r="BM10" t="s">
        <v>84</v>
      </c>
      <c r="BS10" t="s">
        <v>84</v>
      </c>
      <c r="BT10" t="s">
        <v>84</v>
      </c>
      <c r="BU10">
        <v>0</v>
      </c>
      <c r="BV10">
        <v>0</v>
      </c>
      <c r="BW10">
        <v>21656.666666666668</v>
      </c>
    </row>
    <row r="11" spans="1:75" x14ac:dyDescent="0.25">
      <c r="A11">
        <v>318</v>
      </c>
      <c r="B11" s="1">
        <v>45126.801388888889</v>
      </c>
      <c r="C11" t="s">
        <v>72</v>
      </c>
      <c r="D11" t="s">
        <v>73</v>
      </c>
      <c r="E11" t="s">
        <v>74</v>
      </c>
      <c r="F11">
        <v>0</v>
      </c>
      <c r="G11" t="s">
        <v>75</v>
      </c>
      <c r="H11" t="s">
        <v>76</v>
      </c>
      <c r="I11" t="s">
        <v>77</v>
      </c>
      <c r="J11" t="s">
        <v>78</v>
      </c>
      <c r="K11" t="s">
        <v>84</v>
      </c>
      <c r="L11" t="s">
        <v>98</v>
      </c>
      <c r="M11" t="s">
        <v>99</v>
      </c>
      <c r="N11" t="s">
        <v>100</v>
      </c>
      <c r="O11" t="s">
        <v>82</v>
      </c>
      <c r="P11">
        <v>52850</v>
      </c>
      <c r="Q11" t="s">
        <v>83</v>
      </c>
      <c r="W11">
        <v>1</v>
      </c>
      <c r="AE11" t="s">
        <v>84</v>
      </c>
      <c r="AG11" t="s">
        <v>84</v>
      </c>
      <c r="AH11" t="s">
        <v>84</v>
      </c>
      <c r="AJ11" t="s">
        <v>84</v>
      </c>
      <c r="AK11" t="s">
        <v>84</v>
      </c>
      <c r="AQ11" t="s">
        <v>84</v>
      </c>
      <c r="AT11" t="s">
        <v>84</v>
      </c>
      <c r="AU11" t="s">
        <v>84</v>
      </c>
      <c r="AV11" t="s">
        <v>84</v>
      </c>
      <c r="AX11" t="s">
        <v>84</v>
      </c>
      <c r="BA11" t="s">
        <v>84</v>
      </c>
      <c r="BB11" t="s">
        <v>84</v>
      </c>
      <c r="BG11" t="s">
        <v>84</v>
      </c>
      <c r="BJ11" t="s">
        <v>84</v>
      </c>
      <c r="BK11" t="s">
        <v>84</v>
      </c>
      <c r="BM11" t="s">
        <v>84</v>
      </c>
      <c r="BS11" t="s">
        <v>84</v>
      </c>
      <c r="BT11" t="s">
        <v>84</v>
      </c>
      <c r="BU11">
        <v>0</v>
      </c>
      <c r="BV11">
        <v>0</v>
      </c>
      <c r="BW11">
        <v>37833.333333333336</v>
      </c>
    </row>
    <row r="12" spans="1:75" x14ac:dyDescent="0.25">
      <c r="A12">
        <v>318</v>
      </c>
      <c r="B12" s="1">
        <v>45126.801388888889</v>
      </c>
      <c r="C12" t="s">
        <v>72</v>
      </c>
      <c r="D12" t="s">
        <v>73</v>
      </c>
      <c r="E12" t="s">
        <v>74</v>
      </c>
      <c r="F12">
        <v>0</v>
      </c>
      <c r="G12" t="s">
        <v>75</v>
      </c>
      <c r="H12" t="s">
        <v>76</v>
      </c>
      <c r="I12" t="s">
        <v>77</v>
      </c>
      <c r="J12" t="s">
        <v>78</v>
      </c>
      <c r="K12" t="s">
        <v>84</v>
      </c>
      <c r="L12" t="s">
        <v>98</v>
      </c>
      <c r="M12" t="s">
        <v>101</v>
      </c>
      <c r="N12" t="s">
        <v>102</v>
      </c>
      <c r="O12" t="s">
        <v>82</v>
      </c>
      <c r="P12">
        <v>20700</v>
      </c>
      <c r="Q12" t="s">
        <v>83</v>
      </c>
      <c r="U12">
        <v>1</v>
      </c>
      <c r="W12">
        <v>1</v>
      </c>
      <c r="AE12" t="s">
        <v>84</v>
      </c>
      <c r="AG12" t="s">
        <v>84</v>
      </c>
      <c r="AH12" t="s">
        <v>84</v>
      </c>
      <c r="AJ12" t="s">
        <v>84</v>
      </c>
      <c r="AK12" t="s">
        <v>84</v>
      </c>
      <c r="AQ12" t="s">
        <v>84</v>
      </c>
      <c r="AT12" t="s">
        <v>84</v>
      </c>
      <c r="AU12" t="s">
        <v>84</v>
      </c>
      <c r="AV12" t="s">
        <v>84</v>
      </c>
      <c r="AX12" t="s">
        <v>84</v>
      </c>
      <c r="BA12" t="s">
        <v>84</v>
      </c>
      <c r="BB12" t="s">
        <v>84</v>
      </c>
      <c r="BG12" t="s">
        <v>84</v>
      </c>
      <c r="BJ12" t="s">
        <v>84</v>
      </c>
      <c r="BK12" t="s">
        <v>84</v>
      </c>
      <c r="BM12" t="s">
        <v>84</v>
      </c>
      <c r="BS12" t="s">
        <v>84</v>
      </c>
      <c r="BT12" t="s">
        <v>84</v>
      </c>
      <c r="BU12">
        <v>0</v>
      </c>
      <c r="BV12">
        <v>0</v>
      </c>
      <c r="BW12">
        <v>37833.333333333336</v>
      </c>
    </row>
    <row r="13" spans="1:75" x14ac:dyDescent="0.25">
      <c r="A13">
        <v>318</v>
      </c>
      <c r="B13" s="1">
        <v>45126.801388888889</v>
      </c>
      <c r="C13" t="s">
        <v>72</v>
      </c>
      <c r="D13" t="s">
        <v>73</v>
      </c>
      <c r="E13" t="s">
        <v>74</v>
      </c>
      <c r="F13">
        <v>1</v>
      </c>
      <c r="G13" t="s">
        <v>75</v>
      </c>
      <c r="H13" t="s">
        <v>76</v>
      </c>
      <c r="I13" t="s">
        <v>77</v>
      </c>
      <c r="J13" t="s">
        <v>78</v>
      </c>
      <c r="K13" t="s">
        <v>103</v>
      </c>
      <c r="L13" t="s">
        <v>98</v>
      </c>
      <c r="M13" t="s">
        <v>104</v>
      </c>
      <c r="N13" t="s">
        <v>105</v>
      </c>
      <c r="O13" t="s">
        <v>82</v>
      </c>
      <c r="P13">
        <v>39950</v>
      </c>
      <c r="Q13" t="s">
        <v>83</v>
      </c>
      <c r="R13">
        <v>37833.333330000001</v>
      </c>
      <c r="V13">
        <v>1</v>
      </c>
      <c r="X13">
        <v>1</v>
      </c>
      <c r="AE13" t="s">
        <v>84</v>
      </c>
      <c r="AG13" t="s">
        <v>84</v>
      </c>
      <c r="AH13" t="s">
        <v>84</v>
      </c>
      <c r="AJ13" t="s">
        <v>84</v>
      </c>
      <c r="AK13" t="s">
        <v>84</v>
      </c>
      <c r="AQ13" t="s">
        <v>84</v>
      </c>
      <c r="AS13">
        <v>39950</v>
      </c>
      <c r="AT13" t="s">
        <v>84</v>
      </c>
      <c r="AU13" t="s">
        <v>84</v>
      </c>
      <c r="AV13" t="s">
        <v>84</v>
      </c>
      <c r="AX13" t="s">
        <v>84</v>
      </c>
      <c r="BA13" t="s">
        <v>84</v>
      </c>
      <c r="BB13" t="s">
        <v>84</v>
      </c>
      <c r="BG13" t="s">
        <v>84</v>
      </c>
      <c r="BJ13" t="s">
        <v>84</v>
      </c>
      <c r="BK13" t="s">
        <v>84</v>
      </c>
      <c r="BM13" t="s">
        <v>84</v>
      </c>
      <c r="BS13" t="s">
        <v>84</v>
      </c>
      <c r="BT13" t="s">
        <v>84</v>
      </c>
      <c r="BU13">
        <v>0</v>
      </c>
      <c r="BV13">
        <v>0</v>
      </c>
      <c r="BW13">
        <v>37833.333333333336</v>
      </c>
    </row>
    <row r="14" spans="1:75" x14ac:dyDescent="0.25">
      <c r="A14">
        <v>318</v>
      </c>
      <c r="B14" s="1">
        <v>45126.801388888889</v>
      </c>
      <c r="C14" t="s">
        <v>72</v>
      </c>
      <c r="D14" t="s">
        <v>73</v>
      </c>
      <c r="E14" t="s">
        <v>74</v>
      </c>
      <c r="F14">
        <v>1</v>
      </c>
      <c r="G14" t="s">
        <v>75</v>
      </c>
      <c r="H14" t="s">
        <v>76</v>
      </c>
      <c r="I14" t="s">
        <v>77</v>
      </c>
      <c r="J14" t="s">
        <v>78</v>
      </c>
      <c r="K14" t="s">
        <v>79</v>
      </c>
      <c r="L14" t="s">
        <v>106</v>
      </c>
      <c r="M14" t="s">
        <v>72</v>
      </c>
      <c r="N14" t="s">
        <v>107</v>
      </c>
      <c r="O14" t="s">
        <v>82</v>
      </c>
      <c r="P14">
        <v>4805.2749999999996</v>
      </c>
      <c r="Q14" t="s">
        <v>83</v>
      </c>
      <c r="R14">
        <v>7050.3625000000002</v>
      </c>
      <c r="S14">
        <v>1</v>
      </c>
      <c r="AE14" t="s">
        <v>84</v>
      </c>
      <c r="AF14">
        <v>2000</v>
      </c>
      <c r="AG14" t="s">
        <v>84</v>
      </c>
      <c r="AH14" t="s">
        <v>84</v>
      </c>
      <c r="AJ14" t="s">
        <v>84</v>
      </c>
      <c r="AK14" t="s">
        <v>84</v>
      </c>
      <c r="AQ14" t="s">
        <v>84</v>
      </c>
      <c r="AT14" t="s">
        <v>84</v>
      </c>
      <c r="AU14" t="s">
        <v>84</v>
      </c>
      <c r="AV14" t="s">
        <v>84</v>
      </c>
      <c r="AX14" t="s">
        <v>84</v>
      </c>
      <c r="BA14" t="s">
        <v>84</v>
      </c>
      <c r="BB14" t="s">
        <v>84</v>
      </c>
      <c r="BE14">
        <v>1050</v>
      </c>
      <c r="BG14" t="s">
        <v>84</v>
      </c>
      <c r="BJ14" t="s">
        <v>84</v>
      </c>
      <c r="BK14" t="s">
        <v>84</v>
      </c>
      <c r="BM14" t="s">
        <v>84</v>
      </c>
      <c r="BS14" t="s">
        <v>84</v>
      </c>
      <c r="BT14" t="s">
        <v>84</v>
      </c>
      <c r="BU14">
        <v>4805.2749999999996</v>
      </c>
      <c r="BV14">
        <v>4805.2749999999996</v>
      </c>
      <c r="BW14">
        <v>7050.3624999999993</v>
      </c>
    </row>
    <row r="15" spans="1:75" x14ac:dyDescent="0.25">
      <c r="A15">
        <v>318</v>
      </c>
      <c r="B15" s="1">
        <v>45126.801388888889</v>
      </c>
      <c r="C15" t="s">
        <v>72</v>
      </c>
      <c r="D15" t="s">
        <v>73</v>
      </c>
      <c r="E15" t="s">
        <v>74</v>
      </c>
      <c r="F15">
        <v>0</v>
      </c>
      <c r="G15" t="s">
        <v>75</v>
      </c>
      <c r="H15" t="s">
        <v>76</v>
      </c>
      <c r="I15" t="s">
        <v>77</v>
      </c>
      <c r="J15" t="s">
        <v>78</v>
      </c>
      <c r="K15" t="s">
        <v>84</v>
      </c>
      <c r="L15" t="s">
        <v>106</v>
      </c>
      <c r="M15" t="s">
        <v>72</v>
      </c>
      <c r="N15" t="s">
        <v>108</v>
      </c>
      <c r="O15" t="s">
        <v>82</v>
      </c>
      <c r="P15">
        <v>10043.8125</v>
      </c>
      <c r="Q15" t="s">
        <v>83</v>
      </c>
      <c r="S15">
        <v>1</v>
      </c>
      <c r="T15">
        <v>1</v>
      </c>
      <c r="AE15" t="s">
        <v>84</v>
      </c>
      <c r="AG15" t="s">
        <v>84</v>
      </c>
      <c r="AH15" t="s">
        <v>84</v>
      </c>
      <c r="AJ15" t="s">
        <v>84</v>
      </c>
      <c r="AK15" t="s">
        <v>84</v>
      </c>
      <c r="AQ15" t="s">
        <v>84</v>
      </c>
      <c r="AT15" t="s">
        <v>84</v>
      </c>
      <c r="AU15" t="s">
        <v>84</v>
      </c>
      <c r="AV15" t="s">
        <v>84</v>
      </c>
      <c r="AX15" t="s">
        <v>84</v>
      </c>
      <c r="BA15" t="s">
        <v>84</v>
      </c>
      <c r="BB15" t="s">
        <v>84</v>
      </c>
      <c r="BG15" t="s">
        <v>84</v>
      </c>
      <c r="BJ15" t="s">
        <v>84</v>
      </c>
      <c r="BK15" t="s">
        <v>84</v>
      </c>
      <c r="BM15" t="s">
        <v>84</v>
      </c>
      <c r="BS15" t="s">
        <v>84</v>
      </c>
      <c r="BT15" t="s">
        <v>84</v>
      </c>
      <c r="BU15">
        <v>10043.8125</v>
      </c>
      <c r="BV15">
        <v>0</v>
      </c>
      <c r="BW15">
        <v>7050.3624999999993</v>
      </c>
    </row>
    <row r="16" spans="1:75" x14ac:dyDescent="0.25">
      <c r="A16">
        <v>318</v>
      </c>
      <c r="B16" s="1">
        <v>45126.801388888889</v>
      </c>
      <c r="C16" t="s">
        <v>72</v>
      </c>
      <c r="D16" t="s">
        <v>73</v>
      </c>
      <c r="E16" t="s">
        <v>74</v>
      </c>
      <c r="F16">
        <v>0</v>
      </c>
      <c r="G16" t="s">
        <v>75</v>
      </c>
      <c r="H16" t="s">
        <v>76</v>
      </c>
      <c r="I16" t="s">
        <v>77</v>
      </c>
      <c r="J16" t="s">
        <v>78</v>
      </c>
      <c r="K16" t="s">
        <v>84</v>
      </c>
      <c r="L16" t="s">
        <v>106</v>
      </c>
      <c r="M16" t="s">
        <v>72</v>
      </c>
      <c r="N16" t="s">
        <v>109</v>
      </c>
      <c r="O16" t="s">
        <v>82</v>
      </c>
      <c r="P16">
        <v>6302</v>
      </c>
      <c r="Q16" t="s">
        <v>83</v>
      </c>
      <c r="AE16" t="s">
        <v>84</v>
      </c>
      <c r="AG16" t="s">
        <v>84</v>
      </c>
      <c r="AH16" t="s">
        <v>84</v>
      </c>
      <c r="AJ16" t="s">
        <v>84</v>
      </c>
      <c r="AK16" t="s">
        <v>84</v>
      </c>
      <c r="AQ16" t="s">
        <v>84</v>
      </c>
      <c r="AT16" t="s">
        <v>84</v>
      </c>
      <c r="AU16" t="s">
        <v>84</v>
      </c>
      <c r="AV16" t="s">
        <v>84</v>
      </c>
      <c r="AX16" t="s">
        <v>84</v>
      </c>
      <c r="BA16" t="s">
        <v>84</v>
      </c>
      <c r="BB16" t="s">
        <v>84</v>
      </c>
      <c r="BG16" t="s">
        <v>84</v>
      </c>
      <c r="BJ16" t="s">
        <v>84</v>
      </c>
      <c r="BK16" t="s">
        <v>84</v>
      </c>
      <c r="BM16" t="s">
        <v>84</v>
      </c>
      <c r="BS16" t="s">
        <v>84</v>
      </c>
      <c r="BT16" t="s">
        <v>84</v>
      </c>
      <c r="BU16">
        <v>0</v>
      </c>
      <c r="BV16">
        <v>0</v>
      </c>
      <c r="BW16">
        <v>7050.3624999999993</v>
      </c>
    </row>
    <row r="17" spans="1:75" x14ac:dyDescent="0.25">
      <c r="A17">
        <v>318</v>
      </c>
      <c r="B17" s="1">
        <v>45126.801388888889</v>
      </c>
      <c r="C17" t="s">
        <v>72</v>
      </c>
      <c r="D17" t="s">
        <v>73</v>
      </c>
      <c r="E17" t="s">
        <v>74</v>
      </c>
      <c r="F17">
        <v>1</v>
      </c>
      <c r="G17" t="s">
        <v>75</v>
      </c>
      <c r="H17" t="s">
        <v>76</v>
      </c>
      <c r="I17" t="s">
        <v>77</v>
      </c>
      <c r="J17" t="s">
        <v>78</v>
      </c>
      <c r="K17" t="s">
        <v>79</v>
      </c>
      <c r="L17" t="s">
        <v>110</v>
      </c>
      <c r="M17" t="s">
        <v>72</v>
      </c>
      <c r="N17" t="s">
        <v>111</v>
      </c>
      <c r="O17" t="s">
        <v>82</v>
      </c>
      <c r="P17">
        <v>18176</v>
      </c>
      <c r="Q17" t="s">
        <v>83</v>
      </c>
      <c r="R17">
        <v>14980</v>
      </c>
      <c r="S17">
        <v>1</v>
      </c>
      <c r="Z17">
        <v>0</v>
      </c>
      <c r="AA17">
        <v>0</v>
      </c>
      <c r="AE17" t="s">
        <v>84</v>
      </c>
      <c r="AG17" t="s">
        <v>84</v>
      </c>
      <c r="AH17" t="s">
        <v>84</v>
      </c>
      <c r="AI17">
        <v>0</v>
      </c>
      <c r="AJ17" t="s">
        <v>84</v>
      </c>
      <c r="AK17" t="s">
        <v>84</v>
      </c>
      <c r="AL17">
        <v>0</v>
      </c>
      <c r="AN17">
        <v>0</v>
      </c>
      <c r="AP17">
        <v>0</v>
      </c>
      <c r="AQ17" t="s">
        <v>84</v>
      </c>
      <c r="AR17">
        <v>0</v>
      </c>
      <c r="AT17" t="s">
        <v>84</v>
      </c>
      <c r="AU17" t="s">
        <v>84</v>
      </c>
      <c r="AV17" t="s">
        <v>84</v>
      </c>
      <c r="AW17">
        <v>0</v>
      </c>
      <c r="AX17" t="s">
        <v>84</v>
      </c>
      <c r="AY17">
        <v>14200</v>
      </c>
      <c r="BA17" t="s">
        <v>84</v>
      </c>
      <c r="BB17" t="s">
        <v>84</v>
      </c>
      <c r="BC17">
        <v>0</v>
      </c>
      <c r="BD17">
        <v>0</v>
      </c>
      <c r="BG17" t="s">
        <v>84</v>
      </c>
      <c r="BH17">
        <v>0</v>
      </c>
      <c r="BI17">
        <v>0</v>
      </c>
      <c r="BJ17" t="s">
        <v>84</v>
      </c>
      <c r="BK17" t="s">
        <v>84</v>
      </c>
      <c r="BM17" t="s">
        <v>84</v>
      </c>
      <c r="BP17">
        <v>0</v>
      </c>
      <c r="BQ17">
        <v>0</v>
      </c>
      <c r="BR17">
        <v>0</v>
      </c>
      <c r="BS17" t="s">
        <v>84</v>
      </c>
      <c r="BT17" t="s">
        <v>84</v>
      </c>
      <c r="BU17">
        <v>18176</v>
      </c>
      <c r="BV17">
        <v>18176</v>
      </c>
      <c r="BW17">
        <v>14980</v>
      </c>
    </row>
    <row r="18" spans="1:75" x14ac:dyDescent="0.25">
      <c r="A18">
        <v>318</v>
      </c>
      <c r="B18" s="1">
        <v>45126.801388888889</v>
      </c>
      <c r="C18" t="s">
        <v>72</v>
      </c>
      <c r="D18" t="s">
        <v>73</v>
      </c>
      <c r="E18" t="s">
        <v>74</v>
      </c>
      <c r="F18">
        <v>0</v>
      </c>
      <c r="G18" t="s">
        <v>75</v>
      </c>
      <c r="H18" t="s">
        <v>76</v>
      </c>
      <c r="I18" t="s">
        <v>77</v>
      </c>
      <c r="J18" t="s">
        <v>78</v>
      </c>
      <c r="K18" t="s">
        <v>84</v>
      </c>
      <c r="L18" t="s">
        <v>110</v>
      </c>
      <c r="M18" t="s">
        <v>72</v>
      </c>
      <c r="N18" t="s">
        <v>112</v>
      </c>
      <c r="O18" t="s">
        <v>82</v>
      </c>
      <c r="P18">
        <v>14364</v>
      </c>
      <c r="Q18" t="s">
        <v>83</v>
      </c>
      <c r="S18">
        <v>1</v>
      </c>
      <c r="T18">
        <v>1</v>
      </c>
      <c r="AE18" t="s">
        <v>84</v>
      </c>
      <c r="AG18" t="s">
        <v>84</v>
      </c>
      <c r="AH18" t="s">
        <v>84</v>
      </c>
      <c r="AJ18" t="s">
        <v>84</v>
      </c>
      <c r="AK18" t="s">
        <v>84</v>
      </c>
      <c r="AQ18" t="s">
        <v>84</v>
      </c>
      <c r="AT18" t="s">
        <v>84</v>
      </c>
      <c r="AU18" t="s">
        <v>84</v>
      </c>
      <c r="AV18" t="s">
        <v>84</v>
      </c>
      <c r="AX18" t="s">
        <v>84</v>
      </c>
      <c r="BA18" t="s">
        <v>84</v>
      </c>
      <c r="BB18" t="s">
        <v>84</v>
      </c>
      <c r="BG18" t="s">
        <v>84</v>
      </c>
      <c r="BJ18" t="s">
        <v>84</v>
      </c>
      <c r="BK18" t="s">
        <v>84</v>
      </c>
      <c r="BM18" t="s">
        <v>84</v>
      </c>
      <c r="BS18" t="s">
        <v>84</v>
      </c>
      <c r="BT18" t="s">
        <v>84</v>
      </c>
      <c r="BU18">
        <v>14364</v>
      </c>
      <c r="BV18">
        <v>0</v>
      </c>
      <c r="BW18">
        <v>14980</v>
      </c>
    </row>
    <row r="19" spans="1:75" x14ac:dyDescent="0.25">
      <c r="A19">
        <v>318</v>
      </c>
      <c r="B19" s="1">
        <v>45126.801388888889</v>
      </c>
      <c r="C19" t="s">
        <v>72</v>
      </c>
      <c r="D19" t="s">
        <v>73</v>
      </c>
      <c r="E19" t="s">
        <v>74</v>
      </c>
      <c r="F19">
        <v>0</v>
      </c>
      <c r="G19" t="s">
        <v>75</v>
      </c>
      <c r="H19" t="s">
        <v>76</v>
      </c>
      <c r="I19" t="s">
        <v>77</v>
      </c>
      <c r="J19" t="s">
        <v>78</v>
      </c>
      <c r="K19" t="s">
        <v>84</v>
      </c>
      <c r="L19" t="s">
        <v>110</v>
      </c>
      <c r="M19" t="s">
        <v>72</v>
      </c>
      <c r="N19" t="s">
        <v>113</v>
      </c>
      <c r="O19" t="s">
        <v>82</v>
      </c>
      <c r="P19">
        <v>12400</v>
      </c>
      <c r="Q19" t="s">
        <v>83</v>
      </c>
      <c r="AE19" t="s">
        <v>84</v>
      </c>
      <c r="AG19" t="s">
        <v>84</v>
      </c>
      <c r="AH19" t="s">
        <v>84</v>
      </c>
      <c r="AJ19" t="s">
        <v>84</v>
      </c>
      <c r="AK19" t="s">
        <v>84</v>
      </c>
      <c r="AQ19" t="s">
        <v>84</v>
      </c>
      <c r="AT19" t="s">
        <v>84</v>
      </c>
      <c r="AU19" t="s">
        <v>84</v>
      </c>
      <c r="AV19" t="s">
        <v>84</v>
      </c>
      <c r="AX19" t="s">
        <v>84</v>
      </c>
      <c r="BA19" t="s">
        <v>84</v>
      </c>
      <c r="BB19" t="s">
        <v>84</v>
      </c>
      <c r="BG19" t="s">
        <v>84</v>
      </c>
      <c r="BJ19" t="s">
        <v>84</v>
      </c>
      <c r="BK19" t="s">
        <v>84</v>
      </c>
      <c r="BM19" t="s">
        <v>84</v>
      </c>
      <c r="BS19" t="s">
        <v>84</v>
      </c>
      <c r="BT19" t="s">
        <v>84</v>
      </c>
      <c r="BU19">
        <v>0</v>
      </c>
      <c r="BV19">
        <v>0</v>
      </c>
      <c r="BW19">
        <v>14980</v>
      </c>
    </row>
    <row r="20" spans="1:75" x14ac:dyDescent="0.25">
      <c r="A20">
        <v>318</v>
      </c>
      <c r="B20" s="1">
        <v>45126.801388888889</v>
      </c>
      <c r="C20" t="s">
        <v>72</v>
      </c>
      <c r="D20" t="s">
        <v>73</v>
      </c>
      <c r="E20" t="s">
        <v>74</v>
      </c>
      <c r="F20">
        <v>0</v>
      </c>
      <c r="G20" t="s">
        <v>75</v>
      </c>
      <c r="H20" t="s">
        <v>76</v>
      </c>
      <c r="I20" t="s">
        <v>77</v>
      </c>
      <c r="J20" t="s">
        <v>78</v>
      </c>
      <c r="K20" t="s">
        <v>84</v>
      </c>
      <c r="L20" t="s">
        <v>114</v>
      </c>
      <c r="M20" t="s">
        <v>115</v>
      </c>
      <c r="N20" t="s">
        <v>116</v>
      </c>
      <c r="O20" t="s">
        <v>82</v>
      </c>
      <c r="P20">
        <v>39250</v>
      </c>
      <c r="Q20" t="s">
        <v>83</v>
      </c>
      <c r="T20">
        <v>1</v>
      </c>
      <c r="AE20" t="s">
        <v>84</v>
      </c>
      <c r="AG20" t="s">
        <v>84</v>
      </c>
      <c r="AH20" t="s">
        <v>84</v>
      </c>
      <c r="AJ20" t="s">
        <v>84</v>
      </c>
      <c r="AK20" t="s">
        <v>84</v>
      </c>
      <c r="AQ20" t="s">
        <v>84</v>
      </c>
      <c r="AT20" t="s">
        <v>84</v>
      </c>
      <c r="AU20" t="s">
        <v>84</v>
      </c>
      <c r="AV20" t="s">
        <v>84</v>
      </c>
      <c r="AX20" t="s">
        <v>84</v>
      </c>
      <c r="BA20" t="s">
        <v>84</v>
      </c>
      <c r="BB20" t="s">
        <v>84</v>
      </c>
      <c r="BG20" t="s">
        <v>84</v>
      </c>
      <c r="BJ20" t="s">
        <v>84</v>
      </c>
      <c r="BK20" t="s">
        <v>84</v>
      </c>
      <c r="BM20" t="s">
        <v>84</v>
      </c>
      <c r="BS20" t="s">
        <v>84</v>
      </c>
      <c r="BT20" t="s">
        <v>84</v>
      </c>
      <c r="BU20">
        <v>0</v>
      </c>
      <c r="BV20">
        <v>0</v>
      </c>
      <c r="BW20">
        <v>37483.333333333336</v>
      </c>
    </row>
    <row r="21" spans="1:75" x14ac:dyDescent="0.25">
      <c r="A21">
        <v>318</v>
      </c>
      <c r="B21" s="1">
        <v>45126.801388888889</v>
      </c>
      <c r="C21" t="s">
        <v>72</v>
      </c>
      <c r="D21" t="s">
        <v>73</v>
      </c>
      <c r="E21" t="s">
        <v>74</v>
      </c>
      <c r="F21">
        <v>0</v>
      </c>
      <c r="G21" t="s">
        <v>75</v>
      </c>
      <c r="H21" t="s">
        <v>76</v>
      </c>
      <c r="I21" t="s">
        <v>77</v>
      </c>
      <c r="J21" t="s">
        <v>78</v>
      </c>
      <c r="K21" t="s">
        <v>84</v>
      </c>
      <c r="L21" t="s">
        <v>114</v>
      </c>
      <c r="M21" t="s">
        <v>72</v>
      </c>
      <c r="N21" t="s">
        <v>117</v>
      </c>
      <c r="O21" t="s">
        <v>82</v>
      </c>
      <c r="P21">
        <v>36200</v>
      </c>
      <c r="Q21" t="s">
        <v>83</v>
      </c>
      <c r="W21">
        <v>1</v>
      </c>
      <c r="AE21" t="s">
        <v>84</v>
      </c>
      <c r="AG21" t="s">
        <v>84</v>
      </c>
      <c r="AH21" t="s">
        <v>84</v>
      </c>
      <c r="AJ21" t="s">
        <v>84</v>
      </c>
      <c r="AK21" t="s">
        <v>84</v>
      </c>
      <c r="AQ21" t="s">
        <v>84</v>
      </c>
      <c r="AT21" t="s">
        <v>84</v>
      </c>
      <c r="AU21" t="s">
        <v>84</v>
      </c>
      <c r="AV21" t="s">
        <v>84</v>
      </c>
      <c r="AX21" t="s">
        <v>84</v>
      </c>
      <c r="BA21" t="s">
        <v>84</v>
      </c>
      <c r="BB21" t="s">
        <v>84</v>
      </c>
      <c r="BG21" t="s">
        <v>84</v>
      </c>
      <c r="BJ21" t="s">
        <v>84</v>
      </c>
      <c r="BK21" t="s">
        <v>84</v>
      </c>
      <c r="BM21" t="s">
        <v>84</v>
      </c>
      <c r="BS21" t="s">
        <v>84</v>
      </c>
      <c r="BT21" t="s">
        <v>84</v>
      </c>
      <c r="BU21">
        <v>0</v>
      </c>
      <c r="BV21">
        <v>0</v>
      </c>
      <c r="BW21">
        <v>37483.333333333336</v>
      </c>
    </row>
    <row r="22" spans="1:75" x14ac:dyDescent="0.25">
      <c r="A22">
        <v>318</v>
      </c>
      <c r="B22" s="1">
        <v>45126.801388888889</v>
      </c>
      <c r="C22" t="s">
        <v>72</v>
      </c>
      <c r="D22" t="s">
        <v>73</v>
      </c>
      <c r="E22" t="s">
        <v>74</v>
      </c>
      <c r="F22">
        <v>1</v>
      </c>
      <c r="G22" t="s">
        <v>75</v>
      </c>
      <c r="H22" t="s">
        <v>76</v>
      </c>
      <c r="I22" t="s">
        <v>77</v>
      </c>
      <c r="J22" t="s">
        <v>78</v>
      </c>
      <c r="K22" t="s">
        <v>118</v>
      </c>
      <c r="L22" t="s">
        <v>114</v>
      </c>
      <c r="M22" t="s">
        <v>119</v>
      </c>
      <c r="N22" t="s">
        <v>120</v>
      </c>
      <c r="O22" t="s">
        <v>82</v>
      </c>
      <c r="P22">
        <v>37000</v>
      </c>
      <c r="Q22" t="s">
        <v>83</v>
      </c>
      <c r="R22">
        <v>37483.333330000001</v>
      </c>
      <c r="AE22" t="s">
        <v>84</v>
      </c>
      <c r="AG22" t="s">
        <v>84</v>
      </c>
      <c r="AH22" t="s">
        <v>84</v>
      </c>
      <c r="AJ22" t="s">
        <v>84</v>
      </c>
      <c r="AK22" t="s">
        <v>84</v>
      </c>
      <c r="AQ22" t="s">
        <v>84</v>
      </c>
      <c r="AT22" t="s">
        <v>84</v>
      </c>
      <c r="AU22" t="s">
        <v>84</v>
      </c>
      <c r="AV22" t="s">
        <v>84</v>
      </c>
      <c r="AX22" t="s">
        <v>84</v>
      </c>
      <c r="BA22" t="s">
        <v>84</v>
      </c>
      <c r="BB22" t="s">
        <v>84</v>
      </c>
      <c r="BG22" t="s">
        <v>84</v>
      </c>
      <c r="BJ22" t="s">
        <v>84</v>
      </c>
      <c r="BK22" t="s">
        <v>84</v>
      </c>
      <c r="BM22" t="s">
        <v>84</v>
      </c>
      <c r="BN22">
        <v>37000</v>
      </c>
      <c r="BS22" t="s">
        <v>84</v>
      </c>
      <c r="BT22" t="s">
        <v>84</v>
      </c>
      <c r="BU22">
        <v>0</v>
      </c>
      <c r="BV22">
        <v>0</v>
      </c>
      <c r="BW22">
        <v>37483.333333333336</v>
      </c>
    </row>
    <row r="23" spans="1:75" x14ac:dyDescent="0.25">
      <c r="A23">
        <v>318</v>
      </c>
      <c r="B23" s="1">
        <v>45126.801388888889</v>
      </c>
      <c r="C23" t="s">
        <v>72</v>
      </c>
      <c r="D23" t="s">
        <v>73</v>
      </c>
      <c r="E23" t="s">
        <v>74</v>
      </c>
      <c r="F23">
        <v>0</v>
      </c>
      <c r="G23" t="s">
        <v>75</v>
      </c>
      <c r="H23" t="s">
        <v>76</v>
      </c>
      <c r="I23" t="s">
        <v>77</v>
      </c>
      <c r="J23" t="s">
        <v>78</v>
      </c>
      <c r="K23" t="s">
        <v>84</v>
      </c>
      <c r="L23" t="s">
        <v>121</v>
      </c>
      <c r="M23" t="s">
        <v>115</v>
      </c>
      <c r="N23" t="s">
        <v>122</v>
      </c>
      <c r="O23" t="s">
        <v>82</v>
      </c>
      <c r="P23">
        <v>161541.30129999999</v>
      </c>
      <c r="Q23" t="s">
        <v>83</v>
      </c>
      <c r="T23">
        <v>1</v>
      </c>
      <c r="AE23" t="s">
        <v>84</v>
      </c>
      <c r="AG23" t="s">
        <v>84</v>
      </c>
      <c r="AH23" t="s">
        <v>84</v>
      </c>
      <c r="AJ23" t="s">
        <v>84</v>
      </c>
      <c r="AK23" t="s">
        <v>84</v>
      </c>
      <c r="AQ23" t="s">
        <v>84</v>
      </c>
      <c r="AT23" t="s">
        <v>84</v>
      </c>
      <c r="AU23" t="s">
        <v>84</v>
      </c>
      <c r="AV23" t="s">
        <v>84</v>
      </c>
      <c r="AX23" t="s">
        <v>84</v>
      </c>
      <c r="BA23" t="s">
        <v>84</v>
      </c>
      <c r="BB23" t="s">
        <v>84</v>
      </c>
      <c r="BG23" t="s">
        <v>84</v>
      </c>
      <c r="BJ23" t="s">
        <v>84</v>
      </c>
      <c r="BK23" t="s">
        <v>84</v>
      </c>
      <c r="BM23" t="s">
        <v>84</v>
      </c>
      <c r="BS23" t="s">
        <v>84</v>
      </c>
      <c r="BT23" t="s">
        <v>84</v>
      </c>
      <c r="BU23">
        <v>0</v>
      </c>
      <c r="BV23">
        <v>0</v>
      </c>
      <c r="BW23">
        <v>145472.97853333334</v>
      </c>
    </row>
    <row r="24" spans="1:75" x14ac:dyDescent="0.25">
      <c r="A24">
        <v>318</v>
      </c>
      <c r="B24" s="1">
        <v>45126.801388888889</v>
      </c>
      <c r="C24" t="s">
        <v>72</v>
      </c>
      <c r="D24" t="s">
        <v>73</v>
      </c>
      <c r="E24" t="s">
        <v>74</v>
      </c>
      <c r="F24">
        <v>0</v>
      </c>
      <c r="G24" t="s">
        <v>75</v>
      </c>
      <c r="H24" t="s">
        <v>76</v>
      </c>
      <c r="I24" t="s">
        <v>77</v>
      </c>
      <c r="J24" t="s">
        <v>78</v>
      </c>
      <c r="K24" t="s">
        <v>84</v>
      </c>
      <c r="L24" t="s">
        <v>121</v>
      </c>
      <c r="M24" t="s">
        <v>72</v>
      </c>
      <c r="N24" t="s">
        <v>123</v>
      </c>
      <c r="O24" t="s">
        <v>82</v>
      </c>
      <c r="P24">
        <v>138331.54800000001</v>
      </c>
      <c r="Q24" t="s">
        <v>83</v>
      </c>
      <c r="W24">
        <v>1</v>
      </c>
      <c r="AE24" t="s">
        <v>84</v>
      </c>
      <c r="AG24" t="s">
        <v>84</v>
      </c>
      <c r="AH24" t="s">
        <v>84</v>
      </c>
      <c r="AJ24" t="s">
        <v>84</v>
      </c>
      <c r="AK24" t="s">
        <v>84</v>
      </c>
      <c r="AQ24" t="s">
        <v>84</v>
      </c>
      <c r="AT24" t="s">
        <v>84</v>
      </c>
      <c r="AU24" t="s">
        <v>84</v>
      </c>
      <c r="AV24" t="s">
        <v>84</v>
      </c>
      <c r="AX24" t="s">
        <v>84</v>
      </c>
      <c r="BA24" t="s">
        <v>84</v>
      </c>
      <c r="BB24" t="s">
        <v>84</v>
      </c>
      <c r="BG24" t="s">
        <v>84</v>
      </c>
      <c r="BJ24" t="s">
        <v>84</v>
      </c>
      <c r="BK24" t="s">
        <v>84</v>
      </c>
      <c r="BM24" t="s">
        <v>84</v>
      </c>
      <c r="BS24" t="s">
        <v>84</v>
      </c>
      <c r="BT24" t="s">
        <v>84</v>
      </c>
      <c r="BU24">
        <v>0</v>
      </c>
      <c r="BV24">
        <v>0</v>
      </c>
      <c r="BW24">
        <v>145472.97853333334</v>
      </c>
    </row>
    <row r="25" spans="1:75" x14ac:dyDescent="0.25">
      <c r="A25">
        <v>318</v>
      </c>
      <c r="B25" s="1">
        <v>45126.801388888889</v>
      </c>
      <c r="C25" t="s">
        <v>72</v>
      </c>
      <c r="D25" t="s">
        <v>73</v>
      </c>
      <c r="E25" t="s">
        <v>74</v>
      </c>
      <c r="F25">
        <v>1</v>
      </c>
      <c r="G25" t="s">
        <v>75</v>
      </c>
      <c r="H25" t="s">
        <v>76</v>
      </c>
      <c r="I25" t="s">
        <v>77</v>
      </c>
      <c r="J25" t="s">
        <v>78</v>
      </c>
      <c r="K25" t="s">
        <v>118</v>
      </c>
      <c r="L25" t="s">
        <v>121</v>
      </c>
      <c r="M25" t="s">
        <v>119</v>
      </c>
      <c r="N25" t="s">
        <v>124</v>
      </c>
      <c r="O25" t="s">
        <v>82</v>
      </c>
      <c r="P25">
        <v>136546.0863</v>
      </c>
      <c r="Q25" t="s">
        <v>83</v>
      </c>
      <c r="R25">
        <v>145472.9786</v>
      </c>
      <c r="AA25">
        <v>0</v>
      </c>
      <c r="AD25">
        <v>8053</v>
      </c>
      <c r="AE25" t="s">
        <v>84</v>
      </c>
      <c r="AG25" t="s">
        <v>84</v>
      </c>
      <c r="AH25" t="s">
        <v>84</v>
      </c>
      <c r="AJ25" t="s">
        <v>84</v>
      </c>
      <c r="AK25" t="s">
        <v>84</v>
      </c>
      <c r="AP25">
        <v>2816</v>
      </c>
      <c r="AQ25" t="s">
        <v>84</v>
      </c>
      <c r="AR25">
        <v>7357</v>
      </c>
      <c r="AT25" t="s">
        <v>84</v>
      </c>
      <c r="AU25" t="s">
        <v>84</v>
      </c>
      <c r="AV25" t="s">
        <v>84</v>
      </c>
      <c r="AX25" t="s">
        <v>84</v>
      </c>
      <c r="AY25">
        <v>0</v>
      </c>
      <c r="BA25" t="s">
        <v>84</v>
      </c>
      <c r="BB25" t="s">
        <v>84</v>
      </c>
      <c r="BC25">
        <v>15030</v>
      </c>
      <c r="BF25">
        <v>7639</v>
      </c>
      <c r="BG25" t="s">
        <v>84</v>
      </c>
      <c r="BH25">
        <v>3398</v>
      </c>
      <c r="BI25">
        <v>33713</v>
      </c>
      <c r="BJ25" t="s">
        <v>84</v>
      </c>
      <c r="BK25" t="s">
        <v>84</v>
      </c>
      <c r="BL25">
        <v>11876</v>
      </c>
      <c r="BM25" t="s">
        <v>84</v>
      </c>
      <c r="BO25">
        <v>3905</v>
      </c>
      <c r="BQ25">
        <v>4610</v>
      </c>
      <c r="BR25">
        <v>1189</v>
      </c>
      <c r="BS25" t="s">
        <v>84</v>
      </c>
      <c r="BT25" t="s">
        <v>84</v>
      </c>
      <c r="BU25">
        <v>0</v>
      </c>
      <c r="BV25">
        <v>0</v>
      </c>
      <c r="BW25">
        <v>145472.97853333334</v>
      </c>
    </row>
    <row r="26" spans="1:75" x14ac:dyDescent="0.25">
      <c r="A26">
        <v>318</v>
      </c>
      <c r="B26" s="1">
        <v>45126.801388888889</v>
      </c>
      <c r="C26" t="s">
        <v>72</v>
      </c>
      <c r="D26" t="s">
        <v>73</v>
      </c>
      <c r="E26" t="s">
        <v>74</v>
      </c>
      <c r="F26">
        <v>0</v>
      </c>
      <c r="G26" t="s">
        <v>75</v>
      </c>
      <c r="H26" t="s">
        <v>76</v>
      </c>
      <c r="I26" t="s">
        <v>77</v>
      </c>
      <c r="J26" t="s">
        <v>78</v>
      </c>
      <c r="K26" t="s">
        <v>84</v>
      </c>
      <c r="L26" t="s">
        <v>125</v>
      </c>
      <c r="M26" t="s">
        <v>126</v>
      </c>
      <c r="N26" t="s">
        <v>127</v>
      </c>
      <c r="O26" t="s">
        <v>82</v>
      </c>
      <c r="P26">
        <v>8700</v>
      </c>
      <c r="Q26" t="s">
        <v>83</v>
      </c>
      <c r="AE26" t="s">
        <v>84</v>
      </c>
      <c r="AG26" t="s">
        <v>84</v>
      </c>
      <c r="AH26" t="s">
        <v>84</v>
      </c>
      <c r="AJ26" t="s">
        <v>84</v>
      </c>
      <c r="AK26" t="s">
        <v>84</v>
      </c>
      <c r="AQ26" t="s">
        <v>84</v>
      </c>
      <c r="AT26" t="s">
        <v>84</v>
      </c>
      <c r="AU26" t="s">
        <v>84</v>
      </c>
      <c r="AV26" t="s">
        <v>84</v>
      </c>
      <c r="AX26" t="s">
        <v>84</v>
      </c>
      <c r="BA26" t="s">
        <v>84</v>
      </c>
      <c r="BB26" t="s">
        <v>84</v>
      </c>
      <c r="BG26" t="s">
        <v>84</v>
      </c>
      <c r="BJ26" t="s">
        <v>84</v>
      </c>
      <c r="BK26" t="s">
        <v>84</v>
      </c>
      <c r="BM26" t="s">
        <v>84</v>
      </c>
      <c r="BS26" t="s">
        <v>84</v>
      </c>
      <c r="BT26" t="s">
        <v>84</v>
      </c>
      <c r="BU26">
        <v>0</v>
      </c>
      <c r="BV26">
        <v>0</v>
      </c>
      <c r="BW26">
        <v>38916.666666666672</v>
      </c>
    </row>
    <row r="27" spans="1:75" x14ac:dyDescent="0.25">
      <c r="A27">
        <v>318</v>
      </c>
      <c r="B27" s="1">
        <v>45126.801388888889</v>
      </c>
      <c r="C27" t="s">
        <v>72</v>
      </c>
      <c r="D27" t="s">
        <v>73</v>
      </c>
      <c r="E27" t="s">
        <v>74</v>
      </c>
      <c r="F27">
        <v>0</v>
      </c>
      <c r="G27" t="s">
        <v>75</v>
      </c>
      <c r="H27" t="s">
        <v>76</v>
      </c>
      <c r="I27" t="s">
        <v>77</v>
      </c>
      <c r="J27" t="s">
        <v>78</v>
      </c>
      <c r="K27" t="s">
        <v>84</v>
      </c>
      <c r="L27" t="s">
        <v>125</v>
      </c>
      <c r="M27" t="s">
        <v>128</v>
      </c>
      <c r="N27" t="s">
        <v>129</v>
      </c>
      <c r="O27" t="s">
        <v>82</v>
      </c>
      <c r="P27">
        <v>69900</v>
      </c>
      <c r="Q27" t="s">
        <v>83</v>
      </c>
      <c r="AE27" t="s">
        <v>84</v>
      </c>
      <c r="AG27" t="s">
        <v>84</v>
      </c>
      <c r="AH27" t="s">
        <v>84</v>
      </c>
      <c r="AJ27" t="s">
        <v>84</v>
      </c>
      <c r="AK27" t="s">
        <v>84</v>
      </c>
      <c r="AQ27" t="s">
        <v>84</v>
      </c>
      <c r="AT27" t="s">
        <v>84</v>
      </c>
      <c r="AU27" t="s">
        <v>84</v>
      </c>
      <c r="AV27" t="s">
        <v>84</v>
      </c>
      <c r="AX27" t="s">
        <v>84</v>
      </c>
      <c r="BA27" t="s">
        <v>84</v>
      </c>
      <c r="BB27" t="s">
        <v>84</v>
      </c>
      <c r="BG27" t="s">
        <v>84</v>
      </c>
      <c r="BJ27" t="s">
        <v>84</v>
      </c>
      <c r="BK27" t="s">
        <v>84</v>
      </c>
      <c r="BM27" t="s">
        <v>84</v>
      </c>
      <c r="BS27" t="s">
        <v>84</v>
      </c>
      <c r="BT27" t="s">
        <v>84</v>
      </c>
      <c r="BU27">
        <v>0</v>
      </c>
      <c r="BV27">
        <v>0</v>
      </c>
      <c r="BW27">
        <v>38916.666666666672</v>
      </c>
    </row>
    <row r="28" spans="1:75" x14ac:dyDescent="0.25">
      <c r="A28">
        <v>318</v>
      </c>
      <c r="B28" s="1">
        <v>45126.801388888889</v>
      </c>
      <c r="C28" t="s">
        <v>72</v>
      </c>
      <c r="D28" t="s">
        <v>73</v>
      </c>
      <c r="E28" t="s">
        <v>74</v>
      </c>
      <c r="F28">
        <v>1</v>
      </c>
      <c r="G28" t="s">
        <v>75</v>
      </c>
      <c r="H28" t="s">
        <v>76</v>
      </c>
      <c r="I28" t="s">
        <v>77</v>
      </c>
      <c r="J28" t="s">
        <v>78</v>
      </c>
      <c r="K28" t="s">
        <v>130</v>
      </c>
      <c r="L28" t="s">
        <v>125</v>
      </c>
      <c r="M28" t="s">
        <v>131</v>
      </c>
      <c r="N28" t="s">
        <v>132</v>
      </c>
      <c r="O28" t="s">
        <v>82</v>
      </c>
      <c r="P28">
        <v>38150</v>
      </c>
      <c r="Q28" t="s">
        <v>83</v>
      </c>
      <c r="R28">
        <v>38916.666669999999</v>
      </c>
      <c r="X28">
        <v>1</v>
      </c>
      <c r="AE28" t="s">
        <v>84</v>
      </c>
      <c r="AG28" t="s">
        <v>84</v>
      </c>
      <c r="AH28" t="s">
        <v>84</v>
      </c>
      <c r="AJ28" t="s">
        <v>84</v>
      </c>
      <c r="AK28" t="s">
        <v>84</v>
      </c>
      <c r="AQ28" t="s">
        <v>84</v>
      </c>
      <c r="AT28" t="s">
        <v>84</v>
      </c>
      <c r="AU28" t="s">
        <v>84</v>
      </c>
      <c r="AV28" t="s">
        <v>84</v>
      </c>
      <c r="AX28" t="s">
        <v>84</v>
      </c>
      <c r="AZ28">
        <v>38150</v>
      </c>
      <c r="BA28" t="s">
        <v>84</v>
      </c>
      <c r="BB28" t="s">
        <v>84</v>
      </c>
      <c r="BG28" t="s">
        <v>84</v>
      </c>
      <c r="BJ28" t="s">
        <v>84</v>
      </c>
      <c r="BK28" t="s">
        <v>84</v>
      </c>
      <c r="BM28" t="s">
        <v>84</v>
      </c>
      <c r="BS28" t="s">
        <v>84</v>
      </c>
      <c r="BT28" t="s">
        <v>84</v>
      </c>
      <c r="BU28">
        <v>0</v>
      </c>
      <c r="BV28">
        <v>0</v>
      </c>
      <c r="BW28">
        <v>38916.666666666672</v>
      </c>
    </row>
    <row r="29" spans="1:75" x14ac:dyDescent="0.25">
      <c r="A29">
        <v>323</v>
      </c>
      <c r="B29" s="1">
        <v>45128.78402777778</v>
      </c>
      <c r="C29" t="s">
        <v>133</v>
      </c>
      <c r="D29" t="s">
        <v>73</v>
      </c>
      <c r="E29" t="s">
        <v>134</v>
      </c>
      <c r="F29">
        <v>0</v>
      </c>
      <c r="G29" t="s">
        <v>135</v>
      </c>
      <c r="H29" t="s">
        <v>136</v>
      </c>
      <c r="I29" t="s">
        <v>137</v>
      </c>
      <c r="J29" t="s">
        <v>138</v>
      </c>
      <c r="K29" t="s">
        <v>84</v>
      </c>
      <c r="L29" t="s">
        <v>92</v>
      </c>
      <c r="M29" t="s">
        <v>139</v>
      </c>
      <c r="N29" t="s">
        <v>140</v>
      </c>
      <c r="O29" t="s">
        <v>82</v>
      </c>
      <c r="P29">
        <v>24800</v>
      </c>
      <c r="Q29" t="s">
        <v>83</v>
      </c>
      <c r="S29">
        <v>1</v>
      </c>
      <c r="X29">
        <v>1</v>
      </c>
      <c r="AE29" t="s">
        <v>84</v>
      </c>
      <c r="AG29" t="s">
        <v>84</v>
      </c>
      <c r="AH29" t="s">
        <v>84</v>
      </c>
      <c r="AJ29" t="s">
        <v>84</v>
      </c>
      <c r="AK29" t="s">
        <v>84</v>
      </c>
      <c r="AQ29" t="s">
        <v>84</v>
      </c>
      <c r="AT29" t="s">
        <v>84</v>
      </c>
      <c r="AU29" t="s">
        <v>84</v>
      </c>
      <c r="AV29" t="s">
        <v>84</v>
      </c>
      <c r="AX29" t="s">
        <v>84</v>
      </c>
      <c r="BA29" t="s">
        <v>84</v>
      </c>
      <c r="BB29" t="s">
        <v>84</v>
      </c>
      <c r="BG29" t="s">
        <v>84</v>
      </c>
      <c r="BJ29" t="s">
        <v>84</v>
      </c>
      <c r="BK29" t="s">
        <v>84</v>
      </c>
      <c r="BM29" t="s">
        <v>84</v>
      </c>
      <c r="BS29" t="s">
        <v>84</v>
      </c>
      <c r="BT29" t="s">
        <v>84</v>
      </c>
      <c r="BU29">
        <v>24800</v>
      </c>
      <c r="BV29">
        <v>0</v>
      </c>
      <c r="BW29">
        <v>33935</v>
      </c>
    </row>
    <row r="30" spans="1:75" x14ac:dyDescent="0.25">
      <c r="A30">
        <v>323</v>
      </c>
      <c r="B30" s="1">
        <v>45128.78402777778</v>
      </c>
      <c r="C30" t="s">
        <v>133</v>
      </c>
      <c r="D30" t="s">
        <v>73</v>
      </c>
      <c r="E30" t="s">
        <v>134</v>
      </c>
      <c r="F30">
        <v>1</v>
      </c>
      <c r="G30" t="s">
        <v>135</v>
      </c>
      <c r="H30" t="s">
        <v>136</v>
      </c>
      <c r="I30" t="s">
        <v>137</v>
      </c>
      <c r="J30" t="s">
        <v>138</v>
      </c>
      <c r="K30" t="s">
        <v>141</v>
      </c>
      <c r="L30" t="s">
        <v>92</v>
      </c>
      <c r="M30" t="s">
        <v>142</v>
      </c>
      <c r="N30" t="s">
        <v>143</v>
      </c>
      <c r="O30" t="s">
        <v>82</v>
      </c>
      <c r="P30">
        <v>43070</v>
      </c>
      <c r="Q30" t="s">
        <v>83</v>
      </c>
      <c r="R30">
        <v>33935</v>
      </c>
      <c r="AB30">
        <v>43070</v>
      </c>
      <c r="AE30" t="s">
        <v>84</v>
      </c>
      <c r="AG30" t="s">
        <v>84</v>
      </c>
      <c r="AH30" t="s">
        <v>84</v>
      </c>
      <c r="AJ30" t="s">
        <v>84</v>
      </c>
      <c r="AK30" t="s">
        <v>84</v>
      </c>
      <c r="AQ30" t="s">
        <v>84</v>
      </c>
      <c r="AT30" t="s">
        <v>84</v>
      </c>
      <c r="AU30" t="s">
        <v>84</v>
      </c>
      <c r="AV30" t="s">
        <v>84</v>
      </c>
      <c r="AX30" t="s">
        <v>84</v>
      </c>
      <c r="BA30" t="s">
        <v>84</v>
      </c>
      <c r="BB30" t="s">
        <v>84</v>
      </c>
      <c r="BG30" t="s">
        <v>84</v>
      </c>
      <c r="BJ30" t="s">
        <v>84</v>
      </c>
      <c r="BK30" t="s">
        <v>84</v>
      </c>
      <c r="BM30" t="s">
        <v>84</v>
      </c>
      <c r="BS30" t="s">
        <v>84</v>
      </c>
      <c r="BT30" t="s">
        <v>84</v>
      </c>
      <c r="BU30">
        <v>0</v>
      </c>
      <c r="BV30">
        <v>0</v>
      </c>
      <c r="BW30">
        <v>33935</v>
      </c>
    </row>
    <row r="31" spans="1:75" x14ac:dyDescent="0.25">
      <c r="A31">
        <v>323</v>
      </c>
      <c r="B31" s="1">
        <v>45128.78402777778</v>
      </c>
      <c r="C31" t="s">
        <v>133</v>
      </c>
      <c r="D31" t="s">
        <v>73</v>
      </c>
      <c r="E31" t="s">
        <v>134</v>
      </c>
      <c r="F31">
        <v>1</v>
      </c>
      <c r="G31" t="s">
        <v>135</v>
      </c>
      <c r="H31" t="s">
        <v>136</v>
      </c>
      <c r="I31" t="s">
        <v>137</v>
      </c>
      <c r="J31" t="s">
        <v>138</v>
      </c>
      <c r="K31" t="s">
        <v>141</v>
      </c>
      <c r="L31" t="s">
        <v>125</v>
      </c>
      <c r="M31" t="s">
        <v>144</v>
      </c>
      <c r="N31" t="s">
        <v>145</v>
      </c>
      <c r="O31" t="s">
        <v>82</v>
      </c>
      <c r="P31">
        <v>20800</v>
      </c>
      <c r="Q31" t="s">
        <v>83</v>
      </c>
      <c r="R31">
        <v>40150</v>
      </c>
      <c r="AE31" t="s">
        <v>84</v>
      </c>
      <c r="AG31" t="s">
        <v>84</v>
      </c>
      <c r="AH31" t="s">
        <v>84</v>
      </c>
      <c r="AJ31" t="s">
        <v>84</v>
      </c>
      <c r="AK31" t="s">
        <v>84</v>
      </c>
      <c r="AQ31" t="s">
        <v>84</v>
      </c>
      <c r="AT31" t="s">
        <v>84</v>
      </c>
      <c r="AU31" t="s">
        <v>84</v>
      </c>
      <c r="AV31" t="s">
        <v>84</v>
      </c>
      <c r="AX31" t="s">
        <v>84</v>
      </c>
      <c r="AZ31">
        <v>20800</v>
      </c>
      <c r="BA31" t="s">
        <v>84</v>
      </c>
      <c r="BB31" t="s">
        <v>84</v>
      </c>
      <c r="BG31" t="s">
        <v>84</v>
      </c>
      <c r="BJ31" t="s">
        <v>84</v>
      </c>
      <c r="BK31" t="s">
        <v>84</v>
      </c>
      <c r="BM31" t="s">
        <v>84</v>
      </c>
      <c r="BS31" t="s">
        <v>84</v>
      </c>
      <c r="BT31" t="s">
        <v>84</v>
      </c>
      <c r="BU31">
        <v>0</v>
      </c>
      <c r="BV31">
        <v>0</v>
      </c>
      <c r="BW31">
        <v>40150</v>
      </c>
    </row>
    <row r="32" spans="1:75" x14ac:dyDescent="0.25">
      <c r="A32">
        <v>323</v>
      </c>
      <c r="B32" s="1">
        <v>45128.78402777778</v>
      </c>
      <c r="C32" t="s">
        <v>133</v>
      </c>
      <c r="D32" t="s">
        <v>73</v>
      </c>
      <c r="E32" t="s">
        <v>134</v>
      </c>
      <c r="F32">
        <v>0</v>
      </c>
      <c r="G32" t="s">
        <v>135</v>
      </c>
      <c r="H32" t="s">
        <v>136</v>
      </c>
      <c r="I32" t="s">
        <v>137</v>
      </c>
      <c r="J32" t="s">
        <v>138</v>
      </c>
      <c r="K32" t="s">
        <v>84</v>
      </c>
      <c r="L32" t="s">
        <v>125</v>
      </c>
      <c r="M32" t="s">
        <v>146</v>
      </c>
      <c r="N32" t="s">
        <v>147</v>
      </c>
      <c r="O32" t="s">
        <v>82</v>
      </c>
      <c r="P32">
        <v>49050</v>
      </c>
      <c r="Q32" t="s">
        <v>83</v>
      </c>
      <c r="AE32" t="s">
        <v>84</v>
      </c>
      <c r="AG32" t="s">
        <v>84</v>
      </c>
      <c r="AH32" t="s">
        <v>84</v>
      </c>
      <c r="AJ32" t="s">
        <v>84</v>
      </c>
      <c r="AK32" t="s">
        <v>84</v>
      </c>
      <c r="AQ32" t="s">
        <v>84</v>
      </c>
      <c r="AT32" t="s">
        <v>84</v>
      </c>
      <c r="AU32" t="s">
        <v>84</v>
      </c>
      <c r="AV32" t="s">
        <v>84</v>
      </c>
      <c r="AX32" t="s">
        <v>84</v>
      </c>
      <c r="BA32" t="s">
        <v>84</v>
      </c>
      <c r="BB32" t="s">
        <v>84</v>
      </c>
      <c r="BG32" t="s">
        <v>84</v>
      </c>
      <c r="BJ32" t="s">
        <v>84</v>
      </c>
      <c r="BK32" t="s">
        <v>84</v>
      </c>
      <c r="BM32" t="s">
        <v>84</v>
      </c>
      <c r="BS32" t="s">
        <v>84</v>
      </c>
      <c r="BT32" t="s">
        <v>84</v>
      </c>
      <c r="BU32">
        <v>0</v>
      </c>
      <c r="BV32">
        <v>0</v>
      </c>
      <c r="BW32">
        <v>40150</v>
      </c>
    </row>
    <row r="33" spans="1:75" x14ac:dyDescent="0.25">
      <c r="A33">
        <v>323</v>
      </c>
      <c r="B33" s="1">
        <v>45128.78402777778</v>
      </c>
      <c r="C33" t="s">
        <v>133</v>
      </c>
      <c r="D33" t="s">
        <v>73</v>
      </c>
      <c r="E33" t="s">
        <v>134</v>
      </c>
      <c r="F33">
        <v>0</v>
      </c>
      <c r="G33" t="s">
        <v>135</v>
      </c>
      <c r="H33" t="s">
        <v>136</v>
      </c>
      <c r="I33" t="s">
        <v>137</v>
      </c>
      <c r="J33" t="s">
        <v>138</v>
      </c>
      <c r="K33" t="s">
        <v>84</v>
      </c>
      <c r="L33" t="s">
        <v>125</v>
      </c>
      <c r="M33" t="s">
        <v>148</v>
      </c>
      <c r="N33" t="s">
        <v>149</v>
      </c>
      <c r="O33" t="s">
        <v>82</v>
      </c>
      <c r="P33">
        <v>50600</v>
      </c>
      <c r="Q33" t="s">
        <v>83</v>
      </c>
      <c r="AE33" t="s">
        <v>84</v>
      </c>
      <c r="AG33" t="s">
        <v>84</v>
      </c>
      <c r="AH33" t="s">
        <v>84</v>
      </c>
      <c r="AJ33" t="s">
        <v>84</v>
      </c>
      <c r="AK33" t="s">
        <v>84</v>
      </c>
      <c r="AQ33" t="s">
        <v>84</v>
      </c>
      <c r="AT33" t="s">
        <v>84</v>
      </c>
      <c r="AU33" t="s">
        <v>84</v>
      </c>
      <c r="AV33" t="s">
        <v>84</v>
      </c>
      <c r="AX33" t="s">
        <v>84</v>
      </c>
      <c r="BA33" t="s">
        <v>84</v>
      </c>
      <c r="BB33" t="s">
        <v>84</v>
      </c>
      <c r="BG33" t="s">
        <v>84</v>
      </c>
      <c r="BJ33" t="s">
        <v>84</v>
      </c>
      <c r="BK33" t="s">
        <v>84</v>
      </c>
      <c r="BM33" t="s">
        <v>84</v>
      </c>
      <c r="BS33" t="s">
        <v>84</v>
      </c>
      <c r="BT33" t="s">
        <v>84</v>
      </c>
      <c r="BU33">
        <v>0</v>
      </c>
      <c r="BV33">
        <v>0</v>
      </c>
      <c r="BW33">
        <v>40150</v>
      </c>
    </row>
    <row r="34" spans="1:75" x14ac:dyDescent="0.25">
      <c r="A34">
        <v>323</v>
      </c>
      <c r="B34" s="1">
        <v>45128.78402777778</v>
      </c>
      <c r="C34" t="s">
        <v>133</v>
      </c>
      <c r="D34" t="s">
        <v>73</v>
      </c>
      <c r="E34" t="s">
        <v>134</v>
      </c>
      <c r="F34">
        <v>1</v>
      </c>
      <c r="G34" t="s">
        <v>135</v>
      </c>
      <c r="H34" t="s">
        <v>136</v>
      </c>
      <c r="I34" t="s">
        <v>137</v>
      </c>
      <c r="J34" t="s">
        <v>138</v>
      </c>
      <c r="K34" t="s">
        <v>150</v>
      </c>
      <c r="L34" t="s">
        <v>151</v>
      </c>
      <c r="M34" t="s">
        <v>152</v>
      </c>
      <c r="N34" t="s">
        <v>153</v>
      </c>
      <c r="O34" t="s">
        <v>82</v>
      </c>
      <c r="P34">
        <v>116454</v>
      </c>
      <c r="Q34" t="s">
        <v>83</v>
      </c>
      <c r="R34">
        <v>104828.75</v>
      </c>
      <c r="Y34">
        <v>56750</v>
      </c>
      <c r="AE34" t="s">
        <v>84</v>
      </c>
      <c r="AG34" t="s">
        <v>84</v>
      </c>
      <c r="AH34" t="s">
        <v>84</v>
      </c>
      <c r="AJ34" t="s">
        <v>84</v>
      </c>
      <c r="AK34" t="s">
        <v>84</v>
      </c>
      <c r="AQ34" t="s">
        <v>84</v>
      </c>
      <c r="AR34">
        <v>750</v>
      </c>
      <c r="AS34">
        <v>7500</v>
      </c>
      <c r="AT34" t="s">
        <v>84</v>
      </c>
      <c r="AU34" t="s">
        <v>84</v>
      </c>
      <c r="AV34" t="s">
        <v>84</v>
      </c>
      <c r="AX34" t="s">
        <v>84</v>
      </c>
      <c r="AY34">
        <v>7900</v>
      </c>
      <c r="BA34" t="s">
        <v>84</v>
      </c>
      <c r="BB34" t="s">
        <v>84</v>
      </c>
      <c r="BF34">
        <v>16680</v>
      </c>
      <c r="BG34" t="s">
        <v>84</v>
      </c>
      <c r="BJ34" t="s">
        <v>84</v>
      </c>
      <c r="BK34" t="s">
        <v>84</v>
      </c>
      <c r="BM34" t="s">
        <v>84</v>
      </c>
      <c r="BS34" t="s">
        <v>84</v>
      </c>
      <c r="BT34" t="s">
        <v>84</v>
      </c>
      <c r="BU34">
        <v>0</v>
      </c>
      <c r="BV34">
        <v>0</v>
      </c>
      <c r="BW34">
        <v>104828.75</v>
      </c>
    </row>
    <row r="35" spans="1:75" x14ac:dyDescent="0.25">
      <c r="A35">
        <v>323</v>
      </c>
      <c r="B35" s="1">
        <v>45128.78402777778</v>
      </c>
      <c r="C35" t="s">
        <v>133</v>
      </c>
      <c r="D35" t="s">
        <v>73</v>
      </c>
      <c r="E35" t="s">
        <v>134</v>
      </c>
      <c r="F35">
        <v>0</v>
      </c>
      <c r="G35" t="s">
        <v>135</v>
      </c>
      <c r="H35" t="s">
        <v>136</v>
      </c>
      <c r="I35" t="s">
        <v>137</v>
      </c>
      <c r="J35" t="s">
        <v>138</v>
      </c>
      <c r="K35" t="s">
        <v>84</v>
      </c>
      <c r="L35" t="s">
        <v>151</v>
      </c>
      <c r="M35" t="s">
        <v>154</v>
      </c>
      <c r="N35" t="s">
        <v>155</v>
      </c>
      <c r="O35" t="s">
        <v>82</v>
      </c>
      <c r="P35">
        <v>93203.5</v>
      </c>
      <c r="Q35" t="s">
        <v>83</v>
      </c>
      <c r="AE35" t="s">
        <v>84</v>
      </c>
      <c r="AG35" t="s">
        <v>84</v>
      </c>
      <c r="AH35" t="s">
        <v>84</v>
      </c>
      <c r="AJ35" t="s">
        <v>84</v>
      </c>
      <c r="AK35" t="s">
        <v>84</v>
      </c>
      <c r="AQ35" t="s">
        <v>84</v>
      </c>
      <c r="AT35" t="s">
        <v>84</v>
      </c>
      <c r="AU35" t="s">
        <v>84</v>
      </c>
      <c r="AV35" t="s">
        <v>84</v>
      </c>
      <c r="AX35" t="s">
        <v>84</v>
      </c>
      <c r="BA35" t="s">
        <v>84</v>
      </c>
      <c r="BB35" t="s">
        <v>84</v>
      </c>
      <c r="BG35" t="s">
        <v>84</v>
      </c>
      <c r="BJ35" t="s">
        <v>84</v>
      </c>
      <c r="BK35" t="s">
        <v>84</v>
      </c>
      <c r="BM35" t="s">
        <v>84</v>
      </c>
      <c r="BS35" t="s">
        <v>84</v>
      </c>
      <c r="BT35" t="s">
        <v>84</v>
      </c>
      <c r="BU35">
        <v>0</v>
      </c>
      <c r="BV35">
        <v>0</v>
      </c>
      <c r="BW35">
        <v>104828.75</v>
      </c>
    </row>
    <row r="36" spans="1:75" x14ac:dyDescent="0.25">
      <c r="A36">
        <v>323</v>
      </c>
      <c r="B36" s="1">
        <v>45128.78402777778</v>
      </c>
      <c r="C36" t="s">
        <v>133</v>
      </c>
      <c r="D36" t="s">
        <v>73</v>
      </c>
      <c r="E36" t="s">
        <v>134</v>
      </c>
      <c r="F36">
        <v>0</v>
      </c>
      <c r="G36" t="s">
        <v>135</v>
      </c>
      <c r="H36" t="s">
        <v>136</v>
      </c>
      <c r="I36" t="s">
        <v>137</v>
      </c>
      <c r="J36" t="s">
        <v>138</v>
      </c>
      <c r="K36" t="s">
        <v>84</v>
      </c>
      <c r="L36" t="s">
        <v>98</v>
      </c>
      <c r="M36" t="s">
        <v>156</v>
      </c>
      <c r="N36" t="s">
        <v>157</v>
      </c>
      <c r="O36" t="s">
        <v>82</v>
      </c>
      <c r="P36">
        <v>17500</v>
      </c>
      <c r="Q36" t="s">
        <v>83</v>
      </c>
      <c r="W36">
        <v>1</v>
      </c>
      <c r="AE36" t="s">
        <v>84</v>
      </c>
      <c r="AG36" t="s">
        <v>84</v>
      </c>
      <c r="AH36" t="s">
        <v>84</v>
      </c>
      <c r="AJ36" t="s">
        <v>84</v>
      </c>
      <c r="AK36" t="s">
        <v>84</v>
      </c>
      <c r="AQ36" t="s">
        <v>84</v>
      </c>
      <c r="AT36" t="s">
        <v>84</v>
      </c>
      <c r="AU36" t="s">
        <v>84</v>
      </c>
      <c r="AV36" t="s">
        <v>84</v>
      </c>
      <c r="AX36" t="s">
        <v>84</v>
      </c>
      <c r="BA36" t="s">
        <v>84</v>
      </c>
      <c r="BB36" t="s">
        <v>84</v>
      </c>
      <c r="BG36" t="s">
        <v>84</v>
      </c>
      <c r="BJ36" t="s">
        <v>84</v>
      </c>
      <c r="BK36" t="s">
        <v>84</v>
      </c>
      <c r="BM36" t="s">
        <v>84</v>
      </c>
      <c r="BS36" t="s">
        <v>84</v>
      </c>
      <c r="BT36" t="s">
        <v>84</v>
      </c>
      <c r="BU36">
        <v>0</v>
      </c>
      <c r="BV36">
        <v>0</v>
      </c>
      <c r="BW36">
        <v>32250</v>
      </c>
    </row>
    <row r="37" spans="1:75" x14ac:dyDescent="0.25">
      <c r="A37">
        <v>323</v>
      </c>
      <c r="B37" s="1">
        <v>45128.78402777778</v>
      </c>
      <c r="C37" t="s">
        <v>133</v>
      </c>
      <c r="D37" t="s">
        <v>73</v>
      </c>
      <c r="E37" t="s">
        <v>134</v>
      </c>
      <c r="F37">
        <v>1</v>
      </c>
      <c r="G37" t="s">
        <v>135</v>
      </c>
      <c r="H37" t="s">
        <v>136</v>
      </c>
      <c r="I37" t="s">
        <v>137</v>
      </c>
      <c r="J37" t="s">
        <v>138</v>
      </c>
      <c r="K37" t="s">
        <v>158</v>
      </c>
      <c r="L37" t="s">
        <v>98</v>
      </c>
      <c r="M37" t="s">
        <v>159</v>
      </c>
      <c r="N37" t="s">
        <v>160</v>
      </c>
      <c r="O37" t="s">
        <v>82</v>
      </c>
      <c r="P37">
        <v>49250</v>
      </c>
      <c r="Q37" t="s">
        <v>83</v>
      </c>
      <c r="R37">
        <v>32250</v>
      </c>
      <c r="S37">
        <v>1</v>
      </c>
      <c r="W37">
        <v>1</v>
      </c>
      <c r="AE37" t="s">
        <v>84</v>
      </c>
      <c r="AG37" t="s">
        <v>84</v>
      </c>
      <c r="AH37" t="s">
        <v>84</v>
      </c>
      <c r="AJ37" t="s">
        <v>84</v>
      </c>
      <c r="AK37" t="s">
        <v>84</v>
      </c>
      <c r="AQ37" t="s">
        <v>84</v>
      </c>
      <c r="AS37">
        <v>49250</v>
      </c>
      <c r="AT37" t="s">
        <v>84</v>
      </c>
      <c r="AU37" t="s">
        <v>84</v>
      </c>
      <c r="AV37" t="s">
        <v>84</v>
      </c>
      <c r="AX37" t="s">
        <v>84</v>
      </c>
      <c r="BA37" t="s">
        <v>84</v>
      </c>
      <c r="BB37" t="s">
        <v>84</v>
      </c>
      <c r="BG37" t="s">
        <v>84</v>
      </c>
      <c r="BJ37" t="s">
        <v>84</v>
      </c>
      <c r="BK37" t="s">
        <v>84</v>
      </c>
      <c r="BM37" t="s">
        <v>84</v>
      </c>
      <c r="BS37" t="s">
        <v>84</v>
      </c>
      <c r="BT37" t="s">
        <v>84</v>
      </c>
      <c r="BU37">
        <v>49250</v>
      </c>
      <c r="BV37">
        <v>49250</v>
      </c>
      <c r="BW37">
        <v>32250</v>
      </c>
    </row>
    <row r="38" spans="1:75" x14ac:dyDescent="0.25">
      <c r="A38">
        <v>323</v>
      </c>
      <c r="B38" s="1">
        <v>45128.78402777778</v>
      </c>
      <c r="C38" t="s">
        <v>133</v>
      </c>
      <c r="D38" t="s">
        <v>73</v>
      </c>
      <c r="E38" t="s">
        <v>134</v>
      </c>
      <c r="F38">
        <v>0</v>
      </c>
      <c r="G38" t="s">
        <v>135</v>
      </c>
      <c r="H38" t="s">
        <v>136</v>
      </c>
      <c r="I38" t="s">
        <v>137</v>
      </c>
      <c r="J38" t="s">
        <v>138</v>
      </c>
      <c r="K38" t="s">
        <v>84</v>
      </c>
      <c r="L38" t="s">
        <v>98</v>
      </c>
      <c r="M38" t="s">
        <v>161</v>
      </c>
      <c r="N38" t="s">
        <v>162</v>
      </c>
      <c r="O38" t="s">
        <v>82</v>
      </c>
      <c r="P38">
        <v>30000</v>
      </c>
      <c r="Q38" t="s">
        <v>83</v>
      </c>
      <c r="V38">
        <v>1</v>
      </c>
      <c r="AE38" t="s">
        <v>84</v>
      </c>
      <c r="AG38" t="s">
        <v>84</v>
      </c>
      <c r="AH38" t="s">
        <v>84</v>
      </c>
      <c r="AJ38" t="s">
        <v>84</v>
      </c>
      <c r="AK38" t="s">
        <v>84</v>
      </c>
      <c r="AQ38" t="s">
        <v>84</v>
      </c>
      <c r="AT38" t="s">
        <v>84</v>
      </c>
      <c r="AU38" t="s">
        <v>84</v>
      </c>
      <c r="AV38" t="s">
        <v>84</v>
      </c>
      <c r="AX38" t="s">
        <v>84</v>
      </c>
      <c r="BA38" t="s">
        <v>84</v>
      </c>
      <c r="BB38" t="s">
        <v>84</v>
      </c>
      <c r="BG38" t="s">
        <v>84</v>
      </c>
      <c r="BJ38" t="s">
        <v>84</v>
      </c>
      <c r="BK38" t="s">
        <v>84</v>
      </c>
      <c r="BM38" t="s">
        <v>84</v>
      </c>
      <c r="BS38" t="s">
        <v>84</v>
      </c>
      <c r="BT38" t="s">
        <v>84</v>
      </c>
      <c r="BU38">
        <v>0</v>
      </c>
      <c r="BV38">
        <v>0</v>
      </c>
      <c r="BW38">
        <v>32250</v>
      </c>
    </row>
    <row r="39" spans="1:75" x14ac:dyDescent="0.25">
      <c r="A39">
        <v>323</v>
      </c>
      <c r="B39" s="1">
        <v>45128.78402777778</v>
      </c>
      <c r="C39" t="s">
        <v>133</v>
      </c>
      <c r="D39" t="s">
        <v>73</v>
      </c>
      <c r="E39" t="s">
        <v>134</v>
      </c>
      <c r="F39">
        <v>1</v>
      </c>
      <c r="G39" t="s">
        <v>135</v>
      </c>
      <c r="H39" t="s">
        <v>136</v>
      </c>
      <c r="I39" t="s">
        <v>137</v>
      </c>
      <c r="J39" t="s">
        <v>138</v>
      </c>
      <c r="K39" t="s">
        <v>163</v>
      </c>
      <c r="L39" t="s">
        <v>87</v>
      </c>
      <c r="M39" t="s">
        <v>133</v>
      </c>
      <c r="N39" t="s">
        <v>164</v>
      </c>
      <c r="O39" t="s">
        <v>82</v>
      </c>
      <c r="P39">
        <v>95889.791670000006</v>
      </c>
      <c r="Q39" t="s">
        <v>83</v>
      </c>
      <c r="R39">
        <v>93203.872220000005</v>
      </c>
      <c r="X39">
        <v>1</v>
      </c>
      <c r="AE39" t="s">
        <v>84</v>
      </c>
      <c r="AG39" t="s">
        <v>84</v>
      </c>
      <c r="AH39" t="s">
        <v>84</v>
      </c>
      <c r="AJ39" t="s">
        <v>84</v>
      </c>
      <c r="AK39" t="s">
        <v>84</v>
      </c>
      <c r="AL39">
        <v>16650</v>
      </c>
      <c r="AM39">
        <v>13100</v>
      </c>
      <c r="AN39">
        <v>32950</v>
      </c>
      <c r="AO39">
        <v>7250</v>
      </c>
      <c r="AQ39" t="s">
        <v>84</v>
      </c>
      <c r="AT39" t="s">
        <v>84</v>
      </c>
      <c r="AU39" t="s">
        <v>84</v>
      </c>
      <c r="AV39" t="s">
        <v>84</v>
      </c>
      <c r="AX39" t="s">
        <v>84</v>
      </c>
      <c r="BA39" t="s">
        <v>84</v>
      </c>
      <c r="BB39" t="s">
        <v>84</v>
      </c>
      <c r="BG39" t="s">
        <v>84</v>
      </c>
      <c r="BJ39" t="s">
        <v>84</v>
      </c>
      <c r="BK39" t="s">
        <v>84</v>
      </c>
      <c r="BM39" t="s">
        <v>84</v>
      </c>
      <c r="BS39" t="s">
        <v>84</v>
      </c>
      <c r="BT39" t="s">
        <v>84</v>
      </c>
      <c r="BU39">
        <v>0</v>
      </c>
      <c r="BV39">
        <v>0</v>
      </c>
      <c r="BW39">
        <v>93203.872213333336</v>
      </c>
    </row>
    <row r="40" spans="1:75" x14ac:dyDescent="0.25">
      <c r="A40">
        <v>323</v>
      </c>
      <c r="B40" s="1">
        <v>45128.78402777778</v>
      </c>
      <c r="C40" t="s">
        <v>133</v>
      </c>
      <c r="D40" t="s">
        <v>73</v>
      </c>
      <c r="E40" t="s">
        <v>134</v>
      </c>
      <c r="F40">
        <v>0</v>
      </c>
      <c r="G40" t="s">
        <v>135</v>
      </c>
      <c r="H40" t="s">
        <v>136</v>
      </c>
      <c r="I40" t="s">
        <v>137</v>
      </c>
      <c r="J40" t="s">
        <v>138</v>
      </c>
      <c r="K40" t="s">
        <v>84</v>
      </c>
      <c r="L40" t="s">
        <v>87</v>
      </c>
      <c r="M40" t="s">
        <v>133</v>
      </c>
      <c r="N40" t="s">
        <v>165</v>
      </c>
      <c r="O40" t="s">
        <v>82</v>
      </c>
      <c r="P40">
        <v>67406.616670000003</v>
      </c>
      <c r="Q40" t="s">
        <v>83</v>
      </c>
      <c r="U40">
        <v>1</v>
      </c>
      <c r="AE40" t="s">
        <v>84</v>
      </c>
      <c r="AG40" t="s">
        <v>84</v>
      </c>
      <c r="AH40" t="s">
        <v>84</v>
      </c>
      <c r="AJ40" t="s">
        <v>84</v>
      </c>
      <c r="AK40" t="s">
        <v>84</v>
      </c>
      <c r="AQ40" t="s">
        <v>84</v>
      </c>
      <c r="AT40" t="s">
        <v>84</v>
      </c>
      <c r="AU40" t="s">
        <v>84</v>
      </c>
      <c r="AV40" t="s">
        <v>84</v>
      </c>
      <c r="AX40" t="s">
        <v>84</v>
      </c>
      <c r="BA40" t="s">
        <v>84</v>
      </c>
      <c r="BB40" t="s">
        <v>84</v>
      </c>
      <c r="BG40" t="s">
        <v>84</v>
      </c>
      <c r="BJ40" t="s">
        <v>84</v>
      </c>
      <c r="BK40" t="s">
        <v>84</v>
      </c>
      <c r="BM40" t="s">
        <v>84</v>
      </c>
      <c r="BS40" t="s">
        <v>84</v>
      </c>
      <c r="BT40" t="s">
        <v>84</v>
      </c>
      <c r="BU40">
        <v>0</v>
      </c>
      <c r="BV40">
        <v>0</v>
      </c>
      <c r="BW40">
        <v>93203.872213333336</v>
      </c>
    </row>
    <row r="41" spans="1:75" x14ac:dyDescent="0.25">
      <c r="A41">
        <v>323</v>
      </c>
      <c r="B41" s="1">
        <v>45128.78402777778</v>
      </c>
      <c r="C41" t="s">
        <v>133</v>
      </c>
      <c r="D41" t="s">
        <v>73</v>
      </c>
      <c r="E41" t="s">
        <v>134</v>
      </c>
      <c r="F41">
        <v>0</v>
      </c>
      <c r="G41" t="s">
        <v>135</v>
      </c>
      <c r="H41" t="s">
        <v>136</v>
      </c>
      <c r="I41" t="s">
        <v>137</v>
      </c>
      <c r="J41" t="s">
        <v>138</v>
      </c>
      <c r="K41" t="s">
        <v>84</v>
      </c>
      <c r="L41" t="s">
        <v>87</v>
      </c>
      <c r="M41" t="s">
        <v>133</v>
      </c>
      <c r="N41" t="s">
        <v>166</v>
      </c>
      <c r="O41" t="s">
        <v>82</v>
      </c>
      <c r="P41">
        <v>116315.2083</v>
      </c>
      <c r="Q41" t="s">
        <v>83</v>
      </c>
      <c r="AE41" t="s">
        <v>84</v>
      </c>
      <c r="AG41" t="s">
        <v>84</v>
      </c>
      <c r="AH41" t="s">
        <v>84</v>
      </c>
      <c r="AJ41" t="s">
        <v>84</v>
      </c>
      <c r="AK41" t="s">
        <v>84</v>
      </c>
      <c r="AQ41" t="s">
        <v>84</v>
      </c>
      <c r="AT41" t="s">
        <v>84</v>
      </c>
      <c r="AU41" t="s">
        <v>84</v>
      </c>
      <c r="AV41" t="s">
        <v>84</v>
      </c>
      <c r="AX41" t="s">
        <v>84</v>
      </c>
      <c r="BA41" t="s">
        <v>84</v>
      </c>
      <c r="BB41" t="s">
        <v>84</v>
      </c>
      <c r="BG41" t="s">
        <v>84</v>
      </c>
      <c r="BJ41" t="s">
        <v>84</v>
      </c>
      <c r="BK41" t="s">
        <v>84</v>
      </c>
      <c r="BM41" t="s">
        <v>84</v>
      </c>
      <c r="BS41" t="s">
        <v>84</v>
      </c>
      <c r="BT41" t="s">
        <v>84</v>
      </c>
      <c r="BU41">
        <v>0</v>
      </c>
      <c r="BV41">
        <v>0</v>
      </c>
      <c r="BW41">
        <v>93203.872213333336</v>
      </c>
    </row>
    <row r="42" spans="1:75" x14ac:dyDescent="0.25">
      <c r="A42">
        <v>323</v>
      </c>
      <c r="B42" s="1">
        <v>45128.78402777778</v>
      </c>
      <c r="C42" t="s">
        <v>133</v>
      </c>
      <c r="D42" t="s">
        <v>73</v>
      </c>
      <c r="E42" t="s">
        <v>134</v>
      </c>
      <c r="F42">
        <v>1</v>
      </c>
      <c r="G42" t="s">
        <v>135</v>
      </c>
      <c r="H42" t="s">
        <v>136</v>
      </c>
      <c r="I42" t="s">
        <v>137</v>
      </c>
      <c r="J42" t="s">
        <v>138</v>
      </c>
      <c r="K42" t="s">
        <v>167</v>
      </c>
      <c r="L42" t="s">
        <v>110</v>
      </c>
      <c r="M42" t="s">
        <v>133</v>
      </c>
      <c r="N42" t="s">
        <v>168</v>
      </c>
      <c r="O42" t="s">
        <v>82</v>
      </c>
      <c r="P42">
        <v>10250</v>
      </c>
      <c r="Q42" t="s">
        <v>83</v>
      </c>
      <c r="R42">
        <v>9606</v>
      </c>
      <c r="Z42">
        <v>0</v>
      </c>
      <c r="AA42">
        <v>0</v>
      </c>
      <c r="AE42" t="s">
        <v>84</v>
      </c>
      <c r="AG42" t="s">
        <v>84</v>
      </c>
      <c r="AH42" t="s">
        <v>84</v>
      </c>
      <c r="AI42">
        <v>0</v>
      </c>
      <c r="AJ42" t="s">
        <v>84</v>
      </c>
      <c r="AK42" t="s">
        <v>84</v>
      </c>
      <c r="AL42">
        <v>0</v>
      </c>
      <c r="AN42">
        <v>0</v>
      </c>
      <c r="AP42">
        <v>0</v>
      </c>
      <c r="AQ42" t="s">
        <v>84</v>
      </c>
      <c r="AR42">
        <v>0</v>
      </c>
      <c r="AT42" t="s">
        <v>84</v>
      </c>
      <c r="AU42" t="s">
        <v>84</v>
      </c>
      <c r="AV42" t="s">
        <v>84</v>
      </c>
      <c r="AW42">
        <v>0</v>
      </c>
      <c r="AX42" t="s">
        <v>84</v>
      </c>
      <c r="AY42">
        <v>8200</v>
      </c>
      <c r="BA42" t="s">
        <v>84</v>
      </c>
      <c r="BB42" t="s">
        <v>84</v>
      </c>
      <c r="BC42">
        <v>0</v>
      </c>
      <c r="BD42">
        <v>0</v>
      </c>
      <c r="BG42" t="s">
        <v>84</v>
      </c>
      <c r="BH42">
        <v>0</v>
      </c>
      <c r="BI42">
        <v>0</v>
      </c>
      <c r="BJ42" t="s">
        <v>84</v>
      </c>
      <c r="BK42" t="s">
        <v>84</v>
      </c>
      <c r="BM42" t="s">
        <v>84</v>
      </c>
      <c r="BP42">
        <v>0</v>
      </c>
      <c r="BQ42">
        <v>0</v>
      </c>
      <c r="BR42">
        <v>0</v>
      </c>
      <c r="BS42" t="s">
        <v>84</v>
      </c>
      <c r="BT42" t="s">
        <v>84</v>
      </c>
      <c r="BU42">
        <v>0</v>
      </c>
      <c r="BV42">
        <v>0</v>
      </c>
      <c r="BW42">
        <v>9606</v>
      </c>
    </row>
    <row r="43" spans="1:75" x14ac:dyDescent="0.25">
      <c r="A43">
        <v>323</v>
      </c>
      <c r="B43" s="1">
        <v>45128.78402777778</v>
      </c>
      <c r="C43" t="s">
        <v>133</v>
      </c>
      <c r="D43" t="s">
        <v>73</v>
      </c>
      <c r="E43" t="s">
        <v>134</v>
      </c>
      <c r="F43">
        <v>0</v>
      </c>
      <c r="G43" t="s">
        <v>135</v>
      </c>
      <c r="H43" t="s">
        <v>136</v>
      </c>
      <c r="I43" t="s">
        <v>137</v>
      </c>
      <c r="J43" t="s">
        <v>138</v>
      </c>
      <c r="K43" t="s">
        <v>84</v>
      </c>
      <c r="L43" t="s">
        <v>110</v>
      </c>
      <c r="M43" t="s">
        <v>133</v>
      </c>
      <c r="N43" t="s">
        <v>169</v>
      </c>
      <c r="O43" t="s">
        <v>82</v>
      </c>
      <c r="P43">
        <v>8568</v>
      </c>
      <c r="Q43" t="s">
        <v>83</v>
      </c>
      <c r="S43">
        <v>1</v>
      </c>
      <c r="AE43" t="s">
        <v>84</v>
      </c>
      <c r="AG43" t="s">
        <v>84</v>
      </c>
      <c r="AH43" t="s">
        <v>84</v>
      </c>
      <c r="AJ43" t="s">
        <v>84</v>
      </c>
      <c r="AK43" t="s">
        <v>84</v>
      </c>
      <c r="AQ43" t="s">
        <v>84</v>
      </c>
      <c r="AT43" t="s">
        <v>84</v>
      </c>
      <c r="AU43" t="s">
        <v>84</v>
      </c>
      <c r="AV43" t="s">
        <v>84</v>
      </c>
      <c r="AX43" t="s">
        <v>84</v>
      </c>
      <c r="BA43" t="s">
        <v>84</v>
      </c>
      <c r="BB43" t="s">
        <v>84</v>
      </c>
      <c r="BG43" t="s">
        <v>84</v>
      </c>
      <c r="BJ43" t="s">
        <v>84</v>
      </c>
      <c r="BK43" t="s">
        <v>84</v>
      </c>
      <c r="BM43" t="s">
        <v>84</v>
      </c>
      <c r="BS43" t="s">
        <v>84</v>
      </c>
      <c r="BT43" t="s">
        <v>84</v>
      </c>
      <c r="BU43">
        <v>8568</v>
      </c>
      <c r="BV43">
        <v>0</v>
      </c>
      <c r="BW43">
        <v>9606</v>
      </c>
    </row>
    <row r="44" spans="1:75" x14ac:dyDescent="0.25">
      <c r="A44">
        <v>323</v>
      </c>
      <c r="B44" s="1">
        <v>45128.78402777778</v>
      </c>
      <c r="C44" t="s">
        <v>133</v>
      </c>
      <c r="D44" t="s">
        <v>73</v>
      </c>
      <c r="E44" t="s">
        <v>134</v>
      </c>
      <c r="F44">
        <v>0</v>
      </c>
      <c r="G44" t="s">
        <v>135</v>
      </c>
      <c r="H44" t="s">
        <v>136</v>
      </c>
      <c r="I44" t="s">
        <v>137</v>
      </c>
      <c r="J44" t="s">
        <v>138</v>
      </c>
      <c r="K44" t="s">
        <v>84</v>
      </c>
      <c r="L44" t="s">
        <v>110</v>
      </c>
      <c r="M44" t="s">
        <v>133</v>
      </c>
      <c r="N44" t="s">
        <v>170</v>
      </c>
      <c r="O44" t="s">
        <v>82</v>
      </c>
      <c r="P44">
        <v>10000</v>
      </c>
      <c r="Q44" t="s">
        <v>83</v>
      </c>
      <c r="S44">
        <v>1</v>
      </c>
      <c r="T44">
        <v>1</v>
      </c>
      <c r="AE44" t="s">
        <v>84</v>
      </c>
      <c r="AG44" t="s">
        <v>84</v>
      </c>
      <c r="AH44" t="s">
        <v>84</v>
      </c>
      <c r="AJ44" t="s">
        <v>84</v>
      </c>
      <c r="AK44" t="s">
        <v>84</v>
      </c>
      <c r="AQ44" t="s">
        <v>84</v>
      </c>
      <c r="AT44" t="s">
        <v>84</v>
      </c>
      <c r="AU44" t="s">
        <v>84</v>
      </c>
      <c r="AV44" t="s">
        <v>84</v>
      </c>
      <c r="AX44" t="s">
        <v>84</v>
      </c>
      <c r="BA44" t="s">
        <v>84</v>
      </c>
      <c r="BB44" t="s">
        <v>84</v>
      </c>
      <c r="BG44" t="s">
        <v>84</v>
      </c>
      <c r="BJ44" t="s">
        <v>84</v>
      </c>
      <c r="BK44" t="s">
        <v>84</v>
      </c>
      <c r="BM44" t="s">
        <v>84</v>
      </c>
      <c r="BS44" t="s">
        <v>84</v>
      </c>
      <c r="BT44" t="s">
        <v>84</v>
      </c>
      <c r="BU44">
        <v>10000</v>
      </c>
      <c r="BV44">
        <v>0</v>
      </c>
      <c r="BW44">
        <v>9606</v>
      </c>
    </row>
    <row r="45" spans="1:75" x14ac:dyDescent="0.25">
      <c r="A45">
        <v>323</v>
      </c>
      <c r="B45" s="1">
        <v>45128.78402777778</v>
      </c>
      <c r="C45" t="s">
        <v>133</v>
      </c>
      <c r="D45" t="s">
        <v>73</v>
      </c>
      <c r="E45" t="s">
        <v>134</v>
      </c>
      <c r="F45">
        <v>1</v>
      </c>
      <c r="G45" t="s">
        <v>135</v>
      </c>
      <c r="H45" t="s">
        <v>136</v>
      </c>
      <c r="I45" t="s">
        <v>137</v>
      </c>
      <c r="J45" t="s">
        <v>138</v>
      </c>
      <c r="K45" t="s">
        <v>167</v>
      </c>
      <c r="L45" t="s">
        <v>106</v>
      </c>
      <c r="M45" t="s">
        <v>133</v>
      </c>
      <c r="N45" t="s">
        <v>171</v>
      </c>
      <c r="O45" t="s">
        <v>82</v>
      </c>
      <c r="P45">
        <v>7200.0349999999999</v>
      </c>
      <c r="Q45" t="s">
        <v>83</v>
      </c>
      <c r="R45">
        <v>9810.1133329999993</v>
      </c>
      <c r="AE45" t="s">
        <v>84</v>
      </c>
      <c r="AF45">
        <v>3400</v>
      </c>
      <c r="AG45" t="s">
        <v>84</v>
      </c>
      <c r="AH45" t="s">
        <v>84</v>
      </c>
      <c r="AJ45" t="s">
        <v>84</v>
      </c>
      <c r="AK45" t="s">
        <v>84</v>
      </c>
      <c r="AQ45" t="s">
        <v>84</v>
      </c>
      <c r="AT45" t="s">
        <v>84</v>
      </c>
      <c r="AU45" t="s">
        <v>84</v>
      </c>
      <c r="AV45" t="s">
        <v>84</v>
      </c>
      <c r="AX45" t="s">
        <v>84</v>
      </c>
      <c r="BA45" t="s">
        <v>84</v>
      </c>
      <c r="BB45" t="s">
        <v>84</v>
      </c>
      <c r="BE45">
        <v>1170</v>
      </c>
      <c r="BG45" t="s">
        <v>84</v>
      </c>
      <c r="BJ45" t="s">
        <v>84</v>
      </c>
      <c r="BK45" t="s">
        <v>84</v>
      </c>
      <c r="BM45" t="s">
        <v>84</v>
      </c>
      <c r="BS45" t="s">
        <v>84</v>
      </c>
      <c r="BT45" t="s">
        <v>84</v>
      </c>
      <c r="BU45">
        <v>0</v>
      </c>
      <c r="BV45">
        <v>0</v>
      </c>
      <c r="BW45">
        <v>9810.1133333333328</v>
      </c>
    </row>
    <row r="46" spans="1:75" x14ac:dyDescent="0.25">
      <c r="A46">
        <v>323</v>
      </c>
      <c r="B46" s="1">
        <v>45128.78402777778</v>
      </c>
      <c r="C46" t="s">
        <v>133</v>
      </c>
      <c r="D46" t="s">
        <v>73</v>
      </c>
      <c r="E46" t="s">
        <v>134</v>
      </c>
      <c r="F46">
        <v>0</v>
      </c>
      <c r="G46" t="s">
        <v>135</v>
      </c>
      <c r="H46" t="s">
        <v>136</v>
      </c>
      <c r="I46" t="s">
        <v>137</v>
      </c>
      <c r="J46" t="s">
        <v>138</v>
      </c>
      <c r="K46" t="s">
        <v>84</v>
      </c>
      <c r="L46" t="s">
        <v>106</v>
      </c>
      <c r="M46" t="s">
        <v>133</v>
      </c>
      <c r="N46" t="s">
        <v>172</v>
      </c>
      <c r="O46" t="s">
        <v>82</v>
      </c>
      <c r="P46">
        <v>12958.487499999999</v>
      </c>
      <c r="Q46" t="s">
        <v>83</v>
      </c>
      <c r="S46">
        <v>1</v>
      </c>
      <c r="AE46" t="s">
        <v>84</v>
      </c>
      <c r="AG46" t="s">
        <v>84</v>
      </c>
      <c r="AH46" t="s">
        <v>84</v>
      </c>
      <c r="AJ46" t="s">
        <v>84</v>
      </c>
      <c r="AK46" t="s">
        <v>84</v>
      </c>
      <c r="AQ46" t="s">
        <v>84</v>
      </c>
      <c r="AT46" t="s">
        <v>84</v>
      </c>
      <c r="AU46" t="s">
        <v>84</v>
      </c>
      <c r="AV46" t="s">
        <v>84</v>
      </c>
      <c r="AX46" t="s">
        <v>84</v>
      </c>
      <c r="BA46" t="s">
        <v>84</v>
      </c>
      <c r="BB46" t="s">
        <v>84</v>
      </c>
      <c r="BG46" t="s">
        <v>84</v>
      </c>
      <c r="BJ46" t="s">
        <v>84</v>
      </c>
      <c r="BK46" t="s">
        <v>84</v>
      </c>
      <c r="BM46" t="s">
        <v>84</v>
      </c>
      <c r="BS46" t="s">
        <v>84</v>
      </c>
      <c r="BT46" t="s">
        <v>84</v>
      </c>
      <c r="BU46">
        <v>12958.487499999999</v>
      </c>
      <c r="BV46">
        <v>0</v>
      </c>
      <c r="BW46">
        <v>9810.1133333333328</v>
      </c>
    </row>
    <row r="47" spans="1:75" x14ac:dyDescent="0.25">
      <c r="A47">
        <v>323</v>
      </c>
      <c r="B47" s="1">
        <v>45128.78402777778</v>
      </c>
      <c r="C47" t="s">
        <v>133</v>
      </c>
      <c r="D47" t="s">
        <v>73</v>
      </c>
      <c r="E47" t="s">
        <v>134</v>
      </c>
      <c r="F47">
        <v>0</v>
      </c>
      <c r="G47" t="s">
        <v>135</v>
      </c>
      <c r="H47" t="s">
        <v>136</v>
      </c>
      <c r="I47" t="s">
        <v>137</v>
      </c>
      <c r="J47" t="s">
        <v>138</v>
      </c>
      <c r="K47" t="s">
        <v>84</v>
      </c>
      <c r="L47" t="s">
        <v>106</v>
      </c>
      <c r="M47" t="s">
        <v>133</v>
      </c>
      <c r="N47" t="s">
        <v>173</v>
      </c>
      <c r="O47" t="s">
        <v>82</v>
      </c>
      <c r="P47">
        <v>9271.8174999999992</v>
      </c>
      <c r="Q47" t="s">
        <v>83</v>
      </c>
      <c r="S47">
        <v>1</v>
      </c>
      <c r="T47">
        <v>1</v>
      </c>
      <c r="AE47" t="s">
        <v>84</v>
      </c>
      <c r="AG47" t="s">
        <v>84</v>
      </c>
      <c r="AH47" t="s">
        <v>84</v>
      </c>
      <c r="AJ47" t="s">
        <v>84</v>
      </c>
      <c r="AK47" t="s">
        <v>84</v>
      </c>
      <c r="AQ47" t="s">
        <v>84</v>
      </c>
      <c r="AT47" t="s">
        <v>84</v>
      </c>
      <c r="AU47" t="s">
        <v>84</v>
      </c>
      <c r="AV47" t="s">
        <v>84</v>
      </c>
      <c r="AX47" t="s">
        <v>84</v>
      </c>
      <c r="BA47" t="s">
        <v>84</v>
      </c>
      <c r="BB47" t="s">
        <v>84</v>
      </c>
      <c r="BG47" t="s">
        <v>84</v>
      </c>
      <c r="BJ47" t="s">
        <v>84</v>
      </c>
      <c r="BK47" t="s">
        <v>84</v>
      </c>
      <c r="BM47" t="s">
        <v>84</v>
      </c>
      <c r="BS47" t="s">
        <v>84</v>
      </c>
      <c r="BT47" t="s">
        <v>84</v>
      </c>
      <c r="BU47">
        <v>9271.8174999999992</v>
      </c>
      <c r="BV47">
        <v>0</v>
      </c>
      <c r="BW47">
        <v>9810.1133333333328</v>
      </c>
    </row>
    <row r="48" spans="1:75" x14ac:dyDescent="0.25">
      <c r="A48">
        <v>323</v>
      </c>
      <c r="B48" s="1">
        <v>45128.78402777778</v>
      </c>
      <c r="C48" t="s">
        <v>133</v>
      </c>
      <c r="D48" t="s">
        <v>73</v>
      </c>
      <c r="E48" t="s">
        <v>134</v>
      </c>
      <c r="F48">
        <v>1</v>
      </c>
      <c r="G48" t="s">
        <v>135</v>
      </c>
      <c r="H48" t="s">
        <v>136</v>
      </c>
      <c r="I48" t="s">
        <v>137</v>
      </c>
      <c r="J48" t="s">
        <v>138</v>
      </c>
      <c r="K48" t="s">
        <v>167</v>
      </c>
      <c r="L48" t="s">
        <v>80</v>
      </c>
      <c r="M48" t="s">
        <v>133</v>
      </c>
      <c r="N48" t="s">
        <v>174</v>
      </c>
      <c r="O48" t="s">
        <v>82</v>
      </c>
      <c r="P48">
        <v>685626.90079999994</v>
      </c>
      <c r="Q48" t="s">
        <v>83</v>
      </c>
      <c r="R48">
        <v>649602.47699999996</v>
      </c>
      <c r="Z48">
        <v>38109.5</v>
      </c>
      <c r="AA48">
        <v>73200</v>
      </c>
      <c r="AE48" t="s">
        <v>84</v>
      </c>
      <c r="AG48" t="s">
        <v>84</v>
      </c>
      <c r="AH48" t="s">
        <v>84</v>
      </c>
      <c r="AI48">
        <v>80000</v>
      </c>
      <c r="AJ48" t="s">
        <v>84</v>
      </c>
      <c r="AK48" t="s">
        <v>84</v>
      </c>
      <c r="AL48">
        <v>0</v>
      </c>
      <c r="AN48">
        <v>0</v>
      </c>
      <c r="AP48">
        <v>22500</v>
      </c>
      <c r="AQ48" t="s">
        <v>84</v>
      </c>
      <c r="AR48">
        <v>3500</v>
      </c>
      <c r="AT48" t="s">
        <v>84</v>
      </c>
      <c r="AU48" t="s">
        <v>84</v>
      </c>
      <c r="AV48" t="s">
        <v>84</v>
      </c>
      <c r="AW48">
        <v>28078</v>
      </c>
      <c r="AX48" t="s">
        <v>84</v>
      </c>
      <c r="AY48">
        <v>16100</v>
      </c>
      <c r="BA48" t="s">
        <v>84</v>
      </c>
      <c r="BB48" t="s">
        <v>84</v>
      </c>
      <c r="BC48">
        <v>18625</v>
      </c>
      <c r="BD48">
        <v>86050.25</v>
      </c>
      <c r="BG48" t="s">
        <v>84</v>
      </c>
      <c r="BH48">
        <v>7500</v>
      </c>
      <c r="BI48">
        <v>143742.17000000001</v>
      </c>
      <c r="BJ48" t="s">
        <v>84</v>
      </c>
      <c r="BK48" t="s">
        <v>84</v>
      </c>
      <c r="BM48" t="s">
        <v>84</v>
      </c>
      <c r="BP48">
        <v>35520</v>
      </c>
      <c r="BQ48">
        <v>0</v>
      </c>
      <c r="BR48">
        <v>0</v>
      </c>
      <c r="BS48" t="s">
        <v>84</v>
      </c>
      <c r="BT48" t="s">
        <v>84</v>
      </c>
      <c r="BU48">
        <v>0</v>
      </c>
      <c r="BV48">
        <v>0</v>
      </c>
      <c r="BW48">
        <v>649602.47703333327</v>
      </c>
    </row>
    <row r="49" spans="1:75" x14ac:dyDescent="0.25">
      <c r="A49">
        <v>323</v>
      </c>
      <c r="B49" s="1">
        <v>45128.78402777778</v>
      </c>
      <c r="C49" t="s">
        <v>133</v>
      </c>
      <c r="D49" t="s">
        <v>73</v>
      </c>
      <c r="E49" t="s">
        <v>134</v>
      </c>
      <c r="F49">
        <v>0</v>
      </c>
      <c r="G49" t="s">
        <v>135</v>
      </c>
      <c r="H49" t="s">
        <v>136</v>
      </c>
      <c r="I49" t="s">
        <v>137</v>
      </c>
      <c r="J49" t="s">
        <v>138</v>
      </c>
      <c r="K49" t="s">
        <v>84</v>
      </c>
      <c r="L49" t="s">
        <v>80</v>
      </c>
      <c r="M49" t="s">
        <v>133</v>
      </c>
      <c r="N49" t="s">
        <v>175</v>
      </c>
      <c r="O49" t="s">
        <v>82</v>
      </c>
      <c r="P49">
        <v>673878.4375</v>
      </c>
      <c r="Q49" t="s">
        <v>83</v>
      </c>
      <c r="S49">
        <v>1</v>
      </c>
      <c r="AE49" t="s">
        <v>84</v>
      </c>
      <c r="AG49" t="s">
        <v>84</v>
      </c>
      <c r="AH49" t="s">
        <v>84</v>
      </c>
      <c r="AJ49" t="s">
        <v>84</v>
      </c>
      <c r="AK49" t="s">
        <v>84</v>
      </c>
      <c r="AQ49" t="s">
        <v>84</v>
      </c>
      <c r="AT49" t="s">
        <v>84</v>
      </c>
      <c r="AU49" t="s">
        <v>84</v>
      </c>
      <c r="AV49" t="s">
        <v>84</v>
      </c>
      <c r="AX49" t="s">
        <v>84</v>
      </c>
      <c r="BA49" t="s">
        <v>84</v>
      </c>
      <c r="BB49" t="s">
        <v>84</v>
      </c>
      <c r="BG49" t="s">
        <v>84</v>
      </c>
      <c r="BJ49" t="s">
        <v>84</v>
      </c>
      <c r="BK49" t="s">
        <v>84</v>
      </c>
      <c r="BM49" t="s">
        <v>84</v>
      </c>
      <c r="BS49" t="s">
        <v>84</v>
      </c>
      <c r="BT49" t="s">
        <v>84</v>
      </c>
      <c r="BU49">
        <v>673878.4375</v>
      </c>
      <c r="BV49">
        <v>0</v>
      </c>
      <c r="BW49">
        <v>649602.47703333327</v>
      </c>
    </row>
    <row r="50" spans="1:75" x14ac:dyDescent="0.25">
      <c r="A50">
        <v>323</v>
      </c>
      <c r="B50" s="1">
        <v>45128.78402777778</v>
      </c>
      <c r="C50" t="s">
        <v>133</v>
      </c>
      <c r="D50" t="s">
        <v>73</v>
      </c>
      <c r="E50" t="s">
        <v>134</v>
      </c>
      <c r="F50">
        <v>0</v>
      </c>
      <c r="G50" t="s">
        <v>135</v>
      </c>
      <c r="H50" t="s">
        <v>136</v>
      </c>
      <c r="I50" t="s">
        <v>137</v>
      </c>
      <c r="J50" t="s">
        <v>138</v>
      </c>
      <c r="K50" t="s">
        <v>84</v>
      </c>
      <c r="L50" t="s">
        <v>80</v>
      </c>
      <c r="M50" t="s">
        <v>133</v>
      </c>
      <c r="N50" t="s">
        <v>176</v>
      </c>
      <c r="O50" t="s">
        <v>82</v>
      </c>
      <c r="P50">
        <v>589302.09279999998</v>
      </c>
      <c r="Q50" t="s">
        <v>83</v>
      </c>
      <c r="S50">
        <v>1</v>
      </c>
      <c r="T50">
        <v>1</v>
      </c>
      <c r="AE50" t="s">
        <v>84</v>
      </c>
      <c r="AG50" t="s">
        <v>84</v>
      </c>
      <c r="AH50" t="s">
        <v>84</v>
      </c>
      <c r="AJ50" t="s">
        <v>84</v>
      </c>
      <c r="AK50" t="s">
        <v>84</v>
      </c>
      <c r="AQ50" t="s">
        <v>84</v>
      </c>
      <c r="AT50" t="s">
        <v>84</v>
      </c>
      <c r="AU50" t="s">
        <v>84</v>
      </c>
      <c r="AV50" t="s">
        <v>84</v>
      </c>
      <c r="AX50" t="s">
        <v>84</v>
      </c>
      <c r="BA50" t="s">
        <v>84</v>
      </c>
      <c r="BB50" t="s">
        <v>84</v>
      </c>
      <c r="BG50" t="s">
        <v>84</v>
      </c>
      <c r="BJ50" t="s">
        <v>84</v>
      </c>
      <c r="BK50" t="s">
        <v>84</v>
      </c>
      <c r="BM50" t="s">
        <v>84</v>
      </c>
      <c r="BS50" t="s">
        <v>84</v>
      </c>
      <c r="BT50" t="s">
        <v>84</v>
      </c>
      <c r="BU50">
        <v>589302.09279999998</v>
      </c>
      <c r="BV50">
        <v>0</v>
      </c>
      <c r="BW50">
        <v>649602.47703333327</v>
      </c>
    </row>
    <row r="51" spans="1:75" x14ac:dyDescent="0.25">
      <c r="A51">
        <v>324</v>
      </c>
      <c r="B51" s="1">
        <v>45128.784722222219</v>
      </c>
      <c r="C51" t="s">
        <v>177</v>
      </c>
      <c r="D51" t="s">
        <v>73</v>
      </c>
      <c r="E51" t="s">
        <v>178</v>
      </c>
      <c r="F51">
        <v>0</v>
      </c>
      <c r="G51" t="s">
        <v>135</v>
      </c>
      <c r="H51" t="s">
        <v>136</v>
      </c>
      <c r="I51" t="s">
        <v>179</v>
      </c>
      <c r="J51" t="s">
        <v>138</v>
      </c>
      <c r="K51" t="s">
        <v>84</v>
      </c>
      <c r="L51" t="s">
        <v>92</v>
      </c>
      <c r="M51" t="s">
        <v>180</v>
      </c>
      <c r="N51" t="s">
        <v>181</v>
      </c>
      <c r="O51" t="s">
        <v>82</v>
      </c>
      <c r="P51">
        <v>29320</v>
      </c>
      <c r="Q51" t="s">
        <v>83</v>
      </c>
      <c r="AE51" t="s">
        <v>84</v>
      </c>
      <c r="AG51" t="s">
        <v>84</v>
      </c>
      <c r="AH51" t="s">
        <v>84</v>
      </c>
      <c r="AJ51" t="s">
        <v>84</v>
      </c>
      <c r="AK51" t="s">
        <v>84</v>
      </c>
      <c r="AQ51" t="s">
        <v>84</v>
      </c>
      <c r="AT51" t="s">
        <v>84</v>
      </c>
      <c r="AU51" t="s">
        <v>84</v>
      </c>
      <c r="AV51" t="s">
        <v>84</v>
      </c>
      <c r="AX51" t="s">
        <v>84</v>
      </c>
      <c r="BA51" t="s">
        <v>84</v>
      </c>
      <c r="BB51" t="s">
        <v>84</v>
      </c>
      <c r="BG51" t="s">
        <v>84</v>
      </c>
      <c r="BJ51" t="s">
        <v>84</v>
      </c>
      <c r="BK51" t="s">
        <v>84</v>
      </c>
      <c r="BM51" t="s">
        <v>84</v>
      </c>
      <c r="BS51" t="s">
        <v>84</v>
      </c>
      <c r="BT51" t="s">
        <v>84</v>
      </c>
      <c r="BU51">
        <v>0</v>
      </c>
      <c r="BV51">
        <v>0</v>
      </c>
      <c r="BW51">
        <v>48990</v>
      </c>
    </row>
    <row r="52" spans="1:75" x14ac:dyDescent="0.25">
      <c r="A52">
        <v>324</v>
      </c>
      <c r="B52" s="1">
        <v>45128.784722222219</v>
      </c>
      <c r="C52" t="s">
        <v>177</v>
      </c>
      <c r="D52" t="s">
        <v>73</v>
      </c>
      <c r="E52" t="s">
        <v>178</v>
      </c>
      <c r="F52">
        <v>1</v>
      </c>
      <c r="G52" t="s">
        <v>135</v>
      </c>
      <c r="H52" t="s">
        <v>136</v>
      </c>
      <c r="I52" t="s">
        <v>179</v>
      </c>
      <c r="J52" t="s">
        <v>138</v>
      </c>
      <c r="K52" t="s">
        <v>182</v>
      </c>
      <c r="L52" t="s">
        <v>92</v>
      </c>
      <c r="M52" t="s">
        <v>183</v>
      </c>
      <c r="N52" t="s">
        <v>184</v>
      </c>
      <c r="O52" t="s">
        <v>82</v>
      </c>
      <c r="P52">
        <v>68660</v>
      </c>
      <c r="Q52" t="s">
        <v>83</v>
      </c>
      <c r="R52">
        <v>48990</v>
      </c>
      <c r="U52">
        <v>1</v>
      </c>
      <c r="W52">
        <v>1</v>
      </c>
      <c r="AB52">
        <v>68660</v>
      </c>
      <c r="AE52" t="s">
        <v>84</v>
      </c>
      <c r="AG52" t="s">
        <v>84</v>
      </c>
      <c r="AH52" t="s">
        <v>84</v>
      </c>
      <c r="AJ52" t="s">
        <v>84</v>
      </c>
      <c r="AK52" t="s">
        <v>84</v>
      </c>
      <c r="AQ52" t="s">
        <v>84</v>
      </c>
      <c r="AT52" t="s">
        <v>84</v>
      </c>
      <c r="AU52" t="s">
        <v>84</v>
      </c>
      <c r="AV52" t="s">
        <v>84</v>
      </c>
      <c r="AX52" t="s">
        <v>84</v>
      </c>
      <c r="BA52" t="s">
        <v>84</v>
      </c>
      <c r="BB52" t="s">
        <v>84</v>
      </c>
      <c r="BG52" t="s">
        <v>84</v>
      </c>
      <c r="BJ52" t="s">
        <v>84</v>
      </c>
      <c r="BK52" t="s">
        <v>84</v>
      </c>
      <c r="BM52" t="s">
        <v>84</v>
      </c>
      <c r="BS52" t="s">
        <v>84</v>
      </c>
      <c r="BT52" t="s">
        <v>84</v>
      </c>
      <c r="BU52">
        <v>0</v>
      </c>
      <c r="BV52">
        <v>0</v>
      </c>
      <c r="BW52">
        <v>48990</v>
      </c>
    </row>
    <row r="53" spans="1:75" x14ac:dyDescent="0.25">
      <c r="A53">
        <v>324</v>
      </c>
      <c r="B53" s="1">
        <v>45128.784722222219</v>
      </c>
      <c r="C53" t="s">
        <v>177</v>
      </c>
      <c r="D53" t="s">
        <v>73</v>
      </c>
      <c r="E53" t="s">
        <v>178</v>
      </c>
      <c r="F53">
        <v>0</v>
      </c>
      <c r="G53" t="s">
        <v>135</v>
      </c>
      <c r="H53" t="s">
        <v>136</v>
      </c>
      <c r="I53" t="s">
        <v>179</v>
      </c>
      <c r="J53" t="s">
        <v>138</v>
      </c>
      <c r="K53" t="s">
        <v>84</v>
      </c>
      <c r="L53" t="s">
        <v>185</v>
      </c>
      <c r="M53" t="s">
        <v>186</v>
      </c>
      <c r="N53" t="s">
        <v>187</v>
      </c>
      <c r="O53" t="s">
        <v>82</v>
      </c>
      <c r="P53">
        <v>22844.75</v>
      </c>
      <c r="Q53" t="s">
        <v>83</v>
      </c>
      <c r="AE53" t="s">
        <v>84</v>
      </c>
      <c r="AG53" t="s">
        <v>84</v>
      </c>
      <c r="AH53" t="s">
        <v>84</v>
      </c>
      <c r="AJ53" t="s">
        <v>84</v>
      </c>
      <c r="AK53" t="s">
        <v>84</v>
      </c>
      <c r="AQ53" t="s">
        <v>84</v>
      </c>
      <c r="AT53" t="s">
        <v>84</v>
      </c>
      <c r="AU53" t="s">
        <v>84</v>
      </c>
      <c r="AV53" t="s">
        <v>84</v>
      </c>
      <c r="AX53" t="s">
        <v>84</v>
      </c>
      <c r="BA53" t="s">
        <v>84</v>
      </c>
      <c r="BB53" t="s">
        <v>84</v>
      </c>
      <c r="BG53" t="s">
        <v>84</v>
      </c>
      <c r="BJ53" t="s">
        <v>84</v>
      </c>
      <c r="BK53" t="s">
        <v>84</v>
      </c>
      <c r="BM53" t="s">
        <v>84</v>
      </c>
      <c r="BS53" t="s">
        <v>84</v>
      </c>
      <c r="BT53" t="s">
        <v>84</v>
      </c>
      <c r="BU53">
        <v>0</v>
      </c>
      <c r="BV53">
        <v>0</v>
      </c>
      <c r="BW53">
        <v>18774.708333333332</v>
      </c>
    </row>
    <row r="54" spans="1:75" x14ac:dyDescent="0.25">
      <c r="A54">
        <v>324</v>
      </c>
      <c r="B54" s="1">
        <v>45128.784722222219</v>
      </c>
      <c r="C54" t="s">
        <v>177</v>
      </c>
      <c r="D54" t="s">
        <v>73</v>
      </c>
      <c r="E54" t="s">
        <v>178</v>
      </c>
      <c r="F54">
        <v>1</v>
      </c>
      <c r="G54" t="s">
        <v>135</v>
      </c>
      <c r="H54" t="s">
        <v>136</v>
      </c>
      <c r="I54" t="s">
        <v>179</v>
      </c>
      <c r="J54" t="s">
        <v>138</v>
      </c>
      <c r="K54" t="s">
        <v>188</v>
      </c>
      <c r="L54" t="s">
        <v>185</v>
      </c>
      <c r="M54" t="s">
        <v>189</v>
      </c>
      <c r="N54" t="s">
        <v>190</v>
      </c>
      <c r="O54" t="s">
        <v>82</v>
      </c>
      <c r="P54">
        <v>19457.424999999999</v>
      </c>
      <c r="Q54" t="s">
        <v>83</v>
      </c>
      <c r="R54">
        <v>18774.708330000001</v>
      </c>
      <c r="X54">
        <v>1</v>
      </c>
      <c r="AC54">
        <v>12350</v>
      </c>
      <c r="AE54" t="s">
        <v>84</v>
      </c>
      <c r="AG54" t="s">
        <v>84</v>
      </c>
      <c r="AH54" t="s">
        <v>84</v>
      </c>
      <c r="AJ54" t="s">
        <v>84</v>
      </c>
      <c r="AK54" t="s">
        <v>84</v>
      </c>
      <c r="AQ54" t="s">
        <v>84</v>
      </c>
      <c r="AT54" t="s">
        <v>84</v>
      </c>
      <c r="AU54" t="s">
        <v>84</v>
      </c>
      <c r="AV54" t="s">
        <v>84</v>
      </c>
      <c r="AX54" t="s">
        <v>84</v>
      </c>
      <c r="BA54" t="s">
        <v>84</v>
      </c>
      <c r="BB54" t="s">
        <v>84</v>
      </c>
      <c r="BG54" t="s">
        <v>84</v>
      </c>
      <c r="BJ54" t="s">
        <v>84</v>
      </c>
      <c r="BK54" t="s">
        <v>84</v>
      </c>
      <c r="BM54" t="s">
        <v>84</v>
      </c>
      <c r="BS54" t="s">
        <v>84</v>
      </c>
      <c r="BT54" t="s">
        <v>84</v>
      </c>
      <c r="BU54">
        <v>0</v>
      </c>
      <c r="BV54">
        <v>0</v>
      </c>
      <c r="BW54">
        <v>18774.708333333332</v>
      </c>
    </row>
    <row r="55" spans="1:75" x14ac:dyDescent="0.25">
      <c r="A55">
        <v>324</v>
      </c>
      <c r="B55" s="1">
        <v>45128.784722222219</v>
      </c>
      <c r="C55" t="s">
        <v>177</v>
      </c>
      <c r="D55" t="s">
        <v>73</v>
      </c>
      <c r="E55" t="s">
        <v>178</v>
      </c>
      <c r="F55">
        <v>0</v>
      </c>
      <c r="G55" t="s">
        <v>135</v>
      </c>
      <c r="H55" t="s">
        <v>136</v>
      </c>
      <c r="I55" t="s">
        <v>179</v>
      </c>
      <c r="J55" t="s">
        <v>138</v>
      </c>
      <c r="K55" t="s">
        <v>84</v>
      </c>
      <c r="L55" t="s">
        <v>185</v>
      </c>
      <c r="M55" t="s">
        <v>191</v>
      </c>
      <c r="N55" t="s">
        <v>192</v>
      </c>
      <c r="O55" t="s">
        <v>82</v>
      </c>
      <c r="P55">
        <v>14021.95</v>
      </c>
      <c r="Q55" t="s">
        <v>83</v>
      </c>
      <c r="T55">
        <v>1</v>
      </c>
      <c r="X55">
        <v>1</v>
      </c>
      <c r="AE55" t="s">
        <v>84</v>
      </c>
      <c r="AG55" t="s">
        <v>84</v>
      </c>
      <c r="AH55" t="s">
        <v>84</v>
      </c>
      <c r="AJ55" t="s">
        <v>84</v>
      </c>
      <c r="AK55" t="s">
        <v>84</v>
      </c>
      <c r="AQ55" t="s">
        <v>84</v>
      </c>
      <c r="AT55" t="s">
        <v>84</v>
      </c>
      <c r="AU55" t="s">
        <v>84</v>
      </c>
      <c r="AV55" t="s">
        <v>84</v>
      </c>
      <c r="AX55" t="s">
        <v>84</v>
      </c>
      <c r="BA55" t="s">
        <v>84</v>
      </c>
      <c r="BB55" t="s">
        <v>84</v>
      </c>
      <c r="BG55" t="s">
        <v>84</v>
      </c>
      <c r="BJ55" t="s">
        <v>84</v>
      </c>
      <c r="BK55" t="s">
        <v>84</v>
      </c>
      <c r="BM55" t="s">
        <v>84</v>
      </c>
      <c r="BS55" t="s">
        <v>84</v>
      </c>
      <c r="BT55" t="s">
        <v>84</v>
      </c>
      <c r="BU55">
        <v>0</v>
      </c>
      <c r="BV55">
        <v>0</v>
      </c>
      <c r="BW55">
        <v>18774.708333333332</v>
      </c>
    </row>
    <row r="56" spans="1:75" x14ac:dyDescent="0.25">
      <c r="A56">
        <v>324</v>
      </c>
      <c r="B56" s="1">
        <v>45128.784722222219</v>
      </c>
      <c r="C56" t="s">
        <v>177</v>
      </c>
      <c r="D56" t="s">
        <v>73</v>
      </c>
      <c r="E56" t="s">
        <v>178</v>
      </c>
      <c r="F56">
        <v>1</v>
      </c>
      <c r="G56" t="s">
        <v>135</v>
      </c>
      <c r="H56" t="s">
        <v>136</v>
      </c>
      <c r="I56" t="s">
        <v>179</v>
      </c>
      <c r="J56" t="s">
        <v>138</v>
      </c>
      <c r="K56" t="s">
        <v>130</v>
      </c>
      <c r="L56" t="s">
        <v>125</v>
      </c>
      <c r="M56" t="s">
        <v>193</v>
      </c>
      <c r="N56" t="s">
        <v>194</v>
      </c>
      <c r="O56" t="s">
        <v>82</v>
      </c>
      <c r="P56">
        <v>15950</v>
      </c>
      <c r="Q56" t="s">
        <v>83</v>
      </c>
      <c r="R56">
        <v>30350</v>
      </c>
      <c r="X56">
        <v>1</v>
      </c>
      <c r="AE56" t="s">
        <v>84</v>
      </c>
      <c r="AG56" t="s">
        <v>84</v>
      </c>
      <c r="AH56" t="s">
        <v>84</v>
      </c>
      <c r="AJ56" t="s">
        <v>84</v>
      </c>
      <c r="AK56" t="s">
        <v>84</v>
      </c>
      <c r="AQ56" t="s">
        <v>84</v>
      </c>
      <c r="AT56" t="s">
        <v>84</v>
      </c>
      <c r="AU56" t="s">
        <v>84</v>
      </c>
      <c r="AV56" t="s">
        <v>84</v>
      </c>
      <c r="AX56" t="s">
        <v>84</v>
      </c>
      <c r="AZ56">
        <v>15950</v>
      </c>
      <c r="BA56" t="s">
        <v>84</v>
      </c>
      <c r="BB56" t="s">
        <v>84</v>
      </c>
      <c r="BG56" t="s">
        <v>84</v>
      </c>
      <c r="BJ56" t="s">
        <v>84</v>
      </c>
      <c r="BK56" t="s">
        <v>84</v>
      </c>
      <c r="BM56" t="s">
        <v>84</v>
      </c>
      <c r="BS56" t="s">
        <v>84</v>
      </c>
      <c r="BT56" t="s">
        <v>84</v>
      </c>
      <c r="BU56">
        <v>0</v>
      </c>
      <c r="BV56">
        <v>0</v>
      </c>
      <c r="BW56">
        <v>30350</v>
      </c>
    </row>
    <row r="57" spans="1:75" x14ac:dyDescent="0.25">
      <c r="A57">
        <v>324</v>
      </c>
      <c r="B57" s="1">
        <v>45128.784722222219</v>
      </c>
      <c r="C57" t="s">
        <v>177</v>
      </c>
      <c r="D57" t="s">
        <v>73</v>
      </c>
      <c r="E57" t="s">
        <v>178</v>
      </c>
      <c r="F57">
        <v>0</v>
      </c>
      <c r="G57" t="s">
        <v>135</v>
      </c>
      <c r="H57" t="s">
        <v>136</v>
      </c>
      <c r="I57" t="s">
        <v>179</v>
      </c>
      <c r="J57" t="s">
        <v>138</v>
      </c>
      <c r="K57" t="s">
        <v>84</v>
      </c>
      <c r="L57" t="s">
        <v>125</v>
      </c>
      <c r="M57" t="s">
        <v>195</v>
      </c>
      <c r="N57" t="s">
        <v>196</v>
      </c>
      <c r="O57" t="s">
        <v>82</v>
      </c>
      <c r="P57">
        <v>34650</v>
      </c>
      <c r="Q57" t="s">
        <v>83</v>
      </c>
      <c r="AE57" t="s">
        <v>84</v>
      </c>
      <c r="AG57" t="s">
        <v>84</v>
      </c>
      <c r="AH57" t="s">
        <v>84</v>
      </c>
      <c r="AJ57" t="s">
        <v>84</v>
      </c>
      <c r="AK57" t="s">
        <v>84</v>
      </c>
      <c r="AQ57" t="s">
        <v>84</v>
      </c>
      <c r="AT57" t="s">
        <v>84</v>
      </c>
      <c r="AU57" t="s">
        <v>84</v>
      </c>
      <c r="AV57" t="s">
        <v>84</v>
      </c>
      <c r="AX57" t="s">
        <v>84</v>
      </c>
      <c r="BA57" t="s">
        <v>84</v>
      </c>
      <c r="BB57" t="s">
        <v>84</v>
      </c>
      <c r="BG57" t="s">
        <v>84</v>
      </c>
      <c r="BJ57" t="s">
        <v>84</v>
      </c>
      <c r="BK57" t="s">
        <v>84</v>
      </c>
      <c r="BM57" t="s">
        <v>84</v>
      </c>
      <c r="BS57" t="s">
        <v>84</v>
      </c>
      <c r="BT57" t="s">
        <v>84</v>
      </c>
      <c r="BU57">
        <v>0</v>
      </c>
      <c r="BV57">
        <v>0</v>
      </c>
      <c r="BW57">
        <v>30350</v>
      </c>
    </row>
    <row r="58" spans="1:75" x14ac:dyDescent="0.25">
      <c r="A58">
        <v>324</v>
      </c>
      <c r="B58" s="1">
        <v>45128.784722222219</v>
      </c>
      <c r="C58" t="s">
        <v>177</v>
      </c>
      <c r="D58" t="s">
        <v>73</v>
      </c>
      <c r="E58" t="s">
        <v>178</v>
      </c>
      <c r="F58">
        <v>0</v>
      </c>
      <c r="G58" t="s">
        <v>135</v>
      </c>
      <c r="H58" t="s">
        <v>136</v>
      </c>
      <c r="I58" t="s">
        <v>179</v>
      </c>
      <c r="J58" t="s">
        <v>138</v>
      </c>
      <c r="K58" t="s">
        <v>84</v>
      </c>
      <c r="L58" t="s">
        <v>125</v>
      </c>
      <c r="M58" t="s">
        <v>197</v>
      </c>
      <c r="N58" t="s">
        <v>198</v>
      </c>
      <c r="O58" t="s">
        <v>82</v>
      </c>
      <c r="P58">
        <v>40450</v>
      </c>
      <c r="Q58" t="s">
        <v>83</v>
      </c>
      <c r="AE58" t="s">
        <v>84</v>
      </c>
      <c r="AG58" t="s">
        <v>84</v>
      </c>
      <c r="AH58" t="s">
        <v>84</v>
      </c>
      <c r="AJ58" t="s">
        <v>84</v>
      </c>
      <c r="AK58" t="s">
        <v>84</v>
      </c>
      <c r="AQ58" t="s">
        <v>84</v>
      </c>
      <c r="AT58" t="s">
        <v>84</v>
      </c>
      <c r="AU58" t="s">
        <v>84</v>
      </c>
      <c r="AV58" t="s">
        <v>84</v>
      </c>
      <c r="AX58" t="s">
        <v>84</v>
      </c>
      <c r="BA58" t="s">
        <v>84</v>
      </c>
      <c r="BB58" t="s">
        <v>84</v>
      </c>
      <c r="BG58" t="s">
        <v>84</v>
      </c>
      <c r="BJ58" t="s">
        <v>84</v>
      </c>
      <c r="BK58" t="s">
        <v>84</v>
      </c>
      <c r="BM58" t="s">
        <v>84</v>
      </c>
      <c r="BS58" t="s">
        <v>84</v>
      </c>
      <c r="BT58" t="s">
        <v>84</v>
      </c>
      <c r="BU58">
        <v>0</v>
      </c>
      <c r="BV58">
        <v>0</v>
      </c>
      <c r="BW58">
        <v>30350</v>
      </c>
    </row>
    <row r="59" spans="1:75" x14ac:dyDescent="0.25">
      <c r="A59">
        <v>324</v>
      </c>
      <c r="B59" s="1">
        <v>45128.784722222219</v>
      </c>
      <c r="C59" t="s">
        <v>177</v>
      </c>
      <c r="D59" t="s">
        <v>73</v>
      </c>
      <c r="E59" t="s">
        <v>178</v>
      </c>
      <c r="F59">
        <v>0</v>
      </c>
      <c r="G59" t="s">
        <v>135</v>
      </c>
      <c r="H59" t="s">
        <v>136</v>
      </c>
      <c r="I59" t="s">
        <v>179</v>
      </c>
      <c r="J59" t="s">
        <v>138</v>
      </c>
      <c r="K59" t="s">
        <v>84</v>
      </c>
      <c r="L59" t="s">
        <v>98</v>
      </c>
      <c r="M59" t="s">
        <v>199</v>
      </c>
      <c r="N59" t="s">
        <v>200</v>
      </c>
      <c r="O59" t="s">
        <v>82</v>
      </c>
      <c r="P59">
        <v>14900</v>
      </c>
      <c r="Q59" t="s">
        <v>83</v>
      </c>
      <c r="V59">
        <v>1</v>
      </c>
      <c r="AE59" t="s">
        <v>84</v>
      </c>
      <c r="AG59" t="s">
        <v>84</v>
      </c>
      <c r="AH59" t="s">
        <v>84</v>
      </c>
      <c r="AJ59" t="s">
        <v>84</v>
      </c>
      <c r="AK59" t="s">
        <v>84</v>
      </c>
      <c r="AQ59" t="s">
        <v>84</v>
      </c>
      <c r="AT59" t="s">
        <v>84</v>
      </c>
      <c r="AU59" t="s">
        <v>84</v>
      </c>
      <c r="AV59" t="s">
        <v>84</v>
      </c>
      <c r="AX59" t="s">
        <v>84</v>
      </c>
      <c r="BA59" t="s">
        <v>84</v>
      </c>
      <c r="BB59" t="s">
        <v>84</v>
      </c>
      <c r="BG59" t="s">
        <v>84</v>
      </c>
      <c r="BJ59" t="s">
        <v>84</v>
      </c>
      <c r="BK59" t="s">
        <v>84</v>
      </c>
      <c r="BM59" t="s">
        <v>84</v>
      </c>
      <c r="BS59" t="s">
        <v>84</v>
      </c>
      <c r="BT59" t="s">
        <v>84</v>
      </c>
      <c r="BU59">
        <v>0</v>
      </c>
      <c r="BV59">
        <v>0</v>
      </c>
      <c r="BW59">
        <v>27083.333333333336</v>
      </c>
    </row>
    <row r="60" spans="1:75" x14ac:dyDescent="0.25">
      <c r="A60">
        <v>324</v>
      </c>
      <c r="B60" s="1">
        <v>45128.784722222219</v>
      </c>
      <c r="C60" t="s">
        <v>177</v>
      </c>
      <c r="D60" t="s">
        <v>73</v>
      </c>
      <c r="E60" t="s">
        <v>178</v>
      </c>
      <c r="F60">
        <v>0</v>
      </c>
      <c r="G60" t="s">
        <v>135</v>
      </c>
      <c r="H60" t="s">
        <v>136</v>
      </c>
      <c r="I60" t="s">
        <v>179</v>
      </c>
      <c r="J60" t="s">
        <v>138</v>
      </c>
      <c r="K60" t="s">
        <v>84</v>
      </c>
      <c r="L60" t="s">
        <v>98</v>
      </c>
      <c r="M60" t="s">
        <v>201</v>
      </c>
      <c r="N60" t="s">
        <v>202</v>
      </c>
      <c r="O60" t="s">
        <v>82</v>
      </c>
      <c r="P60">
        <v>47450</v>
      </c>
      <c r="Q60" t="s">
        <v>83</v>
      </c>
      <c r="V60">
        <v>1</v>
      </c>
      <c r="X60">
        <v>1</v>
      </c>
      <c r="AE60" t="s">
        <v>84</v>
      </c>
      <c r="AG60" t="s">
        <v>84</v>
      </c>
      <c r="AH60" t="s">
        <v>84</v>
      </c>
      <c r="AJ60" t="s">
        <v>84</v>
      </c>
      <c r="AK60" t="s">
        <v>84</v>
      </c>
      <c r="AQ60" t="s">
        <v>84</v>
      </c>
      <c r="AT60" t="s">
        <v>84</v>
      </c>
      <c r="AU60" t="s">
        <v>84</v>
      </c>
      <c r="AV60" t="s">
        <v>84</v>
      </c>
      <c r="AX60" t="s">
        <v>84</v>
      </c>
      <c r="BA60" t="s">
        <v>84</v>
      </c>
      <c r="BB60" t="s">
        <v>84</v>
      </c>
      <c r="BG60" t="s">
        <v>84</v>
      </c>
      <c r="BJ60" t="s">
        <v>84</v>
      </c>
      <c r="BK60" t="s">
        <v>84</v>
      </c>
      <c r="BM60" t="s">
        <v>84</v>
      </c>
      <c r="BS60" t="s">
        <v>84</v>
      </c>
      <c r="BT60" t="s">
        <v>84</v>
      </c>
      <c r="BU60">
        <v>0</v>
      </c>
      <c r="BV60">
        <v>0</v>
      </c>
      <c r="BW60">
        <v>27083.333333333336</v>
      </c>
    </row>
    <row r="61" spans="1:75" x14ac:dyDescent="0.25">
      <c r="A61">
        <v>324</v>
      </c>
      <c r="B61" s="1">
        <v>45128.784722222219</v>
      </c>
      <c r="C61" t="s">
        <v>177</v>
      </c>
      <c r="D61" t="s">
        <v>73</v>
      </c>
      <c r="E61" t="s">
        <v>178</v>
      </c>
      <c r="F61">
        <v>1</v>
      </c>
      <c r="G61" t="s">
        <v>135</v>
      </c>
      <c r="H61" t="s">
        <v>136</v>
      </c>
      <c r="I61" t="s">
        <v>179</v>
      </c>
      <c r="J61" t="s">
        <v>138</v>
      </c>
      <c r="K61" t="s">
        <v>203</v>
      </c>
      <c r="L61" t="s">
        <v>98</v>
      </c>
      <c r="M61" t="s">
        <v>204</v>
      </c>
      <c r="N61" t="s">
        <v>205</v>
      </c>
      <c r="O61" t="s">
        <v>82</v>
      </c>
      <c r="P61">
        <v>18900</v>
      </c>
      <c r="Q61" t="s">
        <v>83</v>
      </c>
      <c r="R61">
        <v>27083.333330000001</v>
      </c>
      <c r="AE61" t="s">
        <v>84</v>
      </c>
      <c r="AG61" t="s">
        <v>84</v>
      </c>
      <c r="AH61" t="s">
        <v>84</v>
      </c>
      <c r="AJ61" t="s">
        <v>84</v>
      </c>
      <c r="AK61" t="s">
        <v>84</v>
      </c>
      <c r="AQ61" t="s">
        <v>84</v>
      </c>
      <c r="AS61">
        <v>18900</v>
      </c>
      <c r="AT61" t="s">
        <v>84</v>
      </c>
      <c r="AU61" t="s">
        <v>84</v>
      </c>
      <c r="AV61" t="s">
        <v>84</v>
      </c>
      <c r="AX61" t="s">
        <v>84</v>
      </c>
      <c r="BA61" t="s">
        <v>84</v>
      </c>
      <c r="BB61" t="s">
        <v>84</v>
      </c>
      <c r="BG61" t="s">
        <v>84</v>
      </c>
      <c r="BJ61" t="s">
        <v>84</v>
      </c>
      <c r="BK61" t="s">
        <v>84</v>
      </c>
      <c r="BM61" t="s">
        <v>84</v>
      </c>
      <c r="BS61" t="s">
        <v>84</v>
      </c>
      <c r="BT61" t="s">
        <v>84</v>
      </c>
      <c r="BU61">
        <v>0</v>
      </c>
      <c r="BV61">
        <v>0</v>
      </c>
      <c r="BW61">
        <v>27083.333333333336</v>
      </c>
    </row>
    <row r="62" spans="1:75" x14ac:dyDescent="0.25">
      <c r="A62">
        <v>324</v>
      </c>
      <c r="B62" s="1">
        <v>45128.784722222219</v>
      </c>
      <c r="C62" t="s">
        <v>177</v>
      </c>
      <c r="D62" t="s">
        <v>73</v>
      </c>
      <c r="E62" t="s">
        <v>178</v>
      </c>
      <c r="F62">
        <v>0</v>
      </c>
      <c r="G62" t="s">
        <v>135</v>
      </c>
      <c r="H62" t="s">
        <v>136</v>
      </c>
      <c r="I62" t="s">
        <v>179</v>
      </c>
      <c r="J62" t="s">
        <v>138</v>
      </c>
      <c r="K62" t="s">
        <v>84</v>
      </c>
      <c r="L62" t="s">
        <v>87</v>
      </c>
      <c r="M62" t="s">
        <v>177</v>
      </c>
      <c r="N62" t="s">
        <v>206</v>
      </c>
      <c r="O62" t="s">
        <v>82</v>
      </c>
      <c r="P62">
        <v>56933.45</v>
      </c>
      <c r="Q62" t="s">
        <v>83</v>
      </c>
      <c r="U62">
        <v>1</v>
      </c>
      <c r="AE62" t="s">
        <v>84</v>
      </c>
      <c r="AG62" t="s">
        <v>84</v>
      </c>
      <c r="AH62" t="s">
        <v>84</v>
      </c>
      <c r="AJ62" t="s">
        <v>84</v>
      </c>
      <c r="AK62" t="s">
        <v>84</v>
      </c>
      <c r="AQ62" t="s">
        <v>84</v>
      </c>
      <c r="AT62" t="s">
        <v>84</v>
      </c>
      <c r="AU62" t="s">
        <v>84</v>
      </c>
      <c r="AV62" t="s">
        <v>84</v>
      </c>
      <c r="AX62" t="s">
        <v>84</v>
      </c>
      <c r="BA62" t="s">
        <v>84</v>
      </c>
      <c r="BB62" t="s">
        <v>84</v>
      </c>
      <c r="BG62" t="s">
        <v>84</v>
      </c>
      <c r="BJ62" t="s">
        <v>84</v>
      </c>
      <c r="BK62" t="s">
        <v>84</v>
      </c>
      <c r="BM62" t="s">
        <v>84</v>
      </c>
      <c r="BS62" t="s">
        <v>84</v>
      </c>
      <c r="BT62" t="s">
        <v>84</v>
      </c>
      <c r="BU62">
        <v>0</v>
      </c>
      <c r="BV62">
        <v>0</v>
      </c>
      <c r="BW62">
        <v>93441.483333333337</v>
      </c>
    </row>
    <row r="63" spans="1:75" x14ac:dyDescent="0.25">
      <c r="A63">
        <v>324</v>
      </c>
      <c r="B63" s="1">
        <v>45128.784722222219</v>
      </c>
      <c r="C63" t="s">
        <v>177</v>
      </c>
      <c r="D63" t="s">
        <v>73</v>
      </c>
      <c r="E63" t="s">
        <v>178</v>
      </c>
      <c r="F63">
        <v>1</v>
      </c>
      <c r="G63" t="s">
        <v>135</v>
      </c>
      <c r="H63" t="s">
        <v>136</v>
      </c>
      <c r="I63" t="s">
        <v>179</v>
      </c>
      <c r="J63" t="s">
        <v>138</v>
      </c>
      <c r="K63" t="s">
        <v>207</v>
      </c>
      <c r="L63" t="s">
        <v>87</v>
      </c>
      <c r="M63" t="s">
        <v>177</v>
      </c>
      <c r="N63" t="s">
        <v>208</v>
      </c>
      <c r="O63" t="s">
        <v>82</v>
      </c>
      <c r="P63">
        <v>100975.5833</v>
      </c>
      <c r="Q63" t="s">
        <v>83</v>
      </c>
      <c r="R63">
        <v>93441.483330000003</v>
      </c>
      <c r="W63">
        <v>1</v>
      </c>
      <c r="X63">
        <v>1</v>
      </c>
      <c r="AE63" t="s">
        <v>84</v>
      </c>
      <c r="AG63" t="s">
        <v>84</v>
      </c>
      <c r="AH63" t="s">
        <v>84</v>
      </c>
      <c r="AJ63" t="s">
        <v>84</v>
      </c>
      <c r="AK63" t="s">
        <v>84</v>
      </c>
      <c r="AL63">
        <v>13300</v>
      </c>
      <c r="AM63">
        <v>35300</v>
      </c>
      <c r="AN63">
        <v>13700</v>
      </c>
      <c r="AO63">
        <v>11360</v>
      </c>
      <c r="AQ63" t="s">
        <v>84</v>
      </c>
      <c r="AT63" t="s">
        <v>84</v>
      </c>
      <c r="AU63" t="s">
        <v>84</v>
      </c>
      <c r="AV63" t="s">
        <v>84</v>
      </c>
      <c r="AX63" t="s">
        <v>84</v>
      </c>
      <c r="BA63" t="s">
        <v>84</v>
      </c>
      <c r="BB63" t="s">
        <v>84</v>
      </c>
      <c r="BG63" t="s">
        <v>84</v>
      </c>
      <c r="BJ63" t="s">
        <v>84</v>
      </c>
      <c r="BK63" t="s">
        <v>84</v>
      </c>
      <c r="BM63" t="s">
        <v>84</v>
      </c>
      <c r="BS63" t="s">
        <v>84</v>
      </c>
      <c r="BT63" t="s">
        <v>84</v>
      </c>
      <c r="BU63">
        <v>0</v>
      </c>
      <c r="BV63">
        <v>0</v>
      </c>
      <c r="BW63">
        <v>93441.483333333337</v>
      </c>
    </row>
    <row r="64" spans="1:75" x14ac:dyDescent="0.25">
      <c r="A64">
        <v>324</v>
      </c>
      <c r="B64" s="1">
        <v>45128.784722222219</v>
      </c>
      <c r="C64" t="s">
        <v>177</v>
      </c>
      <c r="D64" t="s">
        <v>73</v>
      </c>
      <c r="E64" t="s">
        <v>178</v>
      </c>
      <c r="F64">
        <v>0</v>
      </c>
      <c r="G64" t="s">
        <v>135</v>
      </c>
      <c r="H64" t="s">
        <v>136</v>
      </c>
      <c r="I64" t="s">
        <v>179</v>
      </c>
      <c r="J64" t="s">
        <v>138</v>
      </c>
      <c r="K64" t="s">
        <v>84</v>
      </c>
      <c r="L64" t="s">
        <v>87</v>
      </c>
      <c r="M64" t="s">
        <v>177</v>
      </c>
      <c r="N64" t="s">
        <v>209</v>
      </c>
      <c r="O64" t="s">
        <v>82</v>
      </c>
      <c r="P64">
        <v>122415.4167</v>
      </c>
      <c r="Q64" t="s">
        <v>83</v>
      </c>
      <c r="X64">
        <v>1</v>
      </c>
      <c r="AE64" t="s">
        <v>84</v>
      </c>
      <c r="AG64" t="s">
        <v>84</v>
      </c>
      <c r="AH64" t="s">
        <v>84</v>
      </c>
      <c r="AJ64" t="s">
        <v>84</v>
      </c>
      <c r="AK64" t="s">
        <v>84</v>
      </c>
      <c r="AQ64" t="s">
        <v>84</v>
      </c>
      <c r="AT64" t="s">
        <v>84</v>
      </c>
      <c r="AU64" t="s">
        <v>84</v>
      </c>
      <c r="AV64" t="s">
        <v>84</v>
      </c>
      <c r="AX64" t="s">
        <v>84</v>
      </c>
      <c r="BA64" t="s">
        <v>84</v>
      </c>
      <c r="BB64" t="s">
        <v>84</v>
      </c>
      <c r="BG64" t="s">
        <v>84</v>
      </c>
      <c r="BJ64" t="s">
        <v>84</v>
      </c>
      <c r="BK64" t="s">
        <v>84</v>
      </c>
      <c r="BM64" t="s">
        <v>84</v>
      </c>
      <c r="BS64" t="s">
        <v>84</v>
      </c>
      <c r="BT64" t="s">
        <v>84</v>
      </c>
      <c r="BU64">
        <v>0</v>
      </c>
      <c r="BV64">
        <v>0</v>
      </c>
      <c r="BW64">
        <v>93441.483333333337</v>
      </c>
    </row>
    <row r="65" spans="1:75" x14ac:dyDescent="0.25">
      <c r="A65">
        <v>324</v>
      </c>
      <c r="B65" s="1">
        <v>45128.784722222219</v>
      </c>
      <c r="C65" t="s">
        <v>177</v>
      </c>
      <c r="D65" t="s">
        <v>73</v>
      </c>
      <c r="E65" t="s">
        <v>178</v>
      </c>
      <c r="F65">
        <v>0</v>
      </c>
      <c r="G65" t="s">
        <v>135</v>
      </c>
      <c r="H65" t="s">
        <v>136</v>
      </c>
      <c r="I65" t="s">
        <v>179</v>
      </c>
      <c r="J65" t="s">
        <v>138</v>
      </c>
      <c r="K65" t="s">
        <v>84</v>
      </c>
      <c r="L65" t="s">
        <v>110</v>
      </c>
      <c r="M65" t="s">
        <v>186</v>
      </c>
      <c r="N65" t="s">
        <v>113</v>
      </c>
      <c r="O65" t="s">
        <v>82</v>
      </c>
      <c r="P65">
        <v>12400</v>
      </c>
      <c r="Q65" t="s">
        <v>83</v>
      </c>
      <c r="AE65" t="s">
        <v>84</v>
      </c>
      <c r="AG65" t="s">
        <v>84</v>
      </c>
      <c r="AH65" t="s">
        <v>84</v>
      </c>
      <c r="AJ65" t="s">
        <v>84</v>
      </c>
      <c r="AK65" t="s">
        <v>84</v>
      </c>
      <c r="AQ65" t="s">
        <v>84</v>
      </c>
      <c r="AT65" t="s">
        <v>84</v>
      </c>
      <c r="AU65" t="s">
        <v>84</v>
      </c>
      <c r="AV65" t="s">
        <v>84</v>
      </c>
      <c r="AX65" t="s">
        <v>84</v>
      </c>
      <c r="BA65" t="s">
        <v>84</v>
      </c>
      <c r="BB65" t="s">
        <v>84</v>
      </c>
      <c r="BG65" t="s">
        <v>84</v>
      </c>
      <c r="BJ65" t="s">
        <v>84</v>
      </c>
      <c r="BK65" t="s">
        <v>84</v>
      </c>
      <c r="BM65" t="s">
        <v>84</v>
      </c>
      <c r="BS65" t="s">
        <v>84</v>
      </c>
      <c r="BT65" t="s">
        <v>84</v>
      </c>
      <c r="BU65">
        <v>0</v>
      </c>
      <c r="BV65">
        <v>0</v>
      </c>
      <c r="BW65">
        <v>11703.333333333334</v>
      </c>
    </row>
    <row r="66" spans="1:75" x14ac:dyDescent="0.25">
      <c r="A66">
        <v>324</v>
      </c>
      <c r="B66" s="1">
        <v>45128.784722222219</v>
      </c>
      <c r="C66" t="s">
        <v>177</v>
      </c>
      <c r="D66" t="s">
        <v>73</v>
      </c>
      <c r="E66" t="s">
        <v>178</v>
      </c>
      <c r="F66">
        <v>1</v>
      </c>
      <c r="G66" t="s">
        <v>135</v>
      </c>
      <c r="H66" t="s">
        <v>136</v>
      </c>
      <c r="I66" t="s">
        <v>179</v>
      </c>
      <c r="J66" t="s">
        <v>138</v>
      </c>
      <c r="K66" t="s">
        <v>188</v>
      </c>
      <c r="L66" t="s">
        <v>110</v>
      </c>
      <c r="M66" t="s">
        <v>189</v>
      </c>
      <c r="N66" t="s">
        <v>210</v>
      </c>
      <c r="O66" t="s">
        <v>82</v>
      </c>
      <c r="P66">
        <v>13750</v>
      </c>
      <c r="Q66" t="s">
        <v>83</v>
      </c>
      <c r="R66">
        <v>11703.333329999999</v>
      </c>
      <c r="X66">
        <v>1</v>
      </c>
      <c r="Z66">
        <v>0</v>
      </c>
      <c r="AA66">
        <v>0</v>
      </c>
      <c r="AE66" t="s">
        <v>84</v>
      </c>
      <c r="AG66" t="s">
        <v>84</v>
      </c>
      <c r="AH66" t="s">
        <v>84</v>
      </c>
      <c r="AI66">
        <v>0</v>
      </c>
      <c r="AJ66" t="s">
        <v>84</v>
      </c>
      <c r="AK66" t="s">
        <v>84</v>
      </c>
      <c r="AL66">
        <v>0</v>
      </c>
      <c r="AN66">
        <v>0</v>
      </c>
      <c r="AP66">
        <v>0</v>
      </c>
      <c r="AQ66" t="s">
        <v>84</v>
      </c>
      <c r="AR66">
        <v>0</v>
      </c>
      <c r="AT66" t="s">
        <v>84</v>
      </c>
      <c r="AU66" t="s">
        <v>84</v>
      </c>
      <c r="AV66" t="s">
        <v>84</v>
      </c>
      <c r="AW66">
        <v>0</v>
      </c>
      <c r="AX66" t="s">
        <v>84</v>
      </c>
      <c r="AY66">
        <v>11000</v>
      </c>
      <c r="BA66" t="s">
        <v>84</v>
      </c>
      <c r="BB66" t="s">
        <v>84</v>
      </c>
      <c r="BC66">
        <v>0</v>
      </c>
      <c r="BD66">
        <v>0</v>
      </c>
      <c r="BG66" t="s">
        <v>84</v>
      </c>
      <c r="BH66">
        <v>0</v>
      </c>
      <c r="BI66">
        <v>0</v>
      </c>
      <c r="BJ66" t="s">
        <v>84</v>
      </c>
      <c r="BK66" t="s">
        <v>84</v>
      </c>
      <c r="BM66" t="s">
        <v>84</v>
      </c>
      <c r="BP66">
        <v>0</v>
      </c>
      <c r="BQ66">
        <v>0</v>
      </c>
      <c r="BR66">
        <v>0</v>
      </c>
      <c r="BS66" t="s">
        <v>84</v>
      </c>
      <c r="BT66" t="s">
        <v>84</v>
      </c>
      <c r="BU66">
        <v>0</v>
      </c>
      <c r="BV66">
        <v>0</v>
      </c>
      <c r="BW66">
        <v>11703.333333333334</v>
      </c>
    </row>
    <row r="67" spans="1:75" x14ac:dyDescent="0.25">
      <c r="A67">
        <v>324</v>
      </c>
      <c r="B67" s="1">
        <v>45128.784722222219</v>
      </c>
      <c r="C67" t="s">
        <v>177</v>
      </c>
      <c r="D67" t="s">
        <v>73</v>
      </c>
      <c r="E67" t="s">
        <v>178</v>
      </c>
      <c r="F67">
        <v>0</v>
      </c>
      <c r="G67" t="s">
        <v>135</v>
      </c>
      <c r="H67" t="s">
        <v>136</v>
      </c>
      <c r="I67" t="s">
        <v>179</v>
      </c>
      <c r="J67" t="s">
        <v>138</v>
      </c>
      <c r="K67" t="s">
        <v>84</v>
      </c>
      <c r="L67" t="s">
        <v>110</v>
      </c>
      <c r="M67" t="s">
        <v>191</v>
      </c>
      <c r="N67" t="s">
        <v>211</v>
      </c>
      <c r="O67" t="s">
        <v>82</v>
      </c>
      <c r="P67">
        <v>8960</v>
      </c>
      <c r="Q67" t="s">
        <v>83</v>
      </c>
      <c r="T67">
        <v>1</v>
      </c>
      <c r="X67">
        <v>1</v>
      </c>
      <c r="AE67" t="s">
        <v>84</v>
      </c>
      <c r="AG67" t="s">
        <v>84</v>
      </c>
      <c r="AH67" t="s">
        <v>84</v>
      </c>
      <c r="AJ67" t="s">
        <v>84</v>
      </c>
      <c r="AK67" t="s">
        <v>84</v>
      </c>
      <c r="AQ67" t="s">
        <v>84</v>
      </c>
      <c r="AT67" t="s">
        <v>84</v>
      </c>
      <c r="AU67" t="s">
        <v>84</v>
      </c>
      <c r="AV67" t="s">
        <v>84</v>
      </c>
      <c r="AX67" t="s">
        <v>84</v>
      </c>
      <c r="BA67" t="s">
        <v>84</v>
      </c>
      <c r="BB67" t="s">
        <v>84</v>
      </c>
      <c r="BG67" t="s">
        <v>84</v>
      </c>
      <c r="BJ67" t="s">
        <v>84</v>
      </c>
      <c r="BK67" t="s">
        <v>84</v>
      </c>
      <c r="BM67" t="s">
        <v>84</v>
      </c>
      <c r="BS67" t="s">
        <v>84</v>
      </c>
      <c r="BT67" t="s">
        <v>84</v>
      </c>
      <c r="BU67">
        <v>0</v>
      </c>
      <c r="BV67">
        <v>0</v>
      </c>
      <c r="BW67">
        <v>11703.333333333334</v>
      </c>
    </row>
    <row r="68" spans="1:75" x14ac:dyDescent="0.25">
      <c r="A68">
        <v>324</v>
      </c>
      <c r="B68" s="1">
        <v>45128.784722222219</v>
      </c>
      <c r="C68" t="s">
        <v>177</v>
      </c>
      <c r="D68" t="s">
        <v>73</v>
      </c>
      <c r="E68" t="s">
        <v>178</v>
      </c>
      <c r="F68">
        <v>0</v>
      </c>
      <c r="G68" t="s">
        <v>135</v>
      </c>
      <c r="H68" t="s">
        <v>136</v>
      </c>
      <c r="I68" t="s">
        <v>179</v>
      </c>
      <c r="J68" t="s">
        <v>138</v>
      </c>
      <c r="K68" t="s">
        <v>84</v>
      </c>
      <c r="L68" t="s">
        <v>106</v>
      </c>
      <c r="M68" t="s">
        <v>186</v>
      </c>
      <c r="N68" t="s">
        <v>212</v>
      </c>
      <c r="O68" t="s">
        <v>82</v>
      </c>
      <c r="P68">
        <v>7010.9750000000004</v>
      </c>
      <c r="Q68" t="s">
        <v>83</v>
      </c>
      <c r="AE68" t="s">
        <v>84</v>
      </c>
      <c r="AG68" t="s">
        <v>84</v>
      </c>
      <c r="AH68" t="s">
        <v>84</v>
      </c>
      <c r="AJ68" t="s">
        <v>84</v>
      </c>
      <c r="AK68" t="s">
        <v>84</v>
      </c>
      <c r="AQ68" t="s">
        <v>84</v>
      </c>
      <c r="AT68" t="s">
        <v>84</v>
      </c>
      <c r="AU68" t="s">
        <v>84</v>
      </c>
      <c r="AV68" t="s">
        <v>84</v>
      </c>
      <c r="AX68" t="s">
        <v>84</v>
      </c>
      <c r="BA68" t="s">
        <v>84</v>
      </c>
      <c r="BB68" t="s">
        <v>84</v>
      </c>
      <c r="BG68" t="s">
        <v>84</v>
      </c>
      <c r="BJ68" t="s">
        <v>84</v>
      </c>
      <c r="BK68" t="s">
        <v>84</v>
      </c>
      <c r="BM68" t="s">
        <v>84</v>
      </c>
      <c r="BS68" t="s">
        <v>84</v>
      </c>
      <c r="BT68" t="s">
        <v>84</v>
      </c>
      <c r="BU68">
        <v>0</v>
      </c>
      <c r="BV68">
        <v>0</v>
      </c>
      <c r="BW68">
        <v>7058.2400000000007</v>
      </c>
    </row>
    <row r="69" spans="1:75" x14ac:dyDescent="0.25">
      <c r="A69">
        <v>324</v>
      </c>
      <c r="B69" s="1">
        <v>45128.784722222219</v>
      </c>
      <c r="C69" t="s">
        <v>177</v>
      </c>
      <c r="D69" t="s">
        <v>73</v>
      </c>
      <c r="E69" t="s">
        <v>178</v>
      </c>
      <c r="F69">
        <v>1</v>
      </c>
      <c r="G69" t="s">
        <v>135</v>
      </c>
      <c r="H69" t="s">
        <v>136</v>
      </c>
      <c r="I69" t="s">
        <v>179</v>
      </c>
      <c r="J69" t="s">
        <v>138</v>
      </c>
      <c r="K69" t="s">
        <v>188</v>
      </c>
      <c r="L69" t="s">
        <v>106</v>
      </c>
      <c r="M69" t="s">
        <v>189</v>
      </c>
      <c r="N69" t="s">
        <v>213</v>
      </c>
      <c r="O69" t="s">
        <v>82</v>
      </c>
      <c r="P69">
        <v>5317.3125</v>
      </c>
      <c r="Q69" t="s">
        <v>83</v>
      </c>
      <c r="R69">
        <v>7058.24</v>
      </c>
      <c r="X69">
        <v>1</v>
      </c>
      <c r="AE69" t="s">
        <v>84</v>
      </c>
      <c r="AF69">
        <v>1850</v>
      </c>
      <c r="AG69" t="s">
        <v>84</v>
      </c>
      <c r="AH69" t="s">
        <v>84</v>
      </c>
      <c r="AJ69" t="s">
        <v>84</v>
      </c>
      <c r="AK69" t="s">
        <v>84</v>
      </c>
      <c r="AQ69" t="s">
        <v>84</v>
      </c>
      <c r="AT69" t="s">
        <v>84</v>
      </c>
      <c r="AU69" t="s">
        <v>84</v>
      </c>
      <c r="AV69" t="s">
        <v>84</v>
      </c>
      <c r="AX69" t="s">
        <v>84</v>
      </c>
      <c r="BA69" t="s">
        <v>84</v>
      </c>
      <c r="BB69" t="s">
        <v>84</v>
      </c>
      <c r="BE69">
        <v>1525</v>
      </c>
      <c r="BG69" t="s">
        <v>84</v>
      </c>
      <c r="BJ69" t="s">
        <v>84</v>
      </c>
      <c r="BK69" t="s">
        <v>84</v>
      </c>
      <c r="BM69" t="s">
        <v>84</v>
      </c>
      <c r="BS69" t="s">
        <v>84</v>
      </c>
      <c r="BT69" t="s">
        <v>84</v>
      </c>
      <c r="BU69">
        <v>0</v>
      </c>
      <c r="BV69">
        <v>0</v>
      </c>
      <c r="BW69">
        <v>7058.2400000000007</v>
      </c>
    </row>
    <row r="70" spans="1:75" x14ac:dyDescent="0.25">
      <c r="A70">
        <v>324</v>
      </c>
      <c r="B70" s="1">
        <v>45128.784722222219</v>
      </c>
      <c r="C70" t="s">
        <v>177</v>
      </c>
      <c r="D70" t="s">
        <v>73</v>
      </c>
      <c r="E70" t="s">
        <v>178</v>
      </c>
      <c r="F70">
        <v>0</v>
      </c>
      <c r="G70" t="s">
        <v>135</v>
      </c>
      <c r="H70" t="s">
        <v>136</v>
      </c>
      <c r="I70" t="s">
        <v>179</v>
      </c>
      <c r="J70" t="s">
        <v>138</v>
      </c>
      <c r="K70" t="s">
        <v>84</v>
      </c>
      <c r="L70" t="s">
        <v>106</v>
      </c>
      <c r="M70" t="s">
        <v>191</v>
      </c>
      <c r="N70" t="s">
        <v>214</v>
      </c>
      <c r="O70" t="s">
        <v>82</v>
      </c>
      <c r="P70">
        <v>8846.4325000000008</v>
      </c>
      <c r="Q70" t="s">
        <v>83</v>
      </c>
      <c r="T70">
        <v>1</v>
      </c>
      <c r="X70">
        <v>1</v>
      </c>
      <c r="AE70" t="s">
        <v>84</v>
      </c>
      <c r="AG70" t="s">
        <v>84</v>
      </c>
      <c r="AH70" t="s">
        <v>84</v>
      </c>
      <c r="AJ70" t="s">
        <v>84</v>
      </c>
      <c r="AK70" t="s">
        <v>84</v>
      </c>
      <c r="AQ70" t="s">
        <v>84</v>
      </c>
      <c r="AT70" t="s">
        <v>84</v>
      </c>
      <c r="AU70" t="s">
        <v>84</v>
      </c>
      <c r="AV70" t="s">
        <v>84</v>
      </c>
      <c r="AX70" t="s">
        <v>84</v>
      </c>
      <c r="BA70" t="s">
        <v>84</v>
      </c>
      <c r="BB70" t="s">
        <v>84</v>
      </c>
      <c r="BG70" t="s">
        <v>84</v>
      </c>
      <c r="BJ70" t="s">
        <v>84</v>
      </c>
      <c r="BK70" t="s">
        <v>84</v>
      </c>
      <c r="BM70" t="s">
        <v>84</v>
      </c>
      <c r="BS70" t="s">
        <v>84</v>
      </c>
      <c r="BT70" t="s">
        <v>84</v>
      </c>
      <c r="BU70">
        <v>0</v>
      </c>
      <c r="BV70">
        <v>0</v>
      </c>
      <c r="BW70">
        <v>7058.2400000000007</v>
      </c>
    </row>
    <row r="71" spans="1:75" x14ac:dyDescent="0.25">
      <c r="A71">
        <v>324</v>
      </c>
      <c r="B71" s="1">
        <v>45128.784722222219</v>
      </c>
      <c r="C71" t="s">
        <v>177</v>
      </c>
      <c r="D71" t="s">
        <v>73</v>
      </c>
      <c r="E71" t="s">
        <v>178</v>
      </c>
      <c r="F71">
        <v>0</v>
      </c>
      <c r="G71" t="s">
        <v>135</v>
      </c>
      <c r="H71" t="s">
        <v>136</v>
      </c>
      <c r="I71" t="s">
        <v>179</v>
      </c>
      <c r="J71" t="s">
        <v>138</v>
      </c>
      <c r="K71" t="s">
        <v>84</v>
      </c>
      <c r="L71" t="s">
        <v>80</v>
      </c>
      <c r="M71" t="s">
        <v>186</v>
      </c>
      <c r="N71" t="s">
        <v>215</v>
      </c>
      <c r="O71" t="s">
        <v>82</v>
      </c>
      <c r="P71">
        <v>748472.65919999999</v>
      </c>
      <c r="Q71" t="s">
        <v>83</v>
      </c>
      <c r="AE71" t="s">
        <v>84</v>
      </c>
      <c r="AG71" t="s">
        <v>84</v>
      </c>
      <c r="AH71" t="s">
        <v>84</v>
      </c>
      <c r="AJ71" t="s">
        <v>84</v>
      </c>
      <c r="AK71" t="s">
        <v>84</v>
      </c>
      <c r="AQ71" t="s">
        <v>84</v>
      </c>
      <c r="AT71" t="s">
        <v>84</v>
      </c>
      <c r="AU71" t="s">
        <v>84</v>
      </c>
      <c r="AV71" t="s">
        <v>84</v>
      </c>
      <c r="AX71" t="s">
        <v>84</v>
      </c>
      <c r="BA71" t="s">
        <v>84</v>
      </c>
      <c r="BB71" t="s">
        <v>84</v>
      </c>
      <c r="BG71" t="s">
        <v>84</v>
      </c>
      <c r="BJ71" t="s">
        <v>84</v>
      </c>
      <c r="BK71" t="s">
        <v>84</v>
      </c>
      <c r="BM71" t="s">
        <v>84</v>
      </c>
      <c r="BS71" t="s">
        <v>84</v>
      </c>
      <c r="BT71" t="s">
        <v>84</v>
      </c>
      <c r="BU71">
        <v>0</v>
      </c>
      <c r="BV71">
        <v>0</v>
      </c>
      <c r="BW71">
        <v>835635.3772333333</v>
      </c>
    </row>
    <row r="72" spans="1:75" x14ac:dyDescent="0.25">
      <c r="A72">
        <v>324</v>
      </c>
      <c r="B72" s="1">
        <v>45128.784722222219</v>
      </c>
      <c r="C72" t="s">
        <v>177</v>
      </c>
      <c r="D72" t="s">
        <v>73</v>
      </c>
      <c r="E72" t="s">
        <v>178</v>
      </c>
      <c r="F72">
        <v>1</v>
      </c>
      <c r="G72" t="s">
        <v>135</v>
      </c>
      <c r="H72" t="s">
        <v>136</v>
      </c>
      <c r="I72" t="s">
        <v>179</v>
      </c>
      <c r="J72" t="s">
        <v>138</v>
      </c>
      <c r="K72" t="s">
        <v>188</v>
      </c>
      <c r="L72" t="s">
        <v>80</v>
      </c>
      <c r="M72" t="s">
        <v>189</v>
      </c>
      <c r="N72" t="s">
        <v>216</v>
      </c>
      <c r="O72" t="s">
        <v>82</v>
      </c>
      <c r="P72">
        <v>856318.5</v>
      </c>
      <c r="Q72" t="s">
        <v>83</v>
      </c>
      <c r="R72">
        <v>835635.37719999999</v>
      </c>
      <c r="X72">
        <v>1</v>
      </c>
      <c r="Z72">
        <v>36536.5</v>
      </c>
      <c r="AA72">
        <v>52700</v>
      </c>
      <c r="AE72" t="s">
        <v>84</v>
      </c>
      <c r="AG72" t="s">
        <v>84</v>
      </c>
      <c r="AH72" t="s">
        <v>84</v>
      </c>
      <c r="AI72">
        <v>125000</v>
      </c>
      <c r="AJ72" t="s">
        <v>84</v>
      </c>
      <c r="AK72" t="s">
        <v>84</v>
      </c>
      <c r="AL72">
        <v>0</v>
      </c>
      <c r="AN72">
        <v>0</v>
      </c>
      <c r="AP72">
        <v>128200</v>
      </c>
      <c r="AQ72" t="s">
        <v>84</v>
      </c>
      <c r="AR72">
        <v>2800</v>
      </c>
      <c r="AT72" t="s">
        <v>84</v>
      </c>
      <c r="AU72" t="s">
        <v>84</v>
      </c>
      <c r="AV72" t="s">
        <v>84</v>
      </c>
      <c r="AW72">
        <v>39121</v>
      </c>
      <c r="AX72" t="s">
        <v>84</v>
      </c>
      <c r="AY72">
        <v>12200</v>
      </c>
      <c r="BA72" t="s">
        <v>84</v>
      </c>
      <c r="BB72" t="s">
        <v>84</v>
      </c>
      <c r="BC72">
        <v>24500</v>
      </c>
      <c r="BD72">
        <v>121514.25</v>
      </c>
      <c r="BG72" t="s">
        <v>84</v>
      </c>
      <c r="BH72">
        <v>0</v>
      </c>
      <c r="BI72">
        <v>113163.05</v>
      </c>
      <c r="BJ72" t="s">
        <v>84</v>
      </c>
      <c r="BK72" t="s">
        <v>84</v>
      </c>
      <c r="BM72" t="s">
        <v>84</v>
      </c>
      <c r="BP72">
        <v>29320</v>
      </c>
      <c r="BQ72">
        <v>0</v>
      </c>
      <c r="BR72">
        <v>0</v>
      </c>
      <c r="BS72" t="s">
        <v>84</v>
      </c>
      <c r="BT72" t="s">
        <v>84</v>
      </c>
      <c r="BU72">
        <v>0</v>
      </c>
      <c r="BV72">
        <v>0</v>
      </c>
      <c r="BW72">
        <v>835635.3772333333</v>
      </c>
    </row>
    <row r="73" spans="1:75" x14ac:dyDescent="0.25">
      <c r="A73">
        <v>324</v>
      </c>
      <c r="B73" s="1">
        <v>45128.784722222219</v>
      </c>
      <c r="C73" t="s">
        <v>177</v>
      </c>
      <c r="D73" t="s">
        <v>73</v>
      </c>
      <c r="E73" t="s">
        <v>178</v>
      </c>
      <c r="F73">
        <v>0</v>
      </c>
      <c r="G73" t="s">
        <v>135</v>
      </c>
      <c r="H73" t="s">
        <v>136</v>
      </c>
      <c r="I73" t="s">
        <v>179</v>
      </c>
      <c r="J73" t="s">
        <v>138</v>
      </c>
      <c r="K73" t="s">
        <v>84</v>
      </c>
      <c r="L73" t="s">
        <v>80</v>
      </c>
      <c r="M73" t="s">
        <v>191</v>
      </c>
      <c r="N73" t="s">
        <v>217</v>
      </c>
      <c r="O73" t="s">
        <v>82</v>
      </c>
      <c r="P73">
        <v>902114.97250000003</v>
      </c>
      <c r="Q73" t="s">
        <v>83</v>
      </c>
      <c r="T73">
        <v>1</v>
      </c>
      <c r="X73">
        <v>1</v>
      </c>
      <c r="AE73" t="s">
        <v>84</v>
      </c>
      <c r="AG73" t="s">
        <v>84</v>
      </c>
      <c r="AH73" t="s">
        <v>84</v>
      </c>
      <c r="AJ73" t="s">
        <v>84</v>
      </c>
      <c r="AK73" t="s">
        <v>84</v>
      </c>
      <c r="AQ73" t="s">
        <v>84</v>
      </c>
      <c r="AT73" t="s">
        <v>84</v>
      </c>
      <c r="AU73" t="s">
        <v>84</v>
      </c>
      <c r="AV73" t="s">
        <v>84</v>
      </c>
      <c r="AX73" t="s">
        <v>84</v>
      </c>
      <c r="BA73" t="s">
        <v>84</v>
      </c>
      <c r="BB73" t="s">
        <v>84</v>
      </c>
      <c r="BG73" t="s">
        <v>84</v>
      </c>
      <c r="BJ73" t="s">
        <v>84</v>
      </c>
      <c r="BK73" t="s">
        <v>84</v>
      </c>
      <c r="BM73" t="s">
        <v>84</v>
      </c>
      <c r="BS73" t="s">
        <v>84</v>
      </c>
      <c r="BT73" t="s">
        <v>84</v>
      </c>
      <c r="BU73">
        <v>0</v>
      </c>
      <c r="BV73">
        <v>0</v>
      </c>
      <c r="BW73">
        <v>835635.3772333333</v>
      </c>
    </row>
    <row r="74" spans="1:75" x14ac:dyDescent="0.25">
      <c r="A74">
        <v>326</v>
      </c>
      <c r="B74" s="1">
        <v>45128.786111111112</v>
      </c>
      <c r="C74" t="s">
        <v>218</v>
      </c>
      <c r="D74" t="s">
        <v>73</v>
      </c>
      <c r="E74" t="s">
        <v>178</v>
      </c>
      <c r="F74">
        <v>0</v>
      </c>
      <c r="G74" t="s">
        <v>135</v>
      </c>
      <c r="H74" t="s">
        <v>219</v>
      </c>
      <c r="I74" t="s">
        <v>179</v>
      </c>
      <c r="J74" t="s">
        <v>138</v>
      </c>
      <c r="K74" t="s">
        <v>84</v>
      </c>
      <c r="L74" t="s">
        <v>92</v>
      </c>
      <c r="M74" t="s">
        <v>220</v>
      </c>
      <c r="N74" t="s">
        <v>181</v>
      </c>
      <c r="O74" t="s">
        <v>82</v>
      </c>
      <c r="P74">
        <v>35540</v>
      </c>
      <c r="Q74" t="s">
        <v>83</v>
      </c>
      <c r="AE74" t="s">
        <v>84</v>
      </c>
      <c r="AG74" t="s">
        <v>84</v>
      </c>
      <c r="AH74" t="s">
        <v>84</v>
      </c>
      <c r="AJ74" t="s">
        <v>84</v>
      </c>
      <c r="AK74" t="s">
        <v>84</v>
      </c>
      <c r="AQ74" t="s">
        <v>84</v>
      </c>
      <c r="AT74" t="s">
        <v>84</v>
      </c>
      <c r="AU74" t="s">
        <v>84</v>
      </c>
      <c r="AV74" t="s">
        <v>84</v>
      </c>
      <c r="AX74" t="s">
        <v>84</v>
      </c>
      <c r="BA74" t="s">
        <v>84</v>
      </c>
      <c r="BB74" t="s">
        <v>84</v>
      </c>
      <c r="BG74" t="s">
        <v>84</v>
      </c>
      <c r="BJ74" t="s">
        <v>84</v>
      </c>
      <c r="BK74" t="s">
        <v>84</v>
      </c>
      <c r="BM74" t="s">
        <v>84</v>
      </c>
      <c r="BS74" t="s">
        <v>84</v>
      </c>
      <c r="BT74" t="s">
        <v>84</v>
      </c>
      <c r="BU74">
        <v>0</v>
      </c>
      <c r="BV74">
        <v>0</v>
      </c>
      <c r="BW74">
        <v>52025</v>
      </c>
    </row>
    <row r="75" spans="1:75" x14ac:dyDescent="0.25">
      <c r="A75">
        <v>326</v>
      </c>
      <c r="B75" s="1">
        <v>45128.786111111112</v>
      </c>
      <c r="C75" t="s">
        <v>218</v>
      </c>
      <c r="D75" t="s">
        <v>73</v>
      </c>
      <c r="E75" t="s">
        <v>178</v>
      </c>
      <c r="F75">
        <v>1</v>
      </c>
      <c r="G75" t="s">
        <v>135</v>
      </c>
      <c r="H75" t="s">
        <v>219</v>
      </c>
      <c r="I75" t="s">
        <v>179</v>
      </c>
      <c r="J75" t="s">
        <v>138</v>
      </c>
      <c r="K75" t="s">
        <v>221</v>
      </c>
      <c r="L75" t="s">
        <v>92</v>
      </c>
      <c r="M75" t="s">
        <v>222</v>
      </c>
      <c r="N75" t="s">
        <v>221</v>
      </c>
      <c r="O75" t="s">
        <v>82</v>
      </c>
      <c r="P75">
        <v>68510</v>
      </c>
      <c r="Q75" t="s">
        <v>83</v>
      </c>
      <c r="R75">
        <v>52025</v>
      </c>
      <c r="V75">
        <v>1</v>
      </c>
      <c r="AB75">
        <v>68510</v>
      </c>
      <c r="AE75" t="s">
        <v>84</v>
      </c>
      <c r="AG75" t="s">
        <v>84</v>
      </c>
      <c r="AH75" t="s">
        <v>84</v>
      </c>
      <c r="AJ75" t="s">
        <v>84</v>
      </c>
      <c r="AK75" t="s">
        <v>84</v>
      </c>
      <c r="AQ75" t="s">
        <v>84</v>
      </c>
      <c r="AT75" t="s">
        <v>84</v>
      </c>
      <c r="AU75" t="s">
        <v>84</v>
      </c>
      <c r="AV75" t="s">
        <v>84</v>
      </c>
      <c r="AX75" t="s">
        <v>84</v>
      </c>
      <c r="BA75" t="s">
        <v>84</v>
      </c>
      <c r="BB75" t="s">
        <v>84</v>
      </c>
      <c r="BG75" t="s">
        <v>84</v>
      </c>
      <c r="BJ75" t="s">
        <v>84</v>
      </c>
      <c r="BK75" t="s">
        <v>84</v>
      </c>
      <c r="BM75" t="s">
        <v>84</v>
      </c>
      <c r="BS75" t="s">
        <v>84</v>
      </c>
      <c r="BT75" t="s">
        <v>84</v>
      </c>
      <c r="BU75">
        <v>0</v>
      </c>
      <c r="BV75">
        <v>0</v>
      </c>
      <c r="BW75">
        <v>52025</v>
      </c>
    </row>
    <row r="76" spans="1:75" x14ac:dyDescent="0.25">
      <c r="A76">
        <v>326</v>
      </c>
      <c r="B76" s="1">
        <v>45128.786111111112</v>
      </c>
      <c r="C76" t="s">
        <v>218</v>
      </c>
      <c r="D76" t="s">
        <v>73</v>
      </c>
      <c r="E76" t="s">
        <v>178</v>
      </c>
      <c r="F76">
        <v>0</v>
      </c>
      <c r="G76" t="s">
        <v>135</v>
      </c>
      <c r="H76" t="s">
        <v>219</v>
      </c>
      <c r="I76" t="s">
        <v>179</v>
      </c>
      <c r="J76" t="s">
        <v>138</v>
      </c>
      <c r="K76" t="s">
        <v>84</v>
      </c>
      <c r="L76" t="s">
        <v>125</v>
      </c>
      <c r="M76" t="s">
        <v>223</v>
      </c>
      <c r="N76" t="s">
        <v>224</v>
      </c>
      <c r="O76" t="s">
        <v>82</v>
      </c>
      <c r="P76">
        <v>8600</v>
      </c>
      <c r="Q76" t="s">
        <v>83</v>
      </c>
      <c r="S76">
        <v>1</v>
      </c>
      <c r="W76">
        <v>1</v>
      </c>
      <c r="AE76" t="s">
        <v>84</v>
      </c>
      <c r="AG76" t="s">
        <v>84</v>
      </c>
      <c r="AH76" t="s">
        <v>84</v>
      </c>
      <c r="AJ76" t="s">
        <v>84</v>
      </c>
      <c r="AK76" t="s">
        <v>84</v>
      </c>
      <c r="AQ76" t="s">
        <v>84</v>
      </c>
      <c r="AT76" t="s">
        <v>84</v>
      </c>
      <c r="AU76" t="s">
        <v>84</v>
      </c>
      <c r="AV76" t="s">
        <v>84</v>
      </c>
      <c r="AX76" t="s">
        <v>84</v>
      </c>
      <c r="BA76" t="s">
        <v>84</v>
      </c>
      <c r="BB76" t="s">
        <v>84</v>
      </c>
      <c r="BG76" t="s">
        <v>84</v>
      </c>
      <c r="BJ76" t="s">
        <v>84</v>
      </c>
      <c r="BK76" t="s">
        <v>84</v>
      </c>
      <c r="BM76" t="s">
        <v>84</v>
      </c>
      <c r="BS76" t="s">
        <v>84</v>
      </c>
      <c r="BT76" t="s">
        <v>84</v>
      </c>
      <c r="BU76">
        <v>8600</v>
      </c>
      <c r="BV76">
        <v>0</v>
      </c>
      <c r="BW76">
        <v>40166.666666666672</v>
      </c>
    </row>
    <row r="77" spans="1:75" x14ac:dyDescent="0.25">
      <c r="A77">
        <v>326</v>
      </c>
      <c r="B77" s="1">
        <v>45128.786111111112</v>
      </c>
      <c r="C77" t="s">
        <v>218</v>
      </c>
      <c r="D77" t="s">
        <v>73</v>
      </c>
      <c r="E77" t="s">
        <v>178</v>
      </c>
      <c r="F77">
        <v>1</v>
      </c>
      <c r="G77" t="s">
        <v>135</v>
      </c>
      <c r="H77" t="s">
        <v>219</v>
      </c>
      <c r="I77" t="s">
        <v>179</v>
      </c>
      <c r="J77" t="s">
        <v>138</v>
      </c>
      <c r="K77" t="s">
        <v>141</v>
      </c>
      <c r="L77" t="s">
        <v>125</v>
      </c>
      <c r="M77" t="s">
        <v>225</v>
      </c>
      <c r="N77" t="s">
        <v>226</v>
      </c>
      <c r="O77" t="s">
        <v>82</v>
      </c>
      <c r="P77">
        <v>52150</v>
      </c>
      <c r="Q77" t="s">
        <v>83</v>
      </c>
      <c r="R77">
        <v>40166.666669999999</v>
      </c>
      <c r="AE77" t="s">
        <v>84</v>
      </c>
      <c r="AG77" t="s">
        <v>84</v>
      </c>
      <c r="AH77" t="s">
        <v>84</v>
      </c>
      <c r="AJ77" t="s">
        <v>84</v>
      </c>
      <c r="AK77" t="s">
        <v>84</v>
      </c>
      <c r="AQ77" t="s">
        <v>84</v>
      </c>
      <c r="AT77" t="s">
        <v>84</v>
      </c>
      <c r="AU77" t="s">
        <v>84</v>
      </c>
      <c r="AV77" t="s">
        <v>84</v>
      </c>
      <c r="AX77" t="s">
        <v>84</v>
      </c>
      <c r="AZ77">
        <v>52150</v>
      </c>
      <c r="BA77" t="s">
        <v>84</v>
      </c>
      <c r="BB77" t="s">
        <v>84</v>
      </c>
      <c r="BG77" t="s">
        <v>84</v>
      </c>
      <c r="BJ77" t="s">
        <v>84</v>
      </c>
      <c r="BK77" t="s">
        <v>84</v>
      </c>
      <c r="BM77" t="s">
        <v>84</v>
      </c>
      <c r="BS77" t="s">
        <v>84</v>
      </c>
      <c r="BT77" t="s">
        <v>84</v>
      </c>
      <c r="BU77">
        <v>0</v>
      </c>
      <c r="BV77">
        <v>0</v>
      </c>
      <c r="BW77">
        <v>40166.666666666672</v>
      </c>
    </row>
    <row r="78" spans="1:75" x14ac:dyDescent="0.25">
      <c r="A78">
        <v>326</v>
      </c>
      <c r="B78" s="1">
        <v>45128.786111111112</v>
      </c>
      <c r="C78" t="s">
        <v>218</v>
      </c>
      <c r="D78" t="s">
        <v>73</v>
      </c>
      <c r="E78" t="s">
        <v>178</v>
      </c>
      <c r="F78">
        <v>0</v>
      </c>
      <c r="G78" t="s">
        <v>135</v>
      </c>
      <c r="H78" t="s">
        <v>219</v>
      </c>
      <c r="I78" t="s">
        <v>179</v>
      </c>
      <c r="J78" t="s">
        <v>138</v>
      </c>
      <c r="K78" t="s">
        <v>84</v>
      </c>
      <c r="L78" t="s">
        <v>125</v>
      </c>
      <c r="M78" t="s">
        <v>227</v>
      </c>
      <c r="N78" t="s">
        <v>228</v>
      </c>
      <c r="O78" t="s">
        <v>82</v>
      </c>
      <c r="P78">
        <v>59750</v>
      </c>
      <c r="Q78" t="s">
        <v>83</v>
      </c>
      <c r="X78">
        <v>1</v>
      </c>
      <c r="AE78" t="s">
        <v>84</v>
      </c>
      <c r="AG78" t="s">
        <v>84</v>
      </c>
      <c r="AH78" t="s">
        <v>84</v>
      </c>
      <c r="AJ78" t="s">
        <v>84</v>
      </c>
      <c r="AK78" t="s">
        <v>84</v>
      </c>
      <c r="AQ78" t="s">
        <v>84</v>
      </c>
      <c r="AT78" t="s">
        <v>84</v>
      </c>
      <c r="AU78" t="s">
        <v>84</v>
      </c>
      <c r="AV78" t="s">
        <v>84</v>
      </c>
      <c r="AX78" t="s">
        <v>84</v>
      </c>
      <c r="BA78" t="s">
        <v>84</v>
      </c>
      <c r="BB78" t="s">
        <v>84</v>
      </c>
      <c r="BG78" t="s">
        <v>84</v>
      </c>
      <c r="BJ78" t="s">
        <v>84</v>
      </c>
      <c r="BK78" t="s">
        <v>84</v>
      </c>
      <c r="BM78" t="s">
        <v>84</v>
      </c>
      <c r="BS78" t="s">
        <v>84</v>
      </c>
      <c r="BT78" t="s">
        <v>84</v>
      </c>
      <c r="BU78">
        <v>0</v>
      </c>
      <c r="BV78">
        <v>0</v>
      </c>
      <c r="BW78">
        <v>40166.666666666672</v>
      </c>
    </row>
    <row r="79" spans="1:75" x14ac:dyDescent="0.25">
      <c r="A79">
        <v>326</v>
      </c>
      <c r="B79" s="1">
        <v>45128.786111111112</v>
      </c>
      <c r="C79" t="s">
        <v>218</v>
      </c>
      <c r="D79" t="s">
        <v>73</v>
      </c>
      <c r="E79" t="s">
        <v>178</v>
      </c>
      <c r="F79">
        <v>1</v>
      </c>
      <c r="G79" t="s">
        <v>135</v>
      </c>
      <c r="H79" t="s">
        <v>219</v>
      </c>
      <c r="I79" t="s">
        <v>179</v>
      </c>
      <c r="J79" t="s">
        <v>138</v>
      </c>
      <c r="K79" t="s">
        <v>229</v>
      </c>
      <c r="L79" t="s">
        <v>151</v>
      </c>
      <c r="M79" t="s">
        <v>230</v>
      </c>
      <c r="N79" t="s">
        <v>231</v>
      </c>
      <c r="O79" t="s">
        <v>82</v>
      </c>
      <c r="P79">
        <v>80541.5</v>
      </c>
      <c r="Q79" t="s">
        <v>83</v>
      </c>
      <c r="R79">
        <v>79204.666670000006</v>
      </c>
      <c r="Y79">
        <v>44625</v>
      </c>
      <c r="AE79" t="s">
        <v>84</v>
      </c>
      <c r="AG79" t="s">
        <v>84</v>
      </c>
      <c r="AH79" t="s">
        <v>84</v>
      </c>
      <c r="AJ79" t="s">
        <v>84</v>
      </c>
      <c r="AK79" t="s">
        <v>84</v>
      </c>
      <c r="AQ79" t="s">
        <v>84</v>
      </c>
      <c r="AR79">
        <v>6500</v>
      </c>
      <c r="AS79">
        <v>5250</v>
      </c>
      <c r="AT79" t="s">
        <v>84</v>
      </c>
      <c r="AU79" t="s">
        <v>84</v>
      </c>
      <c r="AV79" t="s">
        <v>84</v>
      </c>
      <c r="AX79" t="s">
        <v>84</v>
      </c>
      <c r="AY79">
        <v>0</v>
      </c>
      <c r="BA79" t="s">
        <v>84</v>
      </c>
      <c r="BB79" t="s">
        <v>84</v>
      </c>
      <c r="BF79">
        <v>5580</v>
      </c>
      <c r="BG79" t="s">
        <v>84</v>
      </c>
      <c r="BJ79" t="s">
        <v>84</v>
      </c>
      <c r="BK79" t="s">
        <v>84</v>
      </c>
      <c r="BM79" t="s">
        <v>84</v>
      </c>
      <c r="BS79" t="s">
        <v>84</v>
      </c>
      <c r="BT79" t="s">
        <v>84</v>
      </c>
      <c r="BU79">
        <v>0</v>
      </c>
      <c r="BV79">
        <v>0</v>
      </c>
      <c r="BW79">
        <v>79204.666666666672</v>
      </c>
    </row>
    <row r="80" spans="1:75" x14ac:dyDescent="0.25">
      <c r="A80">
        <v>326</v>
      </c>
      <c r="B80" s="1">
        <v>45128.786111111112</v>
      </c>
      <c r="C80" t="s">
        <v>218</v>
      </c>
      <c r="D80" t="s">
        <v>73</v>
      </c>
      <c r="E80" t="s">
        <v>178</v>
      </c>
      <c r="F80">
        <v>0</v>
      </c>
      <c r="G80" t="s">
        <v>135</v>
      </c>
      <c r="H80" t="s">
        <v>219</v>
      </c>
      <c r="I80" t="s">
        <v>179</v>
      </c>
      <c r="J80" t="s">
        <v>138</v>
      </c>
      <c r="K80" t="s">
        <v>84</v>
      </c>
      <c r="L80" t="s">
        <v>151</v>
      </c>
      <c r="M80" t="s">
        <v>232</v>
      </c>
      <c r="N80" t="s">
        <v>233</v>
      </c>
      <c r="O80" t="s">
        <v>82</v>
      </c>
      <c r="P80">
        <v>92170</v>
      </c>
      <c r="Q80" t="s">
        <v>83</v>
      </c>
      <c r="AE80" t="s">
        <v>84</v>
      </c>
      <c r="AG80" t="s">
        <v>84</v>
      </c>
      <c r="AH80" t="s">
        <v>84</v>
      </c>
      <c r="AJ80" t="s">
        <v>84</v>
      </c>
      <c r="AK80" t="s">
        <v>84</v>
      </c>
      <c r="AQ80" t="s">
        <v>84</v>
      </c>
      <c r="AT80" t="s">
        <v>84</v>
      </c>
      <c r="AU80" t="s">
        <v>84</v>
      </c>
      <c r="AV80" t="s">
        <v>84</v>
      </c>
      <c r="AX80" t="s">
        <v>84</v>
      </c>
      <c r="BA80" t="s">
        <v>84</v>
      </c>
      <c r="BB80" t="s">
        <v>84</v>
      </c>
      <c r="BG80" t="s">
        <v>84</v>
      </c>
      <c r="BJ80" t="s">
        <v>84</v>
      </c>
      <c r="BK80" t="s">
        <v>84</v>
      </c>
      <c r="BM80" t="s">
        <v>84</v>
      </c>
      <c r="BS80" t="s">
        <v>84</v>
      </c>
      <c r="BT80" t="s">
        <v>84</v>
      </c>
      <c r="BU80">
        <v>0</v>
      </c>
      <c r="BV80">
        <v>0</v>
      </c>
      <c r="BW80">
        <v>79204.666666666672</v>
      </c>
    </row>
    <row r="81" spans="1:75" x14ac:dyDescent="0.25">
      <c r="A81">
        <v>326</v>
      </c>
      <c r="B81" s="1">
        <v>45128.786111111112</v>
      </c>
      <c r="C81" t="s">
        <v>218</v>
      </c>
      <c r="D81" t="s">
        <v>73</v>
      </c>
      <c r="E81" t="s">
        <v>178</v>
      </c>
      <c r="F81">
        <v>0</v>
      </c>
      <c r="G81" t="s">
        <v>135</v>
      </c>
      <c r="H81" t="s">
        <v>219</v>
      </c>
      <c r="I81" t="s">
        <v>179</v>
      </c>
      <c r="J81" t="s">
        <v>138</v>
      </c>
      <c r="K81" t="s">
        <v>84</v>
      </c>
      <c r="L81" t="s">
        <v>151</v>
      </c>
      <c r="M81" t="s">
        <v>234</v>
      </c>
      <c r="N81" t="s">
        <v>235</v>
      </c>
      <c r="O81" t="s">
        <v>82</v>
      </c>
      <c r="P81">
        <v>64902.5</v>
      </c>
      <c r="Q81" t="s">
        <v>83</v>
      </c>
      <c r="W81">
        <v>1</v>
      </c>
      <c r="AE81" t="s">
        <v>84</v>
      </c>
      <c r="AG81" t="s">
        <v>84</v>
      </c>
      <c r="AH81" t="s">
        <v>84</v>
      </c>
      <c r="AJ81" t="s">
        <v>84</v>
      </c>
      <c r="AK81" t="s">
        <v>84</v>
      </c>
      <c r="AQ81" t="s">
        <v>84</v>
      </c>
      <c r="AT81" t="s">
        <v>84</v>
      </c>
      <c r="AU81" t="s">
        <v>84</v>
      </c>
      <c r="AV81" t="s">
        <v>84</v>
      </c>
      <c r="AX81" t="s">
        <v>84</v>
      </c>
      <c r="BA81" t="s">
        <v>84</v>
      </c>
      <c r="BB81" t="s">
        <v>84</v>
      </c>
      <c r="BG81" t="s">
        <v>84</v>
      </c>
      <c r="BJ81" t="s">
        <v>84</v>
      </c>
      <c r="BK81" t="s">
        <v>84</v>
      </c>
      <c r="BM81" t="s">
        <v>84</v>
      </c>
      <c r="BS81" t="s">
        <v>84</v>
      </c>
      <c r="BT81" t="s">
        <v>84</v>
      </c>
      <c r="BU81">
        <v>0</v>
      </c>
      <c r="BV81">
        <v>0</v>
      </c>
      <c r="BW81">
        <v>79204.666666666672</v>
      </c>
    </row>
    <row r="82" spans="1:75" x14ac:dyDescent="0.25">
      <c r="A82">
        <v>326</v>
      </c>
      <c r="B82" s="1">
        <v>45128.786111111112</v>
      </c>
      <c r="C82" t="s">
        <v>218</v>
      </c>
      <c r="D82" t="s">
        <v>73</v>
      </c>
      <c r="E82" t="s">
        <v>178</v>
      </c>
      <c r="F82">
        <v>0</v>
      </c>
      <c r="G82" t="s">
        <v>135</v>
      </c>
      <c r="H82" t="s">
        <v>219</v>
      </c>
      <c r="I82" t="s">
        <v>179</v>
      </c>
      <c r="J82" t="s">
        <v>138</v>
      </c>
      <c r="K82" t="s">
        <v>84</v>
      </c>
      <c r="L82" t="s">
        <v>98</v>
      </c>
      <c r="M82" t="s">
        <v>236</v>
      </c>
      <c r="N82" t="s">
        <v>237</v>
      </c>
      <c r="O82" t="s">
        <v>82</v>
      </c>
      <c r="P82">
        <v>8850</v>
      </c>
      <c r="Q82" t="s">
        <v>83</v>
      </c>
      <c r="W82">
        <v>1</v>
      </c>
      <c r="AE82" t="s">
        <v>84</v>
      </c>
      <c r="AG82" t="s">
        <v>84</v>
      </c>
      <c r="AH82" t="s">
        <v>84</v>
      </c>
      <c r="AJ82" t="s">
        <v>84</v>
      </c>
      <c r="AK82" t="s">
        <v>84</v>
      </c>
      <c r="AQ82" t="s">
        <v>84</v>
      </c>
      <c r="AT82" t="s">
        <v>84</v>
      </c>
      <c r="AU82" t="s">
        <v>84</v>
      </c>
      <c r="AV82" t="s">
        <v>84</v>
      </c>
      <c r="AX82" t="s">
        <v>84</v>
      </c>
      <c r="BA82" t="s">
        <v>84</v>
      </c>
      <c r="BB82" t="s">
        <v>84</v>
      </c>
      <c r="BG82" t="s">
        <v>84</v>
      </c>
      <c r="BJ82" t="s">
        <v>84</v>
      </c>
      <c r="BK82" t="s">
        <v>84</v>
      </c>
      <c r="BM82" t="s">
        <v>84</v>
      </c>
      <c r="BS82" t="s">
        <v>84</v>
      </c>
      <c r="BT82" t="s">
        <v>84</v>
      </c>
      <c r="BU82">
        <v>0</v>
      </c>
      <c r="BV82">
        <v>0</v>
      </c>
      <c r="BW82">
        <v>18050</v>
      </c>
    </row>
    <row r="83" spans="1:75" x14ac:dyDescent="0.25">
      <c r="A83">
        <v>326</v>
      </c>
      <c r="B83" s="1">
        <v>45128.786111111112</v>
      </c>
      <c r="C83" t="s">
        <v>218</v>
      </c>
      <c r="D83" t="s">
        <v>73</v>
      </c>
      <c r="E83" t="s">
        <v>178</v>
      </c>
      <c r="F83">
        <v>1</v>
      </c>
      <c r="G83" t="s">
        <v>135</v>
      </c>
      <c r="H83" t="s">
        <v>219</v>
      </c>
      <c r="I83" t="s">
        <v>179</v>
      </c>
      <c r="J83" t="s">
        <v>138</v>
      </c>
      <c r="K83" t="s">
        <v>238</v>
      </c>
      <c r="L83" t="s">
        <v>98</v>
      </c>
      <c r="M83" t="s">
        <v>239</v>
      </c>
      <c r="N83" t="s">
        <v>240</v>
      </c>
      <c r="O83" t="s">
        <v>82</v>
      </c>
      <c r="P83">
        <v>28600</v>
      </c>
      <c r="Q83" t="s">
        <v>83</v>
      </c>
      <c r="R83">
        <v>18050</v>
      </c>
      <c r="U83">
        <v>1</v>
      </c>
      <c r="V83">
        <v>1</v>
      </c>
      <c r="AE83" t="s">
        <v>84</v>
      </c>
      <c r="AG83" t="s">
        <v>84</v>
      </c>
      <c r="AH83" t="s">
        <v>84</v>
      </c>
      <c r="AJ83" t="s">
        <v>84</v>
      </c>
      <c r="AK83" t="s">
        <v>84</v>
      </c>
      <c r="AQ83" t="s">
        <v>84</v>
      </c>
      <c r="AS83">
        <v>28600</v>
      </c>
      <c r="AT83" t="s">
        <v>84</v>
      </c>
      <c r="AU83" t="s">
        <v>84</v>
      </c>
      <c r="AV83" t="s">
        <v>84</v>
      </c>
      <c r="AX83" t="s">
        <v>84</v>
      </c>
      <c r="BA83" t="s">
        <v>84</v>
      </c>
      <c r="BB83" t="s">
        <v>84</v>
      </c>
      <c r="BG83" t="s">
        <v>84</v>
      </c>
      <c r="BJ83" t="s">
        <v>84</v>
      </c>
      <c r="BK83" t="s">
        <v>84</v>
      </c>
      <c r="BM83" t="s">
        <v>84</v>
      </c>
      <c r="BS83" t="s">
        <v>84</v>
      </c>
      <c r="BT83" t="s">
        <v>84</v>
      </c>
      <c r="BU83">
        <v>0</v>
      </c>
      <c r="BV83">
        <v>0</v>
      </c>
      <c r="BW83">
        <v>18050</v>
      </c>
    </row>
    <row r="84" spans="1:75" x14ac:dyDescent="0.25">
      <c r="A84">
        <v>326</v>
      </c>
      <c r="B84" s="1">
        <v>45128.786111111112</v>
      </c>
      <c r="C84" t="s">
        <v>218</v>
      </c>
      <c r="D84" t="s">
        <v>73</v>
      </c>
      <c r="E84" t="s">
        <v>178</v>
      </c>
      <c r="F84">
        <v>0</v>
      </c>
      <c r="G84" t="s">
        <v>135</v>
      </c>
      <c r="H84" t="s">
        <v>219</v>
      </c>
      <c r="I84" t="s">
        <v>179</v>
      </c>
      <c r="J84" t="s">
        <v>138</v>
      </c>
      <c r="K84" t="s">
        <v>84</v>
      </c>
      <c r="L84" t="s">
        <v>98</v>
      </c>
      <c r="M84" t="s">
        <v>241</v>
      </c>
      <c r="N84" t="s">
        <v>84</v>
      </c>
      <c r="O84" t="s">
        <v>82</v>
      </c>
      <c r="P84">
        <v>16700</v>
      </c>
      <c r="Q84" t="s">
        <v>83</v>
      </c>
      <c r="W84">
        <v>1</v>
      </c>
      <c r="AE84" t="s">
        <v>84</v>
      </c>
      <c r="AG84" t="s">
        <v>84</v>
      </c>
      <c r="AH84" t="s">
        <v>84</v>
      </c>
      <c r="AJ84" t="s">
        <v>84</v>
      </c>
      <c r="AK84" t="s">
        <v>84</v>
      </c>
      <c r="AQ84" t="s">
        <v>84</v>
      </c>
      <c r="AT84" t="s">
        <v>84</v>
      </c>
      <c r="AU84" t="s">
        <v>84</v>
      </c>
      <c r="AV84" t="s">
        <v>84</v>
      </c>
      <c r="AX84" t="s">
        <v>84</v>
      </c>
      <c r="BA84" t="s">
        <v>84</v>
      </c>
      <c r="BB84" t="s">
        <v>84</v>
      </c>
      <c r="BG84" t="s">
        <v>84</v>
      </c>
      <c r="BJ84" t="s">
        <v>84</v>
      </c>
      <c r="BK84" t="s">
        <v>84</v>
      </c>
      <c r="BM84" t="s">
        <v>84</v>
      </c>
      <c r="BS84" t="s">
        <v>84</v>
      </c>
      <c r="BT84" t="s">
        <v>84</v>
      </c>
      <c r="BU84">
        <v>0</v>
      </c>
      <c r="BV84">
        <v>0</v>
      </c>
      <c r="BW84">
        <v>18050</v>
      </c>
    </row>
    <row r="85" spans="1:75" x14ac:dyDescent="0.25">
      <c r="A85">
        <v>326</v>
      </c>
      <c r="B85" s="1">
        <v>45128.786111111112</v>
      </c>
      <c r="C85" t="s">
        <v>218</v>
      </c>
      <c r="D85" t="s">
        <v>73</v>
      </c>
      <c r="E85" t="s">
        <v>178</v>
      </c>
      <c r="F85">
        <v>0</v>
      </c>
      <c r="G85" t="s">
        <v>135</v>
      </c>
      <c r="H85" t="s">
        <v>219</v>
      </c>
      <c r="I85" t="s">
        <v>179</v>
      </c>
      <c r="J85" t="s">
        <v>138</v>
      </c>
      <c r="K85" t="s">
        <v>84</v>
      </c>
      <c r="L85" t="s">
        <v>87</v>
      </c>
      <c r="M85" t="s">
        <v>218</v>
      </c>
      <c r="N85" t="s">
        <v>242</v>
      </c>
      <c r="O85" t="s">
        <v>82</v>
      </c>
      <c r="P85">
        <v>112476.875</v>
      </c>
      <c r="Q85" t="s">
        <v>83</v>
      </c>
      <c r="AE85" t="s">
        <v>84</v>
      </c>
      <c r="AG85" t="s">
        <v>84</v>
      </c>
      <c r="AH85" t="s">
        <v>84</v>
      </c>
      <c r="AJ85" t="s">
        <v>84</v>
      </c>
      <c r="AK85" t="s">
        <v>84</v>
      </c>
      <c r="AQ85" t="s">
        <v>84</v>
      </c>
      <c r="AT85" t="s">
        <v>84</v>
      </c>
      <c r="AU85" t="s">
        <v>84</v>
      </c>
      <c r="AV85" t="s">
        <v>84</v>
      </c>
      <c r="AX85" t="s">
        <v>84</v>
      </c>
      <c r="BA85" t="s">
        <v>84</v>
      </c>
      <c r="BB85" t="s">
        <v>84</v>
      </c>
      <c r="BG85" t="s">
        <v>84</v>
      </c>
      <c r="BJ85" t="s">
        <v>84</v>
      </c>
      <c r="BK85" t="s">
        <v>84</v>
      </c>
      <c r="BM85" t="s">
        <v>84</v>
      </c>
      <c r="BS85" t="s">
        <v>84</v>
      </c>
      <c r="BT85" t="s">
        <v>84</v>
      </c>
      <c r="BU85">
        <v>0</v>
      </c>
      <c r="BV85">
        <v>0</v>
      </c>
      <c r="BW85">
        <v>100943.59723333333</v>
      </c>
    </row>
    <row r="86" spans="1:75" x14ac:dyDescent="0.25">
      <c r="A86">
        <v>326</v>
      </c>
      <c r="B86" s="1">
        <v>45128.786111111112</v>
      </c>
      <c r="C86" t="s">
        <v>218</v>
      </c>
      <c r="D86" t="s">
        <v>73</v>
      </c>
      <c r="E86" t="s">
        <v>178</v>
      </c>
      <c r="F86">
        <v>1</v>
      </c>
      <c r="G86" t="s">
        <v>135</v>
      </c>
      <c r="H86" t="s">
        <v>219</v>
      </c>
      <c r="I86" t="s">
        <v>179</v>
      </c>
      <c r="J86" t="s">
        <v>138</v>
      </c>
      <c r="K86" t="s">
        <v>243</v>
      </c>
      <c r="L86" t="s">
        <v>87</v>
      </c>
      <c r="M86" t="s">
        <v>218</v>
      </c>
      <c r="N86" t="s">
        <v>244</v>
      </c>
      <c r="O86" t="s">
        <v>82</v>
      </c>
      <c r="P86">
        <v>111615.9917</v>
      </c>
      <c r="Q86" t="s">
        <v>83</v>
      </c>
      <c r="R86">
        <v>100943.5972</v>
      </c>
      <c r="AE86" t="s">
        <v>84</v>
      </c>
      <c r="AG86" t="s">
        <v>84</v>
      </c>
      <c r="AH86" t="s">
        <v>84</v>
      </c>
      <c r="AJ86" t="s">
        <v>84</v>
      </c>
      <c r="AK86" t="s">
        <v>84</v>
      </c>
      <c r="AL86">
        <v>34250</v>
      </c>
      <c r="AM86">
        <v>15700</v>
      </c>
      <c r="AN86">
        <v>10700</v>
      </c>
      <c r="AO86">
        <v>20772</v>
      </c>
      <c r="AQ86" t="s">
        <v>84</v>
      </c>
      <c r="AT86" t="s">
        <v>84</v>
      </c>
      <c r="AU86" t="s">
        <v>84</v>
      </c>
      <c r="AV86" t="s">
        <v>84</v>
      </c>
      <c r="AX86" t="s">
        <v>84</v>
      </c>
      <c r="BA86" t="s">
        <v>84</v>
      </c>
      <c r="BB86" t="s">
        <v>84</v>
      </c>
      <c r="BG86" t="s">
        <v>84</v>
      </c>
      <c r="BJ86" t="s">
        <v>84</v>
      </c>
      <c r="BK86" t="s">
        <v>84</v>
      </c>
      <c r="BM86" t="s">
        <v>84</v>
      </c>
      <c r="BS86" t="s">
        <v>84</v>
      </c>
      <c r="BT86" t="s">
        <v>84</v>
      </c>
      <c r="BU86">
        <v>0</v>
      </c>
      <c r="BV86">
        <v>0</v>
      </c>
      <c r="BW86">
        <v>100943.59723333333</v>
      </c>
    </row>
    <row r="87" spans="1:75" x14ac:dyDescent="0.25">
      <c r="A87">
        <v>326</v>
      </c>
      <c r="B87" s="1">
        <v>45128.786111111112</v>
      </c>
      <c r="C87" t="s">
        <v>218</v>
      </c>
      <c r="D87" t="s">
        <v>73</v>
      </c>
      <c r="E87" t="s">
        <v>178</v>
      </c>
      <c r="F87">
        <v>0</v>
      </c>
      <c r="G87" t="s">
        <v>135</v>
      </c>
      <c r="H87" t="s">
        <v>219</v>
      </c>
      <c r="I87" t="s">
        <v>179</v>
      </c>
      <c r="J87" t="s">
        <v>138</v>
      </c>
      <c r="K87" t="s">
        <v>84</v>
      </c>
      <c r="L87" t="s">
        <v>87</v>
      </c>
      <c r="M87" t="s">
        <v>218</v>
      </c>
      <c r="N87" t="s">
        <v>245</v>
      </c>
      <c r="O87" t="s">
        <v>82</v>
      </c>
      <c r="P87">
        <v>78737.925000000003</v>
      </c>
      <c r="Q87" t="s">
        <v>83</v>
      </c>
      <c r="X87">
        <v>1</v>
      </c>
      <c r="AE87" t="s">
        <v>84</v>
      </c>
      <c r="AG87" t="s">
        <v>84</v>
      </c>
      <c r="AH87" t="s">
        <v>84</v>
      </c>
      <c r="AJ87" t="s">
        <v>84</v>
      </c>
      <c r="AK87" t="s">
        <v>84</v>
      </c>
      <c r="AQ87" t="s">
        <v>84</v>
      </c>
      <c r="AT87" t="s">
        <v>84</v>
      </c>
      <c r="AU87" t="s">
        <v>84</v>
      </c>
      <c r="AV87" t="s">
        <v>84</v>
      </c>
      <c r="AX87" t="s">
        <v>84</v>
      </c>
      <c r="BA87" t="s">
        <v>84</v>
      </c>
      <c r="BB87" t="s">
        <v>84</v>
      </c>
      <c r="BG87" t="s">
        <v>84</v>
      </c>
      <c r="BJ87" t="s">
        <v>84</v>
      </c>
      <c r="BK87" t="s">
        <v>84</v>
      </c>
      <c r="BM87" t="s">
        <v>84</v>
      </c>
      <c r="BS87" t="s">
        <v>84</v>
      </c>
      <c r="BT87" t="s">
        <v>84</v>
      </c>
      <c r="BU87">
        <v>0</v>
      </c>
      <c r="BV87">
        <v>0</v>
      </c>
      <c r="BW87">
        <v>100943.59723333333</v>
      </c>
    </row>
    <row r="88" spans="1:75" x14ac:dyDescent="0.25">
      <c r="A88">
        <v>326</v>
      </c>
      <c r="B88" s="1">
        <v>45128.786111111112</v>
      </c>
      <c r="C88" t="s">
        <v>218</v>
      </c>
      <c r="D88" t="s">
        <v>73</v>
      </c>
      <c r="E88" t="s">
        <v>178</v>
      </c>
      <c r="F88">
        <v>0</v>
      </c>
      <c r="G88" t="s">
        <v>135</v>
      </c>
      <c r="H88" t="s">
        <v>219</v>
      </c>
      <c r="I88" t="s">
        <v>179</v>
      </c>
      <c r="J88" t="s">
        <v>138</v>
      </c>
      <c r="K88" t="s">
        <v>84</v>
      </c>
      <c r="L88" t="s">
        <v>110</v>
      </c>
      <c r="M88" t="s">
        <v>246</v>
      </c>
      <c r="N88" t="s">
        <v>247</v>
      </c>
      <c r="O88" t="s">
        <v>82</v>
      </c>
      <c r="P88">
        <v>6875</v>
      </c>
      <c r="Q88" t="s">
        <v>83</v>
      </c>
      <c r="W88">
        <v>1</v>
      </c>
      <c r="AE88" t="s">
        <v>84</v>
      </c>
      <c r="AG88" t="s">
        <v>84</v>
      </c>
      <c r="AH88" t="s">
        <v>84</v>
      </c>
      <c r="AJ88" t="s">
        <v>84</v>
      </c>
      <c r="AK88" t="s">
        <v>84</v>
      </c>
      <c r="AQ88" t="s">
        <v>84</v>
      </c>
      <c r="AT88" t="s">
        <v>84</v>
      </c>
      <c r="AU88" t="s">
        <v>84</v>
      </c>
      <c r="AV88" t="s">
        <v>84</v>
      </c>
      <c r="AX88" t="s">
        <v>84</v>
      </c>
      <c r="BA88" t="s">
        <v>84</v>
      </c>
      <c r="BB88" t="s">
        <v>84</v>
      </c>
      <c r="BG88" t="s">
        <v>84</v>
      </c>
      <c r="BJ88" t="s">
        <v>84</v>
      </c>
      <c r="BK88" t="s">
        <v>84</v>
      </c>
      <c r="BM88" t="s">
        <v>84</v>
      </c>
      <c r="BS88" t="s">
        <v>84</v>
      </c>
      <c r="BT88" t="s">
        <v>84</v>
      </c>
      <c r="BU88">
        <v>0</v>
      </c>
      <c r="BV88">
        <v>0</v>
      </c>
      <c r="BW88">
        <v>8766.3333333333339</v>
      </c>
    </row>
    <row r="89" spans="1:75" x14ac:dyDescent="0.25">
      <c r="A89">
        <v>326</v>
      </c>
      <c r="B89" s="1">
        <v>45128.786111111112</v>
      </c>
      <c r="C89" t="s">
        <v>218</v>
      </c>
      <c r="D89" t="s">
        <v>73</v>
      </c>
      <c r="E89" t="s">
        <v>178</v>
      </c>
      <c r="F89">
        <v>1</v>
      </c>
      <c r="G89" t="s">
        <v>135</v>
      </c>
      <c r="H89" t="s">
        <v>219</v>
      </c>
      <c r="I89" t="s">
        <v>179</v>
      </c>
      <c r="J89" t="s">
        <v>138</v>
      </c>
      <c r="K89" t="s">
        <v>248</v>
      </c>
      <c r="L89" t="s">
        <v>110</v>
      </c>
      <c r="M89" t="s">
        <v>218</v>
      </c>
      <c r="N89" t="s">
        <v>249</v>
      </c>
      <c r="O89" t="s">
        <v>82</v>
      </c>
      <c r="P89">
        <v>8928</v>
      </c>
      <c r="Q89" t="s">
        <v>83</v>
      </c>
      <c r="R89">
        <v>8766.3333330000005</v>
      </c>
      <c r="S89">
        <v>1</v>
      </c>
      <c r="T89">
        <v>1</v>
      </c>
      <c r="Z89">
        <v>0</v>
      </c>
      <c r="AA89">
        <v>0</v>
      </c>
      <c r="AE89" t="s">
        <v>84</v>
      </c>
      <c r="AG89" t="s">
        <v>84</v>
      </c>
      <c r="AH89" t="s">
        <v>84</v>
      </c>
      <c r="AI89">
        <v>0</v>
      </c>
      <c r="AJ89" t="s">
        <v>84</v>
      </c>
      <c r="AK89" t="s">
        <v>84</v>
      </c>
      <c r="AL89">
        <v>0</v>
      </c>
      <c r="AN89">
        <v>0</v>
      </c>
      <c r="AP89">
        <v>0</v>
      </c>
      <c r="AQ89" t="s">
        <v>84</v>
      </c>
      <c r="AR89">
        <v>0</v>
      </c>
      <c r="AT89" t="s">
        <v>84</v>
      </c>
      <c r="AU89" t="s">
        <v>84</v>
      </c>
      <c r="AV89" t="s">
        <v>84</v>
      </c>
      <c r="AW89">
        <v>0</v>
      </c>
      <c r="AX89" t="s">
        <v>84</v>
      </c>
      <c r="AY89">
        <v>7200</v>
      </c>
      <c r="BA89" t="s">
        <v>84</v>
      </c>
      <c r="BB89" t="s">
        <v>84</v>
      </c>
      <c r="BC89">
        <v>0</v>
      </c>
      <c r="BD89">
        <v>0</v>
      </c>
      <c r="BG89" t="s">
        <v>84</v>
      </c>
      <c r="BH89">
        <v>0</v>
      </c>
      <c r="BI89">
        <v>0</v>
      </c>
      <c r="BJ89" t="s">
        <v>84</v>
      </c>
      <c r="BK89" t="s">
        <v>84</v>
      </c>
      <c r="BM89" t="s">
        <v>84</v>
      </c>
      <c r="BP89">
        <v>0</v>
      </c>
      <c r="BQ89">
        <v>0</v>
      </c>
      <c r="BR89">
        <v>0</v>
      </c>
      <c r="BS89" t="s">
        <v>84</v>
      </c>
      <c r="BT89" t="s">
        <v>84</v>
      </c>
      <c r="BU89">
        <v>8928</v>
      </c>
      <c r="BV89">
        <v>8928</v>
      </c>
      <c r="BW89">
        <v>8766.3333333333339</v>
      </c>
    </row>
    <row r="90" spans="1:75" x14ac:dyDescent="0.25">
      <c r="A90">
        <v>326</v>
      </c>
      <c r="B90" s="1">
        <v>45128.786111111112</v>
      </c>
      <c r="C90" t="s">
        <v>218</v>
      </c>
      <c r="D90" t="s">
        <v>73</v>
      </c>
      <c r="E90" t="s">
        <v>178</v>
      </c>
      <c r="F90">
        <v>0</v>
      </c>
      <c r="G90" t="s">
        <v>135</v>
      </c>
      <c r="H90" t="s">
        <v>219</v>
      </c>
      <c r="I90" t="s">
        <v>179</v>
      </c>
      <c r="J90" t="s">
        <v>138</v>
      </c>
      <c r="K90" t="s">
        <v>84</v>
      </c>
      <c r="L90" t="s">
        <v>110</v>
      </c>
      <c r="M90" t="s">
        <v>246</v>
      </c>
      <c r="N90" t="s">
        <v>250</v>
      </c>
      <c r="O90" t="s">
        <v>82</v>
      </c>
      <c r="P90">
        <v>10496</v>
      </c>
      <c r="Q90" t="s">
        <v>83</v>
      </c>
      <c r="S90">
        <v>1</v>
      </c>
      <c r="AE90" t="s">
        <v>84</v>
      </c>
      <c r="AG90" t="s">
        <v>84</v>
      </c>
      <c r="AH90" t="s">
        <v>84</v>
      </c>
      <c r="AJ90" t="s">
        <v>84</v>
      </c>
      <c r="AK90" t="s">
        <v>84</v>
      </c>
      <c r="AQ90" t="s">
        <v>84</v>
      </c>
      <c r="AT90" t="s">
        <v>84</v>
      </c>
      <c r="AU90" t="s">
        <v>84</v>
      </c>
      <c r="AV90" t="s">
        <v>84</v>
      </c>
      <c r="AX90" t="s">
        <v>84</v>
      </c>
      <c r="BA90" t="s">
        <v>84</v>
      </c>
      <c r="BB90" t="s">
        <v>84</v>
      </c>
      <c r="BG90" t="s">
        <v>84</v>
      </c>
      <c r="BJ90" t="s">
        <v>84</v>
      </c>
      <c r="BK90" t="s">
        <v>84</v>
      </c>
      <c r="BM90" t="s">
        <v>84</v>
      </c>
      <c r="BS90" t="s">
        <v>84</v>
      </c>
      <c r="BT90" t="s">
        <v>84</v>
      </c>
      <c r="BU90">
        <v>10496</v>
      </c>
      <c r="BV90">
        <v>0</v>
      </c>
      <c r="BW90">
        <v>8766.3333333333339</v>
      </c>
    </row>
    <row r="91" spans="1:75" x14ac:dyDescent="0.25">
      <c r="A91">
        <v>326</v>
      </c>
      <c r="B91" s="1">
        <v>45128.786111111112</v>
      </c>
      <c r="C91" t="s">
        <v>218</v>
      </c>
      <c r="D91" t="s">
        <v>73</v>
      </c>
      <c r="E91" t="s">
        <v>178</v>
      </c>
      <c r="F91">
        <v>0</v>
      </c>
      <c r="G91" t="s">
        <v>135</v>
      </c>
      <c r="H91" t="s">
        <v>219</v>
      </c>
      <c r="I91" t="s">
        <v>179</v>
      </c>
      <c r="J91" t="s">
        <v>138</v>
      </c>
      <c r="K91" t="s">
        <v>84</v>
      </c>
      <c r="L91" t="s">
        <v>106</v>
      </c>
      <c r="M91" t="s">
        <v>246</v>
      </c>
      <c r="N91" t="s">
        <v>251</v>
      </c>
      <c r="O91" t="s">
        <v>82</v>
      </c>
      <c r="P91">
        <v>10484.952499999999</v>
      </c>
      <c r="Q91" t="s">
        <v>83</v>
      </c>
      <c r="W91">
        <v>1</v>
      </c>
      <c r="AE91" t="s">
        <v>84</v>
      </c>
      <c r="AG91" t="s">
        <v>84</v>
      </c>
      <c r="AH91" t="s">
        <v>84</v>
      </c>
      <c r="AJ91" t="s">
        <v>84</v>
      </c>
      <c r="AK91" t="s">
        <v>84</v>
      </c>
      <c r="AQ91" t="s">
        <v>84</v>
      </c>
      <c r="AT91" t="s">
        <v>84</v>
      </c>
      <c r="AU91" t="s">
        <v>84</v>
      </c>
      <c r="AV91" t="s">
        <v>84</v>
      </c>
      <c r="AX91" t="s">
        <v>84</v>
      </c>
      <c r="BA91" t="s">
        <v>84</v>
      </c>
      <c r="BB91" t="s">
        <v>84</v>
      </c>
      <c r="BG91" t="s">
        <v>84</v>
      </c>
      <c r="BJ91" t="s">
        <v>84</v>
      </c>
      <c r="BK91" t="s">
        <v>84</v>
      </c>
      <c r="BM91" t="s">
        <v>84</v>
      </c>
      <c r="BS91" t="s">
        <v>84</v>
      </c>
      <c r="BT91" t="s">
        <v>84</v>
      </c>
      <c r="BU91">
        <v>0</v>
      </c>
      <c r="BV91">
        <v>0</v>
      </c>
      <c r="BW91">
        <v>7291.939166666667</v>
      </c>
    </row>
    <row r="92" spans="1:75" x14ac:dyDescent="0.25">
      <c r="A92">
        <v>326</v>
      </c>
      <c r="B92" s="1">
        <v>45128.786111111112</v>
      </c>
      <c r="C92" t="s">
        <v>218</v>
      </c>
      <c r="D92" t="s">
        <v>73</v>
      </c>
      <c r="E92" t="s">
        <v>178</v>
      </c>
      <c r="F92">
        <v>1</v>
      </c>
      <c r="G92" t="s">
        <v>135</v>
      </c>
      <c r="H92" t="s">
        <v>219</v>
      </c>
      <c r="I92" t="s">
        <v>179</v>
      </c>
      <c r="J92" t="s">
        <v>138</v>
      </c>
      <c r="K92" t="s">
        <v>248</v>
      </c>
      <c r="L92" t="s">
        <v>106</v>
      </c>
      <c r="M92" t="s">
        <v>218</v>
      </c>
      <c r="N92" t="s">
        <v>252</v>
      </c>
      <c r="O92" t="s">
        <v>82</v>
      </c>
      <c r="P92">
        <v>6664.3649999999998</v>
      </c>
      <c r="Q92" t="s">
        <v>83</v>
      </c>
      <c r="R92">
        <v>7291.9391670000005</v>
      </c>
      <c r="S92">
        <v>1</v>
      </c>
      <c r="T92">
        <v>1</v>
      </c>
      <c r="AE92" t="s">
        <v>84</v>
      </c>
      <c r="AF92">
        <v>2700</v>
      </c>
      <c r="AG92" t="s">
        <v>84</v>
      </c>
      <c r="AH92" t="s">
        <v>84</v>
      </c>
      <c r="AJ92" t="s">
        <v>84</v>
      </c>
      <c r="AK92" t="s">
        <v>84</v>
      </c>
      <c r="AQ92" t="s">
        <v>84</v>
      </c>
      <c r="AT92" t="s">
        <v>84</v>
      </c>
      <c r="AU92" t="s">
        <v>84</v>
      </c>
      <c r="AV92" t="s">
        <v>84</v>
      </c>
      <c r="AX92" t="s">
        <v>84</v>
      </c>
      <c r="BA92" t="s">
        <v>84</v>
      </c>
      <c r="BB92" t="s">
        <v>84</v>
      </c>
      <c r="BE92">
        <v>1530</v>
      </c>
      <c r="BG92" t="s">
        <v>84</v>
      </c>
      <c r="BJ92" t="s">
        <v>84</v>
      </c>
      <c r="BK92" t="s">
        <v>84</v>
      </c>
      <c r="BM92" t="s">
        <v>84</v>
      </c>
      <c r="BS92" t="s">
        <v>84</v>
      </c>
      <c r="BT92" t="s">
        <v>84</v>
      </c>
      <c r="BU92">
        <v>6664.3649999999998</v>
      </c>
      <c r="BV92">
        <v>6664.3649999999998</v>
      </c>
      <c r="BW92">
        <v>7291.939166666667</v>
      </c>
    </row>
    <row r="93" spans="1:75" x14ac:dyDescent="0.25">
      <c r="A93">
        <v>326</v>
      </c>
      <c r="B93" s="1">
        <v>45128.786111111112</v>
      </c>
      <c r="C93" t="s">
        <v>218</v>
      </c>
      <c r="D93" t="s">
        <v>73</v>
      </c>
      <c r="E93" t="s">
        <v>178</v>
      </c>
      <c r="F93">
        <v>0</v>
      </c>
      <c r="G93" t="s">
        <v>135</v>
      </c>
      <c r="H93" t="s">
        <v>219</v>
      </c>
      <c r="I93" t="s">
        <v>179</v>
      </c>
      <c r="J93" t="s">
        <v>138</v>
      </c>
      <c r="K93" t="s">
        <v>84</v>
      </c>
      <c r="L93" t="s">
        <v>106</v>
      </c>
      <c r="M93" t="s">
        <v>246</v>
      </c>
      <c r="N93" t="s">
        <v>253</v>
      </c>
      <c r="O93" t="s">
        <v>82</v>
      </c>
      <c r="P93">
        <v>4726.5</v>
      </c>
      <c r="Q93" t="s">
        <v>83</v>
      </c>
      <c r="S93">
        <v>1</v>
      </c>
      <c r="AE93" t="s">
        <v>84</v>
      </c>
      <c r="AG93" t="s">
        <v>84</v>
      </c>
      <c r="AH93" t="s">
        <v>84</v>
      </c>
      <c r="AJ93" t="s">
        <v>84</v>
      </c>
      <c r="AK93" t="s">
        <v>84</v>
      </c>
      <c r="AQ93" t="s">
        <v>84</v>
      </c>
      <c r="AT93" t="s">
        <v>84</v>
      </c>
      <c r="AU93" t="s">
        <v>84</v>
      </c>
      <c r="AV93" t="s">
        <v>84</v>
      </c>
      <c r="AX93" t="s">
        <v>84</v>
      </c>
      <c r="BA93" t="s">
        <v>84</v>
      </c>
      <c r="BB93" t="s">
        <v>84</v>
      </c>
      <c r="BG93" t="s">
        <v>84</v>
      </c>
      <c r="BJ93" t="s">
        <v>84</v>
      </c>
      <c r="BK93" t="s">
        <v>84</v>
      </c>
      <c r="BM93" t="s">
        <v>84</v>
      </c>
      <c r="BS93" t="s">
        <v>84</v>
      </c>
      <c r="BT93" t="s">
        <v>84</v>
      </c>
      <c r="BU93">
        <v>4726.5</v>
      </c>
      <c r="BV93">
        <v>0</v>
      </c>
      <c r="BW93">
        <v>7291.939166666667</v>
      </c>
    </row>
    <row r="94" spans="1:75" x14ac:dyDescent="0.25">
      <c r="A94">
        <v>326</v>
      </c>
      <c r="B94" s="1">
        <v>45128.786111111112</v>
      </c>
      <c r="C94" t="s">
        <v>218</v>
      </c>
      <c r="D94" t="s">
        <v>73</v>
      </c>
      <c r="E94" t="s">
        <v>178</v>
      </c>
      <c r="F94">
        <v>0</v>
      </c>
      <c r="G94" t="s">
        <v>135</v>
      </c>
      <c r="H94" t="s">
        <v>219</v>
      </c>
      <c r="I94" t="s">
        <v>179</v>
      </c>
      <c r="J94" t="s">
        <v>138</v>
      </c>
      <c r="K94" t="s">
        <v>84</v>
      </c>
      <c r="L94" t="s">
        <v>80</v>
      </c>
      <c r="M94" t="s">
        <v>246</v>
      </c>
      <c r="N94" t="s">
        <v>254</v>
      </c>
      <c r="O94" t="s">
        <v>82</v>
      </c>
      <c r="P94">
        <v>702418.88</v>
      </c>
      <c r="Q94" t="s">
        <v>83</v>
      </c>
      <c r="W94">
        <v>1</v>
      </c>
      <c r="AE94" t="s">
        <v>84</v>
      </c>
      <c r="AG94" t="s">
        <v>84</v>
      </c>
      <c r="AH94" t="s">
        <v>84</v>
      </c>
      <c r="AJ94" t="s">
        <v>84</v>
      </c>
      <c r="AK94" t="s">
        <v>84</v>
      </c>
      <c r="AQ94" t="s">
        <v>84</v>
      </c>
      <c r="AT94" t="s">
        <v>84</v>
      </c>
      <c r="AU94" t="s">
        <v>84</v>
      </c>
      <c r="AV94" t="s">
        <v>84</v>
      </c>
      <c r="AX94" t="s">
        <v>84</v>
      </c>
      <c r="BA94" t="s">
        <v>84</v>
      </c>
      <c r="BB94" t="s">
        <v>84</v>
      </c>
      <c r="BG94" t="s">
        <v>84</v>
      </c>
      <c r="BJ94" t="s">
        <v>84</v>
      </c>
      <c r="BK94" t="s">
        <v>84</v>
      </c>
      <c r="BM94" t="s">
        <v>84</v>
      </c>
      <c r="BS94" t="s">
        <v>84</v>
      </c>
      <c r="BT94" t="s">
        <v>84</v>
      </c>
      <c r="BU94">
        <v>0</v>
      </c>
      <c r="BV94">
        <v>0</v>
      </c>
      <c r="BW94">
        <v>656708.28960000002</v>
      </c>
    </row>
    <row r="95" spans="1:75" x14ac:dyDescent="0.25">
      <c r="A95">
        <v>326</v>
      </c>
      <c r="B95" s="1">
        <v>45128.786111111112</v>
      </c>
      <c r="C95" t="s">
        <v>218</v>
      </c>
      <c r="D95" t="s">
        <v>73</v>
      </c>
      <c r="E95" t="s">
        <v>178</v>
      </c>
      <c r="F95">
        <v>1</v>
      </c>
      <c r="G95" t="s">
        <v>135</v>
      </c>
      <c r="H95" t="s">
        <v>219</v>
      </c>
      <c r="I95" t="s">
        <v>179</v>
      </c>
      <c r="J95" t="s">
        <v>138</v>
      </c>
      <c r="K95" t="s">
        <v>248</v>
      </c>
      <c r="L95" t="s">
        <v>80</v>
      </c>
      <c r="M95" t="s">
        <v>218</v>
      </c>
      <c r="N95" t="s">
        <v>255</v>
      </c>
      <c r="O95" t="s">
        <v>82</v>
      </c>
      <c r="P95">
        <v>621332.42879999999</v>
      </c>
      <c r="Q95" t="s">
        <v>83</v>
      </c>
      <c r="R95">
        <v>656708.28960000002</v>
      </c>
      <c r="S95">
        <v>1</v>
      </c>
      <c r="T95">
        <v>1</v>
      </c>
      <c r="Z95">
        <v>31924.75</v>
      </c>
      <c r="AA95">
        <v>33650</v>
      </c>
      <c r="AE95" t="s">
        <v>84</v>
      </c>
      <c r="AG95" t="s">
        <v>84</v>
      </c>
      <c r="AH95" t="s">
        <v>84</v>
      </c>
      <c r="AI95">
        <v>90000</v>
      </c>
      <c r="AJ95" t="s">
        <v>84</v>
      </c>
      <c r="AK95" t="s">
        <v>84</v>
      </c>
      <c r="AL95">
        <v>0</v>
      </c>
      <c r="AN95">
        <v>0</v>
      </c>
      <c r="AP95">
        <v>29700</v>
      </c>
      <c r="AQ95" t="s">
        <v>84</v>
      </c>
      <c r="AR95">
        <v>4200</v>
      </c>
      <c r="AT95" t="s">
        <v>84</v>
      </c>
      <c r="AU95" t="s">
        <v>84</v>
      </c>
      <c r="AV95" t="s">
        <v>84</v>
      </c>
      <c r="AW95">
        <v>41424</v>
      </c>
      <c r="AX95" t="s">
        <v>84</v>
      </c>
      <c r="AY95">
        <v>1200</v>
      </c>
      <c r="BA95" t="s">
        <v>84</v>
      </c>
      <c r="BB95" t="s">
        <v>84</v>
      </c>
      <c r="BC95">
        <v>31500</v>
      </c>
      <c r="BD95">
        <v>97204.25</v>
      </c>
      <c r="BG95" t="s">
        <v>84</v>
      </c>
      <c r="BH95">
        <v>10000</v>
      </c>
      <c r="BI95">
        <v>87332.96</v>
      </c>
      <c r="BJ95" t="s">
        <v>84</v>
      </c>
      <c r="BK95" t="s">
        <v>84</v>
      </c>
      <c r="BM95" t="s">
        <v>84</v>
      </c>
      <c r="BP95">
        <v>27280</v>
      </c>
      <c r="BQ95">
        <v>0</v>
      </c>
      <c r="BR95">
        <v>0</v>
      </c>
      <c r="BS95" t="s">
        <v>84</v>
      </c>
      <c r="BT95" t="s">
        <v>84</v>
      </c>
      <c r="BU95">
        <v>621332.42879999999</v>
      </c>
      <c r="BV95">
        <v>621332.42879999999</v>
      </c>
      <c r="BW95">
        <v>656708.28960000002</v>
      </c>
    </row>
    <row r="96" spans="1:75" x14ac:dyDescent="0.25">
      <c r="A96">
        <v>326</v>
      </c>
      <c r="B96" s="1">
        <v>45128.786111111112</v>
      </c>
      <c r="C96" t="s">
        <v>218</v>
      </c>
      <c r="D96" t="s">
        <v>73</v>
      </c>
      <c r="E96" t="s">
        <v>178</v>
      </c>
      <c r="F96">
        <v>0</v>
      </c>
      <c r="G96" t="s">
        <v>135</v>
      </c>
      <c r="H96" t="s">
        <v>219</v>
      </c>
      <c r="I96" t="s">
        <v>179</v>
      </c>
      <c r="J96" t="s">
        <v>138</v>
      </c>
      <c r="K96" t="s">
        <v>84</v>
      </c>
      <c r="L96" t="s">
        <v>80</v>
      </c>
      <c r="M96" t="s">
        <v>246</v>
      </c>
      <c r="N96" t="s">
        <v>256</v>
      </c>
      <c r="O96" t="s">
        <v>82</v>
      </c>
      <c r="P96">
        <v>646373.56000000006</v>
      </c>
      <c r="Q96" t="s">
        <v>83</v>
      </c>
      <c r="S96">
        <v>1</v>
      </c>
      <c r="AE96" t="s">
        <v>84</v>
      </c>
      <c r="AG96" t="s">
        <v>84</v>
      </c>
      <c r="AH96" t="s">
        <v>84</v>
      </c>
      <c r="AJ96" t="s">
        <v>84</v>
      </c>
      <c r="AK96" t="s">
        <v>84</v>
      </c>
      <c r="AQ96" t="s">
        <v>84</v>
      </c>
      <c r="AT96" t="s">
        <v>84</v>
      </c>
      <c r="AU96" t="s">
        <v>84</v>
      </c>
      <c r="AV96" t="s">
        <v>84</v>
      </c>
      <c r="AX96" t="s">
        <v>84</v>
      </c>
      <c r="BA96" t="s">
        <v>84</v>
      </c>
      <c r="BB96" t="s">
        <v>84</v>
      </c>
      <c r="BG96" t="s">
        <v>84</v>
      </c>
      <c r="BJ96" t="s">
        <v>84</v>
      </c>
      <c r="BK96" t="s">
        <v>84</v>
      </c>
      <c r="BM96" t="s">
        <v>84</v>
      </c>
      <c r="BS96" t="s">
        <v>84</v>
      </c>
      <c r="BT96" t="s">
        <v>84</v>
      </c>
      <c r="BU96">
        <v>646373.56000000006</v>
      </c>
      <c r="BV96">
        <v>0</v>
      </c>
      <c r="BW96">
        <v>656708.28960000002</v>
      </c>
    </row>
    <row r="97" spans="1:75" x14ac:dyDescent="0.25">
      <c r="A97">
        <v>330</v>
      </c>
      <c r="B97" s="1">
        <v>45128.790277777778</v>
      </c>
      <c r="C97" t="s">
        <v>257</v>
      </c>
      <c r="D97" t="s">
        <v>73</v>
      </c>
      <c r="E97" t="s">
        <v>178</v>
      </c>
      <c r="F97">
        <v>0</v>
      </c>
      <c r="G97" t="s">
        <v>258</v>
      </c>
      <c r="H97" t="s">
        <v>259</v>
      </c>
      <c r="I97" t="s">
        <v>260</v>
      </c>
      <c r="J97" t="s">
        <v>261</v>
      </c>
      <c r="K97" t="s">
        <v>84</v>
      </c>
      <c r="L97" t="s">
        <v>92</v>
      </c>
      <c r="M97" t="s">
        <v>262</v>
      </c>
      <c r="N97" t="s">
        <v>221</v>
      </c>
      <c r="O97" t="s">
        <v>82</v>
      </c>
      <c r="P97">
        <v>50580</v>
      </c>
      <c r="Q97" t="s">
        <v>83</v>
      </c>
      <c r="AE97" t="s">
        <v>84</v>
      </c>
      <c r="AG97" t="s">
        <v>84</v>
      </c>
      <c r="AH97" t="s">
        <v>84</v>
      </c>
      <c r="AJ97" t="s">
        <v>84</v>
      </c>
      <c r="AK97" t="s">
        <v>84</v>
      </c>
      <c r="AQ97" t="s">
        <v>84</v>
      </c>
      <c r="AT97" t="s">
        <v>84</v>
      </c>
      <c r="AU97" t="s">
        <v>84</v>
      </c>
      <c r="AV97" t="s">
        <v>84</v>
      </c>
      <c r="AX97" t="s">
        <v>84</v>
      </c>
      <c r="BA97" t="s">
        <v>84</v>
      </c>
      <c r="BB97" t="s">
        <v>84</v>
      </c>
      <c r="BG97" t="s">
        <v>84</v>
      </c>
      <c r="BJ97" t="s">
        <v>84</v>
      </c>
      <c r="BK97" t="s">
        <v>84</v>
      </c>
      <c r="BM97" t="s">
        <v>84</v>
      </c>
      <c r="BS97" t="s">
        <v>84</v>
      </c>
      <c r="BT97" t="s">
        <v>84</v>
      </c>
      <c r="BU97">
        <v>0</v>
      </c>
      <c r="BV97">
        <v>0</v>
      </c>
      <c r="BW97">
        <v>36220</v>
      </c>
    </row>
    <row r="98" spans="1:75" x14ac:dyDescent="0.25">
      <c r="A98">
        <v>330</v>
      </c>
      <c r="B98" s="1">
        <v>45128.790277777778</v>
      </c>
      <c r="C98" t="s">
        <v>257</v>
      </c>
      <c r="D98" t="s">
        <v>73</v>
      </c>
      <c r="E98" t="s">
        <v>178</v>
      </c>
      <c r="F98">
        <v>0</v>
      </c>
      <c r="G98" t="s">
        <v>258</v>
      </c>
      <c r="H98" t="s">
        <v>259</v>
      </c>
      <c r="I98" t="s">
        <v>260</v>
      </c>
      <c r="J98" t="s">
        <v>261</v>
      </c>
      <c r="K98" t="s">
        <v>84</v>
      </c>
      <c r="L98" t="s">
        <v>92</v>
      </c>
      <c r="M98" t="s">
        <v>263</v>
      </c>
      <c r="N98" t="s">
        <v>264</v>
      </c>
      <c r="O98" t="s">
        <v>82</v>
      </c>
      <c r="P98">
        <v>18410</v>
      </c>
      <c r="Q98" t="s">
        <v>83</v>
      </c>
      <c r="S98">
        <v>1</v>
      </c>
      <c r="T98">
        <v>1</v>
      </c>
      <c r="V98">
        <v>1</v>
      </c>
      <c r="W98">
        <v>1</v>
      </c>
      <c r="AE98" t="s">
        <v>84</v>
      </c>
      <c r="AG98" t="s">
        <v>84</v>
      </c>
      <c r="AH98" t="s">
        <v>84</v>
      </c>
      <c r="AJ98" t="s">
        <v>84</v>
      </c>
      <c r="AK98" t="s">
        <v>84</v>
      </c>
      <c r="AQ98" t="s">
        <v>84</v>
      </c>
      <c r="AT98" t="s">
        <v>84</v>
      </c>
      <c r="AU98" t="s">
        <v>84</v>
      </c>
      <c r="AV98" t="s">
        <v>84</v>
      </c>
      <c r="AX98" t="s">
        <v>84</v>
      </c>
      <c r="BA98" t="s">
        <v>84</v>
      </c>
      <c r="BB98" t="s">
        <v>84</v>
      </c>
      <c r="BG98" t="s">
        <v>84</v>
      </c>
      <c r="BJ98" t="s">
        <v>84</v>
      </c>
      <c r="BK98" t="s">
        <v>84</v>
      </c>
      <c r="BM98" t="s">
        <v>84</v>
      </c>
      <c r="BS98" t="s">
        <v>84</v>
      </c>
      <c r="BT98" t="s">
        <v>84</v>
      </c>
      <c r="BU98">
        <v>18410</v>
      </c>
      <c r="BV98">
        <v>0</v>
      </c>
      <c r="BW98">
        <v>36220</v>
      </c>
    </row>
    <row r="99" spans="1:75" x14ac:dyDescent="0.25">
      <c r="A99">
        <v>330</v>
      </c>
      <c r="B99" s="1">
        <v>45128.790277777778</v>
      </c>
      <c r="C99" t="s">
        <v>257</v>
      </c>
      <c r="D99" t="s">
        <v>73</v>
      </c>
      <c r="E99" t="s">
        <v>178</v>
      </c>
      <c r="F99">
        <v>1</v>
      </c>
      <c r="G99" t="s">
        <v>258</v>
      </c>
      <c r="H99" t="s">
        <v>259</v>
      </c>
      <c r="I99" t="s">
        <v>260</v>
      </c>
      <c r="J99" t="s">
        <v>261</v>
      </c>
      <c r="K99" t="s">
        <v>181</v>
      </c>
      <c r="L99" t="s">
        <v>92</v>
      </c>
      <c r="M99" t="s">
        <v>181</v>
      </c>
      <c r="N99" t="s">
        <v>181</v>
      </c>
      <c r="O99" t="s">
        <v>82</v>
      </c>
      <c r="P99">
        <v>39670</v>
      </c>
      <c r="Q99" t="s">
        <v>83</v>
      </c>
      <c r="R99">
        <v>36220</v>
      </c>
      <c r="AB99">
        <v>39670</v>
      </c>
      <c r="AE99" t="s">
        <v>84</v>
      </c>
      <c r="AG99" t="s">
        <v>84</v>
      </c>
      <c r="AH99" t="s">
        <v>84</v>
      </c>
      <c r="AJ99" t="s">
        <v>84</v>
      </c>
      <c r="AK99" t="s">
        <v>84</v>
      </c>
      <c r="AQ99" t="s">
        <v>84</v>
      </c>
      <c r="AT99" t="s">
        <v>84</v>
      </c>
      <c r="AU99" t="s">
        <v>84</v>
      </c>
      <c r="AV99" t="s">
        <v>84</v>
      </c>
      <c r="AX99" t="s">
        <v>84</v>
      </c>
      <c r="BA99" t="s">
        <v>84</v>
      </c>
      <c r="BB99" t="s">
        <v>84</v>
      </c>
      <c r="BG99" t="s">
        <v>84</v>
      </c>
      <c r="BJ99" t="s">
        <v>84</v>
      </c>
      <c r="BK99" t="s">
        <v>84</v>
      </c>
      <c r="BM99" t="s">
        <v>84</v>
      </c>
      <c r="BS99" t="s">
        <v>84</v>
      </c>
      <c r="BT99" t="s">
        <v>84</v>
      </c>
      <c r="BU99">
        <v>0</v>
      </c>
      <c r="BV99">
        <v>0</v>
      </c>
      <c r="BW99">
        <v>36220</v>
      </c>
    </row>
    <row r="100" spans="1:75" x14ac:dyDescent="0.25">
      <c r="A100">
        <v>330</v>
      </c>
      <c r="B100" s="1">
        <v>45128.790277777778</v>
      </c>
      <c r="C100" t="s">
        <v>257</v>
      </c>
      <c r="D100" t="s">
        <v>73</v>
      </c>
      <c r="E100" t="s">
        <v>178</v>
      </c>
      <c r="F100">
        <v>0</v>
      </c>
      <c r="G100" t="s">
        <v>258</v>
      </c>
      <c r="H100" t="s">
        <v>259</v>
      </c>
      <c r="I100" t="s">
        <v>260</v>
      </c>
      <c r="J100" t="s">
        <v>261</v>
      </c>
      <c r="K100" t="s">
        <v>84</v>
      </c>
      <c r="L100" t="s">
        <v>114</v>
      </c>
      <c r="M100" t="s">
        <v>265</v>
      </c>
      <c r="N100" t="s">
        <v>266</v>
      </c>
      <c r="O100" t="s">
        <v>82</v>
      </c>
      <c r="P100">
        <v>21700</v>
      </c>
      <c r="Q100" t="s">
        <v>83</v>
      </c>
      <c r="W100">
        <v>1</v>
      </c>
      <c r="AE100" t="s">
        <v>84</v>
      </c>
      <c r="AG100" t="s">
        <v>84</v>
      </c>
      <c r="AH100" t="s">
        <v>84</v>
      </c>
      <c r="AJ100" t="s">
        <v>84</v>
      </c>
      <c r="AK100" t="s">
        <v>84</v>
      </c>
      <c r="AQ100" t="s">
        <v>84</v>
      </c>
      <c r="AT100" t="s">
        <v>84</v>
      </c>
      <c r="AU100" t="s">
        <v>84</v>
      </c>
      <c r="AV100" t="s">
        <v>84</v>
      </c>
      <c r="AX100" t="s">
        <v>84</v>
      </c>
      <c r="BA100" t="s">
        <v>84</v>
      </c>
      <c r="BB100" t="s">
        <v>84</v>
      </c>
      <c r="BG100" t="s">
        <v>84</v>
      </c>
      <c r="BJ100" t="s">
        <v>84</v>
      </c>
      <c r="BK100" t="s">
        <v>84</v>
      </c>
      <c r="BM100" t="s">
        <v>84</v>
      </c>
      <c r="BS100" t="s">
        <v>84</v>
      </c>
      <c r="BT100" t="s">
        <v>84</v>
      </c>
      <c r="BU100">
        <v>0</v>
      </c>
      <c r="BV100">
        <v>0</v>
      </c>
      <c r="BW100">
        <v>25166.666666666668</v>
      </c>
    </row>
    <row r="101" spans="1:75" x14ac:dyDescent="0.25">
      <c r="A101">
        <v>330</v>
      </c>
      <c r="B101" s="1">
        <v>45128.790277777778</v>
      </c>
      <c r="C101" t="s">
        <v>257</v>
      </c>
      <c r="D101" t="s">
        <v>73</v>
      </c>
      <c r="E101" t="s">
        <v>178</v>
      </c>
      <c r="F101">
        <v>1</v>
      </c>
      <c r="G101" t="s">
        <v>258</v>
      </c>
      <c r="H101" t="s">
        <v>259</v>
      </c>
      <c r="I101" t="s">
        <v>260</v>
      </c>
      <c r="J101" t="s">
        <v>261</v>
      </c>
      <c r="K101" t="s">
        <v>267</v>
      </c>
      <c r="L101" t="s">
        <v>114</v>
      </c>
      <c r="M101" t="s">
        <v>268</v>
      </c>
      <c r="N101" t="s">
        <v>269</v>
      </c>
      <c r="O101" t="s">
        <v>82</v>
      </c>
      <c r="P101">
        <v>18350</v>
      </c>
      <c r="Q101" t="s">
        <v>83</v>
      </c>
      <c r="R101">
        <v>25166.666669999999</v>
      </c>
      <c r="AE101" t="s">
        <v>84</v>
      </c>
      <c r="AG101" t="s">
        <v>84</v>
      </c>
      <c r="AH101" t="s">
        <v>84</v>
      </c>
      <c r="AJ101" t="s">
        <v>84</v>
      </c>
      <c r="AK101" t="s">
        <v>84</v>
      </c>
      <c r="AQ101" t="s">
        <v>84</v>
      </c>
      <c r="AT101" t="s">
        <v>84</v>
      </c>
      <c r="AU101" t="s">
        <v>84</v>
      </c>
      <c r="AV101" t="s">
        <v>84</v>
      </c>
      <c r="AX101" t="s">
        <v>84</v>
      </c>
      <c r="BA101" t="s">
        <v>84</v>
      </c>
      <c r="BB101" t="s">
        <v>84</v>
      </c>
      <c r="BG101" t="s">
        <v>84</v>
      </c>
      <c r="BJ101" t="s">
        <v>84</v>
      </c>
      <c r="BK101" t="s">
        <v>84</v>
      </c>
      <c r="BM101" t="s">
        <v>84</v>
      </c>
      <c r="BN101">
        <v>18350</v>
      </c>
      <c r="BS101" t="s">
        <v>84</v>
      </c>
      <c r="BT101" t="s">
        <v>84</v>
      </c>
      <c r="BU101">
        <v>0</v>
      </c>
      <c r="BV101">
        <v>0</v>
      </c>
      <c r="BW101">
        <v>25166.666666666668</v>
      </c>
    </row>
    <row r="102" spans="1:75" x14ac:dyDescent="0.25">
      <c r="A102">
        <v>330</v>
      </c>
      <c r="B102" s="1">
        <v>45128.790277777778</v>
      </c>
      <c r="C102" t="s">
        <v>257</v>
      </c>
      <c r="D102" t="s">
        <v>73</v>
      </c>
      <c r="E102" t="s">
        <v>178</v>
      </c>
      <c r="F102">
        <v>0</v>
      </c>
      <c r="G102" t="s">
        <v>258</v>
      </c>
      <c r="H102" t="s">
        <v>259</v>
      </c>
      <c r="I102" t="s">
        <v>260</v>
      </c>
      <c r="J102" t="s">
        <v>261</v>
      </c>
      <c r="K102" t="s">
        <v>84</v>
      </c>
      <c r="L102" t="s">
        <v>114</v>
      </c>
      <c r="M102" t="s">
        <v>270</v>
      </c>
      <c r="N102" t="s">
        <v>271</v>
      </c>
      <c r="O102" t="s">
        <v>82</v>
      </c>
      <c r="P102">
        <v>35450</v>
      </c>
      <c r="Q102" t="s">
        <v>83</v>
      </c>
      <c r="AE102" t="s">
        <v>84</v>
      </c>
      <c r="AG102" t="s">
        <v>84</v>
      </c>
      <c r="AH102" t="s">
        <v>84</v>
      </c>
      <c r="AJ102" t="s">
        <v>84</v>
      </c>
      <c r="AK102" t="s">
        <v>84</v>
      </c>
      <c r="AQ102" t="s">
        <v>84</v>
      </c>
      <c r="AT102" t="s">
        <v>84</v>
      </c>
      <c r="AU102" t="s">
        <v>84</v>
      </c>
      <c r="AV102" t="s">
        <v>84</v>
      </c>
      <c r="AX102" t="s">
        <v>84</v>
      </c>
      <c r="BA102" t="s">
        <v>84</v>
      </c>
      <c r="BB102" t="s">
        <v>84</v>
      </c>
      <c r="BG102" t="s">
        <v>84</v>
      </c>
      <c r="BJ102" t="s">
        <v>84</v>
      </c>
      <c r="BK102" t="s">
        <v>84</v>
      </c>
      <c r="BM102" t="s">
        <v>84</v>
      </c>
      <c r="BS102" t="s">
        <v>84</v>
      </c>
      <c r="BT102" t="s">
        <v>84</v>
      </c>
      <c r="BU102">
        <v>0</v>
      </c>
      <c r="BV102">
        <v>0</v>
      </c>
      <c r="BW102">
        <v>25166.666666666668</v>
      </c>
    </row>
    <row r="103" spans="1:75" x14ac:dyDescent="0.25">
      <c r="A103">
        <v>330</v>
      </c>
      <c r="B103" s="1">
        <v>45128.790277777778</v>
      </c>
      <c r="C103" t="s">
        <v>257</v>
      </c>
      <c r="D103" t="s">
        <v>73</v>
      </c>
      <c r="E103" t="s">
        <v>178</v>
      </c>
      <c r="F103">
        <v>0</v>
      </c>
      <c r="G103" t="s">
        <v>258</v>
      </c>
      <c r="H103" t="s">
        <v>259</v>
      </c>
      <c r="I103" t="s">
        <v>260</v>
      </c>
      <c r="J103" t="s">
        <v>261</v>
      </c>
      <c r="K103" t="s">
        <v>84</v>
      </c>
      <c r="L103" t="s">
        <v>121</v>
      </c>
      <c r="M103" t="s">
        <v>265</v>
      </c>
      <c r="N103" t="s">
        <v>272</v>
      </c>
      <c r="O103" t="s">
        <v>82</v>
      </c>
      <c r="P103">
        <v>151338.10579999999</v>
      </c>
      <c r="Q103" t="s">
        <v>83</v>
      </c>
      <c r="W103">
        <v>1</v>
      </c>
      <c r="AE103" t="s">
        <v>84</v>
      </c>
      <c r="AG103" t="s">
        <v>84</v>
      </c>
      <c r="AH103" t="s">
        <v>84</v>
      </c>
      <c r="AJ103" t="s">
        <v>84</v>
      </c>
      <c r="AK103" t="s">
        <v>84</v>
      </c>
      <c r="AQ103" t="s">
        <v>84</v>
      </c>
      <c r="AT103" t="s">
        <v>84</v>
      </c>
      <c r="AU103" t="s">
        <v>84</v>
      </c>
      <c r="AV103" t="s">
        <v>84</v>
      </c>
      <c r="AX103" t="s">
        <v>84</v>
      </c>
      <c r="BA103" t="s">
        <v>84</v>
      </c>
      <c r="BB103" t="s">
        <v>84</v>
      </c>
      <c r="BG103" t="s">
        <v>84</v>
      </c>
      <c r="BJ103" t="s">
        <v>84</v>
      </c>
      <c r="BK103" t="s">
        <v>84</v>
      </c>
      <c r="BM103" t="s">
        <v>84</v>
      </c>
      <c r="BS103" t="s">
        <v>84</v>
      </c>
      <c r="BT103" t="s">
        <v>84</v>
      </c>
      <c r="BU103">
        <v>0</v>
      </c>
      <c r="BV103">
        <v>0</v>
      </c>
      <c r="BW103">
        <v>149975.39453333334</v>
      </c>
    </row>
    <row r="104" spans="1:75" x14ac:dyDescent="0.25">
      <c r="A104">
        <v>330</v>
      </c>
      <c r="B104" s="1">
        <v>45128.790277777778</v>
      </c>
      <c r="C104" t="s">
        <v>257</v>
      </c>
      <c r="D104" t="s">
        <v>73</v>
      </c>
      <c r="E104" t="s">
        <v>178</v>
      </c>
      <c r="F104">
        <v>1</v>
      </c>
      <c r="G104" t="s">
        <v>258</v>
      </c>
      <c r="H104" t="s">
        <v>259</v>
      </c>
      <c r="I104" t="s">
        <v>260</v>
      </c>
      <c r="J104" t="s">
        <v>261</v>
      </c>
      <c r="K104" t="s">
        <v>267</v>
      </c>
      <c r="L104" t="s">
        <v>121</v>
      </c>
      <c r="M104" t="s">
        <v>268</v>
      </c>
      <c r="N104" t="s">
        <v>273</v>
      </c>
      <c r="O104" t="s">
        <v>82</v>
      </c>
      <c r="P104">
        <v>146169.37580000001</v>
      </c>
      <c r="Q104" t="s">
        <v>83</v>
      </c>
      <c r="R104">
        <v>149975.3946</v>
      </c>
      <c r="AA104">
        <v>0</v>
      </c>
      <c r="AD104">
        <v>7990</v>
      </c>
      <c r="AE104" t="s">
        <v>84</v>
      </c>
      <c r="AG104" t="s">
        <v>84</v>
      </c>
      <c r="AH104" t="s">
        <v>84</v>
      </c>
      <c r="AJ104" t="s">
        <v>84</v>
      </c>
      <c r="AK104" t="s">
        <v>84</v>
      </c>
      <c r="AP104">
        <v>0</v>
      </c>
      <c r="AQ104" t="s">
        <v>84</v>
      </c>
      <c r="AR104">
        <v>14220</v>
      </c>
      <c r="AT104" t="s">
        <v>84</v>
      </c>
      <c r="AU104" t="s">
        <v>84</v>
      </c>
      <c r="AV104" t="s">
        <v>84</v>
      </c>
      <c r="AX104" t="s">
        <v>84</v>
      </c>
      <c r="AY104">
        <v>0</v>
      </c>
      <c r="BA104" t="s">
        <v>84</v>
      </c>
      <c r="BB104" t="s">
        <v>84</v>
      </c>
      <c r="BC104">
        <v>14377</v>
      </c>
      <c r="BF104">
        <v>1356</v>
      </c>
      <c r="BG104" t="s">
        <v>84</v>
      </c>
      <c r="BH104">
        <v>13494</v>
      </c>
      <c r="BI104">
        <v>42222</v>
      </c>
      <c r="BJ104" t="s">
        <v>84</v>
      </c>
      <c r="BK104" t="s">
        <v>84</v>
      </c>
      <c r="BL104">
        <v>10946</v>
      </c>
      <c r="BM104" t="s">
        <v>84</v>
      </c>
      <c r="BO104">
        <v>2208</v>
      </c>
      <c r="BQ104">
        <v>0</v>
      </c>
      <c r="BR104">
        <v>0</v>
      </c>
      <c r="BS104" t="s">
        <v>84</v>
      </c>
      <c r="BT104" t="s">
        <v>84</v>
      </c>
      <c r="BU104">
        <v>0</v>
      </c>
      <c r="BV104">
        <v>0</v>
      </c>
      <c r="BW104">
        <v>149975.39453333334</v>
      </c>
    </row>
    <row r="105" spans="1:75" x14ac:dyDescent="0.25">
      <c r="A105">
        <v>330</v>
      </c>
      <c r="B105" s="1">
        <v>45128.790277777778</v>
      </c>
      <c r="C105" t="s">
        <v>257</v>
      </c>
      <c r="D105" t="s">
        <v>73</v>
      </c>
      <c r="E105" t="s">
        <v>178</v>
      </c>
      <c r="F105">
        <v>0</v>
      </c>
      <c r="G105" t="s">
        <v>258</v>
      </c>
      <c r="H105" t="s">
        <v>259</v>
      </c>
      <c r="I105" t="s">
        <v>260</v>
      </c>
      <c r="J105" t="s">
        <v>261</v>
      </c>
      <c r="K105" t="s">
        <v>84</v>
      </c>
      <c r="L105" t="s">
        <v>121</v>
      </c>
      <c r="M105" t="s">
        <v>270</v>
      </c>
      <c r="N105" t="s">
        <v>274</v>
      </c>
      <c r="O105" t="s">
        <v>82</v>
      </c>
      <c r="P105">
        <v>152418.70199999999</v>
      </c>
      <c r="Q105" t="s">
        <v>83</v>
      </c>
      <c r="AE105" t="s">
        <v>84</v>
      </c>
      <c r="AG105" t="s">
        <v>84</v>
      </c>
      <c r="AH105" t="s">
        <v>84</v>
      </c>
      <c r="AJ105" t="s">
        <v>84</v>
      </c>
      <c r="AK105" t="s">
        <v>84</v>
      </c>
      <c r="AQ105" t="s">
        <v>84</v>
      </c>
      <c r="AT105" t="s">
        <v>84</v>
      </c>
      <c r="AU105" t="s">
        <v>84</v>
      </c>
      <c r="AV105" t="s">
        <v>84</v>
      </c>
      <c r="AX105" t="s">
        <v>84</v>
      </c>
      <c r="BA105" t="s">
        <v>84</v>
      </c>
      <c r="BB105" t="s">
        <v>84</v>
      </c>
      <c r="BG105" t="s">
        <v>84</v>
      </c>
      <c r="BJ105" t="s">
        <v>84</v>
      </c>
      <c r="BK105" t="s">
        <v>84</v>
      </c>
      <c r="BM105" t="s">
        <v>84</v>
      </c>
      <c r="BS105" t="s">
        <v>84</v>
      </c>
      <c r="BT105" t="s">
        <v>84</v>
      </c>
      <c r="BU105">
        <v>0</v>
      </c>
      <c r="BV105">
        <v>0</v>
      </c>
      <c r="BW105">
        <v>149975.39453333334</v>
      </c>
    </row>
    <row r="106" spans="1:75" x14ac:dyDescent="0.25">
      <c r="A106">
        <v>330</v>
      </c>
      <c r="B106" s="1">
        <v>45128.790277777778</v>
      </c>
      <c r="C106" t="s">
        <v>257</v>
      </c>
      <c r="D106" t="s">
        <v>73</v>
      </c>
      <c r="E106" t="s">
        <v>178</v>
      </c>
      <c r="F106">
        <v>0</v>
      </c>
      <c r="G106" t="s">
        <v>258</v>
      </c>
      <c r="H106" t="s">
        <v>259</v>
      </c>
      <c r="I106" t="s">
        <v>260</v>
      </c>
      <c r="J106" t="s">
        <v>261</v>
      </c>
      <c r="K106" t="s">
        <v>84</v>
      </c>
      <c r="L106" t="s">
        <v>80</v>
      </c>
      <c r="M106" t="s">
        <v>265</v>
      </c>
      <c r="N106" t="s">
        <v>275</v>
      </c>
      <c r="O106" t="s">
        <v>82</v>
      </c>
      <c r="P106">
        <v>836827.74</v>
      </c>
      <c r="Q106" t="s">
        <v>83</v>
      </c>
      <c r="T106">
        <v>1</v>
      </c>
      <c r="X106">
        <v>1</v>
      </c>
      <c r="AE106" t="s">
        <v>84</v>
      </c>
      <c r="AG106" t="s">
        <v>84</v>
      </c>
      <c r="AH106" t="s">
        <v>84</v>
      </c>
      <c r="AJ106" t="s">
        <v>84</v>
      </c>
      <c r="AK106" t="s">
        <v>84</v>
      </c>
      <c r="AQ106" t="s">
        <v>84</v>
      </c>
      <c r="AT106" t="s">
        <v>84</v>
      </c>
      <c r="AU106" t="s">
        <v>84</v>
      </c>
      <c r="AV106" t="s">
        <v>84</v>
      </c>
      <c r="AX106" t="s">
        <v>84</v>
      </c>
      <c r="BA106" t="s">
        <v>84</v>
      </c>
      <c r="BB106" t="s">
        <v>84</v>
      </c>
      <c r="BG106" t="s">
        <v>84</v>
      </c>
      <c r="BJ106" t="s">
        <v>84</v>
      </c>
      <c r="BK106" t="s">
        <v>84</v>
      </c>
      <c r="BM106" t="s">
        <v>84</v>
      </c>
      <c r="BS106" t="s">
        <v>84</v>
      </c>
      <c r="BT106" t="s">
        <v>84</v>
      </c>
      <c r="BU106">
        <v>0</v>
      </c>
      <c r="BV106">
        <v>0</v>
      </c>
      <c r="BW106">
        <v>689735.13113333331</v>
      </c>
    </row>
    <row r="107" spans="1:75" x14ac:dyDescent="0.25">
      <c r="A107">
        <v>330</v>
      </c>
      <c r="B107" s="1">
        <v>45128.790277777778</v>
      </c>
      <c r="C107" t="s">
        <v>257</v>
      </c>
      <c r="D107" t="s">
        <v>73</v>
      </c>
      <c r="E107" t="s">
        <v>178</v>
      </c>
      <c r="F107">
        <v>1</v>
      </c>
      <c r="G107" t="s">
        <v>258</v>
      </c>
      <c r="H107" t="s">
        <v>259</v>
      </c>
      <c r="I107" t="s">
        <v>260</v>
      </c>
      <c r="J107" t="s">
        <v>261</v>
      </c>
      <c r="K107" t="s">
        <v>276</v>
      </c>
      <c r="L107" t="s">
        <v>80</v>
      </c>
      <c r="M107" t="s">
        <v>257</v>
      </c>
      <c r="N107" t="s">
        <v>277</v>
      </c>
      <c r="O107" t="s">
        <v>82</v>
      </c>
      <c r="P107">
        <v>557667.92339999997</v>
      </c>
      <c r="Q107" t="s">
        <v>83</v>
      </c>
      <c r="R107">
        <v>689735.1311</v>
      </c>
      <c r="Z107">
        <v>14300</v>
      </c>
      <c r="AA107">
        <v>87700</v>
      </c>
      <c r="AE107" t="s">
        <v>84</v>
      </c>
      <c r="AG107" t="s">
        <v>84</v>
      </c>
      <c r="AH107" t="s">
        <v>84</v>
      </c>
      <c r="AI107">
        <v>0</v>
      </c>
      <c r="AJ107" t="s">
        <v>84</v>
      </c>
      <c r="AK107" t="s">
        <v>84</v>
      </c>
      <c r="AL107">
        <v>0</v>
      </c>
      <c r="AN107">
        <v>0</v>
      </c>
      <c r="AP107">
        <v>56600</v>
      </c>
      <c r="AQ107" t="s">
        <v>84</v>
      </c>
      <c r="AR107">
        <v>4200</v>
      </c>
      <c r="AT107" t="s">
        <v>84</v>
      </c>
      <c r="AU107" t="s">
        <v>84</v>
      </c>
      <c r="AV107" t="s">
        <v>84</v>
      </c>
      <c r="AW107">
        <v>29923</v>
      </c>
      <c r="AX107" t="s">
        <v>84</v>
      </c>
      <c r="AY107">
        <v>2000</v>
      </c>
      <c r="BA107" t="s">
        <v>84</v>
      </c>
      <c r="BB107" t="s">
        <v>84</v>
      </c>
      <c r="BC107">
        <v>7000</v>
      </c>
      <c r="BD107">
        <v>87837.75</v>
      </c>
      <c r="BG107" t="s">
        <v>84</v>
      </c>
      <c r="BH107">
        <v>12500</v>
      </c>
      <c r="BI107">
        <v>127252.84</v>
      </c>
      <c r="BJ107" t="s">
        <v>84</v>
      </c>
      <c r="BK107" t="s">
        <v>84</v>
      </c>
      <c r="BM107" t="s">
        <v>84</v>
      </c>
      <c r="BP107">
        <v>13280</v>
      </c>
      <c r="BQ107">
        <v>0</v>
      </c>
      <c r="BR107">
        <v>0</v>
      </c>
      <c r="BS107" t="s">
        <v>84</v>
      </c>
      <c r="BT107" t="s">
        <v>84</v>
      </c>
      <c r="BU107">
        <v>0</v>
      </c>
      <c r="BV107">
        <v>0</v>
      </c>
      <c r="BW107">
        <v>689735.13113333331</v>
      </c>
    </row>
    <row r="108" spans="1:75" x14ac:dyDescent="0.25">
      <c r="A108">
        <v>330</v>
      </c>
      <c r="B108" s="1">
        <v>45128.790277777778</v>
      </c>
      <c r="C108" t="s">
        <v>257</v>
      </c>
      <c r="D108" t="s">
        <v>73</v>
      </c>
      <c r="E108" t="s">
        <v>178</v>
      </c>
      <c r="F108">
        <v>0</v>
      </c>
      <c r="G108" t="s">
        <v>258</v>
      </c>
      <c r="H108" t="s">
        <v>259</v>
      </c>
      <c r="I108" t="s">
        <v>260</v>
      </c>
      <c r="J108" t="s">
        <v>261</v>
      </c>
      <c r="K108" t="s">
        <v>84</v>
      </c>
      <c r="L108" t="s">
        <v>80</v>
      </c>
      <c r="M108" t="s">
        <v>265</v>
      </c>
      <c r="N108" t="s">
        <v>278</v>
      </c>
      <c r="O108" t="s">
        <v>82</v>
      </c>
      <c r="P108">
        <v>674709.73</v>
      </c>
      <c r="Q108" t="s">
        <v>83</v>
      </c>
      <c r="S108">
        <v>1</v>
      </c>
      <c r="AE108" t="s">
        <v>84</v>
      </c>
      <c r="AG108" t="s">
        <v>84</v>
      </c>
      <c r="AH108" t="s">
        <v>84</v>
      </c>
      <c r="AJ108" t="s">
        <v>84</v>
      </c>
      <c r="AK108" t="s">
        <v>84</v>
      </c>
      <c r="AQ108" t="s">
        <v>84</v>
      </c>
      <c r="AT108" t="s">
        <v>84</v>
      </c>
      <c r="AU108" t="s">
        <v>84</v>
      </c>
      <c r="AV108" t="s">
        <v>84</v>
      </c>
      <c r="AX108" t="s">
        <v>84</v>
      </c>
      <c r="BA108" t="s">
        <v>84</v>
      </c>
      <c r="BB108" t="s">
        <v>84</v>
      </c>
      <c r="BG108" t="s">
        <v>84</v>
      </c>
      <c r="BJ108" t="s">
        <v>84</v>
      </c>
      <c r="BK108" t="s">
        <v>84</v>
      </c>
      <c r="BM108" t="s">
        <v>84</v>
      </c>
      <c r="BS108" t="s">
        <v>84</v>
      </c>
      <c r="BT108" t="s">
        <v>84</v>
      </c>
      <c r="BU108">
        <v>674709.73</v>
      </c>
      <c r="BV108">
        <v>0</v>
      </c>
      <c r="BW108">
        <v>689735.13113333331</v>
      </c>
    </row>
    <row r="109" spans="1:75" x14ac:dyDescent="0.25">
      <c r="A109">
        <v>330</v>
      </c>
      <c r="B109" s="1">
        <v>45128.790277777778</v>
      </c>
      <c r="C109" t="s">
        <v>257</v>
      </c>
      <c r="D109" t="s">
        <v>73</v>
      </c>
      <c r="E109" t="s">
        <v>178</v>
      </c>
      <c r="F109">
        <v>0</v>
      </c>
      <c r="G109" t="s">
        <v>258</v>
      </c>
      <c r="H109" t="s">
        <v>259</v>
      </c>
      <c r="I109" t="s">
        <v>260</v>
      </c>
      <c r="J109" t="s">
        <v>261</v>
      </c>
      <c r="K109" t="s">
        <v>84</v>
      </c>
      <c r="L109" t="s">
        <v>106</v>
      </c>
      <c r="M109" t="s">
        <v>265</v>
      </c>
      <c r="N109" t="s">
        <v>279</v>
      </c>
      <c r="O109" t="s">
        <v>82</v>
      </c>
      <c r="P109">
        <v>5136.13</v>
      </c>
      <c r="Q109" t="s">
        <v>83</v>
      </c>
      <c r="T109">
        <v>1</v>
      </c>
      <c r="X109">
        <v>1</v>
      </c>
      <c r="AE109" t="s">
        <v>84</v>
      </c>
      <c r="AG109" t="s">
        <v>84</v>
      </c>
      <c r="AH109" t="s">
        <v>84</v>
      </c>
      <c r="AJ109" t="s">
        <v>84</v>
      </c>
      <c r="AK109" t="s">
        <v>84</v>
      </c>
      <c r="AQ109" t="s">
        <v>84</v>
      </c>
      <c r="AT109" t="s">
        <v>84</v>
      </c>
      <c r="AU109" t="s">
        <v>84</v>
      </c>
      <c r="AV109" t="s">
        <v>84</v>
      </c>
      <c r="AX109" t="s">
        <v>84</v>
      </c>
      <c r="BA109" t="s">
        <v>84</v>
      </c>
      <c r="BB109" t="s">
        <v>84</v>
      </c>
      <c r="BG109" t="s">
        <v>84</v>
      </c>
      <c r="BJ109" t="s">
        <v>84</v>
      </c>
      <c r="BK109" t="s">
        <v>84</v>
      </c>
      <c r="BM109" t="s">
        <v>84</v>
      </c>
      <c r="BS109" t="s">
        <v>84</v>
      </c>
      <c r="BT109" t="s">
        <v>84</v>
      </c>
      <c r="BU109">
        <v>0</v>
      </c>
      <c r="BV109">
        <v>0</v>
      </c>
      <c r="BW109">
        <v>5600.9025000000001</v>
      </c>
    </row>
    <row r="110" spans="1:75" x14ac:dyDescent="0.25">
      <c r="A110">
        <v>330</v>
      </c>
      <c r="B110" s="1">
        <v>45128.790277777778</v>
      </c>
      <c r="C110" t="s">
        <v>257</v>
      </c>
      <c r="D110" t="s">
        <v>73</v>
      </c>
      <c r="E110" t="s">
        <v>178</v>
      </c>
      <c r="F110">
        <v>1</v>
      </c>
      <c r="G110" t="s">
        <v>258</v>
      </c>
      <c r="H110" t="s">
        <v>259</v>
      </c>
      <c r="I110" t="s">
        <v>260</v>
      </c>
      <c r="J110" t="s">
        <v>261</v>
      </c>
      <c r="K110" t="s">
        <v>276</v>
      </c>
      <c r="L110" t="s">
        <v>106</v>
      </c>
      <c r="M110" t="s">
        <v>257</v>
      </c>
      <c r="N110" t="s">
        <v>280</v>
      </c>
      <c r="O110" t="s">
        <v>82</v>
      </c>
      <c r="P110">
        <v>2638.9625000000001</v>
      </c>
      <c r="Q110" t="s">
        <v>83</v>
      </c>
      <c r="R110">
        <v>5600.9025000000001</v>
      </c>
      <c r="AE110" t="s">
        <v>84</v>
      </c>
      <c r="AF110">
        <v>500</v>
      </c>
      <c r="AG110" t="s">
        <v>84</v>
      </c>
      <c r="AH110" t="s">
        <v>84</v>
      </c>
      <c r="AJ110" t="s">
        <v>84</v>
      </c>
      <c r="AK110" t="s">
        <v>84</v>
      </c>
      <c r="AQ110" t="s">
        <v>84</v>
      </c>
      <c r="AT110" t="s">
        <v>84</v>
      </c>
      <c r="AU110" t="s">
        <v>84</v>
      </c>
      <c r="AV110" t="s">
        <v>84</v>
      </c>
      <c r="AX110" t="s">
        <v>84</v>
      </c>
      <c r="BA110" t="s">
        <v>84</v>
      </c>
      <c r="BB110" t="s">
        <v>84</v>
      </c>
      <c r="BE110">
        <v>1175</v>
      </c>
      <c r="BG110" t="s">
        <v>84</v>
      </c>
      <c r="BJ110" t="s">
        <v>84</v>
      </c>
      <c r="BK110" t="s">
        <v>84</v>
      </c>
      <c r="BM110" t="s">
        <v>84</v>
      </c>
      <c r="BS110" t="s">
        <v>84</v>
      </c>
      <c r="BT110" t="s">
        <v>84</v>
      </c>
      <c r="BU110">
        <v>0</v>
      </c>
      <c r="BV110">
        <v>0</v>
      </c>
      <c r="BW110">
        <v>5600.9025000000001</v>
      </c>
    </row>
    <row r="111" spans="1:75" x14ac:dyDescent="0.25">
      <c r="A111">
        <v>330</v>
      </c>
      <c r="B111" s="1">
        <v>45128.790277777778</v>
      </c>
      <c r="C111" t="s">
        <v>257</v>
      </c>
      <c r="D111" t="s">
        <v>73</v>
      </c>
      <c r="E111" t="s">
        <v>178</v>
      </c>
      <c r="F111">
        <v>0</v>
      </c>
      <c r="G111" t="s">
        <v>258</v>
      </c>
      <c r="H111" t="s">
        <v>259</v>
      </c>
      <c r="I111" t="s">
        <v>260</v>
      </c>
      <c r="J111" t="s">
        <v>261</v>
      </c>
      <c r="K111" t="s">
        <v>84</v>
      </c>
      <c r="L111" t="s">
        <v>106</v>
      </c>
      <c r="M111" t="s">
        <v>265</v>
      </c>
      <c r="N111" t="s">
        <v>281</v>
      </c>
      <c r="O111" t="s">
        <v>82</v>
      </c>
      <c r="P111">
        <v>9027.6149999999998</v>
      </c>
      <c r="Q111" t="s">
        <v>83</v>
      </c>
      <c r="S111">
        <v>1</v>
      </c>
      <c r="AE111" t="s">
        <v>84</v>
      </c>
      <c r="AG111" t="s">
        <v>84</v>
      </c>
      <c r="AH111" t="s">
        <v>84</v>
      </c>
      <c r="AJ111" t="s">
        <v>84</v>
      </c>
      <c r="AK111" t="s">
        <v>84</v>
      </c>
      <c r="AQ111" t="s">
        <v>84</v>
      </c>
      <c r="AT111" t="s">
        <v>84</v>
      </c>
      <c r="AU111" t="s">
        <v>84</v>
      </c>
      <c r="AV111" t="s">
        <v>84</v>
      </c>
      <c r="AX111" t="s">
        <v>84</v>
      </c>
      <c r="BA111" t="s">
        <v>84</v>
      </c>
      <c r="BB111" t="s">
        <v>84</v>
      </c>
      <c r="BG111" t="s">
        <v>84</v>
      </c>
      <c r="BJ111" t="s">
        <v>84</v>
      </c>
      <c r="BK111" t="s">
        <v>84</v>
      </c>
      <c r="BM111" t="s">
        <v>84</v>
      </c>
      <c r="BS111" t="s">
        <v>84</v>
      </c>
      <c r="BT111" t="s">
        <v>84</v>
      </c>
      <c r="BU111">
        <v>9027.6149999999998</v>
      </c>
      <c r="BV111">
        <v>0</v>
      </c>
      <c r="BW111">
        <v>5600.9025000000001</v>
      </c>
    </row>
    <row r="112" spans="1:75" x14ac:dyDescent="0.25">
      <c r="A112">
        <v>330</v>
      </c>
      <c r="B112" s="1">
        <v>45128.790277777778</v>
      </c>
      <c r="C112" t="s">
        <v>257</v>
      </c>
      <c r="D112" t="s">
        <v>73</v>
      </c>
      <c r="E112" t="s">
        <v>178</v>
      </c>
      <c r="F112">
        <v>0</v>
      </c>
      <c r="G112" t="s">
        <v>258</v>
      </c>
      <c r="H112" t="s">
        <v>259</v>
      </c>
      <c r="I112" t="s">
        <v>260</v>
      </c>
      <c r="J112" t="s">
        <v>261</v>
      </c>
      <c r="K112" t="s">
        <v>84</v>
      </c>
      <c r="L112" t="s">
        <v>110</v>
      </c>
      <c r="M112" t="s">
        <v>265</v>
      </c>
      <c r="N112" t="s">
        <v>282</v>
      </c>
      <c r="O112" t="s">
        <v>82</v>
      </c>
      <c r="P112">
        <v>7182</v>
      </c>
      <c r="Q112" t="s">
        <v>83</v>
      </c>
      <c r="T112">
        <v>1</v>
      </c>
      <c r="X112">
        <v>1</v>
      </c>
      <c r="AE112" t="s">
        <v>84</v>
      </c>
      <c r="AG112" t="s">
        <v>84</v>
      </c>
      <c r="AH112" t="s">
        <v>84</v>
      </c>
      <c r="AJ112" t="s">
        <v>84</v>
      </c>
      <c r="AK112" t="s">
        <v>84</v>
      </c>
      <c r="AQ112" t="s">
        <v>84</v>
      </c>
      <c r="AT112" t="s">
        <v>84</v>
      </c>
      <c r="AU112" t="s">
        <v>84</v>
      </c>
      <c r="AV112" t="s">
        <v>84</v>
      </c>
      <c r="AX112" t="s">
        <v>84</v>
      </c>
      <c r="BA112" t="s">
        <v>84</v>
      </c>
      <c r="BB112" t="s">
        <v>84</v>
      </c>
      <c r="BG112" t="s">
        <v>84</v>
      </c>
      <c r="BJ112" t="s">
        <v>84</v>
      </c>
      <c r="BK112" t="s">
        <v>84</v>
      </c>
      <c r="BM112" t="s">
        <v>84</v>
      </c>
      <c r="BS112" t="s">
        <v>84</v>
      </c>
      <c r="BT112" t="s">
        <v>84</v>
      </c>
      <c r="BU112">
        <v>0</v>
      </c>
      <c r="BV112">
        <v>0</v>
      </c>
      <c r="BW112">
        <v>5023.3333333333339</v>
      </c>
    </row>
    <row r="113" spans="1:75" x14ac:dyDescent="0.25">
      <c r="A113">
        <v>330</v>
      </c>
      <c r="B113" s="1">
        <v>45128.790277777778</v>
      </c>
      <c r="C113" t="s">
        <v>257</v>
      </c>
      <c r="D113" t="s">
        <v>73</v>
      </c>
      <c r="E113" t="s">
        <v>178</v>
      </c>
      <c r="F113">
        <v>1</v>
      </c>
      <c r="G113" t="s">
        <v>258</v>
      </c>
      <c r="H113" t="s">
        <v>259</v>
      </c>
      <c r="I113" t="s">
        <v>260</v>
      </c>
      <c r="J113" t="s">
        <v>261</v>
      </c>
      <c r="K113" t="s">
        <v>276</v>
      </c>
      <c r="L113" t="s">
        <v>110</v>
      </c>
      <c r="M113" t="s">
        <v>257</v>
      </c>
      <c r="N113" t="s">
        <v>283</v>
      </c>
      <c r="O113" t="s">
        <v>82</v>
      </c>
      <c r="P113">
        <v>6400</v>
      </c>
      <c r="Q113" t="s">
        <v>83</v>
      </c>
      <c r="R113">
        <v>5023.3333329999996</v>
      </c>
      <c r="Z113">
        <v>0</v>
      </c>
      <c r="AA113">
        <v>0</v>
      </c>
      <c r="AE113" t="s">
        <v>84</v>
      </c>
      <c r="AG113" t="s">
        <v>84</v>
      </c>
      <c r="AH113" t="s">
        <v>84</v>
      </c>
      <c r="AI113">
        <v>0</v>
      </c>
      <c r="AJ113" t="s">
        <v>84</v>
      </c>
      <c r="AK113" t="s">
        <v>84</v>
      </c>
      <c r="AL113">
        <v>0</v>
      </c>
      <c r="AN113">
        <v>0</v>
      </c>
      <c r="AP113">
        <v>0</v>
      </c>
      <c r="AQ113" t="s">
        <v>84</v>
      </c>
      <c r="AR113">
        <v>0</v>
      </c>
      <c r="AT113" t="s">
        <v>84</v>
      </c>
      <c r="AU113" t="s">
        <v>84</v>
      </c>
      <c r="AV113" t="s">
        <v>84</v>
      </c>
      <c r="AW113">
        <v>0</v>
      </c>
      <c r="AX113" t="s">
        <v>84</v>
      </c>
      <c r="AY113">
        <v>5000</v>
      </c>
      <c r="BA113" t="s">
        <v>84</v>
      </c>
      <c r="BB113" t="s">
        <v>84</v>
      </c>
      <c r="BC113">
        <v>0</v>
      </c>
      <c r="BD113">
        <v>0</v>
      </c>
      <c r="BG113" t="s">
        <v>84</v>
      </c>
      <c r="BH113">
        <v>0</v>
      </c>
      <c r="BI113">
        <v>0</v>
      </c>
      <c r="BJ113" t="s">
        <v>84</v>
      </c>
      <c r="BK113" t="s">
        <v>84</v>
      </c>
      <c r="BM113" t="s">
        <v>84</v>
      </c>
      <c r="BP113">
        <v>0</v>
      </c>
      <c r="BQ113">
        <v>0</v>
      </c>
      <c r="BR113">
        <v>0</v>
      </c>
      <c r="BS113" t="s">
        <v>84</v>
      </c>
      <c r="BT113" t="s">
        <v>84</v>
      </c>
      <c r="BU113">
        <v>0</v>
      </c>
      <c r="BV113">
        <v>0</v>
      </c>
      <c r="BW113">
        <v>5023.3333333333339</v>
      </c>
    </row>
    <row r="114" spans="1:75" x14ac:dyDescent="0.25">
      <c r="A114">
        <v>330</v>
      </c>
      <c r="B114" s="1">
        <v>45128.790277777778</v>
      </c>
      <c r="C114" t="s">
        <v>257</v>
      </c>
      <c r="D114" t="s">
        <v>73</v>
      </c>
      <c r="E114" t="s">
        <v>178</v>
      </c>
      <c r="F114">
        <v>0</v>
      </c>
      <c r="G114" t="s">
        <v>258</v>
      </c>
      <c r="H114" t="s">
        <v>259</v>
      </c>
      <c r="I114" t="s">
        <v>260</v>
      </c>
      <c r="J114" t="s">
        <v>261</v>
      </c>
      <c r="K114" t="s">
        <v>84</v>
      </c>
      <c r="L114" t="s">
        <v>110</v>
      </c>
      <c r="M114" t="s">
        <v>265</v>
      </c>
      <c r="N114" t="s">
        <v>284</v>
      </c>
      <c r="O114" t="s">
        <v>82</v>
      </c>
      <c r="P114">
        <v>1488</v>
      </c>
      <c r="Q114" t="s">
        <v>83</v>
      </c>
      <c r="S114">
        <v>1</v>
      </c>
      <c r="AE114" t="s">
        <v>84</v>
      </c>
      <c r="AG114" t="s">
        <v>84</v>
      </c>
      <c r="AH114" t="s">
        <v>84</v>
      </c>
      <c r="AJ114" t="s">
        <v>84</v>
      </c>
      <c r="AK114" t="s">
        <v>84</v>
      </c>
      <c r="AQ114" t="s">
        <v>84</v>
      </c>
      <c r="AT114" t="s">
        <v>84</v>
      </c>
      <c r="AU114" t="s">
        <v>84</v>
      </c>
      <c r="AV114" t="s">
        <v>84</v>
      </c>
      <c r="AX114" t="s">
        <v>84</v>
      </c>
      <c r="BA114" t="s">
        <v>84</v>
      </c>
      <c r="BB114" t="s">
        <v>84</v>
      </c>
      <c r="BG114" t="s">
        <v>84</v>
      </c>
      <c r="BJ114" t="s">
        <v>84</v>
      </c>
      <c r="BK114" t="s">
        <v>84</v>
      </c>
      <c r="BM114" t="s">
        <v>84</v>
      </c>
      <c r="BS114" t="s">
        <v>84</v>
      </c>
      <c r="BT114" t="s">
        <v>84</v>
      </c>
      <c r="BU114">
        <v>1488</v>
      </c>
      <c r="BV114">
        <v>0</v>
      </c>
      <c r="BW114">
        <v>5023.3333333333339</v>
      </c>
    </row>
    <row r="115" spans="1:75" x14ac:dyDescent="0.25">
      <c r="A115">
        <v>330</v>
      </c>
      <c r="B115" s="1">
        <v>45128.790277777778</v>
      </c>
      <c r="C115" t="s">
        <v>257</v>
      </c>
      <c r="D115" t="s">
        <v>73</v>
      </c>
      <c r="E115" t="s">
        <v>178</v>
      </c>
      <c r="F115">
        <v>0</v>
      </c>
      <c r="G115" t="s">
        <v>258</v>
      </c>
      <c r="H115" t="s">
        <v>259</v>
      </c>
      <c r="I115" t="s">
        <v>260</v>
      </c>
      <c r="J115" t="s">
        <v>261</v>
      </c>
      <c r="K115" t="s">
        <v>84</v>
      </c>
      <c r="L115" t="s">
        <v>87</v>
      </c>
      <c r="M115" t="s">
        <v>285</v>
      </c>
      <c r="N115" t="s">
        <v>286</v>
      </c>
      <c r="O115" t="s">
        <v>82</v>
      </c>
      <c r="P115">
        <v>123512.0833</v>
      </c>
      <c r="Q115" t="s">
        <v>83</v>
      </c>
      <c r="AE115" t="s">
        <v>84</v>
      </c>
      <c r="AG115" t="s">
        <v>84</v>
      </c>
      <c r="AH115" t="s">
        <v>84</v>
      </c>
      <c r="AJ115" t="s">
        <v>84</v>
      </c>
      <c r="AK115" t="s">
        <v>84</v>
      </c>
      <c r="AQ115" t="s">
        <v>84</v>
      </c>
      <c r="AT115" t="s">
        <v>84</v>
      </c>
      <c r="AU115" t="s">
        <v>84</v>
      </c>
      <c r="AV115" t="s">
        <v>84</v>
      </c>
      <c r="AX115" t="s">
        <v>84</v>
      </c>
      <c r="BA115" t="s">
        <v>84</v>
      </c>
      <c r="BB115" t="s">
        <v>84</v>
      </c>
      <c r="BG115" t="s">
        <v>84</v>
      </c>
      <c r="BJ115" t="s">
        <v>84</v>
      </c>
      <c r="BK115" t="s">
        <v>84</v>
      </c>
      <c r="BM115" t="s">
        <v>84</v>
      </c>
      <c r="BS115" t="s">
        <v>84</v>
      </c>
      <c r="BT115" t="s">
        <v>84</v>
      </c>
      <c r="BU115">
        <v>0</v>
      </c>
      <c r="BV115">
        <v>0</v>
      </c>
      <c r="BW115">
        <v>123349.4111</v>
      </c>
    </row>
    <row r="116" spans="1:75" x14ac:dyDescent="0.25">
      <c r="A116">
        <v>330</v>
      </c>
      <c r="B116" s="1">
        <v>45128.790277777778</v>
      </c>
      <c r="C116" t="s">
        <v>257</v>
      </c>
      <c r="D116" t="s">
        <v>73</v>
      </c>
      <c r="E116" t="s">
        <v>178</v>
      </c>
      <c r="F116">
        <v>1</v>
      </c>
      <c r="G116" t="s">
        <v>258</v>
      </c>
      <c r="H116" t="s">
        <v>259</v>
      </c>
      <c r="I116" t="s">
        <v>260</v>
      </c>
      <c r="J116" t="s">
        <v>261</v>
      </c>
      <c r="K116" t="s">
        <v>207</v>
      </c>
      <c r="L116" t="s">
        <v>87</v>
      </c>
      <c r="M116" t="s">
        <v>257</v>
      </c>
      <c r="N116" t="s">
        <v>287</v>
      </c>
      <c r="O116" t="s">
        <v>82</v>
      </c>
      <c r="P116">
        <v>123923.3333</v>
      </c>
      <c r="Q116" t="s">
        <v>83</v>
      </c>
      <c r="R116">
        <v>123349.4111</v>
      </c>
      <c r="W116">
        <v>1</v>
      </c>
      <c r="X116">
        <v>1</v>
      </c>
      <c r="AE116" t="s">
        <v>84</v>
      </c>
      <c r="AG116" t="s">
        <v>84</v>
      </c>
      <c r="AH116" t="s">
        <v>84</v>
      </c>
      <c r="AJ116" t="s">
        <v>84</v>
      </c>
      <c r="AK116" t="s">
        <v>84</v>
      </c>
      <c r="AL116">
        <v>33650</v>
      </c>
      <c r="AM116">
        <v>28600</v>
      </c>
      <c r="AN116">
        <v>13350</v>
      </c>
      <c r="AO116">
        <v>14800</v>
      </c>
      <c r="AQ116" t="s">
        <v>84</v>
      </c>
      <c r="AT116" t="s">
        <v>84</v>
      </c>
      <c r="AU116" t="s">
        <v>84</v>
      </c>
      <c r="AV116" t="s">
        <v>84</v>
      </c>
      <c r="AX116" t="s">
        <v>84</v>
      </c>
      <c r="BA116" t="s">
        <v>84</v>
      </c>
      <c r="BB116" t="s">
        <v>84</v>
      </c>
      <c r="BG116" t="s">
        <v>84</v>
      </c>
      <c r="BJ116" t="s">
        <v>84</v>
      </c>
      <c r="BK116" t="s">
        <v>84</v>
      </c>
      <c r="BM116" t="s">
        <v>84</v>
      </c>
      <c r="BS116" t="s">
        <v>84</v>
      </c>
      <c r="BT116" t="s">
        <v>84</v>
      </c>
      <c r="BU116">
        <v>0</v>
      </c>
      <c r="BV116">
        <v>0</v>
      </c>
      <c r="BW116">
        <v>123349.4111</v>
      </c>
    </row>
    <row r="117" spans="1:75" x14ac:dyDescent="0.25">
      <c r="A117">
        <v>330</v>
      </c>
      <c r="B117" s="1">
        <v>45128.790277777778</v>
      </c>
      <c r="C117" t="s">
        <v>257</v>
      </c>
      <c r="D117" t="s">
        <v>73</v>
      </c>
      <c r="E117" t="s">
        <v>178</v>
      </c>
      <c r="F117">
        <v>0</v>
      </c>
      <c r="G117" t="s">
        <v>258</v>
      </c>
      <c r="H117" t="s">
        <v>259</v>
      </c>
      <c r="I117" t="s">
        <v>260</v>
      </c>
      <c r="J117" t="s">
        <v>261</v>
      </c>
      <c r="K117" t="s">
        <v>84</v>
      </c>
      <c r="L117" t="s">
        <v>87</v>
      </c>
      <c r="M117" t="s">
        <v>257</v>
      </c>
      <c r="N117" t="s">
        <v>288</v>
      </c>
      <c r="O117" t="s">
        <v>82</v>
      </c>
      <c r="P117">
        <v>122612.8167</v>
      </c>
      <c r="Q117" t="s">
        <v>83</v>
      </c>
      <c r="AE117" t="s">
        <v>84</v>
      </c>
      <c r="AG117" t="s">
        <v>84</v>
      </c>
      <c r="AH117" t="s">
        <v>84</v>
      </c>
      <c r="AJ117" t="s">
        <v>84</v>
      </c>
      <c r="AK117" t="s">
        <v>84</v>
      </c>
      <c r="AQ117" t="s">
        <v>84</v>
      </c>
      <c r="AT117" t="s">
        <v>84</v>
      </c>
      <c r="AU117" t="s">
        <v>84</v>
      </c>
      <c r="AV117" t="s">
        <v>84</v>
      </c>
      <c r="AX117" t="s">
        <v>84</v>
      </c>
      <c r="BA117" t="s">
        <v>84</v>
      </c>
      <c r="BB117" t="s">
        <v>84</v>
      </c>
      <c r="BG117" t="s">
        <v>84</v>
      </c>
      <c r="BJ117" t="s">
        <v>84</v>
      </c>
      <c r="BK117" t="s">
        <v>84</v>
      </c>
      <c r="BM117" t="s">
        <v>84</v>
      </c>
      <c r="BS117" t="s">
        <v>84</v>
      </c>
      <c r="BT117" t="s">
        <v>84</v>
      </c>
      <c r="BU117">
        <v>0</v>
      </c>
      <c r="BV117">
        <v>0</v>
      </c>
      <c r="BW117">
        <v>123349.4111</v>
      </c>
    </row>
    <row r="118" spans="1:75" x14ac:dyDescent="0.25">
      <c r="A118">
        <v>330</v>
      </c>
      <c r="B118" s="1">
        <v>45128.790277777778</v>
      </c>
      <c r="C118" t="s">
        <v>257</v>
      </c>
      <c r="D118" t="s">
        <v>73</v>
      </c>
      <c r="E118" t="s">
        <v>178</v>
      </c>
      <c r="F118">
        <v>1</v>
      </c>
      <c r="G118" t="s">
        <v>258</v>
      </c>
      <c r="H118" t="s">
        <v>259</v>
      </c>
      <c r="I118" t="s">
        <v>260</v>
      </c>
      <c r="J118" t="s">
        <v>261</v>
      </c>
      <c r="K118" t="s">
        <v>289</v>
      </c>
      <c r="L118" t="s">
        <v>98</v>
      </c>
      <c r="M118" t="s">
        <v>290</v>
      </c>
      <c r="N118" t="s">
        <v>291</v>
      </c>
      <c r="O118" t="s">
        <v>82</v>
      </c>
      <c r="P118">
        <v>41300</v>
      </c>
      <c r="Q118" t="s">
        <v>83</v>
      </c>
      <c r="R118">
        <v>38500</v>
      </c>
      <c r="AE118" t="s">
        <v>84</v>
      </c>
      <c r="AG118" t="s">
        <v>84</v>
      </c>
      <c r="AH118" t="s">
        <v>84</v>
      </c>
      <c r="AJ118" t="s">
        <v>84</v>
      </c>
      <c r="AK118" t="s">
        <v>84</v>
      </c>
      <c r="AQ118" t="s">
        <v>84</v>
      </c>
      <c r="AS118">
        <v>41300</v>
      </c>
      <c r="AT118" t="s">
        <v>84</v>
      </c>
      <c r="AU118" t="s">
        <v>84</v>
      </c>
      <c r="AV118" t="s">
        <v>84</v>
      </c>
      <c r="AX118" t="s">
        <v>84</v>
      </c>
      <c r="BA118" t="s">
        <v>84</v>
      </c>
      <c r="BB118" t="s">
        <v>84</v>
      </c>
      <c r="BG118" t="s">
        <v>84</v>
      </c>
      <c r="BJ118" t="s">
        <v>84</v>
      </c>
      <c r="BK118" t="s">
        <v>84</v>
      </c>
      <c r="BM118" t="s">
        <v>84</v>
      </c>
      <c r="BS118" t="s">
        <v>84</v>
      </c>
      <c r="BT118" t="s">
        <v>84</v>
      </c>
      <c r="BU118">
        <v>0</v>
      </c>
      <c r="BV118">
        <v>0</v>
      </c>
      <c r="BW118">
        <v>38500</v>
      </c>
    </row>
    <row r="119" spans="1:75" x14ac:dyDescent="0.25">
      <c r="A119">
        <v>330</v>
      </c>
      <c r="B119" s="1">
        <v>45128.790277777778</v>
      </c>
      <c r="C119" t="s">
        <v>257</v>
      </c>
      <c r="D119" t="s">
        <v>73</v>
      </c>
      <c r="E119" t="s">
        <v>178</v>
      </c>
      <c r="F119">
        <v>0</v>
      </c>
      <c r="G119" t="s">
        <v>258</v>
      </c>
      <c r="H119" t="s">
        <v>259</v>
      </c>
      <c r="I119" t="s">
        <v>260</v>
      </c>
      <c r="J119" t="s">
        <v>261</v>
      </c>
      <c r="K119" t="s">
        <v>84</v>
      </c>
      <c r="L119" t="s">
        <v>98</v>
      </c>
      <c r="M119" t="s">
        <v>292</v>
      </c>
      <c r="N119" t="s">
        <v>293</v>
      </c>
      <c r="O119" t="s">
        <v>82</v>
      </c>
      <c r="P119">
        <v>53600</v>
      </c>
      <c r="Q119" t="s">
        <v>83</v>
      </c>
      <c r="AE119" t="s">
        <v>84</v>
      </c>
      <c r="AG119" t="s">
        <v>84</v>
      </c>
      <c r="AH119" t="s">
        <v>84</v>
      </c>
      <c r="AJ119" t="s">
        <v>84</v>
      </c>
      <c r="AK119" t="s">
        <v>84</v>
      </c>
      <c r="AQ119" t="s">
        <v>84</v>
      </c>
      <c r="AT119" t="s">
        <v>84</v>
      </c>
      <c r="AU119" t="s">
        <v>84</v>
      </c>
      <c r="AV119" t="s">
        <v>84</v>
      </c>
      <c r="AX119" t="s">
        <v>84</v>
      </c>
      <c r="BA119" t="s">
        <v>84</v>
      </c>
      <c r="BB119" t="s">
        <v>84</v>
      </c>
      <c r="BG119" t="s">
        <v>84</v>
      </c>
      <c r="BJ119" t="s">
        <v>84</v>
      </c>
      <c r="BK119" t="s">
        <v>84</v>
      </c>
      <c r="BM119" t="s">
        <v>84</v>
      </c>
      <c r="BS119" t="s">
        <v>84</v>
      </c>
      <c r="BT119" t="s">
        <v>84</v>
      </c>
      <c r="BU119">
        <v>0</v>
      </c>
      <c r="BV119">
        <v>0</v>
      </c>
      <c r="BW119">
        <v>38500</v>
      </c>
    </row>
    <row r="120" spans="1:75" x14ac:dyDescent="0.25">
      <c r="A120">
        <v>330</v>
      </c>
      <c r="B120" s="1">
        <v>45128.790277777778</v>
      </c>
      <c r="C120" t="s">
        <v>257</v>
      </c>
      <c r="D120" t="s">
        <v>73</v>
      </c>
      <c r="E120" t="s">
        <v>178</v>
      </c>
      <c r="F120">
        <v>0</v>
      </c>
      <c r="G120" t="s">
        <v>258</v>
      </c>
      <c r="H120" t="s">
        <v>259</v>
      </c>
      <c r="I120" t="s">
        <v>260</v>
      </c>
      <c r="J120" t="s">
        <v>261</v>
      </c>
      <c r="K120" t="s">
        <v>84</v>
      </c>
      <c r="L120" t="s">
        <v>98</v>
      </c>
      <c r="M120" t="s">
        <v>294</v>
      </c>
      <c r="N120" t="s">
        <v>295</v>
      </c>
      <c r="O120" t="s">
        <v>82</v>
      </c>
      <c r="P120">
        <v>20600</v>
      </c>
      <c r="Q120" t="s">
        <v>83</v>
      </c>
      <c r="AE120" t="s">
        <v>84</v>
      </c>
      <c r="AG120" t="s">
        <v>84</v>
      </c>
      <c r="AH120" t="s">
        <v>84</v>
      </c>
      <c r="AJ120" t="s">
        <v>84</v>
      </c>
      <c r="AK120" t="s">
        <v>84</v>
      </c>
      <c r="AQ120" t="s">
        <v>84</v>
      </c>
      <c r="AT120" t="s">
        <v>84</v>
      </c>
      <c r="AU120" t="s">
        <v>84</v>
      </c>
      <c r="AV120" t="s">
        <v>84</v>
      </c>
      <c r="AX120" t="s">
        <v>84</v>
      </c>
      <c r="BA120" t="s">
        <v>84</v>
      </c>
      <c r="BB120" t="s">
        <v>84</v>
      </c>
      <c r="BG120" t="s">
        <v>84</v>
      </c>
      <c r="BJ120" t="s">
        <v>84</v>
      </c>
      <c r="BK120" t="s">
        <v>84</v>
      </c>
      <c r="BM120" t="s">
        <v>84</v>
      </c>
      <c r="BS120" t="s">
        <v>84</v>
      </c>
      <c r="BT120" t="s">
        <v>84</v>
      </c>
      <c r="BU120">
        <v>0</v>
      </c>
      <c r="BV120">
        <v>0</v>
      </c>
      <c r="BW120">
        <v>38500</v>
      </c>
    </row>
    <row r="121" spans="1:75" x14ac:dyDescent="0.25">
      <c r="A121">
        <v>332</v>
      </c>
      <c r="B121" s="1">
        <v>45128.792361111111</v>
      </c>
      <c r="C121" t="s">
        <v>296</v>
      </c>
      <c r="D121" t="s">
        <v>73</v>
      </c>
      <c r="E121" t="s">
        <v>178</v>
      </c>
      <c r="F121">
        <v>0</v>
      </c>
      <c r="G121" t="s">
        <v>258</v>
      </c>
      <c r="H121" t="s">
        <v>297</v>
      </c>
      <c r="I121" t="s">
        <v>260</v>
      </c>
      <c r="J121" t="s">
        <v>298</v>
      </c>
      <c r="K121" t="s">
        <v>84</v>
      </c>
      <c r="L121" t="s">
        <v>92</v>
      </c>
      <c r="M121" t="s">
        <v>299</v>
      </c>
      <c r="N121" t="s">
        <v>300</v>
      </c>
      <c r="O121" t="s">
        <v>82</v>
      </c>
      <c r="P121">
        <v>21500</v>
      </c>
      <c r="Q121" t="s">
        <v>83</v>
      </c>
      <c r="AE121" t="s">
        <v>84</v>
      </c>
      <c r="AG121" t="s">
        <v>84</v>
      </c>
      <c r="AH121" t="s">
        <v>84</v>
      </c>
      <c r="AJ121" t="s">
        <v>84</v>
      </c>
      <c r="AK121" t="s">
        <v>84</v>
      </c>
      <c r="AQ121" t="s">
        <v>84</v>
      </c>
      <c r="AT121" t="s">
        <v>84</v>
      </c>
      <c r="AU121" t="s">
        <v>84</v>
      </c>
      <c r="AV121" t="s">
        <v>84</v>
      </c>
      <c r="AX121" t="s">
        <v>84</v>
      </c>
      <c r="BA121" t="s">
        <v>84</v>
      </c>
      <c r="BB121" t="s">
        <v>84</v>
      </c>
      <c r="BG121" t="s">
        <v>84</v>
      </c>
      <c r="BJ121" t="s">
        <v>84</v>
      </c>
      <c r="BK121" t="s">
        <v>84</v>
      </c>
      <c r="BM121" t="s">
        <v>84</v>
      </c>
      <c r="BS121" t="s">
        <v>84</v>
      </c>
      <c r="BT121" t="s">
        <v>84</v>
      </c>
      <c r="BU121">
        <v>0</v>
      </c>
      <c r="BV121">
        <v>0</v>
      </c>
      <c r="BW121">
        <v>31766.666666666664</v>
      </c>
    </row>
    <row r="122" spans="1:75" x14ac:dyDescent="0.25">
      <c r="A122">
        <v>332</v>
      </c>
      <c r="B122" s="1">
        <v>45128.792361111111</v>
      </c>
      <c r="C122" t="s">
        <v>296</v>
      </c>
      <c r="D122" t="s">
        <v>73</v>
      </c>
      <c r="E122" t="s">
        <v>178</v>
      </c>
      <c r="F122">
        <v>1</v>
      </c>
      <c r="G122" t="s">
        <v>258</v>
      </c>
      <c r="H122" t="s">
        <v>297</v>
      </c>
      <c r="I122" t="s">
        <v>260</v>
      </c>
      <c r="J122" t="s">
        <v>298</v>
      </c>
      <c r="K122" t="s">
        <v>301</v>
      </c>
      <c r="L122" t="s">
        <v>92</v>
      </c>
      <c r="M122" t="s">
        <v>302</v>
      </c>
      <c r="N122" t="s">
        <v>303</v>
      </c>
      <c r="O122" t="s">
        <v>82</v>
      </c>
      <c r="P122">
        <v>40400</v>
      </c>
      <c r="Q122" t="s">
        <v>83</v>
      </c>
      <c r="R122">
        <v>31766.666669999999</v>
      </c>
      <c r="AB122">
        <v>40400</v>
      </c>
      <c r="AE122" t="s">
        <v>84</v>
      </c>
      <c r="AG122" t="s">
        <v>84</v>
      </c>
      <c r="AH122" t="s">
        <v>84</v>
      </c>
      <c r="AJ122" t="s">
        <v>84</v>
      </c>
      <c r="AK122" t="s">
        <v>84</v>
      </c>
      <c r="AQ122" t="s">
        <v>84</v>
      </c>
      <c r="AT122" t="s">
        <v>84</v>
      </c>
      <c r="AU122" t="s">
        <v>84</v>
      </c>
      <c r="AV122" t="s">
        <v>84</v>
      </c>
      <c r="AX122" t="s">
        <v>84</v>
      </c>
      <c r="BA122" t="s">
        <v>84</v>
      </c>
      <c r="BB122" t="s">
        <v>84</v>
      </c>
      <c r="BG122" t="s">
        <v>84</v>
      </c>
      <c r="BJ122" t="s">
        <v>84</v>
      </c>
      <c r="BK122" t="s">
        <v>84</v>
      </c>
      <c r="BM122" t="s">
        <v>84</v>
      </c>
      <c r="BS122" t="s">
        <v>84</v>
      </c>
      <c r="BT122" t="s">
        <v>84</v>
      </c>
      <c r="BU122">
        <v>0</v>
      </c>
      <c r="BV122">
        <v>0</v>
      </c>
      <c r="BW122">
        <v>31766.666666666664</v>
      </c>
    </row>
    <row r="123" spans="1:75" x14ac:dyDescent="0.25">
      <c r="A123">
        <v>332</v>
      </c>
      <c r="B123" s="1">
        <v>45128.792361111111</v>
      </c>
      <c r="C123" t="s">
        <v>296</v>
      </c>
      <c r="D123" t="s">
        <v>73</v>
      </c>
      <c r="E123" t="s">
        <v>178</v>
      </c>
      <c r="F123">
        <v>0</v>
      </c>
      <c r="G123" t="s">
        <v>258</v>
      </c>
      <c r="H123" t="s">
        <v>297</v>
      </c>
      <c r="I123" t="s">
        <v>260</v>
      </c>
      <c r="J123" t="s">
        <v>298</v>
      </c>
      <c r="K123" t="s">
        <v>84</v>
      </c>
      <c r="L123" t="s">
        <v>92</v>
      </c>
      <c r="M123" t="s">
        <v>304</v>
      </c>
      <c r="N123" t="s">
        <v>181</v>
      </c>
      <c r="O123" t="s">
        <v>82</v>
      </c>
      <c r="P123">
        <v>33400</v>
      </c>
      <c r="Q123" t="s">
        <v>83</v>
      </c>
      <c r="U123">
        <v>1</v>
      </c>
      <c r="V123">
        <v>1</v>
      </c>
      <c r="AE123" t="s">
        <v>84</v>
      </c>
      <c r="AG123" t="s">
        <v>84</v>
      </c>
      <c r="AH123" t="s">
        <v>84</v>
      </c>
      <c r="AJ123" t="s">
        <v>84</v>
      </c>
      <c r="AK123" t="s">
        <v>84</v>
      </c>
      <c r="AQ123" t="s">
        <v>84</v>
      </c>
      <c r="AT123" t="s">
        <v>84</v>
      </c>
      <c r="AU123" t="s">
        <v>84</v>
      </c>
      <c r="AV123" t="s">
        <v>84</v>
      </c>
      <c r="AX123" t="s">
        <v>84</v>
      </c>
      <c r="BA123" t="s">
        <v>84</v>
      </c>
      <c r="BB123" t="s">
        <v>84</v>
      </c>
      <c r="BG123" t="s">
        <v>84</v>
      </c>
      <c r="BJ123" t="s">
        <v>84</v>
      </c>
      <c r="BK123" t="s">
        <v>84</v>
      </c>
      <c r="BM123" t="s">
        <v>84</v>
      </c>
      <c r="BS123" t="s">
        <v>84</v>
      </c>
      <c r="BT123" t="s">
        <v>84</v>
      </c>
      <c r="BU123">
        <v>0</v>
      </c>
      <c r="BV123">
        <v>0</v>
      </c>
      <c r="BW123">
        <v>31766.666666666664</v>
      </c>
    </row>
    <row r="124" spans="1:75" x14ac:dyDescent="0.25">
      <c r="A124">
        <v>332</v>
      </c>
      <c r="B124" s="1">
        <v>45128.792361111111</v>
      </c>
      <c r="C124" t="s">
        <v>296</v>
      </c>
      <c r="D124" t="s">
        <v>73</v>
      </c>
      <c r="E124" t="s">
        <v>178</v>
      </c>
      <c r="F124">
        <v>0</v>
      </c>
      <c r="G124" t="s">
        <v>258</v>
      </c>
      <c r="H124" t="s">
        <v>297</v>
      </c>
      <c r="I124" t="s">
        <v>260</v>
      </c>
      <c r="J124" t="s">
        <v>298</v>
      </c>
      <c r="K124" t="s">
        <v>84</v>
      </c>
      <c r="L124" t="s">
        <v>80</v>
      </c>
      <c r="M124" t="s">
        <v>296</v>
      </c>
      <c r="N124" t="s">
        <v>305</v>
      </c>
      <c r="O124" t="s">
        <v>82</v>
      </c>
      <c r="P124">
        <v>804309.03</v>
      </c>
      <c r="Q124" t="s">
        <v>83</v>
      </c>
      <c r="W124">
        <v>1</v>
      </c>
      <c r="AE124" t="s">
        <v>84</v>
      </c>
      <c r="AG124" t="s">
        <v>84</v>
      </c>
      <c r="AH124" t="s">
        <v>84</v>
      </c>
      <c r="AJ124" t="s">
        <v>84</v>
      </c>
      <c r="AK124" t="s">
        <v>84</v>
      </c>
      <c r="AQ124" t="s">
        <v>84</v>
      </c>
      <c r="AT124" t="s">
        <v>84</v>
      </c>
      <c r="AU124" t="s">
        <v>84</v>
      </c>
      <c r="AV124" t="s">
        <v>84</v>
      </c>
      <c r="AX124" t="s">
        <v>84</v>
      </c>
      <c r="BA124" t="s">
        <v>84</v>
      </c>
      <c r="BB124" t="s">
        <v>84</v>
      </c>
      <c r="BG124" t="s">
        <v>84</v>
      </c>
      <c r="BJ124" t="s">
        <v>84</v>
      </c>
      <c r="BK124" t="s">
        <v>84</v>
      </c>
      <c r="BM124" t="s">
        <v>84</v>
      </c>
      <c r="BS124" t="s">
        <v>84</v>
      </c>
      <c r="BT124" t="s">
        <v>84</v>
      </c>
      <c r="BU124">
        <v>0</v>
      </c>
      <c r="BV124">
        <v>0</v>
      </c>
      <c r="BW124">
        <v>827429.73420000006</v>
      </c>
    </row>
    <row r="125" spans="1:75" x14ac:dyDescent="0.25">
      <c r="A125">
        <v>332</v>
      </c>
      <c r="B125" s="1">
        <v>45128.792361111111</v>
      </c>
      <c r="C125" t="s">
        <v>296</v>
      </c>
      <c r="D125" t="s">
        <v>73</v>
      </c>
      <c r="E125" t="s">
        <v>178</v>
      </c>
      <c r="F125">
        <v>1</v>
      </c>
      <c r="G125" t="s">
        <v>258</v>
      </c>
      <c r="H125" t="s">
        <v>297</v>
      </c>
      <c r="I125" t="s">
        <v>260</v>
      </c>
      <c r="J125" t="s">
        <v>298</v>
      </c>
      <c r="K125" t="s">
        <v>79</v>
      </c>
      <c r="L125" t="s">
        <v>80</v>
      </c>
      <c r="M125" t="s">
        <v>306</v>
      </c>
      <c r="N125" t="s">
        <v>307</v>
      </c>
      <c r="O125" t="s">
        <v>82</v>
      </c>
      <c r="P125">
        <v>746158.29760000005</v>
      </c>
      <c r="Q125" t="s">
        <v>83</v>
      </c>
      <c r="R125">
        <v>827429.73419999995</v>
      </c>
      <c r="S125">
        <v>1</v>
      </c>
      <c r="Z125">
        <v>34498.75</v>
      </c>
      <c r="AA125">
        <v>55250</v>
      </c>
      <c r="AE125" t="s">
        <v>84</v>
      </c>
      <c r="AG125" t="s">
        <v>84</v>
      </c>
      <c r="AH125" t="s">
        <v>84</v>
      </c>
      <c r="AI125">
        <v>5000</v>
      </c>
      <c r="AJ125" t="s">
        <v>84</v>
      </c>
      <c r="AK125" t="s">
        <v>84</v>
      </c>
      <c r="AL125">
        <v>0</v>
      </c>
      <c r="AN125">
        <v>0</v>
      </c>
      <c r="AP125">
        <v>53650</v>
      </c>
      <c r="AQ125" t="s">
        <v>84</v>
      </c>
      <c r="AR125">
        <v>2800</v>
      </c>
      <c r="AT125" t="s">
        <v>84</v>
      </c>
      <c r="AU125" t="s">
        <v>84</v>
      </c>
      <c r="AV125" t="s">
        <v>84</v>
      </c>
      <c r="AW125">
        <v>30260</v>
      </c>
      <c r="AX125" t="s">
        <v>84</v>
      </c>
      <c r="AY125">
        <v>3600</v>
      </c>
      <c r="BA125" t="s">
        <v>84</v>
      </c>
      <c r="BB125" t="s">
        <v>84</v>
      </c>
      <c r="BC125">
        <v>9400</v>
      </c>
      <c r="BD125">
        <v>159588</v>
      </c>
      <c r="BG125" t="s">
        <v>84</v>
      </c>
      <c r="BH125">
        <v>40000</v>
      </c>
      <c r="BI125">
        <v>161009.42000000001</v>
      </c>
      <c r="BJ125" t="s">
        <v>84</v>
      </c>
      <c r="BK125" t="s">
        <v>84</v>
      </c>
      <c r="BM125" t="s">
        <v>84</v>
      </c>
      <c r="BP125">
        <v>27880</v>
      </c>
      <c r="BQ125">
        <v>0</v>
      </c>
      <c r="BR125">
        <v>0</v>
      </c>
      <c r="BS125" t="s">
        <v>84</v>
      </c>
      <c r="BT125" t="s">
        <v>84</v>
      </c>
      <c r="BU125">
        <v>746158.29760000005</v>
      </c>
      <c r="BV125">
        <v>746158.29760000005</v>
      </c>
      <c r="BW125">
        <v>827429.73420000006</v>
      </c>
    </row>
    <row r="126" spans="1:75" x14ac:dyDescent="0.25">
      <c r="A126">
        <v>332</v>
      </c>
      <c r="B126" s="1">
        <v>45128.792361111111</v>
      </c>
      <c r="C126" t="s">
        <v>296</v>
      </c>
      <c r="D126" t="s">
        <v>73</v>
      </c>
      <c r="E126" t="s">
        <v>178</v>
      </c>
      <c r="F126">
        <v>0</v>
      </c>
      <c r="G126" t="s">
        <v>258</v>
      </c>
      <c r="H126" t="s">
        <v>297</v>
      </c>
      <c r="I126" t="s">
        <v>260</v>
      </c>
      <c r="J126" t="s">
        <v>298</v>
      </c>
      <c r="K126" t="s">
        <v>84</v>
      </c>
      <c r="L126" t="s">
        <v>80</v>
      </c>
      <c r="M126" t="s">
        <v>296</v>
      </c>
      <c r="N126" t="s">
        <v>308</v>
      </c>
      <c r="O126" t="s">
        <v>82</v>
      </c>
      <c r="P126">
        <v>931821.875</v>
      </c>
      <c r="Q126" t="s">
        <v>83</v>
      </c>
      <c r="S126">
        <v>1</v>
      </c>
      <c r="T126">
        <v>1</v>
      </c>
      <c r="AE126" t="s">
        <v>84</v>
      </c>
      <c r="AG126" t="s">
        <v>84</v>
      </c>
      <c r="AH126" t="s">
        <v>84</v>
      </c>
      <c r="AJ126" t="s">
        <v>84</v>
      </c>
      <c r="AK126" t="s">
        <v>84</v>
      </c>
      <c r="AQ126" t="s">
        <v>84</v>
      </c>
      <c r="AT126" t="s">
        <v>84</v>
      </c>
      <c r="AU126" t="s">
        <v>84</v>
      </c>
      <c r="AV126" t="s">
        <v>84</v>
      </c>
      <c r="AX126" t="s">
        <v>84</v>
      </c>
      <c r="BA126" t="s">
        <v>84</v>
      </c>
      <c r="BB126" t="s">
        <v>84</v>
      </c>
      <c r="BG126" t="s">
        <v>84</v>
      </c>
      <c r="BJ126" t="s">
        <v>84</v>
      </c>
      <c r="BK126" t="s">
        <v>84</v>
      </c>
      <c r="BM126" t="s">
        <v>84</v>
      </c>
      <c r="BS126" t="s">
        <v>84</v>
      </c>
      <c r="BT126" t="s">
        <v>84</v>
      </c>
      <c r="BU126">
        <v>931821.875</v>
      </c>
      <c r="BV126">
        <v>0</v>
      </c>
      <c r="BW126">
        <v>827429.73420000006</v>
      </c>
    </row>
    <row r="127" spans="1:75" x14ac:dyDescent="0.25">
      <c r="A127">
        <v>332</v>
      </c>
      <c r="B127" s="1">
        <v>45128.792361111111</v>
      </c>
      <c r="C127" t="s">
        <v>296</v>
      </c>
      <c r="D127" t="s">
        <v>73</v>
      </c>
      <c r="E127" t="s">
        <v>178</v>
      </c>
      <c r="F127">
        <v>0</v>
      </c>
      <c r="G127" t="s">
        <v>258</v>
      </c>
      <c r="H127" t="s">
        <v>297</v>
      </c>
      <c r="I127" t="s">
        <v>260</v>
      </c>
      <c r="J127" t="s">
        <v>298</v>
      </c>
      <c r="K127" t="s">
        <v>84</v>
      </c>
      <c r="L127" t="s">
        <v>106</v>
      </c>
      <c r="M127" t="s">
        <v>296</v>
      </c>
      <c r="N127" t="s">
        <v>309</v>
      </c>
      <c r="O127" t="s">
        <v>82</v>
      </c>
      <c r="P127">
        <v>11871.3925</v>
      </c>
      <c r="Q127" t="s">
        <v>83</v>
      </c>
      <c r="W127">
        <v>1</v>
      </c>
      <c r="AE127" t="s">
        <v>84</v>
      </c>
      <c r="AG127" t="s">
        <v>84</v>
      </c>
      <c r="AH127" t="s">
        <v>84</v>
      </c>
      <c r="AJ127" t="s">
        <v>84</v>
      </c>
      <c r="AK127" t="s">
        <v>84</v>
      </c>
      <c r="AQ127" t="s">
        <v>84</v>
      </c>
      <c r="AT127" t="s">
        <v>84</v>
      </c>
      <c r="AU127" t="s">
        <v>84</v>
      </c>
      <c r="AV127" t="s">
        <v>84</v>
      </c>
      <c r="AX127" t="s">
        <v>84</v>
      </c>
      <c r="BA127" t="s">
        <v>84</v>
      </c>
      <c r="BB127" t="s">
        <v>84</v>
      </c>
      <c r="BG127" t="s">
        <v>84</v>
      </c>
      <c r="BJ127" t="s">
        <v>84</v>
      </c>
      <c r="BK127" t="s">
        <v>84</v>
      </c>
      <c r="BM127" t="s">
        <v>84</v>
      </c>
      <c r="BS127" t="s">
        <v>84</v>
      </c>
      <c r="BT127" t="s">
        <v>84</v>
      </c>
      <c r="BU127">
        <v>0</v>
      </c>
      <c r="BV127">
        <v>0</v>
      </c>
      <c r="BW127">
        <v>7782.9699999999993</v>
      </c>
    </row>
    <row r="128" spans="1:75" x14ac:dyDescent="0.25">
      <c r="A128">
        <v>332</v>
      </c>
      <c r="B128" s="1">
        <v>45128.792361111111</v>
      </c>
      <c r="C128" t="s">
        <v>296</v>
      </c>
      <c r="D128" t="s">
        <v>73</v>
      </c>
      <c r="E128" t="s">
        <v>178</v>
      </c>
      <c r="F128">
        <v>1</v>
      </c>
      <c r="G128" t="s">
        <v>258</v>
      </c>
      <c r="H128" t="s">
        <v>297</v>
      </c>
      <c r="I128" t="s">
        <v>260</v>
      </c>
      <c r="J128" t="s">
        <v>298</v>
      </c>
      <c r="K128" t="s">
        <v>79</v>
      </c>
      <c r="L128" t="s">
        <v>106</v>
      </c>
      <c r="M128" t="s">
        <v>306</v>
      </c>
      <c r="N128" t="s">
        <v>310</v>
      </c>
      <c r="O128" t="s">
        <v>82</v>
      </c>
      <c r="P128">
        <v>5537.8824999999997</v>
      </c>
      <c r="Q128" t="s">
        <v>83</v>
      </c>
      <c r="R128">
        <v>7782.97</v>
      </c>
      <c r="S128">
        <v>1</v>
      </c>
      <c r="AE128" t="s">
        <v>84</v>
      </c>
      <c r="AF128">
        <v>2500</v>
      </c>
      <c r="AG128" t="s">
        <v>84</v>
      </c>
      <c r="AH128" t="s">
        <v>84</v>
      </c>
      <c r="AJ128" t="s">
        <v>84</v>
      </c>
      <c r="AK128" t="s">
        <v>84</v>
      </c>
      <c r="AQ128" t="s">
        <v>84</v>
      </c>
      <c r="AT128" t="s">
        <v>84</v>
      </c>
      <c r="AU128" t="s">
        <v>84</v>
      </c>
      <c r="AV128" t="s">
        <v>84</v>
      </c>
      <c r="AX128" t="s">
        <v>84</v>
      </c>
      <c r="BA128" t="s">
        <v>84</v>
      </c>
      <c r="BB128" t="s">
        <v>84</v>
      </c>
      <c r="BE128">
        <v>1015</v>
      </c>
      <c r="BG128" t="s">
        <v>84</v>
      </c>
      <c r="BJ128" t="s">
        <v>84</v>
      </c>
      <c r="BK128" t="s">
        <v>84</v>
      </c>
      <c r="BM128" t="s">
        <v>84</v>
      </c>
      <c r="BS128" t="s">
        <v>84</v>
      </c>
      <c r="BT128" t="s">
        <v>84</v>
      </c>
      <c r="BU128">
        <v>5537.8824999999997</v>
      </c>
      <c r="BV128">
        <v>5537.8824999999997</v>
      </c>
      <c r="BW128">
        <v>7782.9699999999993</v>
      </c>
    </row>
    <row r="129" spans="1:75" x14ac:dyDescent="0.25">
      <c r="A129">
        <v>332</v>
      </c>
      <c r="B129" s="1">
        <v>45128.792361111111</v>
      </c>
      <c r="C129" t="s">
        <v>296</v>
      </c>
      <c r="D129" t="s">
        <v>73</v>
      </c>
      <c r="E129" t="s">
        <v>178</v>
      </c>
      <c r="F129">
        <v>0</v>
      </c>
      <c r="G129" t="s">
        <v>258</v>
      </c>
      <c r="H129" t="s">
        <v>297</v>
      </c>
      <c r="I129" t="s">
        <v>260</v>
      </c>
      <c r="J129" t="s">
        <v>298</v>
      </c>
      <c r="K129" t="s">
        <v>84</v>
      </c>
      <c r="L129" t="s">
        <v>106</v>
      </c>
      <c r="M129" t="s">
        <v>296</v>
      </c>
      <c r="N129" t="s">
        <v>311</v>
      </c>
      <c r="O129" t="s">
        <v>82</v>
      </c>
      <c r="P129">
        <v>5939.6350000000002</v>
      </c>
      <c r="Q129" t="s">
        <v>83</v>
      </c>
      <c r="S129">
        <v>1</v>
      </c>
      <c r="T129">
        <v>1</v>
      </c>
      <c r="AE129" t="s">
        <v>84</v>
      </c>
      <c r="AG129" t="s">
        <v>84</v>
      </c>
      <c r="AH129" t="s">
        <v>84</v>
      </c>
      <c r="AJ129" t="s">
        <v>84</v>
      </c>
      <c r="AK129" t="s">
        <v>84</v>
      </c>
      <c r="AQ129" t="s">
        <v>84</v>
      </c>
      <c r="AT129" t="s">
        <v>84</v>
      </c>
      <c r="AU129" t="s">
        <v>84</v>
      </c>
      <c r="AV129" t="s">
        <v>84</v>
      </c>
      <c r="AX129" t="s">
        <v>84</v>
      </c>
      <c r="BA129" t="s">
        <v>84</v>
      </c>
      <c r="BB129" t="s">
        <v>84</v>
      </c>
      <c r="BG129" t="s">
        <v>84</v>
      </c>
      <c r="BJ129" t="s">
        <v>84</v>
      </c>
      <c r="BK129" t="s">
        <v>84</v>
      </c>
      <c r="BM129" t="s">
        <v>84</v>
      </c>
      <c r="BS129" t="s">
        <v>84</v>
      </c>
      <c r="BT129" t="s">
        <v>84</v>
      </c>
      <c r="BU129">
        <v>5939.6350000000002</v>
      </c>
      <c r="BV129">
        <v>0</v>
      </c>
      <c r="BW129">
        <v>7782.9699999999993</v>
      </c>
    </row>
    <row r="130" spans="1:75" x14ac:dyDescent="0.25">
      <c r="A130">
        <v>332</v>
      </c>
      <c r="B130" s="1">
        <v>45128.792361111111</v>
      </c>
      <c r="C130" t="s">
        <v>296</v>
      </c>
      <c r="D130" t="s">
        <v>73</v>
      </c>
      <c r="E130" t="s">
        <v>178</v>
      </c>
      <c r="F130">
        <v>0</v>
      </c>
      <c r="G130" t="s">
        <v>258</v>
      </c>
      <c r="H130" t="s">
        <v>297</v>
      </c>
      <c r="I130" t="s">
        <v>260</v>
      </c>
      <c r="J130" t="s">
        <v>298</v>
      </c>
      <c r="K130" t="s">
        <v>84</v>
      </c>
      <c r="L130" t="s">
        <v>110</v>
      </c>
      <c r="M130" t="s">
        <v>296</v>
      </c>
      <c r="N130" t="s">
        <v>312</v>
      </c>
      <c r="O130" t="s">
        <v>82</v>
      </c>
      <c r="P130">
        <v>6750</v>
      </c>
      <c r="Q130" t="s">
        <v>83</v>
      </c>
      <c r="W130">
        <v>1</v>
      </c>
      <c r="AE130" t="s">
        <v>84</v>
      </c>
      <c r="AG130" t="s">
        <v>84</v>
      </c>
      <c r="AH130" t="s">
        <v>84</v>
      </c>
      <c r="AJ130" t="s">
        <v>84</v>
      </c>
      <c r="AK130" t="s">
        <v>84</v>
      </c>
      <c r="AQ130" t="s">
        <v>84</v>
      </c>
      <c r="AT130" t="s">
        <v>84</v>
      </c>
      <c r="AU130" t="s">
        <v>84</v>
      </c>
      <c r="AV130" t="s">
        <v>84</v>
      </c>
      <c r="AX130" t="s">
        <v>84</v>
      </c>
      <c r="BA130" t="s">
        <v>84</v>
      </c>
      <c r="BB130" t="s">
        <v>84</v>
      </c>
      <c r="BG130" t="s">
        <v>84</v>
      </c>
      <c r="BJ130" t="s">
        <v>84</v>
      </c>
      <c r="BK130" t="s">
        <v>84</v>
      </c>
      <c r="BM130" t="s">
        <v>84</v>
      </c>
      <c r="BS130" t="s">
        <v>84</v>
      </c>
      <c r="BT130" t="s">
        <v>84</v>
      </c>
      <c r="BU130">
        <v>0</v>
      </c>
      <c r="BV130">
        <v>0</v>
      </c>
      <c r="BW130">
        <v>11750</v>
      </c>
    </row>
    <row r="131" spans="1:75" x14ac:dyDescent="0.25">
      <c r="A131">
        <v>332</v>
      </c>
      <c r="B131" s="1">
        <v>45128.792361111111</v>
      </c>
      <c r="C131" t="s">
        <v>296</v>
      </c>
      <c r="D131" t="s">
        <v>73</v>
      </c>
      <c r="E131" t="s">
        <v>178</v>
      </c>
      <c r="F131">
        <v>1</v>
      </c>
      <c r="G131" t="s">
        <v>258</v>
      </c>
      <c r="H131" t="s">
        <v>297</v>
      </c>
      <c r="I131" t="s">
        <v>260</v>
      </c>
      <c r="J131" t="s">
        <v>298</v>
      </c>
      <c r="K131" t="s">
        <v>79</v>
      </c>
      <c r="L131" t="s">
        <v>110</v>
      </c>
      <c r="M131" t="s">
        <v>306</v>
      </c>
      <c r="N131" t="s">
        <v>313</v>
      </c>
      <c r="O131" t="s">
        <v>82</v>
      </c>
      <c r="P131">
        <v>11214</v>
      </c>
      <c r="Q131" t="s">
        <v>83</v>
      </c>
      <c r="R131">
        <v>11750</v>
      </c>
      <c r="S131">
        <v>1</v>
      </c>
      <c r="Z131">
        <v>0</v>
      </c>
      <c r="AA131">
        <v>0</v>
      </c>
      <c r="AE131" t="s">
        <v>84</v>
      </c>
      <c r="AG131" t="s">
        <v>84</v>
      </c>
      <c r="AH131" t="s">
        <v>84</v>
      </c>
      <c r="AI131">
        <v>0</v>
      </c>
      <c r="AJ131" t="s">
        <v>84</v>
      </c>
      <c r="AK131" t="s">
        <v>84</v>
      </c>
      <c r="AL131">
        <v>0</v>
      </c>
      <c r="AN131">
        <v>0</v>
      </c>
      <c r="AP131">
        <v>0</v>
      </c>
      <c r="AQ131" t="s">
        <v>84</v>
      </c>
      <c r="AR131">
        <v>0</v>
      </c>
      <c r="AT131" t="s">
        <v>84</v>
      </c>
      <c r="AU131" t="s">
        <v>84</v>
      </c>
      <c r="AV131" t="s">
        <v>84</v>
      </c>
      <c r="AW131">
        <v>0</v>
      </c>
      <c r="AX131" t="s">
        <v>84</v>
      </c>
      <c r="AY131">
        <v>8900</v>
      </c>
      <c r="BA131" t="s">
        <v>84</v>
      </c>
      <c r="BB131" t="s">
        <v>84</v>
      </c>
      <c r="BC131">
        <v>0</v>
      </c>
      <c r="BD131">
        <v>0</v>
      </c>
      <c r="BG131" t="s">
        <v>84</v>
      </c>
      <c r="BH131">
        <v>0</v>
      </c>
      <c r="BI131">
        <v>0</v>
      </c>
      <c r="BJ131" t="s">
        <v>84</v>
      </c>
      <c r="BK131" t="s">
        <v>84</v>
      </c>
      <c r="BM131" t="s">
        <v>84</v>
      </c>
      <c r="BP131">
        <v>0</v>
      </c>
      <c r="BQ131">
        <v>0</v>
      </c>
      <c r="BR131">
        <v>0</v>
      </c>
      <c r="BS131" t="s">
        <v>84</v>
      </c>
      <c r="BT131" t="s">
        <v>84</v>
      </c>
      <c r="BU131">
        <v>11214</v>
      </c>
      <c r="BV131">
        <v>11214</v>
      </c>
      <c r="BW131">
        <v>11750</v>
      </c>
    </row>
    <row r="132" spans="1:75" x14ac:dyDescent="0.25">
      <c r="A132">
        <v>332</v>
      </c>
      <c r="B132" s="1">
        <v>45128.792361111111</v>
      </c>
      <c r="C132" t="s">
        <v>296</v>
      </c>
      <c r="D132" t="s">
        <v>73</v>
      </c>
      <c r="E132" t="s">
        <v>178</v>
      </c>
      <c r="F132">
        <v>0</v>
      </c>
      <c r="G132" t="s">
        <v>258</v>
      </c>
      <c r="H132" t="s">
        <v>297</v>
      </c>
      <c r="I132" t="s">
        <v>260</v>
      </c>
      <c r="J132" t="s">
        <v>298</v>
      </c>
      <c r="K132" t="s">
        <v>84</v>
      </c>
      <c r="L132" t="s">
        <v>110</v>
      </c>
      <c r="M132" t="s">
        <v>296</v>
      </c>
      <c r="N132" t="s">
        <v>314</v>
      </c>
      <c r="O132" t="s">
        <v>82</v>
      </c>
      <c r="P132">
        <v>17286</v>
      </c>
      <c r="Q132" t="s">
        <v>83</v>
      </c>
      <c r="S132">
        <v>1</v>
      </c>
      <c r="T132">
        <v>1</v>
      </c>
      <c r="AE132" t="s">
        <v>84</v>
      </c>
      <c r="AG132" t="s">
        <v>84</v>
      </c>
      <c r="AH132" t="s">
        <v>84</v>
      </c>
      <c r="AJ132" t="s">
        <v>84</v>
      </c>
      <c r="AK132" t="s">
        <v>84</v>
      </c>
      <c r="AQ132" t="s">
        <v>84</v>
      </c>
      <c r="AT132" t="s">
        <v>84</v>
      </c>
      <c r="AU132" t="s">
        <v>84</v>
      </c>
      <c r="AV132" t="s">
        <v>84</v>
      </c>
      <c r="AX132" t="s">
        <v>84</v>
      </c>
      <c r="BA132" t="s">
        <v>84</v>
      </c>
      <c r="BB132" t="s">
        <v>84</v>
      </c>
      <c r="BG132" t="s">
        <v>84</v>
      </c>
      <c r="BJ132" t="s">
        <v>84</v>
      </c>
      <c r="BK132" t="s">
        <v>84</v>
      </c>
      <c r="BM132" t="s">
        <v>84</v>
      </c>
      <c r="BS132" t="s">
        <v>84</v>
      </c>
      <c r="BT132" t="s">
        <v>84</v>
      </c>
      <c r="BU132">
        <v>17286</v>
      </c>
      <c r="BV132">
        <v>0</v>
      </c>
      <c r="BW132">
        <v>11750</v>
      </c>
    </row>
    <row r="133" spans="1:75" x14ac:dyDescent="0.25">
      <c r="A133">
        <v>332</v>
      </c>
      <c r="B133" s="1">
        <v>45128.792361111111</v>
      </c>
      <c r="C133" t="s">
        <v>296</v>
      </c>
      <c r="D133" t="s">
        <v>73</v>
      </c>
      <c r="E133" t="s">
        <v>178</v>
      </c>
      <c r="F133">
        <v>0</v>
      </c>
      <c r="G133" t="s">
        <v>258</v>
      </c>
      <c r="H133" t="s">
        <v>297</v>
      </c>
      <c r="I133" t="s">
        <v>260</v>
      </c>
      <c r="J133" t="s">
        <v>298</v>
      </c>
      <c r="K133" t="s">
        <v>84</v>
      </c>
      <c r="L133" t="s">
        <v>87</v>
      </c>
      <c r="M133" t="s">
        <v>296</v>
      </c>
      <c r="N133" t="s">
        <v>315</v>
      </c>
      <c r="O133" t="s">
        <v>82</v>
      </c>
      <c r="P133">
        <v>119193.9583</v>
      </c>
      <c r="Q133" t="s">
        <v>83</v>
      </c>
      <c r="V133">
        <v>1</v>
      </c>
      <c r="AE133" t="s">
        <v>84</v>
      </c>
      <c r="AG133" t="s">
        <v>84</v>
      </c>
      <c r="AH133" t="s">
        <v>84</v>
      </c>
      <c r="AJ133" t="s">
        <v>84</v>
      </c>
      <c r="AK133" t="s">
        <v>84</v>
      </c>
      <c r="AQ133" t="s">
        <v>84</v>
      </c>
      <c r="AT133" t="s">
        <v>84</v>
      </c>
      <c r="AU133" t="s">
        <v>84</v>
      </c>
      <c r="AV133" t="s">
        <v>84</v>
      </c>
      <c r="AX133" t="s">
        <v>84</v>
      </c>
      <c r="BA133" t="s">
        <v>84</v>
      </c>
      <c r="BB133" t="s">
        <v>84</v>
      </c>
      <c r="BG133" t="s">
        <v>84</v>
      </c>
      <c r="BJ133" t="s">
        <v>84</v>
      </c>
      <c r="BK133" t="s">
        <v>84</v>
      </c>
      <c r="BM133" t="s">
        <v>84</v>
      </c>
      <c r="BS133" t="s">
        <v>84</v>
      </c>
      <c r="BT133" t="s">
        <v>84</v>
      </c>
      <c r="BU133">
        <v>0</v>
      </c>
      <c r="BV133">
        <v>0</v>
      </c>
      <c r="BW133">
        <v>114895.93886666666</v>
      </c>
    </row>
    <row r="134" spans="1:75" x14ac:dyDescent="0.25">
      <c r="A134">
        <v>332</v>
      </c>
      <c r="B134" s="1">
        <v>45128.792361111111</v>
      </c>
      <c r="C134" t="s">
        <v>296</v>
      </c>
      <c r="D134" t="s">
        <v>73</v>
      </c>
      <c r="E134" t="s">
        <v>178</v>
      </c>
      <c r="F134">
        <v>1</v>
      </c>
      <c r="G134" t="s">
        <v>258</v>
      </c>
      <c r="H134" t="s">
        <v>297</v>
      </c>
      <c r="I134" t="s">
        <v>260</v>
      </c>
      <c r="J134" t="s">
        <v>298</v>
      </c>
      <c r="K134" t="s">
        <v>316</v>
      </c>
      <c r="L134" t="s">
        <v>87</v>
      </c>
      <c r="M134" t="s">
        <v>296</v>
      </c>
      <c r="N134" t="s">
        <v>317</v>
      </c>
      <c r="O134" t="s">
        <v>82</v>
      </c>
      <c r="P134">
        <v>130914.5833</v>
      </c>
      <c r="Q134" t="s">
        <v>83</v>
      </c>
      <c r="R134">
        <v>114895.93889999999</v>
      </c>
      <c r="U134">
        <v>1</v>
      </c>
      <c r="AE134" t="s">
        <v>84</v>
      </c>
      <c r="AG134" t="s">
        <v>84</v>
      </c>
      <c r="AH134" t="s">
        <v>84</v>
      </c>
      <c r="AJ134" t="s">
        <v>84</v>
      </c>
      <c r="AK134" t="s">
        <v>84</v>
      </c>
      <c r="AL134">
        <v>16850</v>
      </c>
      <c r="AM134">
        <v>22000</v>
      </c>
      <c r="AN134">
        <v>42100</v>
      </c>
      <c r="AO134">
        <v>14550</v>
      </c>
      <c r="AQ134" t="s">
        <v>84</v>
      </c>
      <c r="AT134" t="s">
        <v>84</v>
      </c>
      <c r="AU134" t="s">
        <v>84</v>
      </c>
      <c r="AV134" t="s">
        <v>84</v>
      </c>
      <c r="AX134" t="s">
        <v>84</v>
      </c>
      <c r="BA134" t="s">
        <v>84</v>
      </c>
      <c r="BB134" t="s">
        <v>84</v>
      </c>
      <c r="BG134" t="s">
        <v>84</v>
      </c>
      <c r="BJ134" t="s">
        <v>84</v>
      </c>
      <c r="BK134" t="s">
        <v>84</v>
      </c>
      <c r="BM134" t="s">
        <v>84</v>
      </c>
      <c r="BS134" t="s">
        <v>84</v>
      </c>
      <c r="BT134" t="s">
        <v>84</v>
      </c>
      <c r="BU134">
        <v>0</v>
      </c>
      <c r="BV134">
        <v>0</v>
      </c>
      <c r="BW134">
        <v>114895.93886666666</v>
      </c>
    </row>
    <row r="135" spans="1:75" x14ac:dyDescent="0.25">
      <c r="A135">
        <v>332</v>
      </c>
      <c r="B135" s="1">
        <v>45128.792361111111</v>
      </c>
      <c r="C135" t="s">
        <v>296</v>
      </c>
      <c r="D135" t="s">
        <v>73</v>
      </c>
      <c r="E135" t="s">
        <v>178</v>
      </c>
      <c r="F135">
        <v>0</v>
      </c>
      <c r="G135" t="s">
        <v>258</v>
      </c>
      <c r="H135" t="s">
        <v>297</v>
      </c>
      <c r="I135" t="s">
        <v>260</v>
      </c>
      <c r="J135" t="s">
        <v>298</v>
      </c>
      <c r="K135" t="s">
        <v>84</v>
      </c>
      <c r="L135" t="s">
        <v>87</v>
      </c>
      <c r="M135" t="s">
        <v>296</v>
      </c>
      <c r="N135" t="s">
        <v>318</v>
      </c>
      <c r="O135" t="s">
        <v>82</v>
      </c>
      <c r="P135">
        <v>94579.274999999994</v>
      </c>
      <c r="Q135" t="s">
        <v>83</v>
      </c>
      <c r="W135">
        <v>1</v>
      </c>
      <c r="X135">
        <v>1</v>
      </c>
      <c r="AE135" t="s">
        <v>84</v>
      </c>
      <c r="AG135" t="s">
        <v>84</v>
      </c>
      <c r="AH135" t="s">
        <v>84</v>
      </c>
      <c r="AJ135" t="s">
        <v>84</v>
      </c>
      <c r="AK135" t="s">
        <v>84</v>
      </c>
      <c r="AQ135" t="s">
        <v>84</v>
      </c>
      <c r="AT135" t="s">
        <v>84</v>
      </c>
      <c r="AU135" t="s">
        <v>84</v>
      </c>
      <c r="AV135" t="s">
        <v>84</v>
      </c>
      <c r="AX135" t="s">
        <v>84</v>
      </c>
      <c r="BA135" t="s">
        <v>84</v>
      </c>
      <c r="BB135" t="s">
        <v>84</v>
      </c>
      <c r="BG135" t="s">
        <v>84</v>
      </c>
      <c r="BJ135" t="s">
        <v>84</v>
      </c>
      <c r="BK135" t="s">
        <v>84</v>
      </c>
      <c r="BM135" t="s">
        <v>84</v>
      </c>
      <c r="BS135" t="s">
        <v>84</v>
      </c>
      <c r="BT135" t="s">
        <v>84</v>
      </c>
      <c r="BU135">
        <v>0</v>
      </c>
      <c r="BV135">
        <v>0</v>
      </c>
      <c r="BW135">
        <v>114895.93886666666</v>
      </c>
    </row>
    <row r="136" spans="1:75" x14ac:dyDescent="0.25">
      <c r="A136">
        <v>332</v>
      </c>
      <c r="B136" s="1">
        <v>45128.792361111111</v>
      </c>
      <c r="C136" t="s">
        <v>296</v>
      </c>
      <c r="D136" t="s">
        <v>73</v>
      </c>
      <c r="E136" t="s">
        <v>178</v>
      </c>
      <c r="F136">
        <v>0</v>
      </c>
      <c r="G136" t="s">
        <v>258</v>
      </c>
      <c r="H136" t="s">
        <v>297</v>
      </c>
      <c r="I136" t="s">
        <v>260</v>
      </c>
      <c r="J136" t="s">
        <v>298</v>
      </c>
      <c r="K136" t="s">
        <v>84</v>
      </c>
      <c r="L136" t="s">
        <v>98</v>
      </c>
      <c r="M136" t="s">
        <v>319</v>
      </c>
      <c r="N136" t="s">
        <v>320</v>
      </c>
      <c r="O136" t="s">
        <v>82</v>
      </c>
      <c r="P136">
        <v>29850</v>
      </c>
      <c r="Q136" t="s">
        <v>83</v>
      </c>
      <c r="AE136" t="s">
        <v>84</v>
      </c>
      <c r="AG136" t="s">
        <v>84</v>
      </c>
      <c r="AH136" t="s">
        <v>84</v>
      </c>
      <c r="AJ136" t="s">
        <v>84</v>
      </c>
      <c r="AK136" t="s">
        <v>84</v>
      </c>
      <c r="AQ136" t="s">
        <v>84</v>
      </c>
      <c r="AT136" t="s">
        <v>84</v>
      </c>
      <c r="AU136" t="s">
        <v>84</v>
      </c>
      <c r="AV136" t="s">
        <v>84</v>
      </c>
      <c r="AX136" t="s">
        <v>84</v>
      </c>
      <c r="BA136" t="s">
        <v>84</v>
      </c>
      <c r="BB136" t="s">
        <v>84</v>
      </c>
      <c r="BG136" t="s">
        <v>84</v>
      </c>
      <c r="BJ136" t="s">
        <v>84</v>
      </c>
      <c r="BK136" t="s">
        <v>84</v>
      </c>
      <c r="BM136" t="s">
        <v>84</v>
      </c>
      <c r="BS136" t="s">
        <v>84</v>
      </c>
      <c r="BT136" t="s">
        <v>84</v>
      </c>
      <c r="BU136">
        <v>0</v>
      </c>
      <c r="BV136">
        <v>0</v>
      </c>
      <c r="BW136">
        <v>36283.333333333336</v>
      </c>
    </row>
    <row r="137" spans="1:75" x14ac:dyDescent="0.25">
      <c r="A137">
        <v>332</v>
      </c>
      <c r="B137" s="1">
        <v>45128.792361111111</v>
      </c>
      <c r="C137" t="s">
        <v>296</v>
      </c>
      <c r="D137" t="s">
        <v>73</v>
      </c>
      <c r="E137" t="s">
        <v>178</v>
      </c>
      <c r="F137">
        <v>1</v>
      </c>
      <c r="G137" t="s">
        <v>258</v>
      </c>
      <c r="H137" t="s">
        <v>297</v>
      </c>
      <c r="I137" t="s">
        <v>260</v>
      </c>
      <c r="J137" t="s">
        <v>298</v>
      </c>
      <c r="K137" t="s">
        <v>158</v>
      </c>
      <c r="L137" t="s">
        <v>98</v>
      </c>
      <c r="M137" t="s">
        <v>321</v>
      </c>
      <c r="N137" t="s">
        <v>322</v>
      </c>
      <c r="O137" t="s">
        <v>82</v>
      </c>
      <c r="P137">
        <v>62100</v>
      </c>
      <c r="Q137" t="s">
        <v>83</v>
      </c>
      <c r="R137">
        <v>36283.333330000001</v>
      </c>
      <c r="U137">
        <v>1</v>
      </c>
      <c r="W137">
        <v>1</v>
      </c>
      <c r="AE137" t="s">
        <v>84</v>
      </c>
      <c r="AG137" t="s">
        <v>84</v>
      </c>
      <c r="AH137" t="s">
        <v>84</v>
      </c>
      <c r="AJ137" t="s">
        <v>84</v>
      </c>
      <c r="AK137" t="s">
        <v>84</v>
      </c>
      <c r="AQ137" t="s">
        <v>84</v>
      </c>
      <c r="AS137">
        <v>62100</v>
      </c>
      <c r="AT137" t="s">
        <v>84</v>
      </c>
      <c r="AU137" t="s">
        <v>84</v>
      </c>
      <c r="AV137" t="s">
        <v>84</v>
      </c>
      <c r="AX137" t="s">
        <v>84</v>
      </c>
      <c r="BA137" t="s">
        <v>84</v>
      </c>
      <c r="BB137" t="s">
        <v>84</v>
      </c>
      <c r="BG137" t="s">
        <v>84</v>
      </c>
      <c r="BJ137" t="s">
        <v>84</v>
      </c>
      <c r="BK137" t="s">
        <v>84</v>
      </c>
      <c r="BM137" t="s">
        <v>84</v>
      </c>
      <c r="BS137" t="s">
        <v>84</v>
      </c>
      <c r="BT137" t="s">
        <v>84</v>
      </c>
      <c r="BU137">
        <v>0</v>
      </c>
      <c r="BV137">
        <v>0</v>
      </c>
      <c r="BW137">
        <v>36283.333333333336</v>
      </c>
    </row>
    <row r="138" spans="1:75" x14ac:dyDescent="0.25">
      <c r="A138">
        <v>332</v>
      </c>
      <c r="B138" s="1">
        <v>45128.792361111111</v>
      </c>
      <c r="C138" t="s">
        <v>296</v>
      </c>
      <c r="D138" t="s">
        <v>73</v>
      </c>
      <c r="E138" t="s">
        <v>178</v>
      </c>
      <c r="F138">
        <v>0</v>
      </c>
      <c r="G138" t="s">
        <v>258</v>
      </c>
      <c r="H138" t="s">
        <v>297</v>
      </c>
      <c r="I138" t="s">
        <v>260</v>
      </c>
      <c r="J138" t="s">
        <v>298</v>
      </c>
      <c r="K138" t="s">
        <v>84</v>
      </c>
      <c r="L138" t="s">
        <v>98</v>
      </c>
      <c r="M138" t="s">
        <v>323</v>
      </c>
      <c r="N138" t="s">
        <v>324</v>
      </c>
      <c r="O138" t="s">
        <v>82</v>
      </c>
      <c r="P138">
        <v>16900</v>
      </c>
      <c r="Q138" t="s">
        <v>83</v>
      </c>
      <c r="AE138" t="s">
        <v>84</v>
      </c>
      <c r="AG138" t="s">
        <v>84</v>
      </c>
      <c r="AH138" t="s">
        <v>84</v>
      </c>
      <c r="AJ138" t="s">
        <v>84</v>
      </c>
      <c r="AK138" t="s">
        <v>84</v>
      </c>
      <c r="AQ138" t="s">
        <v>84</v>
      </c>
      <c r="AT138" t="s">
        <v>84</v>
      </c>
      <c r="AU138" t="s">
        <v>84</v>
      </c>
      <c r="AV138" t="s">
        <v>84</v>
      </c>
      <c r="AX138" t="s">
        <v>84</v>
      </c>
      <c r="BA138" t="s">
        <v>84</v>
      </c>
      <c r="BB138" t="s">
        <v>84</v>
      </c>
      <c r="BG138" t="s">
        <v>84</v>
      </c>
      <c r="BJ138" t="s">
        <v>84</v>
      </c>
      <c r="BK138" t="s">
        <v>84</v>
      </c>
      <c r="BM138" t="s">
        <v>84</v>
      </c>
      <c r="BS138" t="s">
        <v>84</v>
      </c>
      <c r="BT138" t="s">
        <v>84</v>
      </c>
      <c r="BU138">
        <v>0</v>
      </c>
      <c r="BV138">
        <v>0</v>
      </c>
      <c r="BW138">
        <v>36283.333333333336</v>
      </c>
    </row>
    <row r="139" spans="1:75" x14ac:dyDescent="0.25">
      <c r="A139">
        <v>332</v>
      </c>
      <c r="B139" s="1">
        <v>45128.792361111111</v>
      </c>
      <c r="C139" t="s">
        <v>296</v>
      </c>
      <c r="D139" t="s">
        <v>73</v>
      </c>
      <c r="E139" t="s">
        <v>178</v>
      </c>
      <c r="F139">
        <v>0</v>
      </c>
      <c r="G139" t="s">
        <v>258</v>
      </c>
      <c r="H139" t="s">
        <v>297</v>
      </c>
      <c r="I139" t="s">
        <v>260</v>
      </c>
      <c r="J139" t="s">
        <v>298</v>
      </c>
      <c r="K139" t="s">
        <v>84</v>
      </c>
      <c r="L139" t="s">
        <v>121</v>
      </c>
      <c r="M139" t="s">
        <v>296</v>
      </c>
      <c r="N139" t="s">
        <v>325</v>
      </c>
      <c r="O139" t="s">
        <v>82</v>
      </c>
      <c r="P139">
        <v>192655.61499999999</v>
      </c>
      <c r="Q139" t="s">
        <v>83</v>
      </c>
      <c r="W139">
        <v>1</v>
      </c>
      <c r="AE139" t="s">
        <v>84</v>
      </c>
      <c r="AG139" t="s">
        <v>84</v>
      </c>
      <c r="AH139" t="s">
        <v>84</v>
      </c>
      <c r="AJ139" t="s">
        <v>84</v>
      </c>
      <c r="AK139" t="s">
        <v>84</v>
      </c>
      <c r="AQ139" t="s">
        <v>84</v>
      </c>
      <c r="AT139" t="s">
        <v>84</v>
      </c>
      <c r="AU139" t="s">
        <v>84</v>
      </c>
      <c r="AV139" t="s">
        <v>84</v>
      </c>
      <c r="AX139" t="s">
        <v>84</v>
      </c>
      <c r="BA139" t="s">
        <v>84</v>
      </c>
      <c r="BB139" t="s">
        <v>84</v>
      </c>
      <c r="BG139" t="s">
        <v>84</v>
      </c>
      <c r="BJ139" t="s">
        <v>84</v>
      </c>
      <c r="BK139" t="s">
        <v>84</v>
      </c>
      <c r="BM139" t="s">
        <v>84</v>
      </c>
      <c r="BS139" t="s">
        <v>84</v>
      </c>
      <c r="BT139" t="s">
        <v>84</v>
      </c>
      <c r="BU139">
        <v>0</v>
      </c>
      <c r="BV139">
        <v>0</v>
      </c>
      <c r="BW139">
        <v>158633.04393333333</v>
      </c>
    </row>
    <row r="140" spans="1:75" x14ac:dyDescent="0.25">
      <c r="A140">
        <v>332</v>
      </c>
      <c r="B140" s="1">
        <v>45128.792361111111</v>
      </c>
      <c r="C140" t="s">
        <v>296</v>
      </c>
      <c r="D140" t="s">
        <v>73</v>
      </c>
      <c r="E140" t="s">
        <v>178</v>
      </c>
      <c r="F140">
        <v>1</v>
      </c>
      <c r="G140" t="s">
        <v>258</v>
      </c>
      <c r="H140" t="s">
        <v>297</v>
      </c>
      <c r="I140" t="s">
        <v>260</v>
      </c>
      <c r="J140" t="s">
        <v>298</v>
      </c>
      <c r="K140" t="s">
        <v>326</v>
      </c>
      <c r="L140" t="s">
        <v>121</v>
      </c>
      <c r="M140" t="s">
        <v>327</v>
      </c>
      <c r="N140" t="s">
        <v>328</v>
      </c>
      <c r="O140" t="s">
        <v>82</v>
      </c>
      <c r="P140">
        <v>139549.23199999999</v>
      </c>
      <c r="Q140" t="s">
        <v>83</v>
      </c>
      <c r="R140">
        <v>158633.04389999999</v>
      </c>
      <c r="T140">
        <v>1</v>
      </c>
      <c r="X140">
        <v>1</v>
      </c>
      <c r="AA140">
        <v>0</v>
      </c>
      <c r="AD140">
        <v>5329</v>
      </c>
      <c r="AE140" t="s">
        <v>84</v>
      </c>
      <c r="AG140" t="s">
        <v>84</v>
      </c>
      <c r="AH140" t="s">
        <v>84</v>
      </c>
      <c r="AJ140" t="s">
        <v>84</v>
      </c>
      <c r="AK140" t="s">
        <v>84</v>
      </c>
      <c r="AP140">
        <v>3352</v>
      </c>
      <c r="AQ140" t="s">
        <v>84</v>
      </c>
      <c r="AR140">
        <v>1370</v>
      </c>
      <c r="AT140" t="s">
        <v>84</v>
      </c>
      <c r="AU140" t="s">
        <v>84</v>
      </c>
      <c r="AV140" t="s">
        <v>84</v>
      </c>
      <c r="AX140" t="s">
        <v>84</v>
      </c>
      <c r="AY140">
        <v>0</v>
      </c>
      <c r="BA140" t="s">
        <v>84</v>
      </c>
      <c r="BB140" t="s">
        <v>84</v>
      </c>
      <c r="BC140">
        <v>11385</v>
      </c>
      <c r="BF140">
        <v>6936</v>
      </c>
      <c r="BG140" t="s">
        <v>84</v>
      </c>
      <c r="BH140">
        <v>7416</v>
      </c>
      <c r="BI140">
        <v>32890</v>
      </c>
      <c r="BJ140" t="s">
        <v>84</v>
      </c>
      <c r="BK140" t="s">
        <v>84</v>
      </c>
      <c r="BL140">
        <v>19794</v>
      </c>
      <c r="BM140" t="s">
        <v>84</v>
      </c>
      <c r="BO140">
        <v>6228</v>
      </c>
      <c r="BQ140">
        <v>4408</v>
      </c>
      <c r="BR140">
        <v>3792</v>
      </c>
      <c r="BS140" t="s">
        <v>84</v>
      </c>
      <c r="BT140" t="s">
        <v>84</v>
      </c>
      <c r="BU140">
        <v>0</v>
      </c>
      <c r="BV140">
        <v>0</v>
      </c>
      <c r="BW140">
        <v>158633.04393333333</v>
      </c>
    </row>
    <row r="141" spans="1:75" x14ac:dyDescent="0.25">
      <c r="A141">
        <v>332</v>
      </c>
      <c r="B141" s="1">
        <v>45128.792361111111</v>
      </c>
      <c r="C141" t="s">
        <v>296</v>
      </c>
      <c r="D141" t="s">
        <v>73</v>
      </c>
      <c r="E141" t="s">
        <v>178</v>
      </c>
      <c r="F141">
        <v>0</v>
      </c>
      <c r="G141" t="s">
        <v>258</v>
      </c>
      <c r="H141" t="s">
        <v>297</v>
      </c>
      <c r="I141" t="s">
        <v>260</v>
      </c>
      <c r="J141" t="s">
        <v>298</v>
      </c>
      <c r="K141" t="s">
        <v>84</v>
      </c>
      <c r="L141" t="s">
        <v>121</v>
      </c>
      <c r="M141" t="s">
        <v>329</v>
      </c>
      <c r="N141" t="s">
        <v>330</v>
      </c>
      <c r="O141" t="s">
        <v>82</v>
      </c>
      <c r="P141">
        <v>143694.28479999999</v>
      </c>
      <c r="Q141" t="s">
        <v>83</v>
      </c>
      <c r="T141">
        <v>1</v>
      </c>
      <c r="AE141" t="s">
        <v>84</v>
      </c>
      <c r="AG141" t="s">
        <v>84</v>
      </c>
      <c r="AH141" t="s">
        <v>84</v>
      </c>
      <c r="AJ141" t="s">
        <v>84</v>
      </c>
      <c r="AK141" t="s">
        <v>84</v>
      </c>
      <c r="AQ141" t="s">
        <v>84</v>
      </c>
      <c r="AT141" t="s">
        <v>84</v>
      </c>
      <c r="AU141" t="s">
        <v>84</v>
      </c>
      <c r="AV141" t="s">
        <v>84</v>
      </c>
      <c r="AX141" t="s">
        <v>84</v>
      </c>
      <c r="BA141" t="s">
        <v>84</v>
      </c>
      <c r="BB141" t="s">
        <v>84</v>
      </c>
      <c r="BG141" t="s">
        <v>84</v>
      </c>
      <c r="BJ141" t="s">
        <v>84</v>
      </c>
      <c r="BK141" t="s">
        <v>84</v>
      </c>
      <c r="BM141" t="s">
        <v>84</v>
      </c>
      <c r="BS141" t="s">
        <v>84</v>
      </c>
      <c r="BT141" t="s">
        <v>84</v>
      </c>
      <c r="BU141">
        <v>0</v>
      </c>
      <c r="BV141">
        <v>0</v>
      </c>
      <c r="BW141">
        <v>158633.04393333333</v>
      </c>
    </row>
    <row r="142" spans="1:75" x14ac:dyDescent="0.25">
      <c r="A142">
        <v>332</v>
      </c>
      <c r="B142" s="1">
        <v>45128.792361111111</v>
      </c>
      <c r="C142" t="s">
        <v>296</v>
      </c>
      <c r="D142" t="s">
        <v>73</v>
      </c>
      <c r="E142" t="s">
        <v>178</v>
      </c>
      <c r="F142">
        <v>0</v>
      </c>
      <c r="G142" t="s">
        <v>258</v>
      </c>
      <c r="H142" t="s">
        <v>297</v>
      </c>
      <c r="I142" t="s">
        <v>260</v>
      </c>
      <c r="J142" t="s">
        <v>298</v>
      </c>
      <c r="K142" t="s">
        <v>84</v>
      </c>
      <c r="L142" t="s">
        <v>114</v>
      </c>
      <c r="M142" t="s">
        <v>296</v>
      </c>
      <c r="N142" t="s">
        <v>331</v>
      </c>
      <c r="O142" t="s">
        <v>82</v>
      </c>
      <c r="P142">
        <v>38300</v>
      </c>
      <c r="Q142" t="s">
        <v>83</v>
      </c>
      <c r="W142">
        <v>1</v>
      </c>
      <c r="AE142" t="s">
        <v>84</v>
      </c>
      <c r="AG142" t="s">
        <v>84</v>
      </c>
      <c r="AH142" t="s">
        <v>84</v>
      </c>
      <c r="AJ142" t="s">
        <v>84</v>
      </c>
      <c r="AK142" t="s">
        <v>84</v>
      </c>
      <c r="AQ142" t="s">
        <v>84</v>
      </c>
      <c r="AT142" t="s">
        <v>84</v>
      </c>
      <c r="AU142" t="s">
        <v>84</v>
      </c>
      <c r="AV142" t="s">
        <v>84</v>
      </c>
      <c r="AX142" t="s">
        <v>84</v>
      </c>
      <c r="BA142" t="s">
        <v>84</v>
      </c>
      <c r="BB142" t="s">
        <v>84</v>
      </c>
      <c r="BG142" t="s">
        <v>84</v>
      </c>
      <c r="BJ142" t="s">
        <v>84</v>
      </c>
      <c r="BK142" t="s">
        <v>84</v>
      </c>
      <c r="BM142" t="s">
        <v>84</v>
      </c>
      <c r="BS142" t="s">
        <v>84</v>
      </c>
      <c r="BT142" t="s">
        <v>84</v>
      </c>
      <c r="BU142">
        <v>0</v>
      </c>
      <c r="BV142">
        <v>0</v>
      </c>
      <c r="BW142">
        <v>29616.666666666664</v>
      </c>
    </row>
    <row r="143" spans="1:75" x14ac:dyDescent="0.25">
      <c r="A143">
        <v>332</v>
      </c>
      <c r="B143" s="1">
        <v>45128.792361111111</v>
      </c>
      <c r="C143" t="s">
        <v>296</v>
      </c>
      <c r="D143" t="s">
        <v>73</v>
      </c>
      <c r="E143" t="s">
        <v>178</v>
      </c>
      <c r="F143">
        <v>1</v>
      </c>
      <c r="G143" t="s">
        <v>258</v>
      </c>
      <c r="H143" t="s">
        <v>297</v>
      </c>
      <c r="I143" t="s">
        <v>260</v>
      </c>
      <c r="J143" t="s">
        <v>298</v>
      </c>
      <c r="K143" t="s">
        <v>326</v>
      </c>
      <c r="L143" t="s">
        <v>114</v>
      </c>
      <c r="M143" t="s">
        <v>327</v>
      </c>
      <c r="N143" t="s">
        <v>332</v>
      </c>
      <c r="O143" t="s">
        <v>82</v>
      </c>
      <c r="P143">
        <v>23000</v>
      </c>
      <c r="Q143" t="s">
        <v>83</v>
      </c>
      <c r="R143">
        <v>29616.666669999999</v>
      </c>
      <c r="T143">
        <v>1</v>
      </c>
      <c r="X143">
        <v>1</v>
      </c>
      <c r="AE143" t="s">
        <v>84</v>
      </c>
      <c r="AG143" t="s">
        <v>84</v>
      </c>
      <c r="AH143" t="s">
        <v>84</v>
      </c>
      <c r="AJ143" t="s">
        <v>84</v>
      </c>
      <c r="AK143" t="s">
        <v>84</v>
      </c>
      <c r="AQ143" t="s">
        <v>84</v>
      </c>
      <c r="AT143" t="s">
        <v>84</v>
      </c>
      <c r="AU143" t="s">
        <v>84</v>
      </c>
      <c r="AV143" t="s">
        <v>84</v>
      </c>
      <c r="AX143" t="s">
        <v>84</v>
      </c>
      <c r="BA143" t="s">
        <v>84</v>
      </c>
      <c r="BB143" t="s">
        <v>84</v>
      </c>
      <c r="BG143" t="s">
        <v>84</v>
      </c>
      <c r="BJ143" t="s">
        <v>84</v>
      </c>
      <c r="BK143" t="s">
        <v>84</v>
      </c>
      <c r="BM143" t="s">
        <v>84</v>
      </c>
      <c r="BN143">
        <v>23000</v>
      </c>
      <c r="BS143" t="s">
        <v>84</v>
      </c>
      <c r="BT143" t="s">
        <v>84</v>
      </c>
      <c r="BU143">
        <v>0</v>
      </c>
      <c r="BV143">
        <v>0</v>
      </c>
      <c r="BW143">
        <v>29616.666666666664</v>
      </c>
    </row>
    <row r="144" spans="1:75" x14ac:dyDescent="0.25">
      <c r="A144">
        <v>332</v>
      </c>
      <c r="B144" s="1">
        <v>45128.792361111111</v>
      </c>
      <c r="C144" t="s">
        <v>296</v>
      </c>
      <c r="D144" t="s">
        <v>73</v>
      </c>
      <c r="E144" t="s">
        <v>178</v>
      </c>
      <c r="F144">
        <v>0</v>
      </c>
      <c r="G144" t="s">
        <v>258</v>
      </c>
      <c r="H144" t="s">
        <v>297</v>
      </c>
      <c r="I144" t="s">
        <v>260</v>
      </c>
      <c r="J144" t="s">
        <v>298</v>
      </c>
      <c r="K144" t="s">
        <v>84</v>
      </c>
      <c r="L144" t="s">
        <v>114</v>
      </c>
      <c r="M144" t="s">
        <v>329</v>
      </c>
      <c r="N144" t="s">
        <v>333</v>
      </c>
      <c r="O144" t="s">
        <v>82</v>
      </c>
      <c r="P144">
        <v>27550</v>
      </c>
      <c r="Q144" t="s">
        <v>83</v>
      </c>
      <c r="T144">
        <v>1</v>
      </c>
      <c r="AE144" t="s">
        <v>84</v>
      </c>
      <c r="AG144" t="s">
        <v>84</v>
      </c>
      <c r="AH144" t="s">
        <v>84</v>
      </c>
      <c r="AJ144" t="s">
        <v>84</v>
      </c>
      <c r="AK144" t="s">
        <v>84</v>
      </c>
      <c r="AQ144" t="s">
        <v>84</v>
      </c>
      <c r="AT144" t="s">
        <v>84</v>
      </c>
      <c r="AU144" t="s">
        <v>84</v>
      </c>
      <c r="AV144" t="s">
        <v>84</v>
      </c>
      <c r="AX144" t="s">
        <v>84</v>
      </c>
      <c r="BA144" t="s">
        <v>84</v>
      </c>
      <c r="BB144" t="s">
        <v>84</v>
      </c>
      <c r="BG144" t="s">
        <v>84</v>
      </c>
      <c r="BJ144" t="s">
        <v>84</v>
      </c>
      <c r="BK144" t="s">
        <v>84</v>
      </c>
      <c r="BM144" t="s">
        <v>84</v>
      </c>
      <c r="BS144" t="s">
        <v>84</v>
      </c>
      <c r="BT144" t="s">
        <v>84</v>
      </c>
      <c r="BU144">
        <v>0</v>
      </c>
      <c r="BV144">
        <v>0</v>
      </c>
      <c r="BW144">
        <v>29616.666666666664</v>
      </c>
    </row>
    <row r="145" spans="1:75" x14ac:dyDescent="0.25">
      <c r="A145">
        <v>332</v>
      </c>
      <c r="B145" s="1">
        <v>45128.792361111111</v>
      </c>
      <c r="C145" t="s">
        <v>296</v>
      </c>
      <c r="D145" t="s">
        <v>73</v>
      </c>
      <c r="E145" t="s">
        <v>178</v>
      </c>
      <c r="F145">
        <v>0</v>
      </c>
      <c r="G145" t="s">
        <v>258</v>
      </c>
      <c r="H145" t="s">
        <v>297</v>
      </c>
      <c r="I145" t="s">
        <v>260</v>
      </c>
      <c r="J145" t="s">
        <v>298</v>
      </c>
      <c r="K145" t="s">
        <v>84</v>
      </c>
      <c r="L145" t="s">
        <v>185</v>
      </c>
      <c r="M145" t="s">
        <v>296</v>
      </c>
      <c r="N145" t="s">
        <v>334</v>
      </c>
      <c r="O145" t="s">
        <v>82</v>
      </c>
      <c r="P145">
        <v>17251.724999999999</v>
      </c>
      <c r="Q145" t="s">
        <v>83</v>
      </c>
      <c r="W145">
        <v>1</v>
      </c>
      <c r="AE145" t="s">
        <v>84</v>
      </c>
      <c r="AG145" t="s">
        <v>84</v>
      </c>
      <c r="AH145" t="s">
        <v>84</v>
      </c>
      <c r="AJ145" t="s">
        <v>84</v>
      </c>
      <c r="AK145" t="s">
        <v>84</v>
      </c>
      <c r="AQ145" t="s">
        <v>84</v>
      </c>
      <c r="AT145" t="s">
        <v>84</v>
      </c>
      <c r="AU145" t="s">
        <v>84</v>
      </c>
      <c r="AV145" t="s">
        <v>84</v>
      </c>
      <c r="AX145" t="s">
        <v>84</v>
      </c>
      <c r="BA145" t="s">
        <v>84</v>
      </c>
      <c r="BB145" t="s">
        <v>84</v>
      </c>
      <c r="BG145" t="s">
        <v>84</v>
      </c>
      <c r="BJ145" t="s">
        <v>84</v>
      </c>
      <c r="BK145" t="s">
        <v>84</v>
      </c>
      <c r="BM145" t="s">
        <v>84</v>
      </c>
      <c r="BS145" t="s">
        <v>84</v>
      </c>
      <c r="BT145" t="s">
        <v>84</v>
      </c>
      <c r="BU145">
        <v>0</v>
      </c>
      <c r="BV145">
        <v>0</v>
      </c>
      <c r="BW145">
        <v>18144.508333333331</v>
      </c>
    </row>
    <row r="146" spans="1:75" x14ac:dyDescent="0.25">
      <c r="A146">
        <v>332</v>
      </c>
      <c r="B146" s="1">
        <v>45128.792361111111</v>
      </c>
      <c r="C146" t="s">
        <v>296</v>
      </c>
      <c r="D146" t="s">
        <v>73</v>
      </c>
      <c r="E146" t="s">
        <v>178</v>
      </c>
      <c r="F146">
        <v>1</v>
      </c>
      <c r="G146" t="s">
        <v>258</v>
      </c>
      <c r="H146" t="s">
        <v>297</v>
      </c>
      <c r="I146" t="s">
        <v>260</v>
      </c>
      <c r="J146" t="s">
        <v>298</v>
      </c>
      <c r="K146" t="s">
        <v>79</v>
      </c>
      <c r="L146" t="s">
        <v>185</v>
      </c>
      <c r="M146" t="s">
        <v>306</v>
      </c>
      <c r="N146" t="s">
        <v>335</v>
      </c>
      <c r="O146" t="s">
        <v>82</v>
      </c>
      <c r="P146">
        <v>18827.224999999999</v>
      </c>
      <c r="Q146" t="s">
        <v>83</v>
      </c>
      <c r="R146">
        <v>18144.508330000001</v>
      </c>
      <c r="S146">
        <v>1</v>
      </c>
      <c r="AC146">
        <v>11950</v>
      </c>
      <c r="AE146" t="s">
        <v>84</v>
      </c>
      <c r="AG146" t="s">
        <v>84</v>
      </c>
      <c r="AH146" t="s">
        <v>84</v>
      </c>
      <c r="AJ146" t="s">
        <v>84</v>
      </c>
      <c r="AK146" t="s">
        <v>84</v>
      </c>
      <c r="AQ146" t="s">
        <v>84</v>
      </c>
      <c r="AT146" t="s">
        <v>84</v>
      </c>
      <c r="AU146" t="s">
        <v>84</v>
      </c>
      <c r="AV146" t="s">
        <v>84</v>
      </c>
      <c r="AX146" t="s">
        <v>84</v>
      </c>
      <c r="BA146" t="s">
        <v>84</v>
      </c>
      <c r="BB146" t="s">
        <v>84</v>
      </c>
      <c r="BG146" t="s">
        <v>84</v>
      </c>
      <c r="BJ146" t="s">
        <v>84</v>
      </c>
      <c r="BK146" t="s">
        <v>84</v>
      </c>
      <c r="BM146" t="s">
        <v>84</v>
      </c>
      <c r="BS146" t="s">
        <v>84</v>
      </c>
      <c r="BT146" t="s">
        <v>84</v>
      </c>
      <c r="BU146">
        <v>18827.224999999999</v>
      </c>
      <c r="BV146">
        <v>18827.224999999999</v>
      </c>
      <c r="BW146">
        <v>18144.508333333331</v>
      </c>
    </row>
    <row r="147" spans="1:75" x14ac:dyDescent="0.25">
      <c r="A147">
        <v>332</v>
      </c>
      <c r="B147" s="1">
        <v>45128.792361111111</v>
      </c>
      <c r="C147" t="s">
        <v>296</v>
      </c>
      <c r="D147" t="s">
        <v>73</v>
      </c>
      <c r="E147" t="s">
        <v>178</v>
      </c>
      <c r="F147">
        <v>0</v>
      </c>
      <c r="G147" t="s">
        <v>258</v>
      </c>
      <c r="H147" t="s">
        <v>297</v>
      </c>
      <c r="I147" t="s">
        <v>260</v>
      </c>
      <c r="J147" t="s">
        <v>298</v>
      </c>
      <c r="K147" t="s">
        <v>84</v>
      </c>
      <c r="L147" t="s">
        <v>185</v>
      </c>
      <c r="M147" t="s">
        <v>296</v>
      </c>
      <c r="N147" t="s">
        <v>336</v>
      </c>
      <c r="O147" t="s">
        <v>82</v>
      </c>
      <c r="P147">
        <v>18354.575000000001</v>
      </c>
      <c r="Q147" t="s">
        <v>83</v>
      </c>
      <c r="S147">
        <v>1</v>
      </c>
      <c r="T147">
        <v>1</v>
      </c>
      <c r="AE147" t="s">
        <v>84</v>
      </c>
      <c r="AG147" t="s">
        <v>84</v>
      </c>
      <c r="AH147" t="s">
        <v>84</v>
      </c>
      <c r="AJ147" t="s">
        <v>84</v>
      </c>
      <c r="AK147" t="s">
        <v>84</v>
      </c>
      <c r="AQ147" t="s">
        <v>84</v>
      </c>
      <c r="AT147" t="s">
        <v>84</v>
      </c>
      <c r="AU147" t="s">
        <v>84</v>
      </c>
      <c r="AV147" t="s">
        <v>84</v>
      </c>
      <c r="AX147" t="s">
        <v>84</v>
      </c>
      <c r="BA147" t="s">
        <v>84</v>
      </c>
      <c r="BB147" t="s">
        <v>84</v>
      </c>
      <c r="BG147" t="s">
        <v>84</v>
      </c>
      <c r="BJ147" t="s">
        <v>84</v>
      </c>
      <c r="BK147" t="s">
        <v>84</v>
      </c>
      <c r="BM147" t="s">
        <v>84</v>
      </c>
      <c r="BS147" t="s">
        <v>84</v>
      </c>
      <c r="BT147" t="s">
        <v>84</v>
      </c>
      <c r="BU147">
        <v>18354.575000000001</v>
      </c>
      <c r="BV147">
        <v>0</v>
      </c>
      <c r="BW147">
        <v>18144.508333333331</v>
      </c>
    </row>
    <row r="148" spans="1:75" x14ac:dyDescent="0.25">
      <c r="A148">
        <v>333</v>
      </c>
      <c r="B148" s="1">
        <v>45128.793055555558</v>
      </c>
      <c r="C148" t="s">
        <v>337</v>
      </c>
      <c r="D148" t="s">
        <v>73</v>
      </c>
      <c r="E148" t="s">
        <v>178</v>
      </c>
      <c r="F148">
        <v>1</v>
      </c>
      <c r="G148" t="s">
        <v>258</v>
      </c>
      <c r="H148" t="s">
        <v>297</v>
      </c>
      <c r="I148" t="s">
        <v>338</v>
      </c>
      <c r="J148" t="s">
        <v>298</v>
      </c>
      <c r="K148" t="s">
        <v>140</v>
      </c>
      <c r="L148" t="s">
        <v>92</v>
      </c>
      <c r="M148" t="s">
        <v>339</v>
      </c>
      <c r="N148" t="s">
        <v>140</v>
      </c>
      <c r="O148" t="s">
        <v>82</v>
      </c>
      <c r="P148">
        <v>48690</v>
      </c>
      <c r="Q148" t="s">
        <v>83</v>
      </c>
      <c r="R148">
        <v>31286.666669999999</v>
      </c>
      <c r="U148">
        <v>1</v>
      </c>
      <c r="W148">
        <v>1</v>
      </c>
      <c r="AB148">
        <v>48690</v>
      </c>
      <c r="AE148" t="s">
        <v>84</v>
      </c>
      <c r="AG148" t="s">
        <v>84</v>
      </c>
      <c r="AH148" t="s">
        <v>84</v>
      </c>
      <c r="AJ148" t="s">
        <v>84</v>
      </c>
      <c r="AK148" t="s">
        <v>84</v>
      </c>
      <c r="AQ148" t="s">
        <v>84</v>
      </c>
      <c r="AT148" t="s">
        <v>84</v>
      </c>
      <c r="AU148" t="s">
        <v>84</v>
      </c>
      <c r="AV148" t="s">
        <v>84</v>
      </c>
      <c r="AX148" t="s">
        <v>84</v>
      </c>
      <c r="BA148" t="s">
        <v>84</v>
      </c>
      <c r="BB148" t="s">
        <v>84</v>
      </c>
      <c r="BG148" t="s">
        <v>84</v>
      </c>
      <c r="BJ148" t="s">
        <v>84</v>
      </c>
      <c r="BK148" t="s">
        <v>84</v>
      </c>
      <c r="BM148" t="s">
        <v>84</v>
      </c>
      <c r="BS148" t="s">
        <v>84</v>
      </c>
      <c r="BT148" t="s">
        <v>84</v>
      </c>
      <c r="BU148">
        <v>0</v>
      </c>
      <c r="BV148">
        <v>0</v>
      </c>
      <c r="BW148">
        <v>31286.666666666668</v>
      </c>
    </row>
    <row r="149" spans="1:75" x14ac:dyDescent="0.25">
      <c r="A149">
        <v>333</v>
      </c>
      <c r="B149" s="1">
        <v>45128.793055555558</v>
      </c>
      <c r="C149" t="s">
        <v>337</v>
      </c>
      <c r="D149" t="s">
        <v>73</v>
      </c>
      <c r="E149" t="s">
        <v>178</v>
      </c>
      <c r="F149">
        <v>0</v>
      </c>
      <c r="G149" t="s">
        <v>258</v>
      </c>
      <c r="H149" t="s">
        <v>297</v>
      </c>
      <c r="I149" t="s">
        <v>338</v>
      </c>
      <c r="J149" t="s">
        <v>298</v>
      </c>
      <c r="K149" t="s">
        <v>84</v>
      </c>
      <c r="L149" t="s">
        <v>92</v>
      </c>
      <c r="M149" t="s">
        <v>340</v>
      </c>
      <c r="N149" t="s">
        <v>341</v>
      </c>
      <c r="O149" t="s">
        <v>82</v>
      </c>
      <c r="P149">
        <v>20890</v>
      </c>
      <c r="Q149" t="s">
        <v>83</v>
      </c>
      <c r="S149">
        <v>1</v>
      </c>
      <c r="X149">
        <v>1</v>
      </c>
      <c r="AE149" t="s">
        <v>84</v>
      </c>
      <c r="AG149" t="s">
        <v>84</v>
      </c>
      <c r="AH149" t="s">
        <v>84</v>
      </c>
      <c r="AJ149" t="s">
        <v>84</v>
      </c>
      <c r="AK149" t="s">
        <v>84</v>
      </c>
      <c r="AQ149" t="s">
        <v>84</v>
      </c>
      <c r="AT149" t="s">
        <v>84</v>
      </c>
      <c r="AU149" t="s">
        <v>84</v>
      </c>
      <c r="AV149" t="s">
        <v>84</v>
      </c>
      <c r="AX149" t="s">
        <v>84</v>
      </c>
      <c r="BA149" t="s">
        <v>84</v>
      </c>
      <c r="BB149" t="s">
        <v>84</v>
      </c>
      <c r="BG149" t="s">
        <v>84</v>
      </c>
      <c r="BJ149" t="s">
        <v>84</v>
      </c>
      <c r="BK149" t="s">
        <v>84</v>
      </c>
      <c r="BM149" t="s">
        <v>84</v>
      </c>
      <c r="BS149" t="s">
        <v>84</v>
      </c>
      <c r="BT149" t="s">
        <v>84</v>
      </c>
      <c r="BU149">
        <v>20890</v>
      </c>
      <c r="BV149">
        <v>0</v>
      </c>
      <c r="BW149">
        <v>31286.666666666668</v>
      </c>
    </row>
    <row r="150" spans="1:75" x14ac:dyDescent="0.25">
      <c r="A150">
        <v>333</v>
      </c>
      <c r="B150" s="1">
        <v>45128.793055555558</v>
      </c>
      <c r="C150" t="s">
        <v>337</v>
      </c>
      <c r="D150" t="s">
        <v>73</v>
      </c>
      <c r="E150" t="s">
        <v>178</v>
      </c>
      <c r="F150">
        <v>0</v>
      </c>
      <c r="G150" t="s">
        <v>258</v>
      </c>
      <c r="H150" t="s">
        <v>297</v>
      </c>
      <c r="I150" t="s">
        <v>338</v>
      </c>
      <c r="J150" t="s">
        <v>298</v>
      </c>
      <c r="K150" t="s">
        <v>84</v>
      </c>
      <c r="L150" t="s">
        <v>92</v>
      </c>
      <c r="M150" t="s">
        <v>342</v>
      </c>
      <c r="N150" t="s">
        <v>343</v>
      </c>
      <c r="O150" t="s">
        <v>82</v>
      </c>
      <c r="P150">
        <v>24280</v>
      </c>
      <c r="Q150" t="s">
        <v>83</v>
      </c>
      <c r="T150">
        <v>1</v>
      </c>
      <c r="U150">
        <v>1</v>
      </c>
      <c r="AE150" t="s">
        <v>84</v>
      </c>
      <c r="AG150" t="s">
        <v>84</v>
      </c>
      <c r="AH150" t="s">
        <v>84</v>
      </c>
      <c r="AJ150" t="s">
        <v>84</v>
      </c>
      <c r="AK150" t="s">
        <v>84</v>
      </c>
      <c r="AQ150" t="s">
        <v>84</v>
      </c>
      <c r="AT150" t="s">
        <v>84</v>
      </c>
      <c r="AU150" t="s">
        <v>84</v>
      </c>
      <c r="AV150" t="s">
        <v>84</v>
      </c>
      <c r="AX150" t="s">
        <v>84</v>
      </c>
      <c r="BA150" t="s">
        <v>84</v>
      </c>
      <c r="BB150" t="s">
        <v>84</v>
      </c>
      <c r="BG150" t="s">
        <v>84</v>
      </c>
      <c r="BJ150" t="s">
        <v>84</v>
      </c>
      <c r="BK150" t="s">
        <v>84</v>
      </c>
      <c r="BM150" t="s">
        <v>84</v>
      </c>
      <c r="BS150" t="s">
        <v>84</v>
      </c>
      <c r="BT150" t="s">
        <v>84</v>
      </c>
      <c r="BU150">
        <v>0</v>
      </c>
      <c r="BV150">
        <v>0</v>
      </c>
      <c r="BW150">
        <v>31286.666666666668</v>
      </c>
    </row>
    <row r="151" spans="1:75" x14ac:dyDescent="0.25">
      <c r="A151">
        <v>333</v>
      </c>
      <c r="B151" s="1">
        <v>45128.793055555558</v>
      </c>
      <c r="C151" t="s">
        <v>337</v>
      </c>
      <c r="D151" t="s">
        <v>73</v>
      </c>
      <c r="E151" t="s">
        <v>178</v>
      </c>
      <c r="F151">
        <v>0</v>
      </c>
      <c r="G151" t="s">
        <v>258</v>
      </c>
      <c r="H151" t="s">
        <v>297</v>
      </c>
      <c r="I151" t="s">
        <v>338</v>
      </c>
      <c r="J151" t="s">
        <v>298</v>
      </c>
      <c r="K151" t="s">
        <v>84</v>
      </c>
      <c r="L151" t="s">
        <v>80</v>
      </c>
      <c r="M151" t="s">
        <v>337</v>
      </c>
      <c r="N151" t="s">
        <v>344</v>
      </c>
      <c r="O151" t="s">
        <v>82</v>
      </c>
      <c r="P151">
        <v>861318.65</v>
      </c>
      <c r="Q151" t="s">
        <v>83</v>
      </c>
      <c r="T151">
        <v>1</v>
      </c>
      <c r="AE151" t="s">
        <v>84</v>
      </c>
      <c r="AG151" t="s">
        <v>84</v>
      </c>
      <c r="AH151" t="s">
        <v>84</v>
      </c>
      <c r="AJ151" t="s">
        <v>84</v>
      </c>
      <c r="AK151" t="s">
        <v>84</v>
      </c>
      <c r="AQ151" t="s">
        <v>84</v>
      </c>
      <c r="AT151" t="s">
        <v>84</v>
      </c>
      <c r="AU151" t="s">
        <v>84</v>
      </c>
      <c r="AV151" t="s">
        <v>84</v>
      </c>
      <c r="AX151" t="s">
        <v>84</v>
      </c>
      <c r="BA151" t="s">
        <v>84</v>
      </c>
      <c r="BB151" t="s">
        <v>84</v>
      </c>
      <c r="BG151" t="s">
        <v>84</v>
      </c>
      <c r="BJ151" t="s">
        <v>84</v>
      </c>
      <c r="BK151" t="s">
        <v>84</v>
      </c>
      <c r="BM151" t="s">
        <v>84</v>
      </c>
      <c r="BS151" t="s">
        <v>84</v>
      </c>
      <c r="BT151" t="s">
        <v>84</v>
      </c>
      <c r="BU151">
        <v>0</v>
      </c>
      <c r="BV151">
        <v>0</v>
      </c>
      <c r="BW151">
        <v>837017.14029999997</v>
      </c>
    </row>
    <row r="152" spans="1:75" x14ac:dyDescent="0.25">
      <c r="A152">
        <v>333</v>
      </c>
      <c r="B152" s="1">
        <v>45128.793055555558</v>
      </c>
      <c r="C152" t="s">
        <v>337</v>
      </c>
      <c r="D152" t="s">
        <v>73</v>
      </c>
      <c r="E152" t="s">
        <v>178</v>
      </c>
      <c r="F152">
        <v>0</v>
      </c>
      <c r="G152" t="s">
        <v>258</v>
      </c>
      <c r="H152" t="s">
        <v>297</v>
      </c>
      <c r="I152" t="s">
        <v>338</v>
      </c>
      <c r="J152" t="s">
        <v>298</v>
      </c>
      <c r="K152" t="s">
        <v>84</v>
      </c>
      <c r="L152" t="s">
        <v>80</v>
      </c>
      <c r="M152" t="s">
        <v>345</v>
      </c>
      <c r="N152" t="s">
        <v>346</v>
      </c>
      <c r="O152" t="s">
        <v>82</v>
      </c>
      <c r="P152">
        <v>850434.76089999999</v>
      </c>
      <c r="Q152" t="s">
        <v>83</v>
      </c>
      <c r="S152">
        <v>1</v>
      </c>
      <c r="AE152" t="s">
        <v>84</v>
      </c>
      <c r="AG152" t="s">
        <v>84</v>
      </c>
      <c r="AH152" t="s">
        <v>84</v>
      </c>
      <c r="AJ152" t="s">
        <v>84</v>
      </c>
      <c r="AK152" t="s">
        <v>84</v>
      </c>
      <c r="AQ152" t="s">
        <v>84</v>
      </c>
      <c r="AT152" t="s">
        <v>84</v>
      </c>
      <c r="AU152" t="s">
        <v>84</v>
      </c>
      <c r="AV152" t="s">
        <v>84</v>
      </c>
      <c r="AX152" t="s">
        <v>84</v>
      </c>
      <c r="BA152" t="s">
        <v>84</v>
      </c>
      <c r="BB152" t="s">
        <v>84</v>
      </c>
      <c r="BG152" t="s">
        <v>84</v>
      </c>
      <c r="BJ152" t="s">
        <v>84</v>
      </c>
      <c r="BK152" t="s">
        <v>84</v>
      </c>
      <c r="BM152" t="s">
        <v>84</v>
      </c>
      <c r="BS152" t="s">
        <v>84</v>
      </c>
      <c r="BT152" t="s">
        <v>84</v>
      </c>
      <c r="BU152">
        <v>850434.76089999999</v>
      </c>
      <c r="BV152">
        <v>0</v>
      </c>
      <c r="BW152">
        <v>837017.14029999997</v>
      </c>
    </row>
    <row r="153" spans="1:75" x14ac:dyDescent="0.25">
      <c r="A153">
        <v>333</v>
      </c>
      <c r="B153" s="1">
        <v>45128.793055555558</v>
      </c>
      <c r="C153" t="s">
        <v>337</v>
      </c>
      <c r="D153" t="s">
        <v>73</v>
      </c>
      <c r="E153" t="s">
        <v>178</v>
      </c>
      <c r="F153">
        <v>1</v>
      </c>
      <c r="G153" t="s">
        <v>258</v>
      </c>
      <c r="H153" t="s">
        <v>297</v>
      </c>
      <c r="I153" t="s">
        <v>338</v>
      </c>
      <c r="J153" t="s">
        <v>298</v>
      </c>
      <c r="K153" t="s">
        <v>248</v>
      </c>
      <c r="L153" t="s">
        <v>80</v>
      </c>
      <c r="M153" t="s">
        <v>337</v>
      </c>
      <c r="N153" t="s">
        <v>347</v>
      </c>
      <c r="O153" t="s">
        <v>82</v>
      </c>
      <c r="P153">
        <v>799298.01</v>
      </c>
      <c r="Q153" t="s">
        <v>83</v>
      </c>
      <c r="R153">
        <v>837017.14029999997</v>
      </c>
      <c r="S153">
        <v>1</v>
      </c>
      <c r="T153">
        <v>1</v>
      </c>
      <c r="Z153">
        <v>60846.5</v>
      </c>
      <c r="AA153">
        <v>54600</v>
      </c>
      <c r="AE153" t="s">
        <v>84</v>
      </c>
      <c r="AG153" t="s">
        <v>84</v>
      </c>
      <c r="AH153" t="s">
        <v>84</v>
      </c>
      <c r="AI153">
        <v>50000</v>
      </c>
      <c r="AJ153" t="s">
        <v>84</v>
      </c>
      <c r="AK153" t="s">
        <v>84</v>
      </c>
      <c r="AL153">
        <v>0</v>
      </c>
      <c r="AN153">
        <v>0</v>
      </c>
      <c r="AP153">
        <v>80800</v>
      </c>
      <c r="AQ153" t="s">
        <v>84</v>
      </c>
      <c r="AR153">
        <v>3000</v>
      </c>
      <c r="AT153" t="s">
        <v>84</v>
      </c>
      <c r="AU153" t="s">
        <v>84</v>
      </c>
      <c r="AV153" t="s">
        <v>84</v>
      </c>
      <c r="AW153">
        <v>26644</v>
      </c>
      <c r="AX153" t="s">
        <v>84</v>
      </c>
      <c r="AY153">
        <v>8000</v>
      </c>
      <c r="BA153" t="s">
        <v>84</v>
      </c>
      <c r="BB153" t="s">
        <v>84</v>
      </c>
      <c r="BC153">
        <v>17600</v>
      </c>
      <c r="BD153">
        <v>136743.75</v>
      </c>
      <c r="BG153" t="s">
        <v>84</v>
      </c>
      <c r="BH153">
        <v>30000</v>
      </c>
      <c r="BI153">
        <v>136529.25</v>
      </c>
      <c r="BJ153" t="s">
        <v>84</v>
      </c>
      <c r="BK153" t="s">
        <v>84</v>
      </c>
      <c r="BM153" t="s">
        <v>84</v>
      </c>
      <c r="BP153">
        <v>29600</v>
      </c>
      <c r="BQ153">
        <v>0</v>
      </c>
      <c r="BR153">
        <v>0</v>
      </c>
      <c r="BS153" t="s">
        <v>84</v>
      </c>
      <c r="BT153" t="s">
        <v>84</v>
      </c>
      <c r="BU153">
        <v>799298.01</v>
      </c>
      <c r="BV153">
        <v>799298.01</v>
      </c>
      <c r="BW153">
        <v>837017.14029999997</v>
      </c>
    </row>
    <row r="154" spans="1:75" x14ac:dyDescent="0.25">
      <c r="A154">
        <v>333</v>
      </c>
      <c r="B154" s="1">
        <v>45128.793055555558</v>
      </c>
      <c r="C154" t="s">
        <v>337</v>
      </c>
      <c r="D154" t="s">
        <v>73</v>
      </c>
      <c r="E154" t="s">
        <v>178</v>
      </c>
      <c r="F154">
        <v>0</v>
      </c>
      <c r="G154" t="s">
        <v>258</v>
      </c>
      <c r="H154" t="s">
        <v>297</v>
      </c>
      <c r="I154" t="s">
        <v>338</v>
      </c>
      <c r="J154" t="s">
        <v>298</v>
      </c>
      <c r="K154" t="s">
        <v>84</v>
      </c>
      <c r="L154" t="s">
        <v>106</v>
      </c>
      <c r="M154" t="s">
        <v>337</v>
      </c>
      <c r="N154" t="s">
        <v>348</v>
      </c>
      <c r="O154" t="s">
        <v>82</v>
      </c>
      <c r="P154">
        <v>9846.875</v>
      </c>
      <c r="Q154" t="s">
        <v>83</v>
      </c>
      <c r="T154">
        <v>1</v>
      </c>
      <c r="AE154" t="s">
        <v>84</v>
      </c>
      <c r="AG154" t="s">
        <v>84</v>
      </c>
      <c r="AH154" t="s">
        <v>84</v>
      </c>
      <c r="AJ154" t="s">
        <v>84</v>
      </c>
      <c r="AK154" t="s">
        <v>84</v>
      </c>
      <c r="AQ154" t="s">
        <v>84</v>
      </c>
      <c r="AT154" t="s">
        <v>84</v>
      </c>
      <c r="AU154" t="s">
        <v>84</v>
      </c>
      <c r="AV154" t="s">
        <v>84</v>
      </c>
      <c r="AX154" t="s">
        <v>84</v>
      </c>
      <c r="BA154" t="s">
        <v>84</v>
      </c>
      <c r="BB154" t="s">
        <v>84</v>
      </c>
      <c r="BG154" t="s">
        <v>84</v>
      </c>
      <c r="BJ154" t="s">
        <v>84</v>
      </c>
      <c r="BK154" t="s">
        <v>84</v>
      </c>
      <c r="BM154" t="s">
        <v>84</v>
      </c>
      <c r="BS154" t="s">
        <v>84</v>
      </c>
      <c r="BT154" t="s">
        <v>84</v>
      </c>
      <c r="BU154">
        <v>0</v>
      </c>
      <c r="BV154">
        <v>0</v>
      </c>
      <c r="BW154">
        <v>7549.2708333333339</v>
      </c>
    </row>
    <row r="155" spans="1:75" x14ac:dyDescent="0.25">
      <c r="A155">
        <v>333</v>
      </c>
      <c r="B155" s="1">
        <v>45128.793055555558</v>
      </c>
      <c r="C155" t="s">
        <v>337</v>
      </c>
      <c r="D155" t="s">
        <v>73</v>
      </c>
      <c r="E155" t="s">
        <v>178</v>
      </c>
      <c r="F155">
        <v>0</v>
      </c>
      <c r="G155" t="s">
        <v>258</v>
      </c>
      <c r="H155" t="s">
        <v>297</v>
      </c>
      <c r="I155" t="s">
        <v>338</v>
      </c>
      <c r="J155" t="s">
        <v>298</v>
      </c>
      <c r="K155" t="s">
        <v>84</v>
      </c>
      <c r="L155" t="s">
        <v>106</v>
      </c>
      <c r="M155" t="s">
        <v>345</v>
      </c>
      <c r="N155" t="s">
        <v>349</v>
      </c>
      <c r="O155" t="s">
        <v>82</v>
      </c>
      <c r="P155">
        <v>8783.4125000000004</v>
      </c>
      <c r="Q155" t="s">
        <v>83</v>
      </c>
      <c r="S155">
        <v>1</v>
      </c>
      <c r="AE155" t="s">
        <v>84</v>
      </c>
      <c r="AG155" t="s">
        <v>84</v>
      </c>
      <c r="AH155" t="s">
        <v>84</v>
      </c>
      <c r="AJ155" t="s">
        <v>84</v>
      </c>
      <c r="AK155" t="s">
        <v>84</v>
      </c>
      <c r="AQ155" t="s">
        <v>84</v>
      </c>
      <c r="AT155" t="s">
        <v>84</v>
      </c>
      <c r="AU155" t="s">
        <v>84</v>
      </c>
      <c r="AV155" t="s">
        <v>84</v>
      </c>
      <c r="AX155" t="s">
        <v>84</v>
      </c>
      <c r="BA155" t="s">
        <v>84</v>
      </c>
      <c r="BB155" t="s">
        <v>84</v>
      </c>
      <c r="BG155" t="s">
        <v>84</v>
      </c>
      <c r="BJ155" t="s">
        <v>84</v>
      </c>
      <c r="BK155" t="s">
        <v>84</v>
      </c>
      <c r="BM155" t="s">
        <v>84</v>
      </c>
      <c r="BS155" t="s">
        <v>84</v>
      </c>
      <c r="BT155" t="s">
        <v>84</v>
      </c>
      <c r="BU155">
        <v>8783.4125000000004</v>
      </c>
      <c r="BV155">
        <v>0</v>
      </c>
      <c r="BW155">
        <v>7549.2708333333339</v>
      </c>
    </row>
    <row r="156" spans="1:75" x14ac:dyDescent="0.25">
      <c r="A156">
        <v>333</v>
      </c>
      <c r="B156" s="1">
        <v>45128.793055555558</v>
      </c>
      <c r="C156" t="s">
        <v>337</v>
      </c>
      <c r="D156" t="s">
        <v>73</v>
      </c>
      <c r="E156" t="s">
        <v>178</v>
      </c>
      <c r="F156">
        <v>1</v>
      </c>
      <c r="G156" t="s">
        <v>258</v>
      </c>
      <c r="H156" t="s">
        <v>297</v>
      </c>
      <c r="I156" t="s">
        <v>338</v>
      </c>
      <c r="J156" t="s">
        <v>298</v>
      </c>
      <c r="K156" t="s">
        <v>248</v>
      </c>
      <c r="L156" t="s">
        <v>106</v>
      </c>
      <c r="M156" t="s">
        <v>337</v>
      </c>
      <c r="N156" t="s">
        <v>350</v>
      </c>
      <c r="O156" t="s">
        <v>82</v>
      </c>
      <c r="P156">
        <v>4017.5250000000001</v>
      </c>
      <c r="Q156" t="s">
        <v>83</v>
      </c>
      <c r="R156">
        <v>7549.2708329999996</v>
      </c>
      <c r="S156">
        <v>1</v>
      </c>
      <c r="T156">
        <v>1</v>
      </c>
      <c r="AE156" t="s">
        <v>84</v>
      </c>
      <c r="AF156">
        <v>500</v>
      </c>
      <c r="AG156" t="s">
        <v>84</v>
      </c>
      <c r="AH156" t="s">
        <v>84</v>
      </c>
      <c r="AJ156" t="s">
        <v>84</v>
      </c>
      <c r="AK156" t="s">
        <v>84</v>
      </c>
      <c r="AQ156" t="s">
        <v>84</v>
      </c>
      <c r="AT156" t="s">
        <v>84</v>
      </c>
      <c r="AU156" t="s">
        <v>84</v>
      </c>
      <c r="AV156" t="s">
        <v>84</v>
      </c>
      <c r="AX156" t="s">
        <v>84</v>
      </c>
      <c r="BA156" t="s">
        <v>84</v>
      </c>
      <c r="BB156" t="s">
        <v>84</v>
      </c>
      <c r="BE156">
        <v>2050</v>
      </c>
      <c r="BG156" t="s">
        <v>84</v>
      </c>
      <c r="BJ156" t="s">
        <v>84</v>
      </c>
      <c r="BK156" t="s">
        <v>84</v>
      </c>
      <c r="BM156" t="s">
        <v>84</v>
      </c>
      <c r="BS156" t="s">
        <v>84</v>
      </c>
      <c r="BT156" t="s">
        <v>84</v>
      </c>
      <c r="BU156">
        <v>4017.5250000000001</v>
      </c>
      <c r="BV156">
        <v>4017.5250000000001</v>
      </c>
      <c r="BW156">
        <v>7549.2708333333339</v>
      </c>
    </row>
    <row r="157" spans="1:75" x14ac:dyDescent="0.25">
      <c r="A157">
        <v>333</v>
      </c>
      <c r="B157" s="1">
        <v>45128.793055555558</v>
      </c>
      <c r="C157" t="s">
        <v>337</v>
      </c>
      <c r="D157" t="s">
        <v>73</v>
      </c>
      <c r="E157" t="s">
        <v>178</v>
      </c>
      <c r="F157">
        <v>0</v>
      </c>
      <c r="G157" t="s">
        <v>258</v>
      </c>
      <c r="H157" t="s">
        <v>297</v>
      </c>
      <c r="I157" t="s">
        <v>338</v>
      </c>
      <c r="J157" t="s">
        <v>298</v>
      </c>
      <c r="K157" t="s">
        <v>84</v>
      </c>
      <c r="L157" t="s">
        <v>110</v>
      </c>
      <c r="M157" t="s">
        <v>337</v>
      </c>
      <c r="N157" t="s">
        <v>351</v>
      </c>
      <c r="O157" t="s">
        <v>82</v>
      </c>
      <c r="P157">
        <v>11008</v>
      </c>
      <c r="Q157" t="s">
        <v>83</v>
      </c>
      <c r="T157">
        <v>1</v>
      </c>
      <c r="AE157" t="s">
        <v>84</v>
      </c>
      <c r="AG157" t="s">
        <v>84</v>
      </c>
      <c r="AH157" t="s">
        <v>84</v>
      </c>
      <c r="AJ157" t="s">
        <v>84</v>
      </c>
      <c r="AK157" t="s">
        <v>84</v>
      </c>
      <c r="AQ157" t="s">
        <v>84</v>
      </c>
      <c r="AT157" t="s">
        <v>84</v>
      </c>
      <c r="AU157" t="s">
        <v>84</v>
      </c>
      <c r="AV157" t="s">
        <v>84</v>
      </c>
      <c r="AX157" t="s">
        <v>84</v>
      </c>
      <c r="BA157" t="s">
        <v>84</v>
      </c>
      <c r="BB157" t="s">
        <v>84</v>
      </c>
      <c r="BG157" t="s">
        <v>84</v>
      </c>
      <c r="BJ157" t="s">
        <v>84</v>
      </c>
      <c r="BK157" t="s">
        <v>84</v>
      </c>
      <c r="BM157" t="s">
        <v>84</v>
      </c>
      <c r="BS157" t="s">
        <v>84</v>
      </c>
      <c r="BT157" t="s">
        <v>84</v>
      </c>
      <c r="BU157">
        <v>0</v>
      </c>
      <c r="BV157">
        <v>0</v>
      </c>
      <c r="BW157">
        <v>12020</v>
      </c>
    </row>
    <row r="158" spans="1:75" x14ac:dyDescent="0.25">
      <c r="A158">
        <v>333</v>
      </c>
      <c r="B158" s="1">
        <v>45128.793055555558</v>
      </c>
      <c r="C158" t="s">
        <v>337</v>
      </c>
      <c r="D158" t="s">
        <v>73</v>
      </c>
      <c r="E158" t="s">
        <v>178</v>
      </c>
      <c r="F158">
        <v>0</v>
      </c>
      <c r="G158" t="s">
        <v>258</v>
      </c>
      <c r="H158" t="s">
        <v>297</v>
      </c>
      <c r="I158" t="s">
        <v>338</v>
      </c>
      <c r="J158" t="s">
        <v>298</v>
      </c>
      <c r="K158" t="s">
        <v>84</v>
      </c>
      <c r="L158" t="s">
        <v>110</v>
      </c>
      <c r="M158" t="s">
        <v>345</v>
      </c>
      <c r="N158" t="s">
        <v>352</v>
      </c>
      <c r="O158" t="s">
        <v>82</v>
      </c>
      <c r="P158">
        <v>11844</v>
      </c>
      <c r="Q158" t="s">
        <v>83</v>
      </c>
      <c r="S158">
        <v>1</v>
      </c>
      <c r="AE158" t="s">
        <v>84</v>
      </c>
      <c r="AG158" t="s">
        <v>84</v>
      </c>
      <c r="AH158" t="s">
        <v>84</v>
      </c>
      <c r="AJ158" t="s">
        <v>84</v>
      </c>
      <c r="AK158" t="s">
        <v>84</v>
      </c>
      <c r="AQ158" t="s">
        <v>84</v>
      </c>
      <c r="AT158" t="s">
        <v>84</v>
      </c>
      <c r="AU158" t="s">
        <v>84</v>
      </c>
      <c r="AV158" t="s">
        <v>84</v>
      </c>
      <c r="AX158" t="s">
        <v>84</v>
      </c>
      <c r="BA158" t="s">
        <v>84</v>
      </c>
      <c r="BB158" t="s">
        <v>84</v>
      </c>
      <c r="BG158" t="s">
        <v>84</v>
      </c>
      <c r="BJ158" t="s">
        <v>84</v>
      </c>
      <c r="BK158" t="s">
        <v>84</v>
      </c>
      <c r="BM158" t="s">
        <v>84</v>
      </c>
      <c r="BS158" t="s">
        <v>84</v>
      </c>
      <c r="BT158" t="s">
        <v>84</v>
      </c>
      <c r="BU158">
        <v>11844</v>
      </c>
      <c r="BV158">
        <v>0</v>
      </c>
      <c r="BW158">
        <v>12020</v>
      </c>
    </row>
    <row r="159" spans="1:75" x14ac:dyDescent="0.25">
      <c r="A159">
        <v>333</v>
      </c>
      <c r="B159" s="1">
        <v>45128.793055555558</v>
      </c>
      <c r="C159" t="s">
        <v>337</v>
      </c>
      <c r="D159" t="s">
        <v>73</v>
      </c>
      <c r="E159" t="s">
        <v>178</v>
      </c>
      <c r="F159">
        <v>1</v>
      </c>
      <c r="G159" t="s">
        <v>258</v>
      </c>
      <c r="H159" t="s">
        <v>297</v>
      </c>
      <c r="I159" t="s">
        <v>338</v>
      </c>
      <c r="J159" t="s">
        <v>298</v>
      </c>
      <c r="K159" t="s">
        <v>248</v>
      </c>
      <c r="L159" t="s">
        <v>110</v>
      </c>
      <c r="M159" t="s">
        <v>337</v>
      </c>
      <c r="N159" t="s">
        <v>353</v>
      </c>
      <c r="O159" t="s">
        <v>82</v>
      </c>
      <c r="P159">
        <v>13208</v>
      </c>
      <c r="Q159" t="s">
        <v>83</v>
      </c>
      <c r="R159">
        <v>12020</v>
      </c>
      <c r="S159">
        <v>1</v>
      </c>
      <c r="T159">
        <v>1</v>
      </c>
      <c r="Z159">
        <v>0</v>
      </c>
      <c r="AA159">
        <v>0</v>
      </c>
      <c r="AE159" t="s">
        <v>84</v>
      </c>
      <c r="AG159" t="s">
        <v>84</v>
      </c>
      <c r="AH159" t="s">
        <v>84</v>
      </c>
      <c r="AI159">
        <v>0</v>
      </c>
      <c r="AJ159" t="s">
        <v>84</v>
      </c>
      <c r="AK159" t="s">
        <v>84</v>
      </c>
      <c r="AL159">
        <v>0</v>
      </c>
      <c r="AN159">
        <v>0</v>
      </c>
      <c r="AP159">
        <v>0</v>
      </c>
      <c r="AQ159" t="s">
        <v>84</v>
      </c>
      <c r="AR159">
        <v>0</v>
      </c>
      <c r="AT159" t="s">
        <v>84</v>
      </c>
      <c r="AU159" t="s">
        <v>84</v>
      </c>
      <c r="AV159" t="s">
        <v>84</v>
      </c>
      <c r="AW159">
        <v>0</v>
      </c>
      <c r="AX159" t="s">
        <v>84</v>
      </c>
      <c r="AY159">
        <v>10400</v>
      </c>
      <c r="BA159" t="s">
        <v>84</v>
      </c>
      <c r="BB159" t="s">
        <v>84</v>
      </c>
      <c r="BC159">
        <v>0</v>
      </c>
      <c r="BD159">
        <v>0</v>
      </c>
      <c r="BG159" t="s">
        <v>84</v>
      </c>
      <c r="BH159">
        <v>0</v>
      </c>
      <c r="BI159">
        <v>0</v>
      </c>
      <c r="BJ159" t="s">
        <v>84</v>
      </c>
      <c r="BK159" t="s">
        <v>84</v>
      </c>
      <c r="BM159" t="s">
        <v>84</v>
      </c>
      <c r="BP159">
        <v>0</v>
      </c>
      <c r="BQ159">
        <v>0</v>
      </c>
      <c r="BR159">
        <v>0</v>
      </c>
      <c r="BS159" t="s">
        <v>84</v>
      </c>
      <c r="BT159" t="s">
        <v>84</v>
      </c>
      <c r="BU159">
        <v>13208</v>
      </c>
      <c r="BV159">
        <v>13208</v>
      </c>
      <c r="BW159">
        <v>12020</v>
      </c>
    </row>
    <row r="160" spans="1:75" x14ac:dyDescent="0.25">
      <c r="A160">
        <v>333</v>
      </c>
      <c r="B160" s="1">
        <v>45128.793055555558</v>
      </c>
      <c r="C160" t="s">
        <v>337</v>
      </c>
      <c r="D160" t="s">
        <v>73</v>
      </c>
      <c r="E160" t="s">
        <v>178</v>
      </c>
      <c r="F160">
        <v>0</v>
      </c>
      <c r="G160" t="s">
        <v>258</v>
      </c>
      <c r="H160" t="s">
        <v>297</v>
      </c>
      <c r="I160" t="s">
        <v>338</v>
      </c>
      <c r="J160" t="s">
        <v>298</v>
      </c>
      <c r="K160" t="s">
        <v>84</v>
      </c>
      <c r="L160" t="s">
        <v>87</v>
      </c>
      <c r="M160" t="s">
        <v>354</v>
      </c>
      <c r="N160" t="s">
        <v>355</v>
      </c>
      <c r="O160" t="s">
        <v>82</v>
      </c>
      <c r="P160">
        <v>93795.158330000006</v>
      </c>
      <c r="Q160" t="s">
        <v>83</v>
      </c>
      <c r="AE160" t="s">
        <v>84</v>
      </c>
      <c r="AG160" t="s">
        <v>84</v>
      </c>
      <c r="AH160" t="s">
        <v>84</v>
      </c>
      <c r="AJ160" t="s">
        <v>84</v>
      </c>
      <c r="AK160" t="s">
        <v>84</v>
      </c>
      <c r="AQ160" t="s">
        <v>84</v>
      </c>
      <c r="AT160" t="s">
        <v>84</v>
      </c>
      <c r="AU160" t="s">
        <v>84</v>
      </c>
      <c r="AV160" t="s">
        <v>84</v>
      </c>
      <c r="AX160" t="s">
        <v>84</v>
      </c>
      <c r="BA160" t="s">
        <v>84</v>
      </c>
      <c r="BB160" t="s">
        <v>84</v>
      </c>
      <c r="BG160" t="s">
        <v>84</v>
      </c>
      <c r="BJ160" t="s">
        <v>84</v>
      </c>
      <c r="BK160" t="s">
        <v>84</v>
      </c>
      <c r="BM160" t="s">
        <v>84</v>
      </c>
      <c r="BS160" t="s">
        <v>84</v>
      </c>
      <c r="BT160" t="s">
        <v>84</v>
      </c>
      <c r="BU160">
        <v>0</v>
      </c>
      <c r="BV160">
        <v>0</v>
      </c>
      <c r="BW160">
        <v>108474.041665</v>
      </c>
    </row>
    <row r="161" spans="1:75" x14ac:dyDescent="0.25">
      <c r="A161">
        <v>333</v>
      </c>
      <c r="B161" s="1">
        <v>45128.793055555558</v>
      </c>
      <c r="C161" t="s">
        <v>337</v>
      </c>
      <c r="D161" t="s">
        <v>73</v>
      </c>
      <c r="E161" t="s">
        <v>178</v>
      </c>
      <c r="F161">
        <v>1</v>
      </c>
      <c r="G161" t="s">
        <v>258</v>
      </c>
      <c r="H161" t="s">
        <v>297</v>
      </c>
      <c r="I161" t="s">
        <v>338</v>
      </c>
      <c r="J161" t="s">
        <v>298</v>
      </c>
      <c r="K161" t="s">
        <v>243</v>
      </c>
      <c r="L161" t="s">
        <v>87</v>
      </c>
      <c r="M161" t="s">
        <v>337</v>
      </c>
      <c r="N161" t="s">
        <v>356</v>
      </c>
      <c r="O161" t="s">
        <v>82</v>
      </c>
      <c r="P161">
        <v>123152.925</v>
      </c>
      <c r="Q161" t="s">
        <v>83</v>
      </c>
      <c r="R161">
        <v>108474.0417</v>
      </c>
      <c r="AE161" t="s">
        <v>84</v>
      </c>
      <c r="AG161" t="s">
        <v>84</v>
      </c>
      <c r="AH161" t="s">
        <v>84</v>
      </c>
      <c r="AJ161" t="s">
        <v>84</v>
      </c>
      <c r="AK161" t="s">
        <v>84</v>
      </c>
      <c r="AL161">
        <v>8800</v>
      </c>
      <c r="AM161">
        <v>49050</v>
      </c>
      <c r="AN161">
        <v>16750</v>
      </c>
      <c r="AO161">
        <v>15238</v>
      </c>
      <c r="AQ161" t="s">
        <v>84</v>
      </c>
      <c r="AT161" t="s">
        <v>84</v>
      </c>
      <c r="AU161" t="s">
        <v>84</v>
      </c>
      <c r="AV161" t="s">
        <v>84</v>
      </c>
      <c r="AX161" t="s">
        <v>84</v>
      </c>
      <c r="BA161" t="s">
        <v>84</v>
      </c>
      <c r="BB161" t="s">
        <v>84</v>
      </c>
      <c r="BG161" t="s">
        <v>84</v>
      </c>
      <c r="BJ161" t="s">
        <v>84</v>
      </c>
      <c r="BK161" t="s">
        <v>84</v>
      </c>
      <c r="BM161" t="s">
        <v>84</v>
      </c>
      <c r="BS161" t="s">
        <v>84</v>
      </c>
      <c r="BT161" t="s">
        <v>84</v>
      </c>
      <c r="BU161">
        <v>0</v>
      </c>
      <c r="BV161">
        <v>0</v>
      </c>
      <c r="BW161">
        <v>108474.041665</v>
      </c>
    </row>
    <row r="162" spans="1:75" x14ac:dyDescent="0.25">
      <c r="A162">
        <v>333</v>
      </c>
      <c r="B162" s="1">
        <v>45128.793055555558</v>
      </c>
      <c r="C162" t="s">
        <v>337</v>
      </c>
      <c r="D162" t="s">
        <v>73</v>
      </c>
      <c r="E162" t="s">
        <v>178</v>
      </c>
      <c r="F162">
        <v>0</v>
      </c>
      <c r="G162" t="s">
        <v>258</v>
      </c>
      <c r="H162" t="s">
        <v>297</v>
      </c>
      <c r="I162" t="s">
        <v>338</v>
      </c>
      <c r="J162" t="s">
        <v>298</v>
      </c>
      <c r="K162" t="s">
        <v>84</v>
      </c>
      <c r="L162" t="s">
        <v>98</v>
      </c>
      <c r="M162" t="s">
        <v>357</v>
      </c>
      <c r="N162" t="s">
        <v>358</v>
      </c>
      <c r="O162" t="s">
        <v>82</v>
      </c>
      <c r="P162">
        <v>40900</v>
      </c>
      <c r="Q162" t="s">
        <v>83</v>
      </c>
      <c r="V162">
        <v>1</v>
      </c>
      <c r="AE162" t="s">
        <v>84</v>
      </c>
      <c r="AG162" t="s">
        <v>84</v>
      </c>
      <c r="AH162" t="s">
        <v>84</v>
      </c>
      <c r="AJ162" t="s">
        <v>84</v>
      </c>
      <c r="AK162" t="s">
        <v>84</v>
      </c>
      <c r="AQ162" t="s">
        <v>84</v>
      </c>
      <c r="AT162" t="s">
        <v>84</v>
      </c>
      <c r="AU162" t="s">
        <v>84</v>
      </c>
      <c r="AV162" t="s">
        <v>84</v>
      </c>
      <c r="AX162" t="s">
        <v>84</v>
      </c>
      <c r="BA162" t="s">
        <v>84</v>
      </c>
      <c r="BB162" t="s">
        <v>84</v>
      </c>
      <c r="BG162" t="s">
        <v>84</v>
      </c>
      <c r="BJ162" t="s">
        <v>84</v>
      </c>
      <c r="BK162" t="s">
        <v>84</v>
      </c>
      <c r="BM162" t="s">
        <v>84</v>
      </c>
      <c r="BS162" t="s">
        <v>84</v>
      </c>
      <c r="BT162" t="s">
        <v>84</v>
      </c>
      <c r="BU162">
        <v>0</v>
      </c>
      <c r="BV162">
        <v>0</v>
      </c>
      <c r="BW162">
        <v>31766.666666666664</v>
      </c>
    </row>
    <row r="163" spans="1:75" x14ac:dyDescent="0.25">
      <c r="A163">
        <v>333</v>
      </c>
      <c r="B163" s="1">
        <v>45128.793055555558</v>
      </c>
      <c r="C163" t="s">
        <v>337</v>
      </c>
      <c r="D163" t="s">
        <v>73</v>
      </c>
      <c r="E163" t="s">
        <v>178</v>
      </c>
      <c r="F163">
        <v>1</v>
      </c>
      <c r="G163" t="s">
        <v>258</v>
      </c>
      <c r="H163" t="s">
        <v>297</v>
      </c>
      <c r="I163" t="s">
        <v>338</v>
      </c>
      <c r="J163" t="s">
        <v>298</v>
      </c>
      <c r="K163" t="s">
        <v>103</v>
      </c>
      <c r="L163" t="s">
        <v>98</v>
      </c>
      <c r="M163" t="s">
        <v>359</v>
      </c>
      <c r="N163" t="s">
        <v>360</v>
      </c>
      <c r="O163" t="s">
        <v>82</v>
      </c>
      <c r="P163">
        <v>35150</v>
      </c>
      <c r="Q163" t="s">
        <v>83</v>
      </c>
      <c r="R163">
        <v>31766.666669999999</v>
      </c>
      <c r="V163">
        <v>1</v>
      </c>
      <c r="X163">
        <v>1</v>
      </c>
      <c r="AE163" t="s">
        <v>84</v>
      </c>
      <c r="AG163" t="s">
        <v>84</v>
      </c>
      <c r="AH163" t="s">
        <v>84</v>
      </c>
      <c r="AJ163" t="s">
        <v>84</v>
      </c>
      <c r="AK163" t="s">
        <v>84</v>
      </c>
      <c r="AQ163" t="s">
        <v>84</v>
      </c>
      <c r="AS163">
        <v>35150</v>
      </c>
      <c r="AT163" t="s">
        <v>84</v>
      </c>
      <c r="AU163" t="s">
        <v>84</v>
      </c>
      <c r="AV163" t="s">
        <v>84</v>
      </c>
      <c r="AX163" t="s">
        <v>84</v>
      </c>
      <c r="BA163" t="s">
        <v>84</v>
      </c>
      <c r="BB163" t="s">
        <v>84</v>
      </c>
      <c r="BG163" t="s">
        <v>84</v>
      </c>
      <c r="BJ163" t="s">
        <v>84</v>
      </c>
      <c r="BK163" t="s">
        <v>84</v>
      </c>
      <c r="BM163" t="s">
        <v>84</v>
      </c>
      <c r="BS163" t="s">
        <v>84</v>
      </c>
      <c r="BT163" t="s">
        <v>84</v>
      </c>
      <c r="BU163">
        <v>0</v>
      </c>
      <c r="BV163">
        <v>0</v>
      </c>
      <c r="BW163">
        <v>31766.666666666664</v>
      </c>
    </row>
    <row r="164" spans="1:75" x14ac:dyDescent="0.25">
      <c r="A164">
        <v>333</v>
      </c>
      <c r="B164" s="1">
        <v>45128.793055555558</v>
      </c>
      <c r="C164" t="s">
        <v>337</v>
      </c>
      <c r="D164" t="s">
        <v>73</v>
      </c>
      <c r="E164" t="s">
        <v>178</v>
      </c>
      <c r="F164">
        <v>0</v>
      </c>
      <c r="G164" t="s">
        <v>258</v>
      </c>
      <c r="H164" t="s">
        <v>297</v>
      </c>
      <c r="I164" t="s">
        <v>338</v>
      </c>
      <c r="J164" t="s">
        <v>298</v>
      </c>
      <c r="K164" t="s">
        <v>84</v>
      </c>
      <c r="L164" t="s">
        <v>98</v>
      </c>
      <c r="M164" t="s">
        <v>361</v>
      </c>
      <c r="N164" t="s">
        <v>362</v>
      </c>
      <c r="O164" t="s">
        <v>82</v>
      </c>
      <c r="P164">
        <v>19250</v>
      </c>
      <c r="Q164" t="s">
        <v>83</v>
      </c>
      <c r="AE164" t="s">
        <v>84</v>
      </c>
      <c r="AG164" t="s">
        <v>84</v>
      </c>
      <c r="AH164" t="s">
        <v>84</v>
      </c>
      <c r="AJ164" t="s">
        <v>84</v>
      </c>
      <c r="AK164" t="s">
        <v>84</v>
      </c>
      <c r="AQ164" t="s">
        <v>84</v>
      </c>
      <c r="AT164" t="s">
        <v>84</v>
      </c>
      <c r="AU164" t="s">
        <v>84</v>
      </c>
      <c r="AV164" t="s">
        <v>84</v>
      </c>
      <c r="AX164" t="s">
        <v>84</v>
      </c>
      <c r="BA164" t="s">
        <v>84</v>
      </c>
      <c r="BB164" t="s">
        <v>84</v>
      </c>
      <c r="BG164" t="s">
        <v>84</v>
      </c>
      <c r="BJ164" t="s">
        <v>84</v>
      </c>
      <c r="BK164" t="s">
        <v>84</v>
      </c>
      <c r="BM164" t="s">
        <v>84</v>
      </c>
      <c r="BS164" t="s">
        <v>84</v>
      </c>
      <c r="BT164" t="s">
        <v>84</v>
      </c>
      <c r="BU164">
        <v>0</v>
      </c>
      <c r="BV164">
        <v>0</v>
      </c>
      <c r="BW164">
        <v>31766.666666666664</v>
      </c>
    </row>
    <row r="165" spans="1:75" x14ac:dyDescent="0.25">
      <c r="A165">
        <v>333</v>
      </c>
      <c r="B165" s="1">
        <v>45128.793055555558</v>
      </c>
      <c r="C165" t="s">
        <v>337</v>
      </c>
      <c r="D165" t="s">
        <v>73</v>
      </c>
      <c r="E165" t="s">
        <v>178</v>
      </c>
      <c r="F165">
        <v>0</v>
      </c>
      <c r="G165" t="s">
        <v>258</v>
      </c>
      <c r="H165" t="s">
        <v>297</v>
      </c>
      <c r="I165" t="s">
        <v>338</v>
      </c>
      <c r="J165" t="s">
        <v>298</v>
      </c>
      <c r="K165" t="s">
        <v>84</v>
      </c>
      <c r="L165" t="s">
        <v>185</v>
      </c>
      <c r="M165" t="s">
        <v>337</v>
      </c>
      <c r="N165" t="s">
        <v>363</v>
      </c>
      <c r="O165" t="s">
        <v>82</v>
      </c>
      <c r="P165">
        <v>12604</v>
      </c>
      <c r="Q165" t="s">
        <v>83</v>
      </c>
      <c r="T165">
        <v>1</v>
      </c>
      <c r="AE165" t="s">
        <v>84</v>
      </c>
      <c r="AG165" t="s">
        <v>84</v>
      </c>
      <c r="AH165" t="s">
        <v>84</v>
      </c>
      <c r="AJ165" t="s">
        <v>84</v>
      </c>
      <c r="AK165" t="s">
        <v>84</v>
      </c>
      <c r="AQ165" t="s">
        <v>84</v>
      </c>
      <c r="AT165" t="s">
        <v>84</v>
      </c>
      <c r="AU165" t="s">
        <v>84</v>
      </c>
      <c r="AV165" t="s">
        <v>84</v>
      </c>
      <c r="AX165" t="s">
        <v>84</v>
      </c>
      <c r="BA165" t="s">
        <v>84</v>
      </c>
      <c r="BB165" t="s">
        <v>84</v>
      </c>
      <c r="BG165" t="s">
        <v>84</v>
      </c>
      <c r="BJ165" t="s">
        <v>84</v>
      </c>
      <c r="BK165" t="s">
        <v>84</v>
      </c>
      <c r="BM165" t="s">
        <v>84</v>
      </c>
      <c r="BS165" t="s">
        <v>84</v>
      </c>
      <c r="BT165" t="s">
        <v>84</v>
      </c>
      <c r="BU165">
        <v>0</v>
      </c>
      <c r="BV165">
        <v>0</v>
      </c>
      <c r="BW165">
        <v>16726.558333333334</v>
      </c>
    </row>
    <row r="166" spans="1:75" x14ac:dyDescent="0.25">
      <c r="A166">
        <v>333</v>
      </c>
      <c r="B166" s="1">
        <v>45128.793055555558</v>
      </c>
      <c r="C166" t="s">
        <v>337</v>
      </c>
      <c r="D166" t="s">
        <v>73</v>
      </c>
      <c r="E166" t="s">
        <v>178</v>
      </c>
      <c r="F166">
        <v>0</v>
      </c>
      <c r="G166" t="s">
        <v>258</v>
      </c>
      <c r="H166" t="s">
        <v>297</v>
      </c>
      <c r="I166" t="s">
        <v>338</v>
      </c>
      <c r="J166" t="s">
        <v>298</v>
      </c>
      <c r="K166" t="s">
        <v>84</v>
      </c>
      <c r="L166" t="s">
        <v>185</v>
      </c>
      <c r="M166" t="s">
        <v>345</v>
      </c>
      <c r="N166" t="s">
        <v>364</v>
      </c>
      <c r="O166" t="s">
        <v>82</v>
      </c>
      <c r="P166">
        <v>20166.400000000001</v>
      </c>
      <c r="Q166" t="s">
        <v>83</v>
      </c>
      <c r="S166">
        <v>1</v>
      </c>
      <c r="AE166" t="s">
        <v>84</v>
      </c>
      <c r="AG166" t="s">
        <v>84</v>
      </c>
      <c r="AH166" t="s">
        <v>84</v>
      </c>
      <c r="AJ166" t="s">
        <v>84</v>
      </c>
      <c r="AK166" t="s">
        <v>84</v>
      </c>
      <c r="AQ166" t="s">
        <v>84</v>
      </c>
      <c r="AT166" t="s">
        <v>84</v>
      </c>
      <c r="AU166" t="s">
        <v>84</v>
      </c>
      <c r="AV166" t="s">
        <v>84</v>
      </c>
      <c r="AX166" t="s">
        <v>84</v>
      </c>
      <c r="BA166" t="s">
        <v>84</v>
      </c>
      <c r="BB166" t="s">
        <v>84</v>
      </c>
      <c r="BG166" t="s">
        <v>84</v>
      </c>
      <c r="BJ166" t="s">
        <v>84</v>
      </c>
      <c r="BK166" t="s">
        <v>84</v>
      </c>
      <c r="BM166" t="s">
        <v>84</v>
      </c>
      <c r="BS166" t="s">
        <v>84</v>
      </c>
      <c r="BT166" t="s">
        <v>84</v>
      </c>
      <c r="BU166">
        <v>20166.400000000001</v>
      </c>
      <c r="BV166">
        <v>0</v>
      </c>
      <c r="BW166">
        <v>16726.558333333334</v>
      </c>
    </row>
    <row r="167" spans="1:75" x14ac:dyDescent="0.25">
      <c r="A167">
        <v>333</v>
      </c>
      <c r="B167" s="1">
        <v>45128.793055555558</v>
      </c>
      <c r="C167" t="s">
        <v>337</v>
      </c>
      <c r="D167" t="s">
        <v>73</v>
      </c>
      <c r="E167" t="s">
        <v>178</v>
      </c>
      <c r="F167">
        <v>1</v>
      </c>
      <c r="G167" t="s">
        <v>258</v>
      </c>
      <c r="H167" t="s">
        <v>297</v>
      </c>
      <c r="I167" t="s">
        <v>338</v>
      </c>
      <c r="J167" t="s">
        <v>298</v>
      </c>
      <c r="K167" t="s">
        <v>248</v>
      </c>
      <c r="L167" t="s">
        <v>185</v>
      </c>
      <c r="M167" t="s">
        <v>337</v>
      </c>
      <c r="N167" t="s">
        <v>365</v>
      </c>
      <c r="O167" t="s">
        <v>82</v>
      </c>
      <c r="P167">
        <v>17409.275000000001</v>
      </c>
      <c r="Q167" t="s">
        <v>83</v>
      </c>
      <c r="R167">
        <v>16726.55833</v>
      </c>
      <c r="S167">
        <v>1</v>
      </c>
      <c r="T167">
        <v>1</v>
      </c>
      <c r="AC167">
        <v>11050</v>
      </c>
      <c r="AE167" t="s">
        <v>84</v>
      </c>
      <c r="AG167" t="s">
        <v>84</v>
      </c>
      <c r="AH167" t="s">
        <v>84</v>
      </c>
      <c r="AJ167" t="s">
        <v>84</v>
      </c>
      <c r="AK167" t="s">
        <v>84</v>
      </c>
      <c r="AQ167" t="s">
        <v>84</v>
      </c>
      <c r="AT167" t="s">
        <v>84</v>
      </c>
      <c r="AU167" t="s">
        <v>84</v>
      </c>
      <c r="AV167" t="s">
        <v>84</v>
      </c>
      <c r="AX167" t="s">
        <v>84</v>
      </c>
      <c r="BA167" t="s">
        <v>84</v>
      </c>
      <c r="BB167" t="s">
        <v>84</v>
      </c>
      <c r="BG167" t="s">
        <v>84</v>
      </c>
      <c r="BJ167" t="s">
        <v>84</v>
      </c>
      <c r="BK167" t="s">
        <v>84</v>
      </c>
      <c r="BM167" t="s">
        <v>84</v>
      </c>
      <c r="BS167" t="s">
        <v>84</v>
      </c>
      <c r="BT167" t="s">
        <v>84</v>
      </c>
      <c r="BU167">
        <v>17409.275000000001</v>
      </c>
      <c r="BV167">
        <v>17409.275000000001</v>
      </c>
      <c r="BW167">
        <v>16726.558333333334</v>
      </c>
    </row>
    <row r="168" spans="1:75" x14ac:dyDescent="0.25">
      <c r="A168">
        <v>334</v>
      </c>
      <c r="B168" s="1">
        <v>45128.794444444444</v>
      </c>
      <c r="C168" t="s">
        <v>366</v>
      </c>
      <c r="D168" t="s">
        <v>73</v>
      </c>
      <c r="E168" t="s">
        <v>74</v>
      </c>
      <c r="F168">
        <v>1</v>
      </c>
      <c r="G168" t="s">
        <v>258</v>
      </c>
      <c r="H168" t="s">
        <v>297</v>
      </c>
      <c r="I168" t="s">
        <v>338</v>
      </c>
      <c r="J168" t="s">
        <v>367</v>
      </c>
      <c r="K168" t="s">
        <v>94</v>
      </c>
      <c r="L168" t="s">
        <v>92</v>
      </c>
      <c r="M168" t="s">
        <v>368</v>
      </c>
      <c r="N168" t="s">
        <v>343</v>
      </c>
      <c r="O168" t="s">
        <v>82</v>
      </c>
      <c r="P168">
        <v>28010</v>
      </c>
      <c r="Q168" t="s">
        <v>83</v>
      </c>
      <c r="R168">
        <v>27166.666669999999</v>
      </c>
      <c r="AB168">
        <v>28010</v>
      </c>
      <c r="AE168" t="s">
        <v>84</v>
      </c>
      <c r="AG168" t="s">
        <v>84</v>
      </c>
      <c r="AH168" t="s">
        <v>84</v>
      </c>
      <c r="AJ168" t="s">
        <v>84</v>
      </c>
      <c r="AK168" t="s">
        <v>84</v>
      </c>
      <c r="AQ168" t="s">
        <v>84</v>
      </c>
      <c r="AT168" t="s">
        <v>84</v>
      </c>
      <c r="AU168" t="s">
        <v>84</v>
      </c>
      <c r="AV168" t="s">
        <v>84</v>
      </c>
      <c r="AX168" t="s">
        <v>84</v>
      </c>
      <c r="BA168" t="s">
        <v>84</v>
      </c>
      <c r="BB168" t="s">
        <v>84</v>
      </c>
      <c r="BG168" t="s">
        <v>84</v>
      </c>
      <c r="BJ168" t="s">
        <v>84</v>
      </c>
      <c r="BK168" t="s">
        <v>84</v>
      </c>
      <c r="BM168" t="s">
        <v>84</v>
      </c>
      <c r="BS168" t="s">
        <v>84</v>
      </c>
      <c r="BT168" t="s">
        <v>84</v>
      </c>
      <c r="BU168">
        <v>0</v>
      </c>
      <c r="BV168">
        <v>0</v>
      </c>
      <c r="BW168">
        <v>27166.666666666668</v>
      </c>
    </row>
    <row r="169" spans="1:75" x14ac:dyDescent="0.25">
      <c r="A169">
        <v>334</v>
      </c>
      <c r="B169" s="1">
        <v>45128.794444444444</v>
      </c>
      <c r="C169" t="s">
        <v>366</v>
      </c>
      <c r="D169" t="s">
        <v>73</v>
      </c>
      <c r="E169" t="s">
        <v>74</v>
      </c>
      <c r="F169">
        <v>0</v>
      </c>
      <c r="G169" t="s">
        <v>258</v>
      </c>
      <c r="H169" t="s">
        <v>297</v>
      </c>
      <c r="I169" t="s">
        <v>338</v>
      </c>
      <c r="J169" t="s">
        <v>367</v>
      </c>
      <c r="K169" t="s">
        <v>84</v>
      </c>
      <c r="L169" t="s">
        <v>92</v>
      </c>
      <c r="M169" t="s">
        <v>369</v>
      </c>
      <c r="N169" t="s">
        <v>303</v>
      </c>
      <c r="O169" t="s">
        <v>82</v>
      </c>
      <c r="P169">
        <v>23450</v>
      </c>
      <c r="Q169" t="s">
        <v>83</v>
      </c>
      <c r="T169">
        <v>1</v>
      </c>
      <c r="W169">
        <v>1</v>
      </c>
      <c r="AE169" t="s">
        <v>84</v>
      </c>
      <c r="AG169" t="s">
        <v>84</v>
      </c>
      <c r="AH169" t="s">
        <v>84</v>
      </c>
      <c r="AJ169" t="s">
        <v>84</v>
      </c>
      <c r="AK169" t="s">
        <v>84</v>
      </c>
      <c r="AQ169" t="s">
        <v>84</v>
      </c>
      <c r="AT169" t="s">
        <v>84</v>
      </c>
      <c r="AU169" t="s">
        <v>84</v>
      </c>
      <c r="AV169" t="s">
        <v>84</v>
      </c>
      <c r="AX169" t="s">
        <v>84</v>
      </c>
      <c r="BA169" t="s">
        <v>84</v>
      </c>
      <c r="BB169" t="s">
        <v>84</v>
      </c>
      <c r="BG169" t="s">
        <v>84</v>
      </c>
      <c r="BJ169" t="s">
        <v>84</v>
      </c>
      <c r="BK169" t="s">
        <v>84</v>
      </c>
      <c r="BM169" t="s">
        <v>84</v>
      </c>
      <c r="BS169" t="s">
        <v>84</v>
      </c>
      <c r="BT169" t="s">
        <v>84</v>
      </c>
      <c r="BU169">
        <v>0</v>
      </c>
      <c r="BV169">
        <v>0</v>
      </c>
      <c r="BW169">
        <v>27166.666666666668</v>
      </c>
    </row>
    <row r="170" spans="1:75" x14ac:dyDescent="0.25">
      <c r="A170">
        <v>334</v>
      </c>
      <c r="B170" s="1">
        <v>45128.794444444444</v>
      </c>
      <c r="C170" t="s">
        <v>366</v>
      </c>
      <c r="D170" t="s">
        <v>73</v>
      </c>
      <c r="E170" t="s">
        <v>74</v>
      </c>
      <c r="F170">
        <v>0</v>
      </c>
      <c r="G170" t="s">
        <v>258</v>
      </c>
      <c r="H170" t="s">
        <v>297</v>
      </c>
      <c r="I170" t="s">
        <v>338</v>
      </c>
      <c r="J170" t="s">
        <v>367</v>
      </c>
      <c r="K170" t="s">
        <v>84</v>
      </c>
      <c r="L170" t="s">
        <v>92</v>
      </c>
      <c r="M170" t="s">
        <v>370</v>
      </c>
      <c r="N170" t="s">
        <v>371</v>
      </c>
      <c r="O170" t="s">
        <v>82</v>
      </c>
      <c r="P170">
        <v>30040</v>
      </c>
      <c r="Q170" t="s">
        <v>83</v>
      </c>
      <c r="AE170" t="s">
        <v>84</v>
      </c>
      <c r="AG170" t="s">
        <v>84</v>
      </c>
      <c r="AH170" t="s">
        <v>84</v>
      </c>
      <c r="AJ170" t="s">
        <v>84</v>
      </c>
      <c r="AK170" t="s">
        <v>84</v>
      </c>
      <c r="AQ170" t="s">
        <v>84</v>
      </c>
      <c r="AT170" t="s">
        <v>84</v>
      </c>
      <c r="AU170" t="s">
        <v>84</v>
      </c>
      <c r="AV170" t="s">
        <v>84</v>
      </c>
      <c r="AX170" t="s">
        <v>84</v>
      </c>
      <c r="BA170" t="s">
        <v>84</v>
      </c>
      <c r="BB170" t="s">
        <v>84</v>
      </c>
      <c r="BG170" t="s">
        <v>84</v>
      </c>
      <c r="BJ170" t="s">
        <v>84</v>
      </c>
      <c r="BK170" t="s">
        <v>84</v>
      </c>
      <c r="BM170" t="s">
        <v>84</v>
      </c>
      <c r="BS170" t="s">
        <v>84</v>
      </c>
      <c r="BT170" t="s">
        <v>84</v>
      </c>
      <c r="BU170">
        <v>0</v>
      </c>
      <c r="BV170">
        <v>0</v>
      </c>
      <c r="BW170">
        <v>27166.666666666668</v>
      </c>
    </row>
    <row r="171" spans="1:75" x14ac:dyDescent="0.25">
      <c r="A171">
        <v>334</v>
      </c>
      <c r="B171" s="1">
        <v>45128.794444444444</v>
      </c>
      <c r="C171" t="s">
        <v>366</v>
      </c>
      <c r="D171" t="s">
        <v>73</v>
      </c>
      <c r="E171" t="s">
        <v>74</v>
      </c>
      <c r="F171">
        <v>0</v>
      </c>
      <c r="G171" t="s">
        <v>258</v>
      </c>
      <c r="H171" t="s">
        <v>297</v>
      </c>
      <c r="I171" t="s">
        <v>338</v>
      </c>
      <c r="J171" t="s">
        <v>367</v>
      </c>
      <c r="K171" t="s">
        <v>84</v>
      </c>
      <c r="L171" t="s">
        <v>80</v>
      </c>
      <c r="M171" t="s">
        <v>366</v>
      </c>
      <c r="N171" t="s">
        <v>372</v>
      </c>
      <c r="O171" t="s">
        <v>82</v>
      </c>
      <c r="P171">
        <v>724100.86499999999</v>
      </c>
      <c r="Q171" t="s">
        <v>83</v>
      </c>
      <c r="X171">
        <v>1</v>
      </c>
      <c r="AE171" t="s">
        <v>84</v>
      </c>
      <c r="AG171" t="s">
        <v>84</v>
      </c>
      <c r="AH171" t="s">
        <v>84</v>
      </c>
      <c r="AJ171" t="s">
        <v>84</v>
      </c>
      <c r="AK171" t="s">
        <v>84</v>
      </c>
      <c r="AQ171" t="s">
        <v>84</v>
      </c>
      <c r="AT171" t="s">
        <v>84</v>
      </c>
      <c r="AU171" t="s">
        <v>84</v>
      </c>
      <c r="AV171" t="s">
        <v>84</v>
      </c>
      <c r="AX171" t="s">
        <v>84</v>
      </c>
      <c r="BA171" t="s">
        <v>84</v>
      </c>
      <c r="BB171" t="s">
        <v>84</v>
      </c>
      <c r="BG171" t="s">
        <v>84</v>
      </c>
      <c r="BJ171" t="s">
        <v>84</v>
      </c>
      <c r="BK171" t="s">
        <v>84</v>
      </c>
      <c r="BM171" t="s">
        <v>84</v>
      </c>
      <c r="BS171" t="s">
        <v>84</v>
      </c>
      <c r="BT171" t="s">
        <v>84</v>
      </c>
      <c r="BU171">
        <v>0</v>
      </c>
      <c r="BV171">
        <v>0</v>
      </c>
      <c r="BW171">
        <v>836563.7093333333</v>
      </c>
    </row>
    <row r="172" spans="1:75" x14ac:dyDescent="0.25">
      <c r="A172">
        <v>334</v>
      </c>
      <c r="B172" s="1">
        <v>45128.794444444444</v>
      </c>
      <c r="C172" t="s">
        <v>366</v>
      </c>
      <c r="D172" t="s">
        <v>73</v>
      </c>
      <c r="E172" t="s">
        <v>74</v>
      </c>
      <c r="F172">
        <v>1</v>
      </c>
      <c r="G172" t="s">
        <v>258</v>
      </c>
      <c r="H172" t="s">
        <v>297</v>
      </c>
      <c r="I172" t="s">
        <v>338</v>
      </c>
      <c r="J172" t="s">
        <v>367</v>
      </c>
      <c r="K172" t="s">
        <v>188</v>
      </c>
      <c r="L172" t="s">
        <v>80</v>
      </c>
      <c r="M172" t="s">
        <v>366</v>
      </c>
      <c r="N172" t="s">
        <v>373</v>
      </c>
      <c r="O172" t="s">
        <v>82</v>
      </c>
      <c r="P172">
        <v>879045.36300000001</v>
      </c>
      <c r="Q172" t="s">
        <v>83</v>
      </c>
      <c r="R172">
        <v>836563.70929999999</v>
      </c>
      <c r="T172">
        <v>1</v>
      </c>
      <c r="X172">
        <v>1</v>
      </c>
      <c r="Z172">
        <v>45045</v>
      </c>
      <c r="AA172">
        <v>91200</v>
      </c>
      <c r="AE172" t="s">
        <v>84</v>
      </c>
      <c r="AG172" t="s">
        <v>84</v>
      </c>
      <c r="AH172" t="s">
        <v>84</v>
      </c>
      <c r="AI172">
        <v>150000</v>
      </c>
      <c r="AJ172" t="s">
        <v>84</v>
      </c>
      <c r="AK172" t="s">
        <v>84</v>
      </c>
      <c r="AL172">
        <v>0</v>
      </c>
      <c r="AN172">
        <v>0</v>
      </c>
      <c r="AP172">
        <v>37400</v>
      </c>
      <c r="AQ172" t="s">
        <v>84</v>
      </c>
      <c r="AR172">
        <v>2000</v>
      </c>
      <c r="AT172" t="s">
        <v>84</v>
      </c>
      <c r="AU172" t="s">
        <v>84</v>
      </c>
      <c r="AV172" t="s">
        <v>84</v>
      </c>
      <c r="AW172">
        <v>23170</v>
      </c>
      <c r="AX172" t="s">
        <v>84</v>
      </c>
      <c r="AY172">
        <v>12000</v>
      </c>
      <c r="BA172" t="s">
        <v>84</v>
      </c>
      <c r="BB172" t="s">
        <v>84</v>
      </c>
      <c r="BC172">
        <v>27000</v>
      </c>
      <c r="BD172">
        <v>141713</v>
      </c>
      <c r="BG172" t="s">
        <v>84</v>
      </c>
      <c r="BH172">
        <v>8500</v>
      </c>
      <c r="BI172">
        <v>114307.05</v>
      </c>
      <c r="BJ172" t="s">
        <v>84</v>
      </c>
      <c r="BK172" t="s">
        <v>84</v>
      </c>
      <c r="BM172" t="s">
        <v>84</v>
      </c>
      <c r="BP172">
        <v>45320</v>
      </c>
      <c r="BQ172">
        <v>0</v>
      </c>
      <c r="BR172">
        <v>0</v>
      </c>
      <c r="BS172" t="s">
        <v>84</v>
      </c>
      <c r="BT172" t="s">
        <v>84</v>
      </c>
      <c r="BU172">
        <v>0</v>
      </c>
      <c r="BV172">
        <v>0</v>
      </c>
      <c r="BW172">
        <v>836563.7093333333</v>
      </c>
    </row>
    <row r="173" spans="1:75" x14ac:dyDescent="0.25">
      <c r="A173">
        <v>334</v>
      </c>
      <c r="B173" s="1">
        <v>45128.794444444444</v>
      </c>
      <c r="C173" t="s">
        <v>366</v>
      </c>
      <c r="D173" t="s">
        <v>73</v>
      </c>
      <c r="E173" t="s">
        <v>74</v>
      </c>
      <c r="F173">
        <v>0</v>
      </c>
      <c r="G173" t="s">
        <v>258</v>
      </c>
      <c r="H173" t="s">
        <v>297</v>
      </c>
      <c r="I173" t="s">
        <v>338</v>
      </c>
      <c r="J173" t="s">
        <v>367</v>
      </c>
      <c r="K173" t="s">
        <v>84</v>
      </c>
      <c r="L173" t="s">
        <v>80</v>
      </c>
      <c r="M173" t="s">
        <v>366</v>
      </c>
      <c r="N173" t="s">
        <v>374</v>
      </c>
      <c r="O173" t="s">
        <v>82</v>
      </c>
      <c r="P173">
        <v>906544.9</v>
      </c>
      <c r="Q173" t="s">
        <v>83</v>
      </c>
      <c r="AE173" t="s">
        <v>84</v>
      </c>
      <c r="AG173" t="s">
        <v>84</v>
      </c>
      <c r="AH173" t="s">
        <v>84</v>
      </c>
      <c r="AJ173" t="s">
        <v>84</v>
      </c>
      <c r="AK173" t="s">
        <v>84</v>
      </c>
      <c r="AQ173" t="s">
        <v>84</v>
      </c>
      <c r="AT173" t="s">
        <v>84</v>
      </c>
      <c r="AU173" t="s">
        <v>84</v>
      </c>
      <c r="AV173" t="s">
        <v>84</v>
      </c>
      <c r="AX173" t="s">
        <v>84</v>
      </c>
      <c r="BA173" t="s">
        <v>84</v>
      </c>
      <c r="BB173" t="s">
        <v>84</v>
      </c>
      <c r="BG173" t="s">
        <v>84</v>
      </c>
      <c r="BJ173" t="s">
        <v>84</v>
      </c>
      <c r="BK173" t="s">
        <v>84</v>
      </c>
      <c r="BM173" t="s">
        <v>84</v>
      </c>
      <c r="BS173" t="s">
        <v>84</v>
      </c>
      <c r="BT173" t="s">
        <v>84</v>
      </c>
      <c r="BU173">
        <v>0</v>
      </c>
      <c r="BV173">
        <v>0</v>
      </c>
      <c r="BW173">
        <v>836563.7093333333</v>
      </c>
    </row>
    <row r="174" spans="1:75" x14ac:dyDescent="0.25">
      <c r="A174">
        <v>334</v>
      </c>
      <c r="B174" s="1">
        <v>45128.794444444444</v>
      </c>
      <c r="C174" t="s">
        <v>366</v>
      </c>
      <c r="D174" t="s">
        <v>73</v>
      </c>
      <c r="E174" t="s">
        <v>74</v>
      </c>
      <c r="F174">
        <v>0</v>
      </c>
      <c r="G174" t="s">
        <v>258</v>
      </c>
      <c r="H174" t="s">
        <v>297</v>
      </c>
      <c r="I174" t="s">
        <v>338</v>
      </c>
      <c r="J174" t="s">
        <v>367</v>
      </c>
      <c r="K174" t="s">
        <v>84</v>
      </c>
      <c r="L174" t="s">
        <v>106</v>
      </c>
      <c r="M174" t="s">
        <v>366</v>
      </c>
      <c r="N174" t="s">
        <v>375</v>
      </c>
      <c r="O174" t="s">
        <v>82</v>
      </c>
      <c r="P174">
        <v>11382.987499999999</v>
      </c>
      <c r="Q174" t="s">
        <v>83</v>
      </c>
      <c r="X174">
        <v>1</v>
      </c>
      <c r="AE174" t="s">
        <v>84</v>
      </c>
      <c r="AG174" t="s">
        <v>84</v>
      </c>
      <c r="AH174" t="s">
        <v>84</v>
      </c>
      <c r="AJ174" t="s">
        <v>84</v>
      </c>
      <c r="AK174" t="s">
        <v>84</v>
      </c>
      <c r="AQ174" t="s">
        <v>84</v>
      </c>
      <c r="AT174" t="s">
        <v>84</v>
      </c>
      <c r="AU174" t="s">
        <v>84</v>
      </c>
      <c r="AV174" t="s">
        <v>84</v>
      </c>
      <c r="AX174" t="s">
        <v>84</v>
      </c>
      <c r="BA174" t="s">
        <v>84</v>
      </c>
      <c r="BB174" t="s">
        <v>84</v>
      </c>
      <c r="BG174" t="s">
        <v>84</v>
      </c>
      <c r="BJ174" t="s">
        <v>84</v>
      </c>
      <c r="BK174" t="s">
        <v>84</v>
      </c>
      <c r="BM174" t="s">
        <v>84</v>
      </c>
      <c r="BS174" t="s">
        <v>84</v>
      </c>
      <c r="BT174" t="s">
        <v>84</v>
      </c>
      <c r="BU174">
        <v>0</v>
      </c>
      <c r="BV174">
        <v>0</v>
      </c>
      <c r="BW174">
        <v>10274.885833333334</v>
      </c>
    </row>
    <row r="175" spans="1:75" x14ac:dyDescent="0.25">
      <c r="A175">
        <v>334</v>
      </c>
      <c r="B175" s="1">
        <v>45128.794444444444</v>
      </c>
      <c r="C175" t="s">
        <v>366</v>
      </c>
      <c r="D175" t="s">
        <v>73</v>
      </c>
      <c r="E175" t="s">
        <v>74</v>
      </c>
      <c r="F175">
        <v>1</v>
      </c>
      <c r="G175" t="s">
        <v>258</v>
      </c>
      <c r="H175" t="s">
        <v>297</v>
      </c>
      <c r="I175" t="s">
        <v>338</v>
      </c>
      <c r="J175" t="s">
        <v>367</v>
      </c>
      <c r="K175" t="s">
        <v>188</v>
      </c>
      <c r="L175" t="s">
        <v>106</v>
      </c>
      <c r="M175" t="s">
        <v>366</v>
      </c>
      <c r="N175" t="s">
        <v>376</v>
      </c>
      <c r="O175" t="s">
        <v>82</v>
      </c>
      <c r="P175">
        <v>10303.77</v>
      </c>
      <c r="Q175" t="s">
        <v>83</v>
      </c>
      <c r="R175">
        <v>10274.885829999999</v>
      </c>
      <c r="T175">
        <v>1</v>
      </c>
      <c r="X175">
        <v>1</v>
      </c>
      <c r="AE175" t="s">
        <v>84</v>
      </c>
      <c r="AF175">
        <v>5050</v>
      </c>
      <c r="AG175" t="s">
        <v>84</v>
      </c>
      <c r="AH175" t="s">
        <v>84</v>
      </c>
      <c r="AJ175" t="s">
        <v>84</v>
      </c>
      <c r="AK175" t="s">
        <v>84</v>
      </c>
      <c r="AQ175" t="s">
        <v>84</v>
      </c>
      <c r="AT175" t="s">
        <v>84</v>
      </c>
      <c r="AU175" t="s">
        <v>84</v>
      </c>
      <c r="AV175" t="s">
        <v>84</v>
      </c>
      <c r="AX175" t="s">
        <v>84</v>
      </c>
      <c r="BA175" t="s">
        <v>84</v>
      </c>
      <c r="BB175" t="s">
        <v>84</v>
      </c>
      <c r="BE175">
        <v>1490</v>
      </c>
      <c r="BG175" t="s">
        <v>84</v>
      </c>
      <c r="BJ175" t="s">
        <v>84</v>
      </c>
      <c r="BK175" t="s">
        <v>84</v>
      </c>
      <c r="BM175" t="s">
        <v>84</v>
      </c>
      <c r="BS175" t="s">
        <v>84</v>
      </c>
      <c r="BT175" t="s">
        <v>84</v>
      </c>
      <c r="BU175">
        <v>0</v>
      </c>
      <c r="BV175">
        <v>0</v>
      </c>
      <c r="BW175">
        <v>10274.885833333334</v>
      </c>
    </row>
    <row r="176" spans="1:75" x14ac:dyDescent="0.25">
      <c r="A176">
        <v>334</v>
      </c>
      <c r="B176" s="1">
        <v>45128.794444444444</v>
      </c>
      <c r="C176" t="s">
        <v>366</v>
      </c>
      <c r="D176" t="s">
        <v>73</v>
      </c>
      <c r="E176" t="s">
        <v>74</v>
      </c>
      <c r="F176">
        <v>0</v>
      </c>
      <c r="G176" t="s">
        <v>258</v>
      </c>
      <c r="H176" t="s">
        <v>297</v>
      </c>
      <c r="I176" t="s">
        <v>338</v>
      </c>
      <c r="J176" t="s">
        <v>367</v>
      </c>
      <c r="K176" t="s">
        <v>84</v>
      </c>
      <c r="L176" t="s">
        <v>106</v>
      </c>
      <c r="M176" t="s">
        <v>366</v>
      </c>
      <c r="N176" t="s">
        <v>377</v>
      </c>
      <c r="O176" t="s">
        <v>82</v>
      </c>
      <c r="P176">
        <v>9137.9</v>
      </c>
      <c r="Q176" t="s">
        <v>83</v>
      </c>
      <c r="AE176" t="s">
        <v>84</v>
      </c>
      <c r="AG176" t="s">
        <v>84</v>
      </c>
      <c r="AH176" t="s">
        <v>84</v>
      </c>
      <c r="AJ176" t="s">
        <v>84</v>
      </c>
      <c r="AK176" t="s">
        <v>84</v>
      </c>
      <c r="AQ176" t="s">
        <v>84</v>
      </c>
      <c r="AT176" t="s">
        <v>84</v>
      </c>
      <c r="AU176" t="s">
        <v>84</v>
      </c>
      <c r="AV176" t="s">
        <v>84</v>
      </c>
      <c r="AX176" t="s">
        <v>84</v>
      </c>
      <c r="BA176" t="s">
        <v>84</v>
      </c>
      <c r="BB176" t="s">
        <v>84</v>
      </c>
      <c r="BG176" t="s">
        <v>84</v>
      </c>
      <c r="BJ176" t="s">
        <v>84</v>
      </c>
      <c r="BK176" t="s">
        <v>84</v>
      </c>
      <c r="BM176" t="s">
        <v>84</v>
      </c>
      <c r="BS176" t="s">
        <v>84</v>
      </c>
      <c r="BT176" t="s">
        <v>84</v>
      </c>
      <c r="BU176">
        <v>0</v>
      </c>
      <c r="BV176">
        <v>0</v>
      </c>
      <c r="BW176">
        <v>10274.885833333334</v>
      </c>
    </row>
    <row r="177" spans="1:75" x14ac:dyDescent="0.25">
      <c r="A177">
        <v>334</v>
      </c>
      <c r="B177" s="1">
        <v>45128.794444444444</v>
      </c>
      <c r="C177" t="s">
        <v>366</v>
      </c>
      <c r="D177" t="s">
        <v>73</v>
      </c>
      <c r="E177" t="s">
        <v>74</v>
      </c>
      <c r="F177">
        <v>0</v>
      </c>
      <c r="G177" t="s">
        <v>258</v>
      </c>
      <c r="H177" t="s">
        <v>297</v>
      </c>
      <c r="I177" t="s">
        <v>338</v>
      </c>
      <c r="J177" t="s">
        <v>367</v>
      </c>
      <c r="K177" t="s">
        <v>84</v>
      </c>
      <c r="L177" t="s">
        <v>110</v>
      </c>
      <c r="M177" t="s">
        <v>366</v>
      </c>
      <c r="N177" t="s">
        <v>378</v>
      </c>
      <c r="O177" t="s">
        <v>82</v>
      </c>
      <c r="P177">
        <v>13696</v>
      </c>
      <c r="Q177" t="s">
        <v>83</v>
      </c>
      <c r="X177">
        <v>1</v>
      </c>
      <c r="AE177" t="s">
        <v>84</v>
      </c>
      <c r="AG177" t="s">
        <v>84</v>
      </c>
      <c r="AH177" t="s">
        <v>84</v>
      </c>
      <c r="AJ177" t="s">
        <v>84</v>
      </c>
      <c r="AK177" t="s">
        <v>84</v>
      </c>
      <c r="AQ177" t="s">
        <v>84</v>
      </c>
      <c r="AT177" t="s">
        <v>84</v>
      </c>
      <c r="AU177" t="s">
        <v>84</v>
      </c>
      <c r="AV177" t="s">
        <v>84</v>
      </c>
      <c r="AX177" t="s">
        <v>84</v>
      </c>
      <c r="BA177" t="s">
        <v>84</v>
      </c>
      <c r="BB177" t="s">
        <v>84</v>
      </c>
      <c r="BG177" t="s">
        <v>84</v>
      </c>
      <c r="BJ177" t="s">
        <v>84</v>
      </c>
      <c r="BK177" t="s">
        <v>84</v>
      </c>
      <c r="BM177" t="s">
        <v>84</v>
      </c>
      <c r="BS177" t="s">
        <v>84</v>
      </c>
      <c r="BT177" t="s">
        <v>84</v>
      </c>
      <c r="BU177">
        <v>0</v>
      </c>
      <c r="BV177">
        <v>0</v>
      </c>
      <c r="BW177">
        <v>8960</v>
      </c>
    </row>
    <row r="178" spans="1:75" x14ac:dyDescent="0.25">
      <c r="A178">
        <v>334</v>
      </c>
      <c r="B178" s="1">
        <v>45128.794444444444</v>
      </c>
      <c r="C178" t="s">
        <v>366</v>
      </c>
      <c r="D178" t="s">
        <v>73</v>
      </c>
      <c r="E178" t="s">
        <v>74</v>
      </c>
      <c r="F178">
        <v>1</v>
      </c>
      <c r="G178" t="s">
        <v>258</v>
      </c>
      <c r="H178" t="s">
        <v>297</v>
      </c>
      <c r="I178" t="s">
        <v>338</v>
      </c>
      <c r="J178" t="s">
        <v>367</v>
      </c>
      <c r="K178" t="s">
        <v>188</v>
      </c>
      <c r="L178" t="s">
        <v>110</v>
      </c>
      <c r="M178" t="s">
        <v>366</v>
      </c>
      <c r="N178" t="s">
        <v>379</v>
      </c>
      <c r="O178" t="s">
        <v>82</v>
      </c>
      <c r="P178">
        <v>6656</v>
      </c>
      <c r="Q178" t="s">
        <v>83</v>
      </c>
      <c r="R178">
        <v>8960</v>
      </c>
      <c r="T178">
        <v>1</v>
      </c>
      <c r="X178">
        <v>1</v>
      </c>
      <c r="Z178">
        <v>0</v>
      </c>
      <c r="AA178">
        <v>0</v>
      </c>
      <c r="AE178" t="s">
        <v>84</v>
      </c>
      <c r="AG178" t="s">
        <v>84</v>
      </c>
      <c r="AH178" t="s">
        <v>84</v>
      </c>
      <c r="AI178">
        <v>0</v>
      </c>
      <c r="AJ178" t="s">
        <v>84</v>
      </c>
      <c r="AK178" t="s">
        <v>84</v>
      </c>
      <c r="AL178">
        <v>0</v>
      </c>
      <c r="AN178">
        <v>0</v>
      </c>
      <c r="AP178">
        <v>0</v>
      </c>
      <c r="AQ178" t="s">
        <v>84</v>
      </c>
      <c r="AR178">
        <v>0</v>
      </c>
      <c r="AT178" t="s">
        <v>84</v>
      </c>
      <c r="AU178" t="s">
        <v>84</v>
      </c>
      <c r="AV178" t="s">
        <v>84</v>
      </c>
      <c r="AW178">
        <v>0</v>
      </c>
      <c r="AX178" t="s">
        <v>84</v>
      </c>
      <c r="AY178">
        <v>5200</v>
      </c>
      <c r="BA178" t="s">
        <v>84</v>
      </c>
      <c r="BB178" t="s">
        <v>84</v>
      </c>
      <c r="BC178">
        <v>0</v>
      </c>
      <c r="BD178">
        <v>0</v>
      </c>
      <c r="BG178" t="s">
        <v>84</v>
      </c>
      <c r="BH178">
        <v>0</v>
      </c>
      <c r="BI178">
        <v>0</v>
      </c>
      <c r="BJ178" t="s">
        <v>84</v>
      </c>
      <c r="BK178" t="s">
        <v>84</v>
      </c>
      <c r="BM178" t="s">
        <v>84</v>
      </c>
      <c r="BP178">
        <v>0</v>
      </c>
      <c r="BQ178">
        <v>0</v>
      </c>
      <c r="BR178">
        <v>0</v>
      </c>
      <c r="BS178" t="s">
        <v>84</v>
      </c>
      <c r="BT178" t="s">
        <v>84</v>
      </c>
      <c r="BU178">
        <v>0</v>
      </c>
      <c r="BV178">
        <v>0</v>
      </c>
      <c r="BW178">
        <v>8960</v>
      </c>
    </row>
    <row r="179" spans="1:75" x14ac:dyDescent="0.25">
      <c r="A179">
        <v>334</v>
      </c>
      <c r="B179" s="1">
        <v>45128.794444444444</v>
      </c>
      <c r="C179" t="s">
        <v>366</v>
      </c>
      <c r="D179" t="s">
        <v>73</v>
      </c>
      <c r="E179" t="s">
        <v>74</v>
      </c>
      <c r="F179">
        <v>0</v>
      </c>
      <c r="G179" t="s">
        <v>258</v>
      </c>
      <c r="H179" t="s">
        <v>297</v>
      </c>
      <c r="I179" t="s">
        <v>338</v>
      </c>
      <c r="J179" t="s">
        <v>367</v>
      </c>
      <c r="K179" t="s">
        <v>84</v>
      </c>
      <c r="L179" t="s">
        <v>110</v>
      </c>
      <c r="M179" t="s">
        <v>366</v>
      </c>
      <c r="N179" t="s">
        <v>380</v>
      </c>
      <c r="O179" t="s">
        <v>82</v>
      </c>
      <c r="P179">
        <v>6528</v>
      </c>
      <c r="Q179" t="s">
        <v>83</v>
      </c>
      <c r="AE179" t="s">
        <v>84</v>
      </c>
      <c r="AG179" t="s">
        <v>84</v>
      </c>
      <c r="AH179" t="s">
        <v>84</v>
      </c>
      <c r="AJ179" t="s">
        <v>84</v>
      </c>
      <c r="AK179" t="s">
        <v>84</v>
      </c>
      <c r="AQ179" t="s">
        <v>84</v>
      </c>
      <c r="AT179" t="s">
        <v>84</v>
      </c>
      <c r="AU179" t="s">
        <v>84</v>
      </c>
      <c r="AV179" t="s">
        <v>84</v>
      </c>
      <c r="AX179" t="s">
        <v>84</v>
      </c>
      <c r="BA179" t="s">
        <v>84</v>
      </c>
      <c r="BB179" t="s">
        <v>84</v>
      </c>
      <c r="BG179" t="s">
        <v>84</v>
      </c>
      <c r="BJ179" t="s">
        <v>84</v>
      </c>
      <c r="BK179" t="s">
        <v>84</v>
      </c>
      <c r="BM179" t="s">
        <v>84</v>
      </c>
      <c r="BS179" t="s">
        <v>84</v>
      </c>
      <c r="BT179" t="s">
        <v>84</v>
      </c>
      <c r="BU179">
        <v>0</v>
      </c>
      <c r="BV179">
        <v>0</v>
      </c>
      <c r="BW179">
        <v>8960</v>
      </c>
    </row>
    <row r="180" spans="1:75" x14ac:dyDescent="0.25">
      <c r="A180">
        <v>334</v>
      </c>
      <c r="B180" s="1">
        <v>45128.794444444444</v>
      </c>
      <c r="C180" t="s">
        <v>366</v>
      </c>
      <c r="D180" t="s">
        <v>73</v>
      </c>
      <c r="E180" t="s">
        <v>74</v>
      </c>
      <c r="F180">
        <v>0</v>
      </c>
      <c r="G180" t="s">
        <v>258</v>
      </c>
      <c r="H180" t="s">
        <v>297</v>
      </c>
      <c r="I180" t="s">
        <v>338</v>
      </c>
      <c r="J180" t="s">
        <v>367</v>
      </c>
      <c r="K180" t="s">
        <v>84</v>
      </c>
      <c r="L180" t="s">
        <v>87</v>
      </c>
      <c r="M180" t="s">
        <v>366</v>
      </c>
      <c r="N180" t="s">
        <v>381</v>
      </c>
      <c r="O180" t="s">
        <v>82</v>
      </c>
      <c r="P180">
        <v>131904.32500000001</v>
      </c>
      <c r="Q180" t="s">
        <v>83</v>
      </c>
      <c r="W180">
        <v>1</v>
      </c>
      <c r="X180">
        <v>1</v>
      </c>
      <c r="AE180" t="s">
        <v>84</v>
      </c>
      <c r="AG180" t="s">
        <v>84</v>
      </c>
      <c r="AH180" t="s">
        <v>84</v>
      </c>
      <c r="AJ180" t="s">
        <v>84</v>
      </c>
      <c r="AK180" t="s">
        <v>84</v>
      </c>
      <c r="AQ180" t="s">
        <v>84</v>
      </c>
      <c r="AT180" t="s">
        <v>84</v>
      </c>
      <c r="AU180" t="s">
        <v>84</v>
      </c>
      <c r="AV180" t="s">
        <v>84</v>
      </c>
      <c r="AX180" t="s">
        <v>84</v>
      </c>
      <c r="BA180" t="s">
        <v>84</v>
      </c>
      <c r="BB180" t="s">
        <v>84</v>
      </c>
      <c r="BG180" t="s">
        <v>84</v>
      </c>
      <c r="BJ180" t="s">
        <v>84</v>
      </c>
      <c r="BK180" t="s">
        <v>84</v>
      </c>
      <c r="BM180" t="s">
        <v>84</v>
      </c>
      <c r="BS180" t="s">
        <v>84</v>
      </c>
      <c r="BT180" t="s">
        <v>84</v>
      </c>
      <c r="BU180">
        <v>0</v>
      </c>
      <c r="BV180">
        <v>0</v>
      </c>
      <c r="BW180">
        <v>108672.35555666668</v>
      </c>
    </row>
    <row r="181" spans="1:75" x14ac:dyDescent="0.25">
      <c r="A181">
        <v>334</v>
      </c>
      <c r="B181" s="1">
        <v>45128.794444444444</v>
      </c>
      <c r="C181" t="s">
        <v>366</v>
      </c>
      <c r="D181" t="s">
        <v>73</v>
      </c>
      <c r="E181" t="s">
        <v>74</v>
      </c>
      <c r="F181">
        <v>0</v>
      </c>
      <c r="G181" t="s">
        <v>258</v>
      </c>
      <c r="H181" t="s">
        <v>297</v>
      </c>
      <c r="I181" t="s">
        <v>338</v>
      </c>
      <c r="J181" t="s">
        <v>367</v>
      </c>
      <c r="K181" t="s">
        <v>84</v>
      </c>
      <c r="L181" t="s">
        <v>87</v>
      </c>
      <c r="M181" t="s">
        <v>382</v>
      </c>
      <c r="N181" t="s">
        <v>383</v>
      </c>
      <c r="O181" t="s">
        <v>82</v>
      </c>
      <c r="P181">
        <v>85172.616670000003</v>
      </c>
      <c r="Q181" t="s">
        <v>83</v>
      </c>
      <c r="AE181" t="s">
        <v>84</v>
      </c>
      <c r="AG181" t="s">
        <v>84</v>
      </c>
      <c r="AH181" t="s">
        <v>84</v>
      </c>
      <c r="AJ181" t="s">
        <v>84</v>
      </c>
      <c r="AK181" t="s">
        <v>84</v>
      </c>
      <c r="AQ181" t="s">
        <v>84</v>
      </c>
      <c r="AT181" t="s">
        <v>84</v>
      </c>
      <c r="AU181" t="s">
        <v>84</v>
      </c>
      <c r="AV181" t="s">
        <v>84</v>
      </c>
      <c r="AX181" t="s">
        <v>84</v>
      </c>
      <c r="BA181" t="s">
        <v>84</v>
      </c>
      <c r="BB181" t="s">
        <v>84</v>
      </c>
      <c r="BG181" t="s">
        <v>84</v>
      </c>
      <c r="BJ181" t="s">
        <v>84</v>
      </c>
      <c r="BK181" t="s">
        <v>84</v>
      </c>
      <c r="BM181" t="s">
        <v>84</v>
      </c>
      <c r="BS181" t="s">
        <v>84</v>
      </c>
      <c r="BT181" t="s">
        <v>84</v>
      </c>
      <c r="BU181">
        <v>0</v>
      </c>
      <c r="BV181">
        <v>0</v>
      </c>
      <c r="BW181">
        <v>108672.35555666668</v>
      </c>
    </row>
    <row r="182" spans="1:75" x14ac:dyDescent="0.25">
      <c r="A182">
        <v>334</v>
      </c>
      <c r="B182" s="1">
        <v>45128.794444444444</v>
      </c>
      <c r="C182" t="s">
        <v>366</v>
      </c>
      <c r="D182" t="s">
        <v>73</v>
      </c>
      <c r="E182" t="s">
        <v>74</v>
      </c>
      <c r="F182">
        <v>1</v>
      </c>
      <c r="G182" t="s">
        <v>258</v>
      </c>
      <c r="H182" t="s">
        <v>297</v>
      </c>
      <c r="I182" t="s">
        <v>338</v>
      </c>
      <c r="J182" t="s">
        <v>367</v>
      </c>
      <c r="K182" t="s">
        <v>384</v>
      </c>
      <c r="L182" t="s">
        <v>87</v>
      </c>
      <c r="M182" t="s">
        <v>366</v>
      </c>
      <c r="N182" t="s">
        <v>385</v>
      </c>
      <c r="O182" t="s">
        <v>82</v>
      </c>
      <c r="P182">
        <v>108940.125</v>
      </c>
      <c r="Q182" t="s">
        <v>83</v>
      </c>
      <c r="R182">
        <v>108672.3556</v>
      </c>
      <c r="AE182" t="s">
        <v>84</v>
      </c>
      <c r="AG182" t="s">
        <v>84</v>
      </c>
      <c r="AH182" t="s">
        <v>84</v>
      </c>
      <c r="AJ182" t="s">
        <v>84</v>
      </c>
      <c r="AK182" t="s">
        <v>84</v>
      </c>
      <c r="AL182">
        <v>18100</v>
      </c>
      <c r="AM182">
        <v>27700</v>
      </c>
      <c r="AN182">
        <v>22750</v>
      </c>
      <c r="AO182">
        <v>10920</v>
      </c>
      <c r="AQ182" t="s">
        <v>84</v>
      </c>
      <c r="AT182" t="s">
        <v>84</v>
      </c>
      <c r="AU182" t="s">
        <v>84</v>
      </c>
      <c r="AV182" t="s">
        <v>84</v>
      </c>
      <c r="AX182" t="s">
        <v>84</v>
      </c>
      <c r="BA182" t="s">
        <v>84</v>
      </c>
      <c r="BB182" t="s">
        <v>84</v>
      </c>
      <c r="BG182" t="s">
        <v>84</v>
      </c>
      <c r="BJ182" t="s">
        <v>84</v>
      </c>
      <c r="BK182" t="s">
        <v>84</v>
      </c>
      <c r="BM182" t="s">
        <v>84</v>
      </c>
      <c r="BS182" t="s">
        <v>84</v>
      </c>
      <c r="BT182" t="s">
        <v>84</v>
      </c>
      <c r="BU182">
        <v>0</v>
      </c>
      <c r="BV182">
        <v>0</v>
      </c>
      <c r="BW182">
        <v>108672.35555666668</v>
      </c>
    </row>
    <row r="183" spans="1:75" x14ac:dyDescent="0.25">
      <c r="A183">
        <v>334</v>
      </c>
      <c r="B183" s="1">
        <v>45128.794444444444</v>
      </c>
      <c r="C183" t="s">
        <v>366</v>
      </c>
      <c r="D183" t="s">
        <v>73</v>
      </c>
      <c r="E183" t="s">
        <v>74</v>
      </c>
      <c r="F183">
        <v>0</v>
      </c>
      <c r="G183" t="s">
        <v>258</v>
      </c>
      <c r="H183" t="s">
        <v>297</v>
      </c>
      <c r="I183" t="s">
        <v>338</v>
      </c>
      <c r="J183" t="s">
        <v>367</v>
      </c>
      <c r="K183" t="s">
        <v>84</v>
      </c>
      <c r="L183" t="s">
        <v>98</v>
      </c>
      <c r="M183" t="s">
        <v>386</v>
      </c>
      <c r="N183" t="s">
        <v>387</v>
      </c>
      <c r="O183" t="s">
        <v>82</v>
      </c>
      <c r="P183">
        <v>19100</v>
      </c>
      <c r="Q183" t="s">
        <v>83</v>
      </c>
      <c r="AE183" t="s">
        <v>84</v>
      </c>
      <c r="AG183" t="s">
        <v>84</v>
      </c>
      <c r="AH183" t="s">
        <v>84</v>
      </c>
      <c r="AJ183" t="s">
        <v>84</v>
      </c>
      <c r="AK183" t="s">
        <v>84</v>
      </c>
      <c r="AQ183" t="s">
        <v>84</v>
      </c>
      <c r="AT183" t="s">
        <v>84</v>
      </c>
      <c r="AU183" t="s">
        <v>84</v>
      </c>
      <c r="AV183" t="s">
        <v>84</v>
      </c>
      <c r="AX183" t="s">
        <v>84</v>
      </c>
      <c r="BA183" t="s">
        <v>84</v>
      </c>
      <c r="BB183" t="s">
        <v>84</v>
      </c>
      <c r="BG183" t="s">
        <v>84</v>
      </c>
      <c r="BJ183" t="s">
        <v>84</v>
      </c>
      <c r="BK183" t="s">
        <v>84</v>
      </c>
      <c r="BM183" t="s">
        <v>84</v>
      </c>
      <c r="BS183" t="s">
        <v>84</v>
      </c>
      <c r="BT183" t="s">
        <v>84</v>
      </c>
      <c r="BU183">
        <v>0</v>
      </c>
      <c r="BV183">
        <v>0</v>
      </c>
      <c r="BW183">
        <v>24616.666666666668</v>
      </c>
    </row>
    <row r="184" spans="1:75" x14ac:dyDescent="0.25">
      <c r="A184">
        <v>334</v>
      </c>
      <c r="B184" s="1">
        <v>45128.794444444444</v>
      </c>
      <c r="C184" t="s">
        <v>366</v>
      </c>
      <c r="D184" t="s">
        <v>73</v>
      </c>
      <c r="E184" t="s">
        <v>74</v>
      </c>
      <c r="F184">
        <v>0</v>
      </c>
      <c r="G184" t="s">
        <v>258</v>
      </c>
      <c r="H184" t="s">
        <v>297</v>
      </c>
      <c r="I184" t="s">
        <v>338</v>
      </c>
      <c r="J184" t="s">
        <v>367</v>
      </c>
      <c r="K184" t="s">
        <v>84</v>
      </c>
      <c r="L184" t="s">
        <v>98</v>
      </c>
      <c r="M184" t="s">
        <v>388</v>
      </c>
      <c r="N184" t="s">
        <v>389</v>
      </c>
      <c r="O184" t="s">
        <v>82</v>
      </c>
      <c r="P184">
        <v>24250</v>
      </c>
      <c r="Q184" t="s">
        <v>83</v>
      </c>
      <c r="V184">
        <v>1</v>
      </c>
      <c r="X184">
        <v>1</v>
      </c>
      <c r="AE184" t="s">
        <v>84</v>
      </c>
      <c r="AG184" t="s">
        <v>84</v>
      </c>
      <c r="AH184" t="s">
        <v>84</v>
      </c>
      <c r="AJ184" t="s">
        <v>84</v>
      </c>
      <c r="AK184" t="s">
        <v>84</v>
      </c>
      <c r="AQ184" t="s">
        <v>84</v>
      </c>
      <c r="AT184" t="s">
        <v>84</v>
      </c>
      <c r="AU184" t="s">
        <v>84</v>
      </c>
      <c r="AV184" t="s">
        <v>84</v>
      </c>
      <c r="AX184" t="s">
        <v>84</v>
      </c>
      <c r="BA184" t="s">
        <v>84</v>
      </c>
      <c r="BB184" t="s">
        <v>84</v>
      </c>
      <c r="BG184" t="s">
        <v>84</v>
      </c>
      <c r="BJ184" t="s">
        <v>84</v>
      </c>
      <c r="BK184" t="s">
        <v>84</v>
      </c>
      <c r="BM184" t="s">
        <v>84</v>
      </c>
      <c r="BS184" t="s">
        <v>84</v>
      </c>
      <c r="BT184" t="s">
        <v>84</v>
      </c>
      <c r="BU184">
        <v>0</v>
      </c>
      <c r="BV184">
        <v>0</v>
      </c>
      <c r="BW184">
        <v>24616.666666666668</v>
      </c>
    </row>
    <row r="185" spans="1:75" x14ac:dyDescent="0.25">
      <c r="A185">
        <v>334</v>
      </c>
      <c r="B185" s="1">
        <v>45128.794444444444</v>
      </c>
      <c r="C185" t="s">
        <v>366</v>
      </c>
      <c r="D185" t="s">
        <v>73</v>
      </c>
      <c r="E185" t="s">
        <v>74</v>
      </c>
      <c r="F185">
        <v>1</v>
      </c>
      <c r="G185" t="s">
        <v>258</v>
      </c>
      <c r="H185" t="s">
        <v>297</v>
      </c>
      <c r="I185" t="s">
        <v>260</v>
      </c>
      <c r="J185" t="s">
        <v>367</v>
      </c>
      <c r="K185" t="s">
        <v>203</v>
      </c>
      <c r="L185" t="s">
        <v>98</v>
      </c>
      <c r="M185" t="s">
        <v>390</v>
      </c>
      <c r="N185" t="s">
        <v>391</v>
      </c>
      <c r="O185" t="s">
        <v>82</v>
      </c>
      <c r="P185">
        <v>30500</v>
      </c>
      <c r="Q185" t="s">
        <v>83</v>
      </c>
      <c r="R185">
        <v>24616.666669999999</v>
      </c>
      <c r="V185">
        <v>1</v>
      </c>
      <c r="AE185" t="s">
        <v>84</v>
      </c>
      <c r="AG185" t="s">
        <v>84</v>
      </c>
      <c r="AH185" t="s">
        <v>84</v>
      </c>
      <c r="AJ185" t="s">
        <v>84</v>
      </c>
      <c r="AK185" t="s">
        <v>84</v>
      </c>
      <c r="AQ185" t="s">
        <v>84</v>
      </c>
      <c r="AS185">
        <v>30500</v>
      </c>
      <c r="AT185" t="s">
        <v>84</v>
      </c>
      <c r="AU185" t="s">
        <v>84</v>
      </c>
      <c r="AV185" t="s">
        <v>84</v>
      </c>
      <c r="AX185" t="s">
        <v>84</v>
      </c>
      <c r="BA185" t="s">
        <v>84</v>
      </c>
      <c r="BB185" t="s">
        <v>84</v>
      </c>
      <c r="BG185" t="s">
        <v>84</v>
      </c>
      <c r="BJ185" t="s">
        <v>84</v>
      </c>
      <c r="BK185" t="s">
        <v>84</v>
      </c>
      <c r="BM185" t="s">
        <v>84</v>
      </c>
      <c r="BS185" t="s">
        <v>84</v>
      </c>
      <c r="BT185" t="s">
        <v>84</v>
      </c>
      <c r="BU185">
        <v>0</v>
      </c>
      <c r="BV185">
        <v>0</v>
      </c>
      <c r="BW185">
        <v>24616.666666666668</v>
      </c>
    </row>
    <row r="186" spans="1:75" x14ac:dyDescent="0.25">
      <c r="A186">
        <v>334</v>
      </c>
      <c r="B186" s="1">
        <v>45128.794444444444</v>
      </c>
      <c r="C186" t="s">
        <v>366</v>
      </c>
      <c r="D186" t="s">
        <v>73</v>
      </c>
      <c r="E186" t="s">
        <v>74</v>
      </c>
      <c r="F186">
        <v>0</v>
      </c>
      <c r="G186" t="s">
        <v>258</v>
      </c>
      <c r="H186" t="s">
        <v>297</v>
      </c>
      <c r="I186" t="s">
        <v>260</v>
      </c>
      <c r="J186" t="s">
        <v>367</v>
      </c>
      <c r="K186" t="s">
        <v>84</v>
      </c>
      <c r="L186" t="s">
        <v>125</v>
      </c>
      <c r="M186" t="s">
        <v>392</v>
      </c>
      <c r="N186" t="s">
        <v>393</v>
      </c>
      <c r="O186" t="s">
        <v>82</v>
      </c>
      <c r="P186">
        <v>52050</v>
      </c>
      <c r="Q186" t="s">
        <v>83</v>
      </c>
      <c r="X186">
        <v>1</v>
      </c>
      <c r="AE186" t="s">
        <v>84</v>
      </c>
      <c r="AG186" t="s">
        <v>84</v>
      </c>
      <c r="AH186" t="s">
        <v>84</v>
      </c>
      <c r="AJ186" t="s">
        <v>84</v>
      </c>
      <c r="AK186" t="s">
        <v>84</v>
      </c>
      <c r="AQ186" t="s">
        <v>84</v>
      </c>
      <c r="AT186" t="s">
        <v>84</v>
      </c>
      <c r="AU186" t="s">
        <v>84</v>
      </c>
      <c r="AV186" t="s">
        <v>84</v>
      </c>
      <c r="AX186" t="s">
        <v>84</v>
      </c>
      <c r="BA186" t="s">
        <v>84</v>
      </c>
      <c r="BB186" t="s">
        <v>84</v>
      </c>
      <c r="BG186" t="s">
        <v>84</v>
      </c>
      <c r="BJ186" t="s">
        <v>84</v>
      </c>
      <c r="BK186" t="s">
        <v>84</v>
      </c>
      <c r="BM186" t="s">
        <v>84</v>
      </c>
      <c r="BS186" t="s">
        <v>84</v>
      </c>
      <c r="BT186" t="s">
        <v>84</v>
      </c>
      <c r="BU186">
        <v>0</v>
      </c>
      <c r="BV186">
        <v>0</v>
      </c>
      <c r="BW186">
        <v>45025</v>
      </c>
    </row>
    <row r="187" spans="1:75" x14ac:dyDescent="0.25">
      <c r="A187">
        <v>334</v>
      </c>
      <c r="B187" s="1">
        <v>45128.794444444444</v>
      </c>
      <c r="C187" t="s">
        <v>366</v>
      </c>
      <c r="D187" t="s">
        <v>73</v>
      </c>
      <c r="E187" t="s">
        <v>74</v>
      </c>
      <c r="F187">
        <v>1</v>
      </c>
      <c r="G187" t="s">
        <v>258</v>
      </c>
      <c r="H187" t="s">
        <v>297</v>
      </c>
      <c r="I187" t="s">
        <v>260</v>
      </c>
      <c r="J187" t="s">
        <v>367</v>
      </c>
      <c r="K187" t="s">
        <v>394</v>
      </c>
      <c r="L187" t="s">
        <v>125</v>
      </c>
      <c r="M187" t="s">
        <v>395</v>
      </c>
      <c r="N187" t="s">
        <v>396</v>
      </c>
      <c r="O187" t="s">
        <v>82</v>
      </c>
      <c r="P187">
        <v>38000</v>
      </c>
      <c r="Q187" t="s">
        <v>83</v>
      </c>
      <c r="R187">
        <v>45025</v>
      </c>
      <c r="AE187" t="s">
        <v>84</v>
      </c>
      <c r="AG187" t="s">
        <v>84</v>
      </c>
      <c r="AH187" t="s">
        <v>84</v>
      </c>
      <c r="AJ187" t="s">
        <v>84</v>
      </c>
      <c r="AK187" t="s">
        <v>84</v>
      </c>
      <c r="AQ187" t="s">
        <v>84</v>
      </c>
      <c r="AT187" t="s">
        <v>84</v>
      </c>
      <c r="AU187" t="s">
        <v>84</v>
      </c>
      <c r="AV187" t="s">
        <v>84</v>
      </c>
      <c r="AX187" t="s">
        <v>84</v>
      </c>
      <c r="AZ187">
        <v>38000</v>
      </c>
      <c r="BA187" t="s">
        <v>84</v>
      </c>
      <c r="BB187" t="s">
        <v>84</v>
      </c>
      <c r="BG187" t="s">
        <v>84</v>
      </c>
      <c r="BJ187" t="s">
        <v>84</v>
      </c>
      <c r="BK187" t="s">
        <v>84</v>
      </c>
      <c r="BM187" t="s">
        <v>84</v>
      </c>
      <c r="BS187" t="s">
        <v>84</v>
      </c>
      <c r="BT187" t="s">
        <v>84</v>
      </c>
      <c r="BU187">
        <v>0</v>
      </c>
      <c r="BV187">
        <v>0</v>
      </c>
      <c r="BW187">
        <v>45025</v>
      </c>
    </row>
    <row r="188" spans="1:75" x14ac:dyDescent="0.25">
      <c r="A188">
        <v>334</v>
      </c>
      <c r="B188" s="1">
        <v>45128.794444444444</v>
      </c>
      <c r="C188" t="s">
        <v>366</v>
      </c>
      <c r="D188" t="s">
        <v>73</v>
      </c>
      <c r="E188" t="s">
        <v>74</v>
      </c>
      <c r="F188">
        <v>0</v>
      </c>
      <c r="G188" t="s">
        <v>258</v>
      </c>
      <c r="H188" t="s">
        <v>297</v>
      </c>
      <c r="I188" t="s">
        <v>260</v>
      </c>
      <c r="J188" t="s">
        <v>367</v>
      </c>
      <c r="K188" t="s">
        <v>84</v>
      </c>
      <c r="L188" t="s">
        <v>185</v>
      </c>
      <c r="M188" t="s">
        <v>366</v>
      </c>
      <c r="N188" t="s">
        <v>397</v>
      </c>
      <c r="O188" t="s">
        <v>82</v>
      </c>
      <c r="P188">
        <v>19693.75</v>
      </c>
      <c r="Q188" t="s">
        <v>83</v>
      </c>
      <c r="X188">
        <v>1</v>
      </c>
      <c r="AE188" t="s">
        <v>84</v>
      </c>
      <c r="AG188" t="s">
        <v>84</v>
      </c>
      <c r="AH188" t="s">
        <v>84</v>
      </c>
      <c r="AJ188" t="s">
        <v>84</v>
      </c>
      <c r="AK188" t="s">
        <v>84</v>
      </c>
      <c r="AQ188" t="s">
        <v>84</v>
      </c>
      <c r="AT188" t="s">
        <v>84</v>
      </c>
      <c r="AU188" t="s">
        <v>84</v>
      </c>
      <c r="AV188" t="s">
        <v>84</v>
      </c>
      <c r="AX188" t="s">
        <v>84</v>
      </c>
      <c r="BA188" t="s">
        <v>84</v>
      </c>
      <c r="BB188" t="s">
        <v>84</v>
      </c>
      <c r="BG188" t="s">
        <v>84</v>
      </c>
      <c r="BJ188" t="s">
        <v>84</v>
      </c>
      <c r="BK188" t="s">
        <v>84</v>
      </c>
      <c r="BM188" t="s">
        <v>84</v>
      </c>
      <c r="BS188" t="s">
        <v>84</v>
      </c>
      <c r="BT188" t="s">
        <v>84</v>
      </c>
      <c r="BU188">
        <v>0</v>
      </c>
      <c r="BV188">
        <v>0</v>
      </c>
      <c r="BW188">
        <v>15807.516666666666</v>
      </c>
    </row>
    <row r="189" spans="1:75" x14ac:dyDescent="0.25">
      <c r="A189">
        <v>334</v>
      </c>
      <c r="B189" s="1">
        <v>45128.794444444444</v>
      </c>
      <c r="C189" t="s">
        <v>366</v>
      </c>
      <c r="D189" t="s">
        <v>73</v>
      </c>
      <c r="E189" t="s">
        <v>74</v>
      </c>
      <c r="F189">
        <v>1</v>
      </c>
      <c r="G189" t="s">
        <v>258</v>
      </c>
      <c r="H189" t="s">
        <v>297</v>
      </c>
      <c r="I189" t="s">
        <v>260</v>
      </c>
      <c r="J189" t="s">
        <v>367</v>
      </c>
      <c r="K189" t="s">
        <v>188</v>
      </c>
      <c r="L189" t="s">
        <v>185</v>
      </c>
      <c r="M189" t="s">
        <v>366</v>
      </c>
      <c r="N189" t="s">
        <v>398</v>
      </c>
      <c r="O189" t="s">
        <v>82</v>
      </c>
      <c r="P189">
        <v>13155.424999999999</v>
      </c>
      <c r="Q189" t="s">
        <v>83</v>
      </c>
      <c r="R189">
        <v>15807.516670000001</v>
      </c>
      <c r="T189">
        <v>1</v>
      </c>
      <c r="X189">
        <v>1</v>
      </c>
      <c r="AC189">
        <v>8350</v>
      </c>
      <c r="AE189" t="s">
        <v>84</v>
      </c>
      <c r="AG189" t="s">
        <v>84</v>
      </c>
      <c r="AH189" t="s">
        <v>84</v>
      </c>
      <c r="AJ189" t="s">
        <v>84</v>
      </c>
      <c r="AK189" t="s">
        <v>84</v>
      </c>
      <c r="AQ189" t="s">
        <v>84</v>
      </c>
      <c r="AT189" t="s">
        <v>84</v>
      </c>
      <c r="AU189" t="s">
        <v>84</v>
      </c>
      <c r="AV189" t="s">
        <v>84</v>
      </c>
      <c r="AX189" t="s">
        <v>84</v>
      </c>
      <c r="BA189" t="s">
        <v>84</v>
      </c>
      <c r="BB189" t="s">
        <v>84</v>
      </c>
      <c r="BG189" t="s">
        <v>84</v>
      </c>
      <c r="BJ189" t="s">
        <v>84</v>
      </c>
      <c r="BK189" t="s">
        <v>84</v>
      </c>
      <c r="BM189" t="s">
        <v>84</v>
      </c>
      <c r="BS189" t="s">
        <v>84</v>
      </c>
      <c r="BT189" t="s">
        <v>84</v>
      </c>
      <c r="BU189">
        <v>0</v>
      </c>
      <c r="BV189">
        <v>0</v>
      </c>
      <c r="BW189">
        <v>15807.516666666666</v>
      </c>
    </row>
    <row r="190" spans="1:75" x14ac:dyDescent="0.25">
      <c r="A190">
        <v>334</v>
      </c>
      <c r="B190" s="1">
        <v>45128.794444444444</v>
      </c>
      <c r="C190" t="s">
        <v>366</v>
      </c>
      <c r="D190" t="s">
        <v>73</v>
      </c>
      <c r="E190" t="s">
        <v>74</v>
      </c>
      <c r="F190">
        <v>0</v>
      </c>
      <c r="G190" t="s">
        <v>258</v>
      </c>
      <c r="H190" t="s">
        <v>297</v>
      </c>
      <c r="I190" t="s">
        <v>260</v>
      </c>
      <c r="J190" t="s">
        <v>367</v>
      </c>
      <c r="K190" t="s">
        <v>84</v>
      </c>
      <c r="L190" t="s">
        <v>185</v>
      </c>
      <c r="M190" t="s">
        <v>366</v>
      </c>
      <c r="N190" t="s">
        <v>399</v>
      </c>
      <c r="O190" t="s">
        <v>82</v>
      </c>
      <c r="P190">
        <v>14573.375</v>
      </c>
      <c r="Q190" t="s">
        <v>83</v>
      </c>
      <c r="AE190" t="s">
        <v>84</v>
      </c>
      <c r="AG190" t="s">
        <v>84</v>
      </c>
      <c r="AH190" t="s">
        <v>84</v>
      </c>
      <c r="AJ190" t="s">
        <v>84</v>
      </c>
      <c r="AK190" t="s">
        <v>84</v>
      </c>
      <c r="AQ190" t="s">
        <v>84</v>
      </c>
      <c r="AT190" t="s">
        <v>84</v>
      </c>
      <c r="AU190" t="s">
        <v>84</v>
      </c>
      <c r="AV190" t="s">
        <v>84</v>
      </c>
      <c r="AX190" t="s">
        <v>84</v>
      </c>
      <c r="BA190" t="s">
        <v>84</v>
      </c>
      <c r="BB190" t="s">
        <v>84</v>
      </c>
      <c r="BG190" t="s">
        <v>84</v>
      </c>
      <c r="BJ190" t="s">
        <v>84</v>
      </c>
      <c r="BK190" t="s">
        <v>84</v>
      </c>
      <c r="BM190" t="s">
        <v>84</v>
      </c>
      <c r="BS190" t="s">
        <v>84</v>
      </c>
      <c r="BT190" t="s">
        <v>84</v>
      </c>
      <c r="BU190">
        <v>0</v>
      </c>
      <c r="BV190">
        <v>0</v>
      </c>
      <c r="BW190">
        <v>15807.516666666666</v>
      </c>
    </row>
    <row r="191" spans="1:75" x14ac:dyDescent="0.25">
      <c r="A191">
        <v>336</v>
      </c>
      <c r="B191" s="1">
        <v>45128.795138888891</v>
      </c>
      <c r="C191" t="s">
        <v>400</v>
      </c>
      <c r="D191" t="s">
        <v>73</v>
      </c>
      <c r="E191" t="s">
        <v>74</v>
      </c>
      <c r="F191">
        <v>0</v>
      </c>
      <c r="G191" t="s">
        <v>258</v>
      </c>
      <c r="H191" t="s">
        <v>297</v>
      </c>
      <c r="I191" t="s">
        <v>260</v>
      </c>
      <c r="J191" t="s">
        <v>367</v>
      </c>
      <c r="K191" t="s">
        <v>84</v>
      </c>
      <c r="L191" t="s">
        <v>92</v>
      </c>
      <c r="M191" t="s">
        <v>221</v>
      </c>
      <c r="N191" t="s">
        <v>401</v>
      </c>
      <c r="O191" t="s">
        <v>82</v>
      </c>
      <c r="P191">
        <v>68240</v>
      </c>
      <c r="Q191" t="s">
        <v>83</v>
      </c>
      <c r="AE191" t="s">
        <v>84</v>
      </c>
      <c r="AG191" t="s">
        <v>84</v>
      </c>
      <c r="AH191" t="s">
        <v>84</v>
      </c>
      <c r="AJ191" t="s">
        <v>84</v>
      </c>
      <c r="AK191" t="s">
        <v>84</v>
      </c>
      <c r="AQ191" t="s">
        <v>84</v>
      </c>
      <c r="AT191" t="s">
        <v>84</v>
      </c>
      <c r="AU191" t="s">
        <v>84</v>
      </c>
      <c r="AV191" t="s">
        <v>84</v>
      </c>
      <c r="AX191" t="s">
        <v>84</v>
      </c>
      <c r="BA191" t="s">
        <v>84</v>
      </c>
      <c r="BB191" t="s">
        <v>84</v>
      </c>
      <c r="BG191" t="s">
        <v>84</v>
      </c>
      <c r="BJ191" t="s">
        <v>84</v>
      </c>
      <c r="BK191" t="s">
        <v>84</v>
      </c>
      <c r="BM191" t="s">
        <v>84</v>
      </c>
      <c r="BS191" t="s">
        <v>84</v>
      </c>
      <c r="BT191" t="s">
        <v>84</v>
      </c>
      <c r="BU191">
        <v>0</v>
      </c>
      <c r="BV191">
        <v>0</v>
      </c>
      <c r="BW191">
        <v>42320</v>
      </c>
    </row>
    <row r="192" spans="1:75" x14ac:dyDescent="0.25">
      <c r="A192">
        <v>336</v>
      </c>
      <c r="B192" s="1">
        <v>45128.795138888891</v>
      </c>
      <c r="C192" t="s">
        <v>400</v>
      </c>
      <c r="D192" t="s">
        <v>73</v>
      </c>
      <c r="E192" t="s">
        <v>74</v>
      </c>
      <c r="F192">
        <v>1</v>
      </c>
      <c r="G192" t="s">
        <v>258</v>
      </c>
      <c r="H192" t="s">
        <v>297</v>
      </c>
      <c r="I192" t="s">
        <v>260</v>
      </c>
      <c r="J192" t="s">
        <v>367</v>
      </c>
      <c r="K192" t="s">
        <v>94</v>
      </c>
      <c r="L192" t="s">
        <v>92</v>
      </c>
      <c r="M192" t="s">
        <v>402</v>
      </c>
      <c r="N192" t="s">
        <v>343</v>
      </c>
      <c r="O192" t="s">
        <v>82</v>
      </c>
      <c r="P192">
        <v>28520</v>
      </c>
      <c r="Q192" t="s">
        <v>83</v>
      </c>
      <c r="R192">
        <v>42320</v>
      </c>
      <c r="AB192">
        <v>28520</v>
      </c>
      <c r="AE192" t="s">
        <v>84</v>
      </c>
      <c r="AG192" t="s">
        <v>84</v>
      </c>
      <c r="AH192" t="s">
        <v>84</v>
      </c>
      <c r="AJ192" t="s">
        <v>84</v>
      </c>
      <c r="AK192" t="s">
        <v>84</v>
      </c>
      <c r="AQ192" t="s">
        <v>84</v>
      </c>
      <c r="AT192" t="s">
        <v>84</v>
      </c>
      <c r="AU192" t="s">
        <v>84</v>
      </c>
      <c r="AV192" t="s">
        <v>84</v>
      </c>
      <c r="AX192" t="s">
        <v>84</v>
      </c>
      <c r="BA192" t="s">
        <v>84</v>
      </c>
      <c r="BB192" t="s">
        <v>84</v>
      </c>
      <c r="BG192" t="s">
        <v>84</v>
      </c>
      <c r="BJ192" t="s">
        <v>84</v>
      </c>
      <c r="BK192" t="s">
        <v>84</v>
      </c>
      <c r="BM192" t="s">
        <v>84</v>
      </c>
      <c r="BS192" t="s">
        <v>84</v>
      </c>
      <c r="BT192" t="s">
        <v>84</v>
      </c>
      <c r="BU192">
        <v>0</v>
      </c>
      <c r="BV192">
        <v>0</v>
      </c>
      <c r="BW192">
        <v>42320</v>
      </c>
    </row>
    <row r="193" spans="1:75" x14ac:dyDescent="0.25">
      <c r="A193">
        <v>336</v>
      </c>
      <c r="B193" s="1">
        <v>45128.795138888891</v>
      </c>
      <c r="C193" t="s">
        <v>400</v>
      </c>
      <c r="D193" t="s">
        <v>73</v>
      </c>
      <c r="E193" t="s">
        <v>74</v>
      </c>
      <c r="F193">
        <v>0</v>
      </c>
      <c r="G193" t="s">
        <v>258</v>
      </c>
      <c r="H193" t="s">
        <v>297</v>
      </c>
      <c r="I193" t="s">
        <v>260</v>
      </c>
      <c r="J193" t="s">
        <v>367</v>
      </c>
      <c r="K193" t="s">
        <v>84</v>
      </c>
      <c r="L193" t="s">
        <v>92</v>
      </c>
      <c r="M193" t="s">
        <v>403</v>
      </c>
      <c r="N193" t="s">
        <v>404</v>
      </c>
      <c r="O193" t="s">
        <v>82</v>
      </c>
      <c r="P193">
        <v>30200</v>
      </c>
      <c r="Q193" t="s">
        <v>83</v>
      </c>
      <c r="AE193" t="s">
        <v>84</v>
      </c>
      <c r="AG193" t="s">
        <v>84</v>
      </c>
      <c r="AH193" t="s">
        <v>84</v>
      </c>
      <c r="AJ193" t="s">
        <v>84</v>
      </c>
      <c r="AK193" t="s">
        <v>84</v>
      </c>
      <c r="AQ193" t="s">
        <v>84</v>
      </c>
      <c r="AT193" t="s">
        <v>84</v>
      </c>
      <c r="AU193" t="s">
        <v>84</v>
      </c>
      <c r="AV193" t="s">
        <v>84</v>
      </c>
      <c r="AX193" t="s">
        <v>84</v>
      </c>
      <c r="BA193" t="s">
        <v>84</v>
      </c>
      <c r="BB193" t="s">
        <v>84</v>
      </c>
      <c r="BG193" t="s">
        <v>84</v>
      </c>
      <c r="BJ193" t="s">
        <v>84</v>
      </c>
      <c r="BK193" t="s">
        <v>84</v>
      </c>
      <c r="BM193" t="s">
        <v>84</v>
      </c>
      <c r="BS193" t="s">
        <v>84</v>
      </c>
      <c r="BT193" t="s">
        <v>84</v>
      </c>
      <c r="BU193">
        <v>0</v>
      </c>
      <c r="BV193">
        <v>0</v>
      </c>
      <c r="BW193">
        <v>42320</v>
      </c>
    </row>
    <row r="194" spans="1:75" x14ac:dyDescent="0.25">
      <c r="A194">
        <v>336</v>
      </c>
      <c r="B194" s="1">
        <v>45128.795138888891</v>
      </c>
      <c r="C194" t="s">
        <v>400</v>
      </c>
      <c r="D194" t="s">
        <v>73</v>
      </c>
      <c r="E194" t="s">
        <v>74</v>
      </c>
      <c r="F194">
        <v>0</v>
      </c>
      <c r="G194" t="s">
        <v>258</v>
      </c>
      <c r="H194" t="s">
        <v>297</v>
      </c>
      <c r="I194" t="s">
        <v>260</v>
      </c>
      <c r="J194" t="s">
        <v>367</v>
      </c>
      <c r="K194" t="s">
        <v>84</v>
      </c>
      <c r="L194" t="s">
        <v>80</v>
      </c>
      <c r="M194" t="s">
        <v>400</v>
      </c>
      <c r="N194" t="s">
        <v>405</v>
      </c>
      <c r="O194" t="s">
        <v>82</v>
      </c>
      <c r="P194">
        <v>828919.11840000004</v>
      </c>
      <c r="Q194" t="s">
        <v>83</v>
      </c>
      <c r="AE194" t="s">
        <v>84</v>
      </c>
      <c r="AG194" t="s">
        <v>84</v>
      </c>
      <c r="AH194" t="s">
        <v>84</v>
      </c>
      <c r="AJ194" t="s">
        <v>84</v>
      </c>
      <c r="AK194" t="s">
        <v>84</v>
      </c>
      <c r="AQ194" t="s">
        <v>84</v>
      </c>
      <c r="AT194" t="s">
        <v>84</v>
      </c>
      <c r="AU194" t="s">
        <v>84</v>
      </c>
      <c r="AV194" t="s">
        <v>84</v>
      </c>
      <c r="AX194" t="s">
        <v>84</v>
      </c>
      <c r="BA194" t="s">
        <v>84</v>
      </c>
      <c r="BB194" t="s">
        <v>84</v>
      </c>
      <c r="BG194" t="s">
        <v>84</v>
      </c>
      <c r="BJ194" t="s">
        <v>84</v>
      </c>
      <c r="BK194" t="s">
        <v>84</v>
      </c>
      <c r="BM194" t="s">
        <v>84</v>
      </c>
      <c r="BS194" t="s">
        <v>84</v>
      </c>
      <c r="BT194" t="s">
        <v>84</v>
      </c>
      <c r="BU194">
        <v>0</v>
      </c>
      <c r="BV194">
        <v>0</v>
      </c>
      <c r="BW194">
        <v>786422.47120000003</v>
      </c>
    </row>
    <row r="195" spans="1:75" x14ac:dyDescent="0.25">
      <c r="A195">
        <v>336</v>
      </c>
      <c r="B195" s="1">
        <v>45128.795138888891</v>
      </c>
      <c r="C195" t="s">
        <v>400</v>
      </c>
      <c r="D195" t="s">
        <v>73</v>
      </c>
      <c r="E195" t="s">
        <v>74</v>
      </c>
      <c r="F195">
        <v>1</v>
      </c>
      <c r="G195" t="s">
        <v>258</v>
      </c>
      <c r="H195" t="s">
        <v>297</v>
      </c>
      <c r="I195" t="s">
        <v>260</v>
      </c>
      <c r="J195" t="s">
        <v>367</v>
      </c>
      <c r="K195" t="s">
        <v>326</v>
      </c>
      <c r="L195" t="s">
        <v>80</v>
      </c>
      <c r="M195" t="s">
        <v>406</v>
      </c>
      <c r="N195" t="s">
        <v>407</v>
      </c>
      <c r="O195" t="s">
        <v>82</v>
      </c>
      <c r="P195">
        <v>743925.82400000002</v>
      </c>
      <c r="Q195" t="s">
        <v>83</v>
      </c>
      <c r="R195">
        <v>786422.47120000003</v>
      </c>
      <c r="X195">
        <v>1</v>
      </c>
      <c r="Z195">
        <v>40397.5</v>
      </c>
      <c r="AA195">
        <v>53600</v>
      </c>
      <c r="AE195" t="s">
        <v>84</v>
      </c>
      <c r="AG195" t="s">
        <v>84</v>
      </c>
      <c r="AH195" t="s">
        <v>84</v>
      </c>
      <c r="AI195">
        <v>60000</v>
      </c>
      <c r="AJ195" t="s">
        <v>84</v>
      </c>
      <c r="AK195" t="s">
        <v>84</v>
      </c>
      <c r="AL195">
        <v>0</v>
      </c>
      <c r="AN195">
        <v>0</v>
      </c>
      <c r="AP195">
        <v>96250</v>
      </c>
      <c r="AQ195" t="s">
        <v>84</v>
      </c>
      <c r="AR195">
        <v>3000</v>
      </c>
      <c r="AT195" t="s">
        <v>84</v>
      </c>
      <c r="AU195" t="s">
        <v>84</v>
      </c>
      <c r="AV195" t="s">
        <v>84</v>
      </c>
      <c r="AW195">
        <v>39130</v>
      </c>
      <c r="AX195" t="s">
        <v>84</v>
      </c>
      <c r="AY195">
        <v>8400</v>
      </c>
      <c r="BA195" t="s">
        <v>84</v>
      </c>
      <c r="BB195" t="s">
        <v>84</v>
      </c>
      <c r="BC195">
        <v>11700</v>
      </c>
      <c r="BD195">
        <v>125911.5</v>
      </c>
      <c r="BG195" t="s">
        <v>84</v>
      </c>
      <c r="BH195">
        <v>8000</v>
      </c>
      <c r="BI195">
        <v>81703.05</v>
      </c>
      <c r="BJ195" t="s">
        <v>84</v>
      </c>
      <c r="BK195" t="s">
        <v>84</v>
      </c>
      <c r="BM195" t="s">
        <v>84</v>
      </c>
      <c r="BP195">
        <v>53100</v>
      </c>
      <c r="BQ195">
        <v>0</v>
      </c>
      <c r="BR195">
        <v>0</v>
      </c>
      <c r="BS195" t="s">
        <v>84</v>
      </c>
      <c r="BT195" t="s">
        <v>84</v>
      </c>
      <c r="BU195">
        <v>0</v>
      </c>
      <c r="BV195">
        <v>0</v>
      </c>
      <c r="BW195">
        <v>786422.47120000003</v>
      </c>
    </row>
    <row r="196" spans="1:75" x14ac:dyDescent="0.25">
      <c r="A196">
        <v>336</v>
      </c>
      <c r="B196" s="1">
        <v>45128.795138888891</v>
      </c>
      <c r="C196" t="s">
        <v>400</v>
      </c>
      <c r="D196" t="s">
        <v>73</v>
      </c>
      <c r="E196" t="s">
        <v>74</v>
      </c>
      <c r="F196">
        <v>0</v>
      </c>
      <c r="G196" t="s">
        <v>258</v>
      </c>
      <c r="H196" t="s">
        <v>297</v>
      </c>
      <c r="I196" t="s">
        <v>260</v>
      </c>
      <c r="J196" t="s">
        <v>367</v>
      </c>
      <c r="K196" t="s">
        <v>84</v>
      </c>
      <c r="L196" t="s">
        <v>106</v>
      </c>
      <c r="M196" t="s">
        <v>400</v>
      </c>
      <c r="N196" t="s">
        <v>408</v>
      </c>
      <c r="O196" t="s">
        <v>82</v>
      </c>
      <c r="P196">
        <v>12273.145</v>
      </c>
      <c r="Q196" t="s">
        <v>83</v>
      </c>
      <c r="AE196" t="s">
        <v>84</v>
      </c>
      <c r="AG196" t="s">
        <v>84</v>
      </c>
      <c r="AH196" t="s">
        <v>84</v>
      </c>
      <c r="AJ196" t="s">
        <v>84</v>
      </c>
      <c r="AK196" t="s">
        <v>84</v>
      </c>
      <c r="AQ196" t="s">
        <v>84</v>
      </c>
      <c r="AT196" t="s">
        <v>84</v>
      </c>
      <c r="AU196" t="s">
        <v>84</v>
      </c>
      <c r="AV196" t="s">
        <v>84</v>
      </c>
      <c r="AX196" t="s">
        <v>84</v>
      </c>
      <c r="BA196" t="s">
        <v>84</v>
      </c>
      <c r="BB196" t="s">
        <v>84</v>
      </c>
      <c r="BG196" t="s">
        <v>84</v>
      </c>
      <c r="BJ196" t="s">
        <v>84</v>
      </c>
      <c r="BK196" t="s">
        <v>84</v>
      </c>
      <c r="BM196" t="s">
        <v>84</v>
      </c>
      <c r="BS196" t="s">
        <v>84</v>
      </c>
      <c r="BT196" t="s">
        <v>84</v>
      </c>
      <c r="BU196">
        <v>0</v>
      </c>
      <c r="BV196">
        <v>0</v>
      </c>
      <c r="BW196">
        <v>8015.3562500000007</v>
      </c>
    </row>
    <row r="197" spans="1:75" x14ac:dyDescent="0.25">
      <c r="A197">
        <v>336</v>
      </c>
      <c r="B197" s="1">
        <v>45128.795138888891</v>
      </c>
      <c r="C197" t="s">
        <v>400</v>
      </c>
      <c r="D197" t="s">
        <v>73</v>
      </c>
      <c r="E197" t="s">
        <v>74</v>
      </c>
      <c r="F197">
        <v>1</v>
      </c>
      <c r="G197" t="s">
        <v>258</v>
      </c>
      <c r="H197" t="s">
        <v>297</v>
      </c>
      <c r="I197" t="s">
        <v>260</v>
      </c>
      <c r="J197" t="s">
        <v>367</v>
      </c>
      <c r="K197" t="s">
        <v>326</v>
      </c>
      <c r="L197" t="s">
        <v>106</v>
      </c>
      <c r="M197" t="s">
        <v>406</v>
      </c>
      <c r="N197" t="s">
        <v>409</v>
      </c>
      <c r="O197" t="s">
        <v>82</v>
      </c>
      <c r="P197">
        <v>3757.5675000000001</v>
      </c>
      <c r="Q197" t="s">
        <v>83</v>
      </c>
      <c r="R197">
        <v>8015.3562499999998</v>
      </c>
      <c r="X197">
        <v>1</v>
      </c>
      <c r="AE197" t="s">
        <v>84</v>
      </c>
      <c r="AF197">
        <v>1700</v>
      </c>
      <c r="AG197" t="s">
        <v>84</v>
      </c>
      <c r="AH197" t="s">
        <v>84</v>
      </c>
      <c r="AJ197" t="s">
        <v>84</v>
      </c>
      <c r="AK197" t="s">
        <v>84</v>
      </c>
      <c r="AQ197" t="s">
        <v>84</v>
      </c>
      <c r="AT197" t="s">
        <v>84</v>
      </c>
      <c r="AU197" t="s">
        <v>84</v>
      </c>
      <c r="AV197" t="s">
        <v>84</v>
      </c>
      <c r="AX197" t="s">
        <v>84</v>
      </c>
      <c r="BA197" t="s">
        <v>84</v>
      </c>
      <c r="BB197" t="s">
        <v>84</v>
      </c>
      <c r="BE197">
        <v>685</v>
      </c>
      <c r="BG197" t="s">
        <v>84</v>
      </c>
      <c r="BJ197" t="s">
        <v>84</v>
      </c>
      <c r="BK197" t="s">
        <v>84</v>
      </c>
      <c r="BM197" t="s">
        <v>84</v>
      </c>
      <c r="BS197" t="s">
        <v>84</v>
      </c>
      <c r="BT197" t="s">
        <v>84</v>
      </c>
      <c r="BU197">
        <v>0</v>
      </c>
      <c r="BV197">
        <v>0</v>
      </c>
      <c r="BW197">
        <v>8015.3562500000007</v>
      </c>
    </row>
    <row r="198" spans="1:75" x14ac:dyDescent="0.25">
      <c r="A198">
        <v>336</v>
      </c>
      <c r="B198" s="1">
        <v>45128.795138888891</v>
      </c>
      <c r="C198" t="s">
        <v>400</v>
      </c>
      <c r="D198" t="s">
        <v>73</v>
      </c>
      <c r="E198" t="s">
        <v>74</v>
      </c>
      <c r="F198">
        <v>0</v>
      </c>
      <c r="G198" t="s">
        <v>258</v>
      </c>
      <c r="H198" t="s">
        <v>297</v>
      </c>
      <c r="I198" t="s">
        <v>260</v>
      </c>
      <c r="J198" t="s">
        <v>367</v>
      </c>
      <c r="K198" t="s">
        <v>84</v>
      </c>
      <c r="L198" t="s">
        <v>110</v>
      </c>
      <c r="M198" t="s">
        <v>400</v>
      </c>
      <c r="N198" t="s">
        <v>410</v>
      </c>
      <c r="O198" t="s">
        <v>82</v>
      </c>
      <c r="P198">
        <v>17766</v>
      </c>
      <c r="Q198" t="s">
        <v>83</v>
      </c>
      <c r="AE198" t="s">
        <v>84</v>
      </c>
      <c r="AG198" t="s">
        <v>84</v>
      </c>
      <c r="AH198" t="s">
        <v>84</v>
      </c>
      <c r="AJ198" t="s">
        <v>84</v>
      </c>
      <c r="AK198" t="s">
        <v>84</v>
      </c>
      <c r="AQ198" t="s">
        <v>84</v>
      </c>
      <c r="AT198" t="s">
        <v>84</v>
      </c>
      <c r="AU198" t="s">
        <v>84</v>
      </c>
      <c r="AV198" t="s">
        <v>84</v>
      </c>
      <c r="AX198" t="s">
        <v>84</v>
      </c>
      <c r="BA198" t="s">
        <v>84</v>
      </c>
      <c r="BB198" t="s">
        <v>84</v>
      </c>
      <c r="BG198" t="s">
        <v>84</v>
      </c>
      <c r="BJ198" t="s">
        <v>84</v>
      </c>
      <c r="BK198" t="s">
        <v>84</v>
      </c>
      <c r="BM198" t="s">
        <v>84</v>
      </c>
      <c r="BS198" t="s">
        <v>84</v>
      </c>
      <c r="BT198" t="s">
        <v>84</v>
      </c>
      <c r="BU198">
        <v>0</v>
      </c>
      <c r="BV198">
        <v>0</v>
      </c>
      <c r="BW198">
        <v>15561</v>
      </c>
    </row>
    <row r="199" spans="1:75" x14ac:dyDescent="0.25">
      <c r="A199">
        <v>336</v>
      </c>
      <c r="B199" s="1">
        <v>45128.795138888891</v>
      </c>
      <c r="C199" t="s">
        <v>400</v>
      </c>
      <c r="D199" t="s">
        <v>73</v>
      </c>
      <c r="E199" t="s">
        <v>74</v>
      </c>
      <c r="F199">
        <v>1</v>
      </c>
      <c r="G199" t="s">
        <v>258</v>
      </c>
      <c r="H199" t="s">
        <v>297</v>
      </c>
      <c r="I199" t="s">
        <v>260</v>
      </c>
      <c r="J199" t="s">
        <v>367</v>
      </c>
      <c r="K199" t="s">
        <v>326</v>
      </c>
      <c r="L199" t="s">
        <v>110</v>
      </c>
      <c r="M199" t="s">
        <v>406</v>
      </c>
      <c r="N199" t="s">
        <v>411</v>
      </c>
      <c r="O199" t="s">
        <v>82</v>
      </c>
      <c r="P199">
        <v>13356</v>
      </c>
      <c r="Q199" t="s">
        <v>83</v>
      </c>
      <c r="R199">
        <v>15561</v>
      </c>
      <c r="X199">
        <v>1</v>
      </c>
      <c r="Z199">
        <v>0</v>
      </c>
      <c r="AA199">
        <v>0</v>
      </c>
      <c r="AE199" t="s">
        <v>84</v>
      </c>
      <c r="AG199" t="s">
        <v>84</v>
      </c>
      <c r="AH199" t="s">
        <v>84</v>
      </c>
      <c r="AI199">
        <v>0</v>
      </c>
      <c r="AJ199" t="s">
        <v>84</v>
      </c>
      <c r="AK199" t="s">
        <v>84</v>
      </c>
      <c r="AL199">
        <v>0</v>
      </c>
      <c r="AN199">
        <v>0</v>
      </c>
      <c r="AP199">
        <v>0</v>
      </c>
      <c r="AQ199" t="s">
        <v>84</v>
      </c>
      <c r="AR199">
        <v>0</v>
      </c>
      <c r="AT199" t="s">
        <v>84</v>
      </c>
      <c r="AU199" t="s">
        <v>84</v>
      </c>
      <c r="AV199" t="s">
        <v>84</v>
      </c>
      <c r="AW199">
        <v>0</v>
      </c>
      <c r="AX199" t="s">
        <v>84</v>
      </c>
      <c r="AY199">
        <v>10600</v>
      </c>
      <c r="BA199" t="s">
        <v>84</v>
      </c>
      <c r="BB199" t="s">
        <v>84</v>
      </c>
      <c r="BC199">
        <v>0</v>
      </c>
      <c r="BD199">
        <v>0</v>
      </c>
      <c r="BG199" t="s">
        <v>84</v>
      </c>
      <c r="BH199">
        <v>0</v>
      </c>
      <c r="BI199">
        <v>0</v>
      </c>
      <c r="BJ199" t="s">
        <v>84</v>
      </c>
      <c r="BK199" t="s">
        <v>84</v>
      </c>
      <c r="BM199" t="s">
        <v>84</v>
      </c>
      <c r="BP199">
        <v>0</v>
      </c>
      <c r="BQ199">
        <v>0</v>
      </c>
      <c r="BR199">
        <v>0</v>
      </c>
      <c r="BS199" t="s">
        <v>84</v>
      </c>
      <c r="BT199" t="s">
        <v>84</v>
      </c>
      <c r="BU199">
        <v>0</v>
      </c>
      <c r="BV199">
        <v>0</v>
      </c>
      <c r="BW199">
        <v>15561</v>
      </c>
    </row>
    <row r="200" spans="1:75" x14ac:dyDescent="0.25">
      <c r="A200">
        <v>336</v>
      </c>
      <c r="B200" s="1">
        <v>45128.795138888891</v>
      </c>
      <c r="C200" t="s">
        <v>400</v>
      </c>
      <c r="D200" t="s">
        <v>73</v>
      </c>
      <c r="E200" t="s">
        <v>74</v>
      </c>
      <c r="F200">
        <v>0</v>
      </c>
      <c r="G200" t="s">
        <v>258</v>
      </c>
      <c r="H200" t="s">
        <v>297</v>
      </c>
      <c r="I200" t="s">
        <v>260</v>
      </c>
      <c r="J200" t="s">
        <v>367</v>
      </c>
      <c r="K200" t="s">
        <v>84</v>
      </c>
      <c r="L200" t="s">
        <v>87</v>
      </c>
      <c r="M200" t="s">
        <v>400</v>
      </c>
      <c r="N200" t="s">
        <v>412</v>
      </c>
      <c r="O200" t="s">
        <v>82</v>
      </c>
      <c r="P200">
        <v>111646.15</v>
      </c>
      <c r="Q200" t="s">
        <v>83</v>
      </c>
      <c r="AE200" t="s">
        <v>84</v>
      </c>
      <c r="AG200" t="s">
        <v>84</v>
      </c>
      <c r="AH200" t="s">
        <v>84</v>
      </c>
      <c r="AJ200" t="s">
        <v>84</v>
      </c>
      <c r="AK200" t="s">
        <v>84</v>
      </c>
      <c r="AQ200" t="s">
        <v>84</v>
      </c>
      <c r="AT200" t="s">
        <v>84</v>
      </c>
      <c r="AU200" t="s">
        <v>84</v>
      </c>
      <c r="AV200" t="s">
        <v>84</v>
      </c>
      <c r="AX200" t="s">
        <v>84</v>
      </c>
      <c r="BA200" t="s">
        <v>84</v>
      </c>
      <c r="BB200" t="s">
        <v>84</v>
      </c>
      <c r="BG200" t="s">
        <v>84</v>
      </c>
      <c r="BJ200" t="s">
        <v>84</v>
      </c>
      <c r="BK200" t="s">
        <v>84</v>
      </c>
      <c r="BM200" t="s">
        <v>84</v>
      </c>
      <c r="BS200" t="s">
        <v>84</v>
      </c>
      <c r="BT200" t="s">
        <v>84</v>
      </c>
      <c r="BU200">
        <v>0</v>
      </c>
      <c r="BV200">
        <v>0</v>
      </c>
      <c r="BW200">
        <v>131253.17914999998</v>
      </c>
    </row>
    <row r="201" spans="1:75" x14ac:dyDescent="0.25">
      <c r="A201">
        <v>336</v>
      </c>
      <c r="B201" s="1">
        <v>45128.795138888891</v>
      </c>
      <c r="C201" t="s">
        <v>400</v>
      </c>
      <c r="D201" t="s">
        <v>73</v>
      </c>
      <c r="E201" t="s">
        <v>74</v>
      </c>
      <c r="F201">
        <v>1</v>
      </c>
      <c r="G201" t="s">
        <v>258</v>
      </c>
      <c r="H201" t="s">
        <v>297</v>
      </c>
      <c r="I201" t="s">
        <v>260</v>
      </c>
      <c r="J201" t="s">
        <v>367</v>
      </c>
      <c r="K201" t="s">
        <v>413</v>
      </c>
      <c r="L201" t="s">
        <v>87</v>
      </c>
      <c r="M201" t="s">
        <v>414</v>
      </c>
      <c r="N201" t="s">
        <v>415</v>
      </c>
      <c r="O201" t="s">
        <v>82</v>
      </c>
      <c r="P201">
        <v>150860.2083</v>
      </c>
      <c r="Q201" t="s">
        <v>83</v>
      </c>
      <c r="R201">
        <v>131253.17920000001</v>
      </c>
      <c r="AE201" t="s">
        <v>84</v>
      </c>
      <c r="AG201" t="s">
        <v>84</v>
      </c>
      <c r="AH201" t="s">
        <v>84</v>
      </c>
      <c r="AJ201" t="s">
        <v>84</v>
      </c>
      <c r="AK201" t="s">
        <v>84</v>
      </c>
      <c r="AL201">
        <v>47350</v>
      </c>
      <c r="AM201">
        <v>33450</v>
      </c>
      <c r="AN201">
        <v>10500</v>
      </c>
      <c r="AO201">
        <v>18750</v>
      </c>
      <c r="AQ201" t="s">
        <v>84</v>
      </c>
      <c r="AT201" t="s">
        <v>84</v>
      </c>
      <c r="AU201" t="s">
        <v>84</v>
      </c>
      <c r="AV201" t="s">
        <v>84</v>
      </c>
      <c r="AX201" t="s">
        <v>84</v>
      </c>
      <c r="BA201" t="s">
        <v>84</v>
      </c>
      <c r="BB201" t="s">
        <v>84</v>
      </c>
      <c r="BG201" t="s">
        <v>84</v>
      </c>
      <c r="BJ201" t="s">
        <v>84</v>
      </c>
      <c r="BK201" t="s">
        <v>84</v>
      </c>
      <c r="BM201" t="s">
        <v>84</v>
      </c>
      <c r="BS201" t="s">
        <v>84</v>
      </c>
      <c r="BT201" t="s">
        <v>84</v>
      </c>
      <c r="BU201">
        <v>0</v>
      </c>
      <c r="BV201">
        <v>0</v>
      </c>
      <c r="BW201">
        <v>131253.17914999998</v>
      </c>
    </row>
    <row r="202" spans="1:75" x14ac:dyDescent="0.25">
      <c r="A202">
        <v>336</v>
      </c>
      <c r="B202" s="1">
        <v>45128.795138888891</v>
      </c>
      <c r="C202" t="s">
        <v>400</v>
      </c>
      <c r="D202" t="s">
        <v>73</v>
      </c>
      <c r="E202" t="s">
        <v>74</v>
      </c>
      <c r="F202">
        <v>0</v>
      </c>
      <c r="G202" t="s">
        <v>258</v>
      </c>
      <c r="H202" t="s">
        <v>297</v>
      </c>
      <c r="I202" t="s">
        <v>260</v>
      </c>
      <c r="J202" t="s">
        <v>367</v>
      </c>
      <c r="K202" t="s">
        <v>84</v>
      </c>
      <c r="L202" t="s">
        <v>98</v>
      </c>
      <c r="M202" t="s">
        <v>416</v>
      </c>
      <c r="N202" t="s">
        <v>417</v>
      </c>
      <c r="O202" t="s">
        <v>82</v>
      </c>
      <c r="P202">
        <v>37350</v>
      </c>
      <c r="Q202" t="s">
        <v>83</v>
      </c>
      <c r="V202">
        <v>1</v>
      </c>
      <c r="AE202" t="s">
        <v>84</v>
      </c>
      <c r="AG202" t="s">
        <v>84</v>
      </c>
      <c r="AH202" t="s">
        <v>84</v>
      </c>
      <c r="AJ202" t="s">
        <v>84</v>
      </c>
      <c r="AK202" t="s">
        <v>84</v>
      </c>
      <c r="AQ202" t="s">
        <v>84</v>
      </c>
      <c r="AT202" t="s">
        <v>84</v>
      </c>
      <c r="AU202" t="s">
        <v>84</v>
      </c>
      <c r="AV202" t="s">
        <v>84</v>
      </c>
      <c r="AX202" t="s">
        <v>84</v>
      </c>
      <c r="BA202" t="s">
        <v>84</v>
      </c>
      <c r="BB202" t="s">
        <v>84</v>
      </c>
      <c r="BG202" t="s">
        <v>84</v>
      </c>
      <c r="BJ202" t="s">
        <v>84</v>
      </c>
      <c r="BK202" t="s">
        <v>84</v>
      </c>
      <c r="BM202" t="s">
        <v>84</v>
      </c>
      <c r="BS202" t="s">
        <v>84</v>
      </c>
      <c r="BT202" t="s">
        <v>84</v>
      </c>
      <c r="BU202">
        <v>0</v>
      </c>
      <c r="BV202">
        <v>0</v>
      </c>
      <c r="BW202">
        <v>36783.333333333336</v>
      </c>
    </row>
    <row r="203" spans="1:75" x14ac:dyDescent="0.25">
      <c r="A203">
        <v>336</v>
      </c>
      <c r="B203" s="1">
        <v>45128.795138888891</v>
      </c>
      <c r="C203" t="s">
        <v>400</v>
      </c>
      <c r="D203" t="s">
        <v>73</v>
      </c>
      <c r="E203" t="s">
        <v>74</v>
      </c>
      <c r="F203">
        <v>1</v>
      </c>
      <c r="G203" t="s">
        <v>258</v>
      </c>
      <c r="H203" t="s">
        <v>297</v>
      </c>
      <c r="I203" t="s">
        <v>260</v>
      </c>
      <c r="J203" t="s">
        <v>367</v>
      </c>
      <c r="K203" t="s">
        <v>238</v>
      </c>
      <c r="L203" t="s">
        <v>98</v>
      </c>
      <c r="M203" t="s">
        <v>418</v>
      </c>
      <c r="N203" t="s">
        <v>419</v>
      </c>
      <c r="O203" t="s">
        <v>82</v>
      </c>
      <c r="P203">
        <v>47650</v>
      </c>
      <c r="Q203" t="s">
        <v>83</v>
      </c>
      <c r="R203">
        <v>36783.333330000001</v>
      </c>
      <c r="U203">
        <v>1</v>
      </c>
      <c r="V203">
        <v>1</v>
      </c>
      <c r="AE203" t="s">
        <v>84</v>
      </c>
      <c r="AG203" t="s">
        <v>84</v>
      </c>
      <c r="AH203" t="s">
        <v>84</v>
      </c>
      <c r="AJ203" t="s">
        <v>84</v>
      </c>
      <c r="AK203" t="s">
        <v>84</v>
      </c>
      <c r="AQ203" t="s">
        <v>84</v>
      </c>
      <c r="AS203">
        <v>47650</v>
      </c>
      <c r="AT203" t="s">
        <v>84</v>
      </c>
      <c r="AU203" t="s">
        <v>84</v>
      </c>
      <c r="AV203" t="s">
        <v>84</v>
      </c>
      <c r="AX203" t="s">
        <v>84</v>
      </c>
      <c r="BA203" t="s">
        <v>84</v>
      </c>
      <c r="BB203" t="s">
        <v>84</v>
      </c>
      <c r="BG203" t="s">
        <v>84</v>
      </c>
      <c r="BJ203" t="s">
        <v>84</v>
      </c>
      <c r="BK203" t="s">
        <v>84</v>
      </c>
      <c r="BM203" t="s">
        <v>84</v>
      </c>
      <c r="BS203" t="s">
        <v>84</v>
      </c>
      <c r="BT203" t="s">
        <v>84</v>
      </c>
      <c r="BU203">
        <v>0</v>
      </c>
      <c r="BV203">
        <v>0</v>
      </c>
      <c r="BW203">
        <v>36783.333333333336</v>
      </c>
    </row>
    <row r="204" spans="1:75" x14ac:dyDescent="0.25">
      <c r="A204">
        <v>336</v>
      </c>
      <c r="B204" s="1">
        <v>45128.795138888891</v>
      </c>
      <c r="C204" t="s">
        <v>400</v>
      </c>
      <c r="D204" t="s">
        <v>73</v>
      </c>
      <c r="E204" t="s">
        <v>74</v>
      </c>
      <c r="F204">
        <v>0</v>
      </c>
      <c r="G204" t="s">
        <v>258</v>
      </c>
      <c r="H204" t="s">
        <v>297</v>
      </c>
      <c r="I204" t="s">
        <v>260</v>
      </c>
      <c r="J204" t="s">
        <v>367</v>
      </c>
      <c r="K204" t="s">
        <v>84</v>
      </c>
      <c r="L204" t="s">
        <v>98</v>
      </c>
      <c r="M204" t="s">
        <v>420</v>
      </c>
      <c r="N204" t="s">
        <v>421</v>
      </c>
      <c r="O204" t="s">
        <v>82</v>
      </c>
      <c r="P204">
        <v>25350</v>
      </c>
      <c r="Q204" t="s">
        <v>83</v>
      </c>
      <c r="U204">
        <v>1</v>
      </c>
      <c r="W204">
        <v>1</v>
      </c>
      <c r="AE204" t="s">
        <v>84</v>
      </c>
      <c r="AG204" t="s">
        <v>84</v>
      </c>
      <c r="AH204" t="s">
        <v>84</v>
      </c>
      <c r="AJ204" t="s">
        <v>84</v>
      </c>
      <c r="AK204" t="s">
        <v>84</v>
      </c>
      <c r="AQ204" t="s">
        <v>84</v>
      </c>
      <c r="AT204" t="s">
        <v>84</v>
      </c>
      <c r="AU204" t="s">
        <v>84</v>
      </c>
      <c r="AV204" t="s">
        <v>84</v>
      </c>
      <c r="AX204" t="s">
        <v>84</v>
      </c>
      <c r="BA204" t="s">
        <v>84</v>
      </c>
      <c r="BB204" t="s">
        <v>84</v>
      </c>
      <c r="BG204" t="s">
        <v>84</v>
      </c>
      <c r="BJ204" t="s">
        <v>84</v>
      </c>
      <c r="BK204" t="s">
        <v>84</v>
      </c>
      <c r="BM204" t="s">
        <v>84</v>
      </c>
      <c r="BS204" t="s">
        <v>84</v>
      </c>
      <c r="BT204" t="s">
        <v>84</v>
      </c>
      <c r="BU204">
        <v>0</v>
      </c>
      <c r="BV204">
        <v>0</v>
      </c>
      <c r="BW204">
        <v>36783.333333333336</v>
      </c>
    </row>
    <row r="205" spans="1:75" x14ac:dyDescent="0.25">
      <c r="A205">
        <v>338</v>
      </c>
      <c r="B205" s="1">
        <v>45128.79791666667</v>
      </c>
      <c r="C205" t="s">
        <v>422</v>
      </c>
      <c r="D205" t="s">
        <v>73</v>
      </c>
      <c r="E205" t="s">
        <v>178</v>
      </c>
      <c r="F205">
        <v>0</v>
      </c>
      <c r="G205" t="s">
        <v>258</v>
      </c>
      <c r="H205" t="s">
        <v>423</v>
      </c>
      <c r="I205" t="s">
        <v>260</v>
      </c>
      <c r="J205" t="s">
        <v>261</v>
      </c>
      <c r="K205" t="s">
        <v>84</v>
      </c>
      <c r="L205" t="s">
        <v>92</v>
      </c>
      <c r="M205" t="s">
        <v>424</v>
      </c>
      <c r="N205" t="s">
        <v>425</v>
      </c>
      <c r="O205" t="s">
        <v>82</v>
      </c>
      <c r="P205">
        <v>25640</v>
      </c>
      <c r="Q205" t="s">
        <v>83</v>
      </c>
      <c r="T205">
        <v>1</v>
      </c>
      <c r="U205">
        <v>1</v>
      </c>
      <c r="X205">
        <v>1</v>
      </c>
      <c r="AE205" t="s">
        <v>84</v>
      </c>
      <c r="AG205" t="s">
        <v>84</v>
      </c>
      <c r="AH205" t="s">
        <v>84</v>
      </c>
      <c r="AJ205" t="s">
        <v>84</v>
      </c>
      <c r="AK205" t="s">
        <v>84</v>
      </c>
      <c r="AQ205" t="s">
        <v>84</v>
      </c>
      <c r="AT205" t="s">
        <v>84</v>
      </c>
      <c r="AU205" t="s">
        <v>84</v>
      </c>
      <c r="AV205" t="s">
        <v>84</v>
      </c>
      <c r="AX205" t="s">
        <v>84</v>
      </c>
      <c r="BA205" t="s">
        <v>84</v>
      </c>
      <c r="BB205" t="s">
        <v>84</v>
      </c>
      <c r="BG205" t="s">
        <v>84</v>
      </c>
      <c r="BJ205" t="s">
        <v>84</v>
      </c>
      <c r="BK205" t="s">
        <v>84</v>
      </c>
      <c r="BM205" t="s">
        <v>84</v>
      </c>
      <c r="BS205" t="s">
        <v>84</v>
      </c>
      <c r="BT205" t="s">
        <v>84</v>
      </c>
      <c r="BU205">
        <v>0</v>
      </c>
      <c r="BV205">
        <v>0</v>
      </c>
      <c r="BW205">
        <v>26493.333333333332</v>
      </c>
    </row>
    <row r="206" spans="1:75" x14ac:dyDescent="0.25">
      <c r="A206">
        <v>338</v>
      </c>
      <c r="B206" s="1">
        <v>45128.79791666667</v>
      </c>
      <c r="C206" t="s">
        <v>422</v>
      </c>
      <c r="D206" t="s">
        <v>73</v>
      </c>
      <c r="E206" t="s">
        <v>178</v>
      </c>
      <c r="F206">
        <v>0</v>
      </c>
      <c r="G206" t="s">
        <v>258</v>
      </c>
      <c r="H206" t="s">
        <v>423</v>
      </c>
      <c r="I206" t="s">
        <v>260</v>
      </c>
      <c r="J206" t="s">
        <v>261</v>
      </c>
      <c r="K206" t="s">
        <v>84</v>
      </c>
      <c r="L206" t="s">
        <v>92</v>
      </c>
      <c r="M206" t="s">
        <v>426</v>
      </c>
      <c r="N206" t="s">
        <v>303</v>
      </c>
      <c r="O206" t="s">
        <v>82</v>
      </c>
      <c r="P206">
        <v>31420</v>
      </c>
      <c r="Q206" t="s">
        <v>83</v>
      </c>
      <c r="AE206" t="s">
        <v>84</v>
      </c>
      <c r="AG206" t="s">
        <v>84</v>
      </c>
      <c r="AH206" t="s">
        <v>84</v>
      </c>
      <c r="AJ206" t="s">
        <v>84</v>
      </c>
      <c r="AK206" t="s">
        <v>84</v>
      </c>
      <c r="AQ206" t="s">
        <v>84</v>
      </c>
      <c r="AT206" t="s">
        <v>84</v>
      </c>
      <c r="AU206" t="s">
        <v>84</v>
      </c>
      <c r="AV206" t="s">
        <v>84</v>
      </c>
      <c r="AX206" t="s">
        <v>84</v>
      </c>
      <c r="BA206" t="s">
        <v>84</v>
      </c>
      <c r="BB206" t="s">
        <v>84</v>
      </c>
      <c r="BG206" t="s">
        <v>84</v>
      </c>
      <c r="BJ206" t="s">
        <v>84</v>
      </c>
      <c r="BK206" t="s">
        <v>84</v>
      </c>
      <c r="BM206" t="s">
        <v>84</v>
      </c>
      <c r="BS206" t="s">
        <v>84</v>
      </c>
      <c r="BT206" t="s">
        <v>84</v>
      </c>
      <c r="BU206">
        <v>0</v>
      </c>
      <c r="BV206">
        <v>0</v>
      </c>
      <c r="BW206">
        <v>26493.333333333332</v>
      </c>
    </row>
    <row r="207" spans="1:75" x14ac:dyDescent="0.25">
      <c r="A207">
        <v>338</v>
      </c>
      <c r="B207" s="1">
        <v>45128.79791666667</v>
      </c>
      <c r="C207" t="s">
        <v>422</v>
      </c>
      <c r="D207" t="s">
        <v>73</v>
      </c>
      <c r="E207" t="s">
        <v>178</v>
      </c>
      <c r="F207">
        <v>1</v>
      </c>
      <c r="G207" t="s">
        <v>258</v>
      </c>
      <c r="H207" t="s">
        <v>423</v>
      </c>
      <c r="I207" t="s">
        <v>260</v>
      </c>
      <c r="J207" t="s">
        <v>261</v>
      </c>
      <c r="K207" t="s">
        <v>94</v>
      </c>
      <c r="L207" t="s">
        <v>92</v>
      </c>
      <c r="M207" t="s">
        <v>427</v>
      </c>
      <c r="N207" t="s">
        <v>343</v>
      </c>
      <c r="O207" t="s">
        <v>82</v>
      </c>
      <c r="P207">
        <v>22420</v>
      </c>
      <c r="Q207" t="s">
        <v>83</v>
      </c>
      <c r="R207">
        <v>26493.333330000001</v>
      </c>
      <c r="AB207">
        <v>22420</v>
      </c>
      <c r="AE207" t="s">
        <v>84</v>
      </c>
      <c r="AG207" t="s">
        <v>84</v>
      </c>
      <c r="AH207" t="s">
        <v>84</v>
      </c>
      <c r="AJ207" t="s">
        <v>84</v>
      </c>
      <c r="AK207" t="s">
        <v>84</v>
      </c>
      <c r="AQ207" t="s">
        <v>84</v>
      </c>
      <c r="AT207" t="s">
        <v>84</v>
      </c>
      <c r="AU207" t="s">
        <v>84</v>
      </c>
      <c r="AV207" t="s">
        <v>84</v>
      </c>
      <c r="AX207" t="s">
        <v>84</v>
      </c>
      <c r="BA207" t="s">
        <v>84</v>
      </c>
      <c r="BB207" t="s">
        <v>84</v>
      </c>
      <c r="BG207" t="s">
        <v>84</v>
      </c>
      <c r="BJ207" t="s">
        <v>84</v>
      </c>
      <c r="BK207" t="s">
        <v>84</v>
      </c>
      <c r="BM207" t="s">
        <v>84</v>
      </c>
      <c r="BS207" t="s">
        <v>84</v>
      </c>
      <c r="BT207" t="s">
        <v>84</v>
      </c>
      <c r="BU207">
        <v>0</v>
      </c>
      <c r="BV207">
        <v>0</v>
      </c>
      <c r="BW207">
        <v>26493.333333333332</v>
      </c>
    </row>
    <row r="208" spans="1:75" x14ac:dyDescent="0.25">
      <c r="A208">
        <v>338</v>
      </c>
      <c r="B208" s="1">
        <v>45128.79791666667</v>
      </c>
      <c r="C208" t="s">
        <v>422</v>
      </c>
      <c r="D208" t="s">
        <v>73</v>
      </c>
      <c r="E208" t="s">
        <v>178</v>
      </c>
      <c r="F208">
        <v>0</v>
      </c>
      <c r="G208" t="s">
        <v>258</v>
      </c>
      <c r="H208" t="s">
        <v>423</v>
      </c>
      <c r="I208" t="s">
        <v>260</v>
      </c>
      <c r="J208" t="s">
        <v>261</v>
      </c>
      <c r="K208" t="s">
        <v>84</v>
      </c>
      <c r="L208" t="s">
        <v>125</v>
      </c>
      <c r="M208" t="s">
        <v>428</v>
      </c>
      <c r="N208" t="s">
        <v>429</v>
      </c>
      <c r="O208" t="s">
        <v>82</v>
      </c>
      <c r="P208">
        <v>41950</v>
      </c>
      <c r="Q208" t="s">
        <v>83</v>
      </c>
      <c r="AE208" t="s">
        <v>84</v>
      </c>
      <c r="AG208" t="s">
        <v>84</v>
      </c>
      <c r="AH208" t="s">
        <v>84</v>
      </c>
      <c r="AJ208" t="s">
        <v>84</v>
      </c>
      <c r="AK208" t="s">
        <v>84</v>
      </c>
      <c r="AQ208" t="s">
        <v>84</v>
      </c>
      <c r="AT208" t="s">
        <v>84</v>
      </c>
      <c r="AU208" t="s">
        <v>84</v>
      </c>
      <c r="AV208" t="s">
        <v>84</v>
      </c>
      <c r="AX208" t="s">
        <v>84</v>
      </c>
      <c r="BA208" t="s">
        <v>84</v>
      </c>
      <c r="BB208" t="s">
        <v>84</v>
      </c>
      <c r="BG208" t="s">
        <v>84</v>
      </c>
      <c r="BJ208" t="s">
        <v>84</v>
      </c>
      <c r="BK208" t="s">
        <v>84</v>
      </c>
      <c r="BM208" t="s">
        <v>84</v>
      </c>
      <c r="BS208" t="s">
        <v>84</v>
      </c>
      <c r="BT208" t="s">
        <v>84</v>
      </c>
      <c r="BU208">
        <v>0</v>
      </c>
      <c r="BV208">
        <v>0</v>
      </c>
      <c r="BW208">
        <v>33925</v>
      </c>
    </row>
    <row r="209" spans="1:75" x14ac:dyDescent="0.25">
      <c r="A209">
        <v>338</v>
      </c>
      <c r="B209" s="1">
        <v>45128.79791666667</v>
      </c>
      <c r="C209" t="s">
        <v>422</v>
      </c>
      <c r="D209" t="s">
        <v>73</v>
      </c>
      <c r="E209" t="s">
        <v>178</v>
      </c>
      <c r="F209">
        <v>1</v>
      </c>
      <c r="G209" t="s">
        <v>258</v>
      </c>
      <c r="H209" t="s">
        <v>423</v>
      </c>
      <c r="I209" t="s">
        <v>260</v>
      </c>
      <c r="J209" t="s">
        <v>261</v>
      </c>
      <c r="K209" t="s">
        <v>140</v>
      </c>
      <c r="L209" t="s">
        <v>125</v>
      </c>
      <c r="M209" t="s">
        <v>430</v>
      </c>
      <c r="N209" t="s">
        <v>431</v>
      </c>
      <c r="O209" t="s">
        <v>82</v>
      </c>
      <c r="P209">
        <v>25900</v>
      </c>
      <c r="Q209" t="s">
        <v>83</v>
      </c>
      <c r="R209">
        <v>33925</v>
      </c>
      <c r="X209">
        <v>1</v>
      </c>
      <c r="AE209" t="s">
        <v>84</v>
      </c>
      <c r="AG209" t="s">
        <v>84</v>
      </c>
      <c r="AH209" t="s">
        <v>84</v>
      </c>
      <c r="AJ209" t="s">
        <v>84</v>
      </c>
      <c r="AK209" t="s">
        <v>84</v>
      </c>
      <c r="AQ209" t="s">
        <v>84</v>
      </c>
      <c r="AT209" t="s">
        <v>84</v>
      </c>
      <c r="AU209" t="s">
        <v>84</v>
      </c>
      <c r="AV209" t="s">
        <v>84</v>
      </c>
      <c r="AX209" t="s">
        <v>84</v>
      </c>
      <c r="AZ209">
        <v>25900</v>
      </c>
      <c r="BA209" t="s">
        <v>84</v>
      </c>
      <c r="BB209" t="s">
        <v>84</v>
      </c>
      <c r="BG209" t="s">
        <v>84</v>
      </c>
      <c r="BJ209" t="s">
        <v>84</v>
      </c>
      <c r="BK209" t="s">
        <v>84</v>
      </c>
      <c r="BM209" t="s">
        <v>84</v>
      </c>
      <c r="BS209" t="s">
        <v>84</v>
      </c>
      <c r="BT209" t="s">
        <v>84</v>
      </c>
      <c r="BU209">
        <v>0</v>
      </c>
      <c r="BV209">
        <v>0</v>
      </c>
      <c r="BW209">
        <v>33925</v>
      </c>
    </row>
    <row r="210" spans="1:75" x14ac:dyDescent="0.25">
      <c r="A210">
        <v>338</v>
      </c>
      <c r="B210" s="1">
        <v>45128.79791666667</v>
      </c>
      <c r="C210" t="s">
        <v>422</v>
      </c>
      <c r="D210" t="s">
        <v>73</v>
      </c>
      <c r="E210" t="s">
        <v>178</v>
      </c>
      <c r="F210">
        <v>0</v>
      </c>
      <c r="G210" t="s">
        <v>258</v>
      </c>
      <c r="H210" t="s">
        <v>423</v>
      </c>
      <c r="I210" t="s">
        <v>260</v>
      </c>
      <c r="J210" t="s">
        <v>261</v>
      </c>
      <c r="K210" t="s">
        <v>84</v>
      </c>
      <c r="L210" t="s">
        <v>121</v>
      </c>
      <c r="M210" t="s">
        <v>432</v>
      </c>
      <c r="N210" t="s">
        <v>433</v>
      </c>
      <c r="O210" t="s">
        <v>82</v>
      </c>
      <c r="P210">
        <v>175300.40669999999</v>
      </c>
      <c r="Q210" t="s">
        <v>83</v>
      </c>
      <c r="AE210" t="s">
        <v>84</v>
      </c>
      <c r="AG210" t="s">
        <v>84</v>
      </c>
      <c r="AH210" t="s">
        <v>84</v>
      </c>
      <c r="AJ210" t="s">
        <v>84</v>
      </c>
      <c r="AK210" t="s">
        <v>84</v>
      </c>
      <c r="AQ210" t="s">
        <v>84</v>
      </c>
      <c r="AT210" t="s">
        <v>84</v>
      </c>
      <c r="AU210" t="s">
        <v>84</v>
      </c>
      <c r="AV210" t="s">
        <v>84</v>
      </c>
      <c r="AX210" t="s">
        <v>84</v>
      </c>
      <c r="BA210" t="s">
        <v>84</v>
      </c>
      <c r="BB210" t="s">
        <v>84</v>
      </c>
      <c r="BG210" t="s">
        <v>84</v>
      </c>
      <c r="BJ210" t="s">
        <v>84</v>
      </c>
      <c r="BK210" t="s">
        <v>84</v>
      </c>
      <c r="BM210" t="s">
        <v>84</v>
      </c>
      <c r="BS210" t="s">
        <v>84</v>
      </c>
      <c r="BT210" t="s">
        <v>84</v>
      </c>
      <c r="BU210">
        <v>0</v>
      </c>
      <c r="BV210">
        <v>0</v>
      </c>
      <c r="BW210">
        <v>169276.77456666666</v>
      </c>
    </row>
    <row r="211" spans="1:75" x14ac:dyDescent="0.25">
      <c r="A211">
        <v>338</v>
      </c>
      <c r="B211" s="1">
        <v>45128.79791666667</v>
      </c>
      <c r="C211" t="s">
        <v>422</v>
      </c>
      <c r="D211" t="s">
        <v>73</v>
      </c>
      <c r="E211" t="s">
        <v>178</v>
      </c>
      <c r="F211">
        <v>0</v>
      </c>
      <c r="G211" t="s">
        <v>258</v>
      </c>
      <c r="H211" t="s">
        <v>423</v>
      </c>
      <c r="I211" t="s">
        <v>260</v>
      </c>
      <c r="J211" t="s">
        <v>261</v>
      </c>
      <c r="K211" t="s">
        <v>84</v>
      </c>
      <c r="L211" t="s">
        <v>121</v>
      </c>
      <c r="M211" t="s">
        <v>434</v>
      </c>
      <c r="N211" t="s">
        <v>435</v>
      </c>
      <c r="O211" t="s">
        <v>82</v>
      </c>
      <c r="P211">
        <v>147033.4357</v>
      </c>
      <c r="Q211" t="s">
        <v>83</v>
      </c>
      <c r="AE211" t="s">
        <v>84</v>
      </c>
      <c r="AG211" t="s">
        <v>84</v>
      </c>
      <c r="AH211" t="s">
        <v>84</v>
      </c>
      <c r="AJ211" t="s">
        <v>84</v>
      </c>
      <c r="AK211" t="s">
        <v>84</v>
      </c>
      <c r="AQ211" t="s">
        <v>84</v>
      </c>
      <c r="AT211" t="s">
        <v>84</v>
      </c>
      <c r="AU211" t="s">
        <v>84</v>
      </c>
      <c r="AV211" t="s">
        <v>84</v>
      </c>
      <c r="AX211" t="s">
        <v>84</v>
      </c>
      <c r="BA211" t="s">
        <v>84</v>
      </c>
      <c r="BB211" t="s">
        <v>84</v>
      </c>
      <c r="BG211" t="s">
        <v>84</v>
      </c>
      <c r="BJ211" t="s">
        <v>84</v>
      </c>
      <c r="BK211" t="s">
        <v>84</v>
      </c>
      <c r="BM211" t="s">
        <v>84</v>
      </c>
      <c r="BS211" t="s">
        <v>84</v>
      </c>
      <c r="BT211" t="s">
        <v>84</v>
      </c>
      <c r="BU211">
        <v>0</v>
      </c>
      <c r="BV211">
        <v>0</v>
      </c>
      <c r="BW211">
        <v>169276.77456666666</v>
      </c>
    </row>
    <row r="212" spans="1:75" x14ac:dyDescent="0.25">
      <c r="A212">
        <v>338</v>
      </c>
      <c r="B212" s="1">
        <v>45128.79791666667</v>
      </c>
      <c r="C212" t="s">
        <v>422</v>
      </c>
      <c r="D212" t="s">
        <v>73</v>
      </c>
      <c r="E212" t="s">
        <v>178</v>
      </c>
      <c r="F212">
        <v>1</v>
      </c>
      <c r="G212" t="s">
        <v>258</v>
      </c>
      <c r="H212" t="s">
        <v>423</v>
      </c>
      <c r="I212" t="s">
        <v>260</v>
      </c>
      <c r="J212" t="s">
        <v>261</v>
      </c>
      <c r="K212" t="s">
        <v>436</v>
      </c>
      <c r="L212" t="s">
        <v>121</v>
      </c>
      <c r="M212" t="s">
        <v>437</v>
      </c>
      <c r="N212" t="s">
        <v>438</v>
      </c>
      <c r="O212" t="s">
        <v>82</v>
      </c>
      <c r="P212">
        <v>185496.48130000001</v>
      </c>
      <c r="Q212" t="s">
        <v>83</v>
      </c>
      <c r="R212">
        <v>169276.7746</v>
      </c>
      <c r="T212">
        <v>1</v>
      </c>
      <c r="AA212">
        <v>0</v>
      </c>
      <c r="AD212">
        <v>3392</v>
      </c>
      <c r="AE212" t="s">
        <v>84</v>
      </c>
      <c r="AG212" t="s">
        <v>84</v>
      </c>
      <c r="AH212" t="s">
        <v>84</v>
      </c>
      <c r="AJ212" t="s">
        <v>84</v>
      </c>
      <c r="AK212" t="s">
        <v>84</v>
      </c>
      <c r="AP212">
        <v>2020</v>
      </c>
      <c r="AQ212" t="s">
        <v>84</v>
      </c>
      <c r="AR212">
        <v>12844</v>
      </c>
      <c r="AT212" t="s">
        <v>84</v>
      </c>
      <c r="AU212" t="s">
        <v>84</v>
      </c>
      <c r="AV212" t="s">
        <v>84</v>
      </c>
      <c r="AX212" t="s">
        <v>84</v>
      </c>
      <c r="AY212">
        <v>0</v>
      </c>
      <c r="BA212" t="s">
        <v>84</v>
      </c>
      <c r="BB212" t="s">
        <v>84</v>
      </c>
      <c r="BC212">
        <v>24828</v>
      </c>
      <c r="BF212">
        <v>11772</v>
      </c>
      <c r="BG212" t="s">
        <v>84</v>
      </c>
      <c r="BH212">
        <v>16110</v>
      </c>
      <c r="BI212">
        <v>48507</v>
      </c>
      <c r="BJ212" t="s">
        <v>84</v>
      </c>
      <c r="BK212" t="s">
        <v>84</v>
      </c>
      <c r="BL212">
        <v>6252</v>
      </c>
      <c r="BM212" t="s">
        <v>84</v>
      </c>
      <c r="BO212">
        <v>2352</v>
      </c>
      <c r="BQ212">
        <v>1963</v>
      </c>
      <c r="BR212">
        <v>4364</v>
      </c>
      <c r="BS212" t="s">
        <v>84</v>
      </c>
      <c r="BT212" t="s">
        <v>84</v>
      </c>
      <c r="BU212">
        <v>0</v>
      </c>
      <c r="BV212">
        <v>0</v>
      </c>
      <c r="BW212">
        <v>169276.77456666666</v>
      </c>
    </row>
    <row r="213" spans="1:75" x14ac:dyDescent="0.25">
      <c r="A213">
        <v>338</v>
      </c>
      <c r="B213" s="1">
        <v>45128.79791666667</v>
      </c>
      <c r="C213" t="s">
        <v>422</v>
      </c>
      <c r="D213" t="s">
        <v>73</v>
      </c>
      <c r="E213" t="s">
        <v>178</v>
      </c>
      <c r="F213">
        <v>0</v>
      </c>
      <c r="G213" t="s">
        <v>258</v>
      </c>
      <c r="H213" t="s">
        <v>423</v>
      </c>
      <c r="I213" t="s">
        <v>260</v>
      </c>
      <c r="J213" t="s">
        <v>261</v>
      </c>
      <c r="K213" t="s">
        <v>84</v>
      </c>
      <c r="L213" t="s">
        <v>151</v>
      </c>
      <c r="M213" t="s">
        <v>439</v>
      </c>
      <c r="N213" t="s">
        <v>440</v>
      </c>
      <c r="O213" t="s">
        <v>82</v>
      </c>
      <c r="P213">
        <v>131202.5</v>
      </c>
      <c r="Q213" t="s">
        <v>83</v>
      </c>
      <c r="AE213" t="s">
        <v>84</v>
      </c>
      <c r="AG213" t="s">
        <v>84</v>
      </c>
      <c r="AH213" t="s">
        <v>84</v>
      </c>
      <c r="AJ213" t="s">
        <v>84</v>
      </c>
      <c r="AK213" t="s">
        <v>84</v>
      </c>
      <c r="AQ213" t="s">
        <v>84</v>
      </c>
      <c r="AT213" t="s">
        <v>84</v>
      </c>
      <c r="AU213" t="s">
        <v>84</v>
      </c>
      <c r="AV213" t="s">
        <v>84</v>
      </c>
      <c r="AX213" t="s">
        <v>84</v>
      </c>
      <c r="BA213" t="s">
        <v>84</v>
      </c>
      <c r="BB213" t="s">
        <v>84</v>
      </c>
      <c r="BG213" t="s">
        <v>84</v>
      </c>
      <c r="BJ213" t="s">
        <v>84</v>
      </c>
      <c r="BK213" t="s">
        <v>84</v>
      </c>
      <c r="BM213" t="s">
        <v>84</v>
      </c>
      <c r="BS213" t="s">
        <v>84</v>
      </c>
      <c r="BT213" t="s">
        <v>84</v>
      </c>
      <c r="BU213">
        <v>0</v>
      </c>
      <c r="BV213">
        <v>0</v>
      </c>
      <c r="BW213">
        <v>116983.75</v>
      </c>
    </row>
    <row r="214" spans="1:75" x14ac:dyDescent="0.25">
      <c r="A214">
        <v>338</v>
      </c>
      <c r="B214" s="1">
        <v>45128.79791666667</v>
      </c>
      <c r="C214" t="s">
        <v>422</v>
      </c>
      <c r="D214" t="s">
        <v>73</v>
      </c>
      <c r="E214" t="s">
        <v>178</v>
      </c>
      <c r="F214">
        <v>1</v>
      </c>
      <c r="G214" t="s">
        <v>258</v>
      </c>
      <c r="H214" t="s">
        <v>423</v>
      </c>
      <c r="I214" t="s">
        <v>260</v>
      </c>
      <c r="J214" t="s">
        <v>261</v>
      </c>
      <c r="K214" t="s">
        <v>441</v>
      </c>
      <c r="L214" t="s">
        <v>151</v>
      </c>
      <c r="M214" t="s">
        <v>422</v>
      </c>
      <c r="N214" t="s">
        <v>442</v>
      </c>
      <c r="O214" t="s">
        <v>82</v>
      </c>
      <c r="P214">
        <v>102765</v>
      </c>
      <c r="Q214" t="s">
        <v>83</v>
      </c>
      <c r="R214">
        <v>116983.75</v>
      </c>
      <c r="Y214">
        <v>64250</v>
      </c>
      <c r="AE214" t="s">
        <v>84</v>
      </c>
      <c r="AG214" t="s">
        <v>84</v>
      </c>
      <c r="AH214" t="s">
        <v>84</v>
      </c>
      <c r="AJ214" t="s">
        <v>84</v>
      </c>
      <c r="AK214" t="s">
        <v>84</v>
      </c>
      <c r="AQ214" t="s">
        <v>84</v>
      </c>
      <c r="AR214">
        <v>1300</v>
      </c>
      <c r="AS214">
        <v>0</v>
      </c>
      <c r="AT214" t="s">
        <v>84</v>
      </c>
      <c r="AU214" t="s">
        <v>84</v>
      </c>
      <c r="AV214" t="s">
        <v>84</v>
      </c>
      <c r="AX214" t="s">
        <v>84</v>
      </c>
      <c r="AY214">
        <v>6000</v>
      </c>
      <c r="BA214" t="s">
        <v>84</v>
      </c>
      <c r="BB214" t="s">
        <v>84</v>
      </c>
      <c r="BF214">
        <v>7500</v>
      </c>
      <c r="BG214" t="s">
        <v>84</v>
      </c>
      <c r="BJ214" t="s">
        <v>84</v>
      </c>
      <c r="BK214" t="s">
        <v>84</v>
      </c>
      <c r="BM214" t="s">
        <v>84</v>
      </c>
      <c r="BS214" t="s">
        <v>84</v>
      </c>
      <c r="BT214" t="s">
        <v>84</v>
      </c>
      <c r="BU214">
        <v>0</v>
      </c>
      <c r="BV214">
        <v>0</v>
      </c>
      <c r="BW214">
        <v>116983.75</v>
      </c>
    </row>
    <row r="215" spans="1:75" x14ac:dyDescent="0.25">
      <c r="A215">
        <v>338</v>
      </c>
      <c r="B215" s="1">
        <v>45128.79791666667</v>
      </c>
      <c r="C215" t="s">
        <v>422</v>
      </c>
      <c r="D215" t="s">
        <v>73</v>
      </c>
      <c r="E215" t="s">
        <v>178</v>
      </c>
      <c r="F215">
        <v>0</v>
      </c>
      <c r="G215" t="s">
        <v>258</v>
      </c>
      <c r="H215" t="s">
        <v>423</v>
      </c>
      <c r="I215" t="s">
        <v>260</v>
      </c>
      <c r="J215" t="s">
        <v>261</v>
      </c>
      <c r="K215" t="s">
        <v>84</v>
      </c>
      <c r="L215" t="s">
        <v>80</v>
      </c>
      <c r="M215" t="s">
        <v>422</v>
      </c>
      <c r="N215" t="s">
        <v>443</v>
      </c>
      <c r="O215" t="s">
        <v>82</v>
      </c>
      <c r="P215">
        <v>651508.09499999997</v>
      </c>
      <c r="Q215" t="s">
        <v>83</v>
      </c>
      <c r="T215">
        <v>1</v>
      </c>
      <c r="X215">
        <v>1</v>
      </c>
      <c r="AE215" t="s">
        <v>84</v>
      </c>
      <c r="AG215" t="s">
        <v>84</v>
      </c>
      <c r="AH215" t="s">
        <v>84</v>
      </c>
      <c r="AJ215" t="s">
        <v>84</v>
      </c>
      <c r="AK215" t="s">
        <v>84</v>
      </c>
      <c r="AQ215" t="s">
        <v>84</v>
      </c>
      <c r="AT215" t="s">
        <v>84</v>
      </c>
      <c r="AU215" t="s">
        <v>84</v>
      </c>
      <c r="AV215" t="s">
        <v>84</v>
      </c>
      <c r="AX215" t="s">
        <v>84</v>
      </c>
      <c r="BA215" t="s">
        <v>84</v>
      </c>
      <c r="BB215" t="s">
        <v>84</v>
      </c>
      <c r="BG215" t="s">
        <v>84</v>
      </c>
      <c r="BJ215" t="s">
        <v>84</v>
      </c>
      <c r="BK215" t="s">
        <v>84</v>
      </c>
      <c r="BM215" t="s">
        <v>84</v>
      </c>
      <c r="BS215" t="s">
        <v>84</v>
      </c>
      <c r="BT215" t="s">
        <v>84</v>
      </c>
      <c r="BU215">
        <v>0</v>
      </c>
      <c r="BV215">
        <v>0</v>
      </c>
      <c r="BW215">
        <v>758314.41500000004</v>
      </c>
    </row>
    <row r="216" spans="1:75" x14ac:dyDescent="0.25">
      <c r="A216">
        <v>338</v>
      </c>
      <c r="B216" s="1">
        <v>45128.79791666667</v>
      </c>
      <c r="C216" t="s">
        <v>422</v>
      </c>
      <c r="D216" t="s">
        <v>73</v>
      </c>
      <c r="E216" t="s">
        <v>178</v>
      </c>
      <c r="F216">
        <v>1</v>
      </c>
      <c r="G216" t="s">
        <v>258</v>
      </c>
      <c r="H216" t="s">
        <v>423</v>
      </c>
      <c r="I216" t="s">
        <v>260</v>
      </c>
      <c r="J216" t="s">
        <v>261</v>
      </c>
      <c r="K216" t="s">
        <v>248</v>
      </c>
      <c r="L216" t="s">
        <v>80</v>
      </c>
      <c r="M216" t="s">
        <v>444</v>
      </c>
      <c r="N216" t="s">
        <v>445</v>
      </c>
      <c r="O216" t="s">
        <v>82</v>
      </c>
      <c r="P216">
        <v>746640.52500000002</v>
      </c>
      <c r="Q216" t="s">
        <v>83</v>
      </c>
      <c r="R216">
        <v>758314.41500000004</v>
      </c>
      <c r="Z216">
        <v>45045</v>
      </c>
      <c r="AA216">
        <v>53050</v>
      </c>
      <c r="AE216" t="s">
        <v>84</v>
      </c>
      <c r="AG216" t="s">
        <v>84</v>
      </c>
      <c r="AH216" t="s">
        <v>84</v>
      </c>
      <c r="AI216">
        <v>50000</v>
      </c>
      <c r="AJ216" t="s">
        <v>84</v>
      </c>
      <c r="AK216" t="s">
        <v>84</v>
      </c>
      <c r="AL216">
        <v>0</v>
      </c>
      <c r="AN216">
        <v>0</v>
      </c>
      <c r="AP216">
        <v>100200</v>
      </c>
      <c r="AQ216" t="s">
        <v>84</v>
      </c>
      <c r="AR216">
        <v>3600</v>
      </c>
      <c r="AT216" t="s">
        <v>84</v>
      </c>
      <c r="AU216" t="s">
        <v>84</v>
      </c>
      <c r="AV216" t="s">
        <v>84</v>
      </c>
      <c r="AW216">
        <v>28164</v>
      </c>
      <c r="AX216" t="s">
        <v>84</v>
      </c>
      <c r="AY216">
        <v>12000</v>
      </c>
      <c r="BA216" t="s">
        <v>84</v>
      </c>
      <c r="BB216" t="s">
        <v>84</v>
      </c>
      <c r="BC216">
        <v>18500</v>
      </c>
      <c r="BD216">
        <v>137709</v>
      </c>
      <c r="BG216" t="s">
        <v>84</v>
      </c>
      <c r="BH216">
        <v>38000</v>
      </c>
      <c r="BI216">
        <v>81644.42</v>
      </c>
      <c r="BJ216" t="s">
        <v>84</v>
      </c>
      <c r="BK216" t="s">
        <v>84</v>
      </c>
      <c r="BM216" t="s">
        <v>84</v>
      </c>
      <c r="BP216">
        <v>29400</v>
      </c>
      <c r="BQ216">
        <v>0</v>
      </c>
      <c r="BR216">
        <v>0</v>
      </c>
      <c r="BS216" t="s">
        <v>84</v>
      </c>
      <c r="BT216" t="s">
        <v>84</v>
      </c>
      <c r="BU216">
        <v>0</v>
      </c>
      <c r="BV216">
        <v>0</v>
      </c>
      <c r="BW216">
        <v>758314.41500000004</v>
      </c>
    </row>
    <row r="217" spans="1:75" x14ac:dyDescent="0.25">
      <c r="A217">
        <v>338</v>
      </c>
      <c r="B217" s="1">
        <v>45128.79791666667</v>
      </c>
      <c r="C217" t="s">
        <v>422</v>
      </c>
      <c r="D217" t="s">
        <v>73</v>
      </c>
      <c r="E217" t="s">
        <v>178</v>
      </c>
      <c r="F217">
        <v>0</v>
      </c>
      <c r="G217" t="s">
        <v>258</v>
      </c>
      <c r="H217" t="s">
        <v>423</v>
      </c>
      <c r="I217" t="s">
        <v>260</v>
      </c>
      <c r="J217" t="s">
        <v>261</v>
      </c>
      <c r="K217" t="s">
        <v>84</v>
      </c>
      <c r="L217" t="s">
        <v>80</v>
      </c>
      <c r="M217" t="s">
        <v>444</v>
      </c>
      <c r="N217" t="s">
        <v>446</v>
      </c>
      <c r="O217" t="s">
        <v>82</v>
      </c>
      <c r="P217">
        <v>876794.625</v>
      </c>
      <c r="Q217" t="s">
        <v>83</v>
      </c>
      <c r="T217">
        <v>1</v>
      </c>
      <c r="X217">
        <v>1</v>
      </c>
      <c r="AE217" t="s">
        <v>84</v>
      </c>
      <c r="AG217" t="s">
        <v>84</v>
      </c>
      <c r="AH217" t="s">
        <v>84</v>
      </c>
      <c r="AJ217" t="s">
        <v>84</v>
      </c>
      <c r="AK217" t="s">
        <v>84</v>
      </c>
      <c r="AQ217" t="s">
        <v>84</v>
      </c>
      <c r="AT217" t="s">
        <v>84</v>
      </c>
      <c r="AU217" t="s">
        <v>84</v>
      </c>
      <c r="AV217" t="s">
        <v>84</v>
      </c>
      <c r="AX217" t="s">
        <v>84</v>
      </c>
      <c r="BA217" t="s">
        <v>84</v>
      </c>
      <c r="BB217" t="s">
        <v>84</v>
      </c>
      <c r="BG217" t="s">
        <v>84</v>
      </c>
      <c r="BJ217" t="s">
        <v>84</v>
      </c>
      <c r="BK217" t="s">
        <v>84</v>
      </c>
      <c r="BM217" t="s">
        <v>84</v>
      </c>
      <c r="BS217" t="s">
        <v>84</v>
      </c>
      <c r="BT217" t="s">
        <v>84</v>
      </c>
      <c r="BU217">
        <v>0</v>
      </c>
      <c r="BV217">
        <v>0</v>
      </c>
      <c r="BW217">
        <v>758314.41500000004</v>
      </c>
    </row>
    <row r="218" spans="1:75" x14ac:dyDescent="0.25">
      <c r="A218">
        <v>338</v>
      </c>
      <c r="B218" s="1">
        <v>45128.79791666667</v>
      </c>
      <c r="C218" t="s">
        <v>422</v>
      </c>
      <c r="D218" t="s">
        <v>73</v>
      </c>
      <c r="E218" t="s">
        <v>178</v>
      </c>
      <c r="F218">
        <v>0</v>
      </c>
      <c r="G218" t="s">
        <v>258</v>
      </c>
      <c r="H218" t="s">
        <v>423</v>
      </c>
      <c r="I218" t="s">
        <v>260</v>
      </c>
      <c r="J218" t="s">
        <v>261</v>
      </c>
      <c r="K218" t="s">
        <v>84</v>
      </c>
      <c r="L218" t="s">
        <v>106</v>
      </c>
      <c r="M218" t="s">
        <v>422</v>
      </c>
      <c r="N218" t="s">
        <v>447</v>
      </c>
      <c r="O218" t="s">
        <v>82</v>
      </c>
      <c r="P218">
        <v>6207.47</v>
      </c>
      <c r="Q218" t="s">
        <v>83</v>
      </c>
      <c r="T218">
        <v>1</v>
      </c>
      <c r="X218">
        <v>1</v>
      </c>
      <c r="AE218" t="s">
        <v>84</v>
      </c>
      <c r="AG218" t="s">
        <v>84</v>
      </c>
      <c r="AH218" t="s">
        <v>84</v>
      </c>
      <c r="AJ218" t="s">
        <v>84</v>
      </c>
      <c r="AK218" t="s">
        <v>84</v>
      </c>
      <c r="AQ218" t="s">
        <v>84</v>
      </c>
      <c r="AT218" t="s">
        <v>84</v>
      </c>
      <c r="AU218" t="s">
        <v>84</v>
      </c>
      <c r="AV218" t="s">
        <v>84</v>
      </c>
      <c r="AX218" t="s">
        <v>84</v>
      </c>
      <c r="BA218" t="s">
        <v>84</v>
      </c>
      <c r="BB218" t="s">
        <v>84</v>
      </c>
      <c r="BG218" t="s">
        <v>84</v>
      </c>
      <c r="BJ218" t="s">
        <v>84</v>
      </c>
      <c r="BK218" t="s">
        <v>84</v>
      </c>
      <c r="BM218" t="s">
        <v>84</v>
      </c>
      <c r="BS218" t="s">
        <v>84</v>
      </c>
      <c r="BT218" t="s">
        <v>84</v>
      </c>
      <c r="BU218">
        <v>0</v>
      </c>
      <c r="BV218">
        <v>0</v>
      </c>
      <c r="BW218">
        <v>4912.9341666666669</v>
      </c>
    </row>
    <row r="219" spans="1:75" x14ac:dyDescent="0.25">
      <c r="A219">
        <v>338</v>
      </c>
      <c r="B219" s="1">
        <v>45128.79791666667</v>
      </c>
      <c r="C219" t="s">
        <v>422</v>
      </c>
      <c r="D219" t="s">
        <v>73</v>
      </c>
      <c r="E219" t="s">
        <v>178</v>
      </c>
      <c r="F219">
        <v>1</v>
      </c>
      <c r="G219" t="s">
        <v>258</v>
      </c>
      <c r="H219" t="s">
        <v>423</v>
      </c>
      <c r="I219" t="s">
        <v>260</v>
      </c>
      <c r="J219" t="s">
        <v>261</v>
      </c>
      <c r="K219" t="s">
        <v>248</v>
      </c>
      <c r="L219" t="s">
        <v>106</v>
      </c>
      <c r="M219" t="s">
        <v>444</v>
      </c>
      <c r="N219" t="s">
        <v>448</v>
      </c>
      <c r="O219" t="s">
        <v>82</v>
      </c>
      <c r="P219">
        <v>5356.7</v>
      </c>
      <c r="Q219" t="s">
        <v>83</v>
      </c>
      <c r="R219">
        <v>4912.9341670000003</v>
      </c>
      <c r="AE219" t="s">
        <v>84</v>
      </c>
      <c r="AF219">
        <v>2350</v>
      </c>
      <c r="AG219" t="s">
        <v>84</v>
      </c>
      <c r="AH219" t="s">
        <v>84</v>
      </c>
      <c r="AJ219" t="s">
        <v>84</v>
      </c>
      <c r="AK219" t="s">
        <v>84</v>
      </c>
      <c r="AQ219" t="s">
        <v>84</v>
      </c>
      <c r="AT219" t="s">
        <v>84</v>
      </c>
      <c r="AU219" t="s">
        <v>84</v>
      </c>
      <c r="AV219" t="s">
        <v>84</v>
      </c>
      <c r="AX219" t="s">
        <v>84</v>
      </c>
      <c r="BA219" t="s">
        <v>84</v>
      </c>
      <c r="BB219" t="s">
        <v>84</v>
      </c>
      <c r="BE219">
        <v>1050</v>
      </c>
      <c r="BG219" t="s">
        <v>84</v>
      </c>
      <c r="BJ219" t="s">
        <v>84</v>
      </c>
      <c r="BK219" t="s">
        <v>84</v>
      </c>
      <c r="BM219" t="s">
        <v>84</v>
      </c>
      <c r="BS219" t="s">
        <v>84</v>
      </c>
      <c r="BT219" t="s">
        <v>84</v>
      </c>
      <c r="BU219">
        <v>0</v>
      </c>
      <c r="BV219">
        <v>0</v>
      </c>
      <c r="BW219">
        <v>4912.9341666666669</v>
      </c>
    </row>
    <row r="220" spans="1:75" x14ac:dyDescent="0.25">
      <c r="A220">
        <v>338</v>
      </c>
      <c r="B220" s="1">
        <v>45128.79791666667</v>
      </c>
      <c r="C220" t="s">
        <v>422</v>
      </c>
      <c r="D220" t="s">
        <v>73</v>
      </c>
      <c r="E220" t="s">
        <v>178</v>
      </c>
      <c r="F220">
        <v>0</v>
      </c>
      <c r="G220" t="s">
        <v>258</v>
      </c>
      <c r="H220" t="s">
        <v>423</v>
      </c>
      <c r="I220" t="s">
        <v>260</v>
      </c>
      <c r="J220" t="s">
        <v>261</v>
      </c>
      <c r="K220" t="s">
        <v>84</v>
      </c>
      <c r="L220" t="s">
        <v>106</v>
      </c>
      <c r="M220" t="s">
        <v>444</v>
      </c>
      <c r="N220" t="s">
        <v>449</v>
      </c>
      <c r="O220" t="s">
        <v>82</v>
      </c>
      <c r="P220">
        <v>3174.6325000000002</v>
      </c>
      <c r="Q220" t="s">
        <v>83</v>
      </c>
      <c r="T220">
        <v>1</v>
      </c>
      <c r="X220">
        <v>1</v>
      </c>
      <c r="AE220" t="s">
        <v>84</v>
      </c>
      <c r="AG220" t="s">
        <v>84</v>
      </c>
      <c r="AH220" t="s">
        <v>84</v>
      </c>
      <c r="AJ220" t="s">
        <v>84</v>
      </c>
      <c r="AK220" t="s">
        <v>84</v>
      </c>
      <c r="AQ220" t="s">
        <v>84</v>
      </c>
      <c r="AT220" t="s">
        <v>84</v>
      </c>
      <c r="AU220" t="s">
        <v>84</v>
      </c>
      <c r="AV220" t="s">
        <v>84</v>
      </c>
      <c r="AX220" t="s">
        <v>84</v>
      </c>
      <c r="BA220" t="s">
        <v>84</v>
      </c>
      <c r="BB220" t="s">
        <v>84</v>
      </c>
      <c r="BG220" t="s">
        <v>84</v>
      </c>
      <c r="BJ220" t="s">
        <v>84</v>
      </c>
      <c r="BK220" t="s">
        <v>84</v>
      </c>
      <c r="BM220" t="s">
        <v>84</v>
      </c>
      <c r="BS220" t="s">
        <v>84</v>
      </c>
      <c r="BT220" t="s">
        <v>84</v>
      </c>
      <c r="BU220">
        <v>0</v>
      </c>
      <c r="BV220">
        <v>0</v>
      </c>
      <c r="BW220">
        <v>4912.9341666666669</v>
      </c>
    </row>
    <row r="221" spans="1:75" x14ac:dyDescent="0.25">
      <c r="A221">
        <v>338</v>
      </c>
      <c r="B221" s="1">
        <v>45128.79791666667</v>
      </c>
      <c r="C221" t="s">
        <v>422</v>
      </c>
      <c r="D221" t="s">
        <v>73</v>
      </c>
      <c r="E221" t="s">
        <v>178</v>
      </c>
      <c r="F221">
        <v>0</v>
      </c>
      <c r="G221" t="s">
        <v>258</v>
      </c>
      <c r="H221" t="s">
        <v>423</v>
      </c>
      <c r="I221" t="s">
        <v>260</v>
      </c>
      <c r="J221" t="s">
        <v>261</v>
      </c>
      <c r="K221" t="s">
        <v>84</v>
      </c>
      <c r="L221" t="s">
        <v>110</v>
      </c>
      <c r="M221" t="s">
        <v>422</v>
      </c>
      <c r="N221" t="s">
        <v>450</v>
      </c>
      <c r="O221" t="s">
        <v>82</v>
      </c>
      <c r="P221">
        <v>19592</v>
      </c>
      <c r="Q221" t="s">
        <v>83</v>
      </c>
      <c r="T221">
        <v>1</v>
      </c>
      <c r="X221">
        <v>1</v>
      </c>
      <c r="AE221" t="s">
        <v>84</v>
      </c>
      <c r="AG221" t="s">
        <v>84</v>
      </c>
      <c r="AH221" t="s">
        <v>84</v>
      </c>
      <c r="AJ221" t="s">
        <v>84</v>
      </c>
      <c r="AK221" t="s">
        <v>84</v>
      </c>
      <c r="AQ221" t="s">
        <v>84</v>
      </c>
      <c r="AT221" t="s">
        <v>84</v>
      </c>
      <c r="AU221" t="s">
        <v>84</v>
      </c>
      <c r="AV221" t="s">
        <v>84</v>
      </c>
      <c r="AX221" t="s">
        <v>84</v>
      </c>
      <c r="BA221" t="s">
        <v>84</v>
      </c>
      <c r="BB221" t="s">
        <v>84</v>
      </c>
      <c r="BG221" t="s">
        <v>84</v>
      </c>
      <c r="BJ221" t="s">
        <v>84</v>
      </c>
      <c r="BK221" t="s">
        <v>84</v>
      </c>
      <c r="BM221" t="s">
        <v>84</v>
      </c>
      <c r="BS221" t="s">
        <v>84</v>
      </c>
      <c r="BT221" t="s">
        <v>84</v>
      </c>
      <c r="BU221">
        <v>0</v>
      </c>
      <c r="BV221">
        <v>0</v>
      </c>
      <c r="BW221">
        <v>14893</v>
      </c>
    </row>
    <row r="222" spans="1:75" x14ac:dyDescent="0.25">
      <c r="A222">
        <v>338</v>
      </c>
      <c r="B222" s="1">
        <v>45128.79791666667</v>
      </c>
      <c r="C222" t="s">
        <v>422</v>
      </c>
      <c r="D222" t="s">
        <v>73</v>
      </c>
      <c r="E222" t="s">
        <v>178</v>
      </c>
      <c r="F222">
        <v>1</v>
      </c>
      <c r="G222" t="s">
        <v>258</v>
      </c>
      <c r="H222" t="s">
        <v>423</v>
      </c>
      <c r="I222" t="s">
        <v>260</v>
      </c>
      <c r="J222" t="s">
        <v>261</v>
      </c>
      <c r="K222" t="s">
        <v>248</v>
      </c>
      <c r="L222" t="s">
        <v>110</v>
      </c>
      <c r="M222" t="s">
        <v>444</v>
      </c>
      <c r="N222" t="s">
        <v>451</v>
      </c>
      <c r="O222" t="s">
        <v>82</v>
      </c>
      <c r="P222">
        <v>8704</v>
      </c>
      <c r="Q222" t="s">
        <v>83</v>
      </c>
      <c r="R222">
        <v>14893</v>
      </c>
      <c r="Z222">
        <v>0</v>
      </c>
      <c r="AA222">
        <v>0</v>
      </c>
      <c r="AE222" t="s">
        <v>84</v>
      </c>
      <c r="AG222" t="s">
        <v>84</v>
      </c>
      <c r="AH222" t="s">
        <v>84</v>
      </c>
      <c r="AI222">
        <v>0</v>
      </c>
      <c r="AJ222" t="s">
        <v>84</v>
      </c>
      <c r="AK222" t="s">
        <v>84</v>
      </c>
      <c r="AL222">
        <v>0</v>
      </c>
      <c r="AN222">
        <v>0</v>
      </c>
      <c r="AP222">
        <v>0</v>
      </c>
      <c r="AQ222" t="s">
        <v>84</v>
      </c>
      <c r="AR222">
        <v>0</v>
      </c>
      <c r="AT222" t="s">
        <v>84</v>
      </c>
      <c r="AU222" t="s">
        <v>84</v>
      </c>
      <c r="AV222" t="s">
        <v>84</v>
      </c>
      <c r="AW222">
        <v>0</v>
      </c>
      <c r="AX222" t="s">
        <v>84</v>
      </c>
      <c r="AY222">
        <v>6800</v>
      </c>
      <c r="BA222" t="s">
        <v>84</v>
      </c>
      <c r="BB222" t="s">
        <v>84</v>
      </c>
      <c r="BC222">
        <v>0</v>
      </c>
      <c r="BD222">
        <v>0</v>
      </c>
      <c r="BG222" t="s">
        <v>84</v>
      </c>
      <c r="BH222">
        <v>0</v>
      </c>
      <c r="BI222">
        <v>0</v>
      </c>
      <c r="BJ222" t="s">
        <v>84</v>
      </c>
      <c r="BK222" t="s">
        <v>84</v>
      </c>
      <c r="BM222" t="s">
        <v>84</v>
      </c>
      <c r="BP222">
        <v>0</v>
      </c>
      <c r="BQ222">
        <v>0</v>
      </c>
      <c r="BR222">
        <v>0</v>
      </c>
      <c r="BS222" t="s">
        <v>84</v>
      </c>
      <c r="BT222" t="s">
        <v>84</v>
      </c>
      <c r="BU222">
        <v>0</v>
      </c>
      <c r="BV222">
        <v>0</v>
      </c>
      <c r="BW222">
        <v>14893</v>
      </c>
    </row>
    <row r="223" spans="1:75" x14ac:dyDescent="0.25">
      <c r="A223">
        <v>338</v>
      </c>
      <c r="B223" s="1">
        <v>45128.79791666667</v>
      </c>
      <c r="C223" t="s">
        <v>422</v>
      </c>
      <c r="D223" t="s">
        <v>73</v>
      </c>
      <c r="E223" t="s">
        <v>178</v>
      </c>
      <c r="F223">
        <v>0</v>
      </c>
      <c r="G223" t="s">
        <v>258</v>
      </c>
      <c r="H223" t="s">
        <v>423</v>
      </c>
      <c r="I223" t="s">
        <v>260</v>
      </c>
      <c r="J223" t="s">
        <v>261</v>
      </c>
      <c r="K223" t="s">
        <v>84</v>
      </c>
      <c r="L223" t="s">
        <v>110</v>
      </c>
      <c r="M223" t="s">
        <v>444</v>
      </c>
      <c r="N223" t="s">
        <v>452</v>
      </c>
      <c r="O223" t="s">
        <v>82</v>
      </c>
      <c r="P223">
        <v>16383</v>
      </c>
      <c r="Q223" t="s">
        <v>83</v>
      </c>
      <c r="T223">
        <v>1</v>
      </c>
      <c r="X223">
        <v>1</v>
      </c>
      <c r="AE223" t="s">
        <v>84</v>
      </c>
      <c r="AG223" t="s">
        <v>84</v>
      </c>
      <c r="AH223" t="s">
        <v>84</v>
      </c>
      <c r="AJ223" t="s">
        <v>84</v>
      </c>
      <c r="AK223" t="s">
        <v>84</v>
      </c>
      <c r="AQ223" t="s">
        <v>84</v>
      </c>
      <c r="AT223" t="s">
        <v>84</v>
      </c>
      <c r="AU223" t="s">
        <v>84</v>
      </c>
      <c r="AV223" t="s">
        <v>84</v>
      </c>
      <c r="AX223" t="s">
        <v>84</v>
      </c>
      <c r="BA223" t="s">
        <v>84</v>
      </c>
      <c r="BB223" t="s">
        <v>84</v>
      </c>
      <c r="BG223" t="s">
        <v>84</v>
      </c>
      <c r="BJ223" t="s">
        <v>84</v>
      </c>
      <c r="BK223" t="s">
        <v>84</v>
      </c>
      <c r="BM223" t="s">
        <v>84</v>
      </c>
      <c r="BS223" t="s">
        <v>84</v>
      </c>
      <c r="BT223" t="s">
        <v>84</v>
      </c>
      <c r="BU223">
        <v>0</v>
      </c>
      <c r="BV223">
        <v>0</v>
      </c>
      <c r="BW223">
        <v>14893</v>
      </c>
    </row>
    <row r="224" spans="1:75" x14ac:dyDescent="0.25">
      <c r="A224">
        <v>338</v>
      </c>
      <c r="B224" s="1">
        <v>45128.79791666667</v>
      </c>
      <c r="C224" t="s">
        <v>422</v>
      </c>
      <c r="D224" t="s">
        <v>73</v>
      </c>
      <c r="E224" t="s">
        <v>178</v>
      </c>
      <c r="F224">
        <v>0</v>
      </c>
      <c r="G224" t="s">
        <v>258</v>
      </c>
      <c r="H224" t="s">
        <v>423</v>
      </c>
      <c r="I224" t="s">
        <v>260</v>
      </c>
      <c r="J224" t="s">
        <v>261</v>
      </c>
      <c r="K224" t="s">
        <v>84</v>
      </c>
      <c r="L224" t="s">
        <v>114</v>
      </c>
      <c r="M224" t="s">
        <v>432</v>
      </c>
      <c r="N224" t="s">
        <v>453</v>
      </c>
      <c r="O224" t="s">
        <v>82</v>
      </c>
      <c r="P224">
        <v>38700</v>
      </c>
      <c r="Q224" t="s">
        <v>83</v>
      </c>
      <c r="AE224" t="s">
        <v>84</v>
      </c>
      <c r="AG224" t="s">
        <v>84</v>
      </c>
      <c r="AH224" t="s">
        <v>84</v>
      </c>
      <c r="AJ224" t="s">
        <v>84</v>
      </c>
      <c r="AK224" t="s">
        <v>84</v>
      </c>
      <c r="AQ224" t="s">
        <v>84</v>
      </c>
      <c r="AT224" t="s">
        <v>84</v>
      </c>
      <c r="AU224" t="s">
        <v>84</v>
      </c>
      <c r="AV224" t="s">
        <v>84</v>
      </c>
      <c r="AX224" t="s">
        <v>84</v>
      </c>
      <c r="BA224" t="s">
        <v>84</v>
      </c>
      <c r="BB224" t="s">
        <v>84</v>
      </c>
      <c r="BG224" t="s">
        <v>84</v>
      </c>
      <c r="BJ224" t="s">
        <v>84</v>
      </c>
      <c r="BK224" t="s">
        <v>84</v>
      </c>
      <c r="BM224" t="s">
        <v>84</v>
      </c>
      <c r="BS224" t="s">
        <v>84</v>
      </c>
      <c r="BT224" t="s">
        <v>84</v>
      </c>
      <c r="BU224">
        <v>0</v>
      </c>
      <c r="BV224">
        <v>0</v>
      </c>
      <c r="BW224">
        <v>47966.666666666664</v>
      </c>
    </row>
    <row r="225" spans="1:75" x14ac:dyDescent="0.25">
      <c r="A225">
        <v>338</v>
      </c>
      <c r="B225" s="1">
        <v>45128.79791666667</v>
      </c>
      <c r="C225" t="s">
        <v>422</v>
      </c>
      <c r="D225" t="s">
        <v>73</v>
      </c>
      <c r="E225" t="s">
        <v>178</v>
      </c>
      <c r="F225">
        <v>0</v>
      </c>
      <c r="G225" t="s">
        <v>258</v>
      </c>
      <c r="H225" t="s">
        <v>423</v>
      </c>
      <c r="I225" t="s">
        <v>260</v>
      </c>
      <c r="J225" t="s">
        <v>261</v>
      </c>
      <c r="K225" t="s">
        <v>84</v>
      </c>
      <c r="L225" t="s">
        <v>114</v>
      </c>
      <c r="M225" t="s">
        <v>434</v>
      </c>
      <c r="N225" t="s">
        <v>454</v>
      </c>
      <c r="O225" t="s">
        <v>82</v>
      </c>
      <c r="P225">
        <v>50000</v>
      </c>
      <c r="Q225" t="s">
        <v>83</v>
      </c>
      <c r="AE225" t="s">
        <v>84</v>
      </c>
      <c r="AG225" t="s">
        <v>84</v>
      </c>
      <c r="AH225" t="s">
        <v>84</v>
      </c>
      <c r="AJ225" t="s">
        <v>84</v>
      </c>
      <c r="AK225" t="s">
        <v>84</v>
      </c>
      <c r="AQ225" t="s">
        <v>84</v>
      </c>
      <c r="AT225" t="s">
        <v>84</v>
      </c>
      <c r="AU225" t="s">
        <v>84</v>
      </c>
      <c r="AV225" t="s">
        <v>84</v>
      </c>
      <c r="AX225" t="s">
        <v>84</v>
      </c>
      <c r="BA225" t="s">
        <v>84</v>
      </c>
      <c r="BB225" t="s">
        <v>84</v>
      </c>
      <c r="BG225" t="s">
        <v>84</v>
      </c>
      <c r="BJ225" t="s">
        <v>84</v>
      </c>
      <c r="BK225" t="s">
        <v>84</v>
      </c>
      <c r="BM225" t="s">
        <v>84</v>
      </c>
      <c r="BS225" t="s">
        <v>84</v>
      </c>
      <c r="BT225" t="s">
        <v>84</v>
      </c>
      <c r="BU225">
        <v>0</v>
      </c>
      <c r="BV225">
        <v>0</v>
      </c>
      <c r="BW225">
        <v>47966.666666666664</v>
      </c>
    </row>
    <row r="226" spans="1:75" x14ac:dyDescent="0.25">
      <c r="A226">
        <v>338</v>
      </c>
      <c r="B226" s="1">
        <v>45128.79791666667</v>
      </c>
      <c r="C226" t="s">
        <v>422</v>
      </c>
      <c r="D226" t="s">
        <v>73</v>
      </c>
      <c r="E226" t="s">
        <v>178</v>
      </c>
      <c r="F226">
        <v>1</v>
      </c>
      <c r="G226" t="s">
        <v>258</v>
      </c>
      <c r="H226" t="s">
        <v>423</v>
      </c>
      <c r="I226" t="s">
        <v>260</v>
      </c>
      <c r="J226" t="s">
        <v>261</v>
      </c>
      <c r="K226" t="s">
        <v>436</v>
      </c>
      <c r="L226" t="s">
        <v>114</v>
      </c>
      <c r="M226" t="s">
        <v>437</v>
      </c>
      <c r="N226" t="s">
        <v>455</v>
      </c>
      <c r="O226" t="s">
        <v>82</v>
      </c>
      <c r="P226">
        <v>55200</v>
      </c>
      <c r="Q226" t="s">
        <v>83</v>
      </c>
      <c r="R226">
        <v>47966.666669999999</v>
      </c>
      <c r="T226">
        <v>1</v>
      </c>
      <c r="AE226" t="s">
        <v>84</v>
      </c>
      <c r="AG226" t="s">
        <v>84</v>
      </c>
      <c r="AH226" t="s">
        <v>84</v>
      </c>
      <c r="AJ226" t="s">
        <v>84</v>
      </c>
      <c r="AK226" t="s">
        <v>84</v>
      </c>
      <c r="AQ226" t="s">
        <v>84</v>
      </c>
      <c r="AT226" t="s">
        <v>84</v>
      </c>
      <c r="AU226" t="s">
        <v>84</v>
      </c>
      <c r="AV226" t="s">
        <v>84</v>
      </c>
      <c r="AX226" t="s">
        <v>84</v>
      </c>
      <c r="BA226" t="s">
        <v>84</v>
      </c>
      <c r="BB226" t="s">
        <v>84</v>
      </c>
      <c r="BG226" t="s">
        <v>84</v>
      </c>
      <c r="BJ226" t="s">
        <v>84</v>
      </c>
      <c r="BK226" t="s">
        <v>84</v>
      </c>
      <c r="BM226" t="s">
        <v>84</v>
      </c>
      <c r="BN226">
        <v>55200</v>
      </c>
      <c r="BS226" t="s">
        <v>84</v>
      </c>
      <c r="BT226" t="s">
        <v>84</v>
      </c>
      <c r="BU226">
        <v>0</v>
      </c>
      <c r="BV226">
        <v>0</v>
      </c>
      <c r="BW226">
        <v>47966.666666666664</v>
      </c>
    </row>
    <row r="227" spans="1:75" x14ac:dyDescent="0.25">
      <c r="A227">
        <v>340</v>
      </c>
      <c r="B227" s="1">
        <v>45128.798611111109</v>
      </c>
      <c r="C227" t="s">
        <v>456</v>
      </c>
      <c r="D227" t="s">
        <v>73</v>
      </c>
      <c r="E227" t="s">
        <v>178</v>
      </c>
      <c r="F227">
        <v>0</v>
      </c>
      <c r="G227" t="s">
        <v>258</v>
      </c>
      <c r="H227" t="s">
        <v>423</v>
      </c>
      <c r="I227" t="s">
        <v>260</v>
      </c>
      <c r="J227" t="s">
        <v>261</v>
      </c>
      <c r="K227" t="s">
        <v>84</v>
      </c>
      <c r="L227" t="s">
        <v>92</v>
      </c>
      <c r="M227" t="s">
        <v>221</v>
      </c>
      <c r="N227" t="s">
        <v>457</v>
      </c>
      <c r="O227" t="s">
        <v>82</v>
      </c>
      <c r="P227">
        <v>24500</v>
      </c>
      <c r="Q227" t="s">
        <v>83</v>
      </c>
      <c r="S227">
        <v>1</v>
      </c>
      <c r="T227">
        <v>1</v>
      </c>
      <c r="U227">
        <v>1</v>
      </c>
      <c r="X227">
        <v>1</v>
      </c>
      <c r="AE227" t="s">
        <v>84</v>
      </c>
      <c r="AG227" t="s">
        <v>84</v>
      </c>
      <c r="AH227" t="s">
        <v>84</v>
      </c>
      <c r="AJ227" t="s">
        <v>84</v>
      </c>
      <c r="AK227" t="s">
        <v>84</v>
      </c>
      <c r="AQ227" t="s">
        <v>84</v>
      </c>
      <c r="AT227" t="s">
        <v>84</v>
      </c>
      <c r="AU227" t="s">
        <v>84</v>
      </c>
      <c r="AV227" t="s">
        <v>84</v>
      </c>
      <c r="AX227" t="s">
        <v>84</v>
      </c>
      <c r="BA227" t="s">
        <v>84</v>
      </c>
      <c r="BB227" t="s">
        <v>84</v>
      </c>
      <c r="BG227" t="s">
        <v>84</v>
      </c>
      <c r="BJ227" t="s">
        <v>84</v>
      </c>
      <c r="BK227" t="s">
        <v>84</v>
      </c>
      <c r="BM227" t="s">
        <v>84</v>
      </c>
      <c r="BS227" t="s">
        <v>84</v>
      </c>
      <c r="BT227" t="s">
        <v>84</v>
      </c>
      <c r="BU227">
        <v>24500</v>
      </c>
      <c r="BV227">
        <v>0</v>
      </c>
      <c r="BW227">
        <v>25766.666666666668</v>
      </c>
    </row>
    <row r="228" spans="1:75" x14ac:dyDescent="0.25">
      <c r="A228">
        <v>340</v>
      </c>
      <c r="B228" s="1">
        <v>45128.798611111109</v>
      </c>
      <c r="C228" t="s">
        <v>456</v>
      </c>
      <c r="D228" t="s">
        <v>73</v>
      </c>
      <c r="E228" t="s">
        <v>178</v>
      </c>
      <c r="F228">
        <v>1</v>
      </c>
      <c r="G228" t="s">
        <v>258</v>
      </c>
      <c r="H228" t="s">
        <v>423</v>
      </c>
      <c r="I228" t="s">
        <v>260</v>
      </c>
      <c r="J228" t="s">
        <v>261</v>
      </c>
      <c r="K228" t="s">
        <v>181</v>
      </c>
      <c r="L228" t="s">
        <v>92</v>
      </c>
      <c r="M228" t="s">
        <v>458</v>
      </c>
      <c r="N228" t="s">
        <v>181</v>
      </c>
      <c r="O228" t="s">
        <v>82</v>
      </c>
      <c r="P228">
        <v>20690</v>
      </c>
      <c r="Q228" t="s">
        <v>83</v>
      </c>
      <c r="R228">
        <v>25766.666669999999</v>
      </c>
      <c r="S228">
        <v>1</v>
      </c>
      <c r="W228">
        <v>1</v>
      </c>
      <c r="X228">
        <v>1</v>
      </c>
      <c r="AB228">
        <v>20690</v>
      </c>
      <c r="AE228" t="s">
        <v>84</v>
      </c>
      <c r="AG228" t="s">
        <v>84</v>
      </c>
      <c r="AH228" t="s">
        <v>84</v>
      </c>
      <c r="AJ228" t="s">
        <v>84</v>
      </c>
      <c r="AK228" t="s">
        <v>84</v>
      </c>
      <c r="AQ228" t="s">
        <v>84</v>
      </c>
      <c r="AT228" t="s">
        <v>84</v>
      </c>
      <c r="AU228" t="s">
        <v>84</v>
      </c>
      <c r="AV228" t="s">
        <v>84</v>
      </c>
      <c r="AX228" t="s">
        <v>84</v>
      </c>
      <c r="BA228" t="s">
        <v>84</v>
      </c>
      <c r="BB228" t="s">
        <v>84</v>
      </c>
      <c r="BG228" t="s">
        <v>84</v>
      </c>
      <c r="BJ228" t="s">
        <v>84</v>
      </c>
      <c r="BK228" t="s">
        <v>84</v>
      </c>
      <c r="BM228" t="s">
        <v>84</v>
      </c>
      <c r="BS228" t="s">
        <v>84</v>
      </c>
      <c r="BT228" t="s">
        <v>84</v>
      </c>
      <c r="BU228">
        <v>20690</v>
      </c>
      <c r="BV228">
        <v>20690</v>
      </c>
      <c r="BW228">
        <v>25766.666666666668</v>
      </c>
    </row>
    <row r="229" spans="1:75" x14ac:dyDescent="0.25">
      <c r="A229">
        <v>340</v>
      </c>
      <c r="B229" s="1">
        <v>45128.798611111109</v>
      </c>
      <c r="C229" t="s">
        <v>456</v>
      </c>
      <c r="D229" t="s">
        <v>73</v>
      </c>
      <c r="E229" t="s">
        <v>178</v>
      </c>
      <c r="F229">
        <v>0</v>
      </c>
      <c r="G229" t="s">
        <v>258</v>
      </c>
      <c r="H229" t="s">
        <v>423</v>
      </c>
      <c r="I229" t="s">
        <v>260</v>
      </c>
      <c r="J229" t="s">
        <v>261</v>
      </c>
      <c r="K229" t="s">
        <v>84</v>
      </c>
      <c r="L229" t="s">
        <v>92</v>
      </c>
      <c r="M229" t="s">
        <v>459</v>
      </c>
      <c r="N229" t="s">
        <v>460</v>
      </c>
      <c r="O229" t="s">
        <v>82</v>
      </c>
      <c r="P229">
        <v>32110</v>
      </c>
      <c r="Q229" t="s">
        <v>83</v>
      </c>
      <c r="AE229" t="s">
        <v>84</v>
      </c>
      <c r="AG229" t="s">
        <v>84</v>
      </c>
      <c r="AH229" t="s">
        <v>84</v>
      </c>
      <c r="AJ229" t="s">
        <v>84</v>
      </c>
      <c r="AK229" t="s">
        <v>84</v>
      </c>
      <c r="AQ229" t="s">
        <v>84</v>
      </c>
      <c r="AT229" t="s">
        <v>84</v>
      </c>
      <c r="AU229" t="s">
        <v>84</v>
      </c>
      <c r="AV229" t="s">
        <v>84</v>
      </c>
      <c r="AX229" t="s">
        <v>84</v>
      </c>
      <c r="BA229" t="s">
        <v>84</v>
      </c>
      <c r="BB229" t="s">
        <v>84</v>
      </c>
      <c r="BG229" t="s">
        <v>84</v>
      </c>
      <c r="BJ229" t="s">
        <v>84</v>
      </c>
      <c r="BK229" t="s">
        <v>84</v>
      </c>
      <c r="BM229" t="s">
        <v>84</v>
      </c>
      <c r="BS229" t="s">
        <v>84</v>
      </c>
      <c r="BT229" t="s">
        <v>84</v>
      </c>
      <c r="BU229">
        <v>0</v>
      </c>
      <c r="BV229">
        <v>0</v>
      </c>
      <c r="BW229">
        <v>25766.666666666668</v>
      </c>
    </row>
    <row r="230" spans="1:75" x14ac:dyDescent="0.25">
      <c r="A230">
        <v>340</v>
      </c>
      <c r="B230" s="1">
        <v>45128.798611111109</v>
      </c>
      <c r="C230" t="s">
        <v>456</v>
      </c>
      <c r="D230" t="s">
        <v>73</v>
      </c>
      <c r="E230" t="s">
        <v>178</v>
      </c>
      <c r="F230">
        <v>0</v>
      </c>
      <c r="G230" t="s">
        <v>258</v>
      </c>
      <c r="H230" t="s">
        <v>423</v>
      </c>
      <c r="I230" t="s">
        <v>260</v>
      </c>
      <c r="J230" t="s">
        <v>261</v>
      </c>
      <c r="K230" t="s">
        <v>84</v>
      </c>
      <c r="L230" t="s">
        <v>80</v>
      </c>
      <c r="M230" t="s">
        <v>456</v>
      </c>
      <c r="N230" t="s">
        <v>461</v>
      </c>
      <c r="O230" t="s">
        <v>82</v>
      </c>
      <c r="P230">
        <v>783241.875</v>
      </c>
      <c r="Q230" t="s">
        <v>83</v>
      </c>
      <c r="T230">
        <v>1</v>
      </c>
      <c r="X230">
        <v>1</v>
      </c>
      <c r="AE230" t="s">
        <v>84</v>
      </c>
      <c r="AG230" t="s">
        <v>84</v>
      </c>
      <c r="AH230" t="s">
        <v>84</v>
      </c>
      <c r="AJ230" t="s">
        <v>84</v>
      </c>
      <c r="AK230" t="s">
        <v>84</v>
      </c>
      <c r="AQ230" t="s">
        <v>84</v>
      </c>
      <c r="AT230" t="s">
        <v>84</v>
      </c>
      <c r="AU230" t="s">
        <v>84</v>
      </c>
      <c r="AV230" t="s">
        <v>84</v>
      </c>
      <c r="AX230" t="s">
        <v>84</v>
      </c>
      <c r="BA230" t="s">
        <v>84</v>
      </c>
      <c r="BB230" t="s">
        <v>84</v>
      </c>
      <c r="BG230" t="s">
        <v>84</v>
      </c>
      <c r="BJ230" t="s">
        <v>84</v>
      </c>
      <c r="BK230" t="s">
        <v>84</v>
      </c>
      <c r="BM230" t="s">
        <v>84</v>
      </c>
      <c r="BS230" t="s">
        <v>84</v>
      </c>
      <c r="BT230" t="s">
        <v>84</v>
      </c>
      <c r="BU230">
        <v>0</v>
      </c>
      <c r="BV230">
        <v>0</v>
      </c>
      <c r="BW230">
        <v>711043.51246666664</v>
      </c>
    </row>
    <row r="231" spans="1:75" x14ac:dyDescent="0.25">
      <c r="A231">
        <v>340</v>
      </c>
      <c r="B231" s="1">
        <v>45128.798611111109</v>
      </c>
      <c r="C231" t="s">
        <v>456</v>
      </c>
      <c r="D231" t="s">
        <v>73</v>
      </c>
      <c r="E231" t="s">
        <v>178</v>
      </c>
      <c r="F231">
        <v>1</v>
      </c>
      <c r="G231" t="s">
        <v>258</v>
      </c>
      <c r="H231" t="s">
        <v>423</v>
      </c>
      <c r="I231" t="s">
        <v>260</v>
      </c>
      <c r="J231" t="s">
        <v>261</v>
      </c>
      <c r="K231" t="s">
        <v>167</v>
      </c>
      <c r="L231" t="s">
        <v>80</v>
      </c>
      <c r="M231" t="s">
        <v>456</v>
      </c>
      <c r="N231" t="s">
        <v>462</v>
      </c>
      <c r="O231" t="s">
        <v>82</v>
      </c>
      <c r="P231">
        <v>613851.47239999997</v>
      </c>
      <c r="Q231" t="s">
        <v>83</v>
      </c>
      <c r="R231">
        <v>711043.51249999995</v>
      </c>
      <c r="Z231">
        <v>20377.5</v>
      </c>
      <c r="AA231">
        <v>5300</v>
      </c>
      <c r="AE231" t="s">
        <v>84</v>
      </c>
      <c r="AG231" t="s">
        <v>84</v>
      </c>
      <c r="AH231" t="s">
        <v>84</v>
      </c>
      <c r="AI231">
        <v>55000</v>
      </c>
      <c r="AJ231" t="s">
        <v>84</v>
      </c>
      <c r="AK231" t="s">
        <v>84</v>
      </c>
      <c r="AL231">
        <v>0</v>
      </c>
      <c r="AN231">
        <v>0</v>
      </c>
      <c r="AP231">
        <v>85100</v>
      </c>
      <c r="AQ231" t="s">
        <v>84</v>
      </c>
      <c r="AR231">
        <v>2400</v>
      </c>
      <c r="AT231" t="s">
        <v>84</v>
      </c>
      <c r="AU231" t="s">
        <v>84</v>
      </c>
      <c r="AV231" t="s">
        <v>84</v>
      </c>
      <c r="AW231">
        <v>20825</v>
      </c>
      <c r="AX231" t="s">
        <v>84</v>
      </c>
      <c r="AY231">
        <v>7000</v>
      </c>
      <c r="BA231" t="s">
        <v>84</v>
      </c>
      <c r="BB231" t="s">
        <v>84</v>
      </c>
      <c r="BC231">
        <v>10600</v>
      </c>
      <c r="BD231">
        <v>165451</v>
      </c>
      <c r="BG231" t="s">
        <v>84</v>
      </c>
      <c r="BH231">
        <v>2900</v>
      </c>
      <c r="BI231">
        <v>96678.01</v>
      </c>
      <c r="BJ231" t="s">
        <v>84</v>
      </c>
      <c r="BK231" t="s">
        <v>84</v>
      </c>
      <c r="BM231" t="s">
        <v>84</v>
      </c>
      <c r="BP231">
        <v>23410</v>
      </c>
      <c r="BQ231">
        <v>0</v>
      </c>
      <c r="BR231">
        <v>0</v>
      </c>
      <c r="BS231" t="s">
        <v>84</v>
      </c>
      <c r="BT231" t="s">
        <v>84</v>
      </c>
      <c r="BU231">
        <v>0</v>
      </c>
      <c r="BV231">
        <v>0</v>
      </c>
      <c r="BW231">
        <v>711043.51246666664</v>
      </c>
    </row>
    <row r="232" spans="1:75" x14ac:dyDescent="0.25">
      <c r="A232">
        <v>340</v>
      </c>
      <c r="B232" s="1">
        <v>45128.798611111109</v>
      </c>
      <c r="C232" t="s">
        <v>456</v>
      </c>
      <c r="D232" t="s">
        <v>73</v>
      </c>
      <c r="E232" t="s">
        <v>178</v>
      </c>
      <c r="F232">
        <v>0</v>
      </c>
      <c r="G232" t="s">
        <v>258</v>
      </c>
      <c r="H232" t="s">
        <v>423</v>
      </c>
      <c r="I232" t="s">
        <v>260</v>
      </c>
      <c r="J232" t="s">
        <v>261</v>
      </c>
      <c r="K232" t="s">
        <v>84</v>
      </c>
      <c r="L232" t="s">
        <v>80</v>
      </c>
      <c r="M232" t="s">
        <v>456</v>
      </c>
      <c r="N232" t="s">
        <v>463</v>
      </c>
      <c r="O232" t="s">
        <v>82</v>
      </c>
      <c r="P232">
        <v>736037.19</v>
      </c>
      <c r="Q232" t="s">
        <v>83</v>
      </c>
      <c r="W232">
        <v>1</v>
      </c>
      <c r="AE232" t="s">
        <v>84</v>
      </c>
      <c r="AG232" t="s">
        <v>84</v>
      </c>
      <c r="AH232" t="s">
        <v>84</v>
      </c>
      <c r="AJ232" t="s">
        <v>84</v>
      </c>
      <c r="AK232" t="s">
        <v>84</v>
      </c>
      <c r="AQ232" t="s">
        <v>84</v>
      </c>
      <c r="AT232" t="s">
        <v>84</v>
      </c>
      <c r="AU232" t="s">
        <v>84</v>
      </c>
      <c r="AV232" t="s">
        <v>84</v>
      </c>
      <c r="AX232" t="s">
        <v>84</v>
      </c>
      <c r="BA232" t="s">
        <v>84</v>
      </c>
      <c r="BB232" t="s">
        <v>84</v>
      </c>
      <c r="BG232" t="s">
        <v>84</v>
      </c>
      <c r="BJ232" t="s">
        <v>84</v>
      </c>
      <c r="BK232" t="s">
        <v>84</v>
      </c>
      <c r="BM232" t="s">
        <v>84</v>
      </c>
      <c r="BS232" t="s">
        <v>84</v>
      </c>
      <c r="BT232" t="s">
        <v>84</v>
      </c>
      <c r="BU232">
        <v>0</v>
      </c>
      <c r="BV232">
        <v>0</v>
      </c>
      <c r="BW232">
        <v>711043.51246666664</v>
      </c>
    </row>
    <row r="233" spans="1:75" x14ac:dyDescent="0.25">
      <c r="A233">
        <v>340</v>
      </c>
      <c r="B233" s="1">
        <v>45128.798611111109</v>
      </c>
      <c r="C233" t="s">
        <v>456</v>
      </c>
      <c r="D233" t="s">
        <v>73</v>
      </c>
      <c r="E233" t="s">
        <v>178</v>
      </c>
      <c r="F233">
        <v>0</v>
      </c>
      <c r="G233" t="s">
        <v>258</v>
      </c>
      <c r="H233" t="s">
        <v>423</v>
      </c>
      <c r="I233" t="s">
        <v>260</v>
      </c>
      <c r="J233" t="s">
        <v>261</v>
      </c>
      <c r="K233" t="s">
        <v>84</v>
      </c>
      <c r="L233" t="s">
        <v>106</v>
      </c>
      <c r="M233" t="s">
        <v>456</v>
      </c>
      <c r="N233" t="s">
        <v>464</v>
      </c>
      <c r="O233" t="s">
        <v>82</v>
      </c>
      <c r="P233">
        <v>3883.6075000000001</v>
      </c>
      <c r="Q233" t="s">
        <v>83</v>
      </c>
      <c r="T233">
        <v>1</v>
      </c>
      <c r="X233">
        <v>1</v>
      </c>
      <c r="AE233" t="s">
        <v>84</v>
      </c>
      <c r="AG233" t="s">
        <v>84</v>
      </c>
      <c r="AH233" t="s">
        <v>84</v>
      </c>
      <c r="AJ233" t="s">
        <v>84</v>
      </c>
      <c r="AK233" t="s">
        <v>84</v>
      </c>
      <c r="AQ233" t="s">
        <v>84</v>
      </c>
      <c r="AT233" t="s">
        <v>84</v>
      </c>
      <c r="AU233" t="s">
        <v>84</v>
      </c>
      <c r="AV233" t="s">
        <v>84</v>
      </c>
      <c r="AX233" t="s">
        <v>84</v>
      </c>
      <c r="BA233" t="s">
        <v>84</v>
      </c>
      <c r="BB233" t="s">
        <v>84</v>
      </c>
      <c r="BG233" t="s">
        <v>84</v>
      </c>
      <c r="BJ233" t="s">
        <v>84</v>
      </c>
      <c r="BK233" t="s">
        <v>84</v>
      </c>
      <c r="BM233" t="s">
        <v>84</v>
      </c>
      <c r="BS233" t="s">
        <v>84</v>
      </c>
      <c r="BT233" t="s">
        <v>84</v>
      </c>
      <c r="BU233">
        <v>0</v>
      </c>
      <c r="BV233">
        <v>0</v>
      </c>
      <c r="BW233">
        <v>5621.9091666666673</v>
      </c>
    </row>
    <row r="234" spans="1:75" x14ac:dyDescent="0.25">
      <c r="A234">
        <v>340</v>
      </c>
      <c r="B234" s="1">
        <v>45128.798611111109</v>
      </c>
      <c r="C234" t="s">
        <v>456</v>
      </c>
      <c r="D234" t="s">
        <v>73</v>
      </c>
      <c r="E234" t="s">
        <v>178</v>
      </c>
      <c r="F234">
        <v>1</v>
      </c>
      <c r="G234" t="s">
        <v>258</v>
      </c>
      <c r="H234" t="s">
        <v>423</v>
      </c>
      <c r="I234" t="s">
        <v>260</v>
      </c>
      <c r="J234" t="s">
        <v>261</v>
      </c>
      <c r="K234" t="s">
        <v>167</v>
      </c>
      <c r="L234" t="s">
        <v>106</v>
      </c>
      <c r="M234" t="s">
        <v>456</v>
      </c>
      <c r="N234" t="s">
        <v>465</v>
      </c>
      <c r="O234" t="s">
        <v>82</v>
      </c>
      <c r="P234">
        <v>7207.9125000000004</v>
      </c>
      <c r="Q234" t="s">
        <v>83</v>
      </c>
      <c r="R234">
        <v>5621.9091669999998</v>
      </c>
      <c r="AE234" t="s">
        <v>84</v>
      </c>
      <c r="AF234">
        <v>2500</v>
      </c>
      <c r="AG234" t="s">
        <v>84</v>
      </c>
      <c r="AH234" t="s">
        <v>84</v>
      </c>
      <c r="AJ234" t="s">
        <v>84</v>
      </c>
      <c r="AK234" t="s">
        <v>84</v>
      </c>
      <c r="AQ234" t="s">
        <v>84</v>
      </c>
      <c r="AT234" t="s">
        <v>84</v>
      </c>
      <c r="AU234" t="s">
        <v>84</v>
      </c>
      <c r="AV234" t="s">
        <v>84</v>
      </c>
      <c r="AX234" t="s">
        <v>84</v>
      </c>
      <c r="BA234" t="s">
        <v>84</v>
      </c>
      <c r="BB234" t="s">
        <v>84</v>
      </c>
      <c r="BE234">
        <v>2075</v>
      </c>
      <c r="BG234" t="s">
        <v>84</v>
      </c>
      <c r="BJ234" t="s">
        <v>84</v>
      </c>
      <c r="BK234" t="s">
        <v>84</v>
      </c>
      <c r="BM234" t="s">
        <v>84</v>
      </c>
      <c r="BS234" t="s">
        <v>84</v>
      </c>
      <c r="BT234" t="s">
        <v>84</v>
      </c>
      <c r="BU234">
        <v>0</v>
      </c>
      <c r="BV234">
        <v>0</v>
      </c>
      <c r="BW234">
        <v>5621.9091666666673</v>
      </c>
    </row>
    <row r="235" spans="1:75" x14ac:dyDescent="0.25">
      <c r="A235">
        <v>340</v>
      </c>
      <c r="B235" s="1">
        <v>45128.798611111109</v>
      </c>
      <c r="C235" t="s">
        <v>456</v>
      </c>
      <c r="D235" t="s">
        <v>73</v>
      </c>
      <c r="E235" t="s">
        <v>178</v>
      </c>
      <c r="F235">
        <v>0</v>
      </c>
      <c r="G235" t="s">
        <v>258</v>
      </c>
      <c r="H235" t="s">
        <v>423</v>
      </c>
      <c r="I235" t="s">
        <v>260</v>
      </c>
      <c r="J235" t="s">
        <v>261</v>
      </c>
      <c r="K235" t="s">
        <v>84</v>
      </c>
      <c r="L235" t="s">
        <v>106</v>
      </c>
      <c r="M235" t="s">
        <v>456</v>
      </c>
      <c r="N235" t="s">
        <v>466</v>
      </c>
      <c r="O235" t="s">
        <v>82</v>
      </c>
      <c r="P235">
        <v>5774.2075000000004</v>
      </c>
      <c r="Q235" t="s">
        <v>83</v>
      </c>
      <c r="W235">
        <v>1</v>
      </c>
      <c r="AE235" t="s">
        <v>84</v>
      </c>
      <c r="AG235" t="s">
        <v>84</v>
      </c>
      <c r="AH235" t="s">
        <v>84</v>
      </c>
      <c r="AJ235" t="s">
        <v>84</v>
      </c>
      <c r="AK235" t="s">
        <v>84</v>
      </c>
      <c r="AQ235" t="s">
        <v>84</v>
      </c>
      <c r="AT235" t="s">
        <v>84</v>
      </c>
      <c r="AU235" t="s">
        <v>84</v>
      </c>
      <c r="AV235" t="s">
        <v>84</v>
      </c>
      <c r="AX235" t="s">
        <v>84</v>
      </c>
      <c r="BA235" t="s">
        <v>84</v>
      </c>
      <c r="BB235" t="s">
        <v>84</v>
      </c>
      <c r="BG235" t="s">
        <v>84</v>
      </c>
      <c r="BJ235" t="s">
        <v>84</v>
      </c>
      <c r="BK235" t="s">
        <v>84</v>
      </c>
      <c r="BM235" t="s">
        <v>84</v>
      </c>
      <c r="BS235" t="s">
        <v>84</v>
      </c>
      <c r="BT235" t="s">
        <v>84</v>
      </c>
      <c r="BU235">
        <v>0</v>
      </c>
      <c r="BV235">
        <v>0</v>
      </c>
      <c r="BW235">
        <v>5621.9091666666673</v>
      </c>
    </row>
    <row r="236" spans="1:75" x14ac:dyDescent="0.25">
      <c r="A236">
        <v>340</v>
      </c>
      <c r="B236" s="1">
        <v>45128.798611111109</v>
      </c>
      <c r="C236" t="s">
        <v>456</v>
      </c>
      <c r="D236" t="s">
        <v>73</v>
      </c>
      <c r="E236" t="s">
        <v>178</v>
      </c>
      <c r="F236">
        <v>0</v>
      </c>
      <c r="G236" t="s">
        <v>258</v>
      </c>
      <c r="H236" t="s">
        <v>423</v>
      </c>
      <c r="I236" t="s">
        <v>260</v>
      </c>
      <c r="J236" t="s">
        <v>261</v>
      </c>
      <c r="K236" t="s">
        <v>84</v>
      </c>
      <c r="L236" t="s">
        <v>110</v>
      </c>
      <c r="M236" t="s">
        <v>456</v>
      </c>
      <c r="N236" t="s">
        <v>467</v>
      </c>
      <c r="O236" t="s">
        <v>82</v>
      </c>
      <c r="P236">
        <v>9271</v>
      </c>
      <c r="Q236" t="s">
        <v>83</v>
      </c>
      <c r="T236">
        <v>1</v>
      </c>
      <c r="X236">
        <v>1</v>
      </c>
      <c r="AE236" t="s">
        <v>84</v>
      </c>
      <c r="AG236" t="s">
        <v>84</v>
      </c>
      <c r="AH236" t="s">
        <v>84</v>
      </c>
      <c r="AJ236" t="s">
        <v>84</v>
      </c>
      <c r="AK236" t="s">
        <v>84</v>
      </c>
      <c r="AQ236" t="s">
        <v>84</v>
      </c>
      <c r="AT236" t="s">
        <v>84</v>
      </c>
      <c r="AU236" t="s">
        <v>84</v>
      </c>
      <c r="AV236" t="s">
        <v>84</v>
      </c>
      <c r="AX236" t="s">
        <v>84</v>
      </c>
      <c r="BA236" t="s">
        <v>84</v>
      </c>
      <c r="BB236" t="s">
        <v>84</v>
      </c>
      <c r="BG236" t="s">
        <v>84</v>
      </c>
      <c r="BJ236" t="s">
        <v>84</v>
      </c>
      <c r="BK236" t="s">
        <v>84</v>
      </c>
      <c r="BM236" t="s">
        <v>84</v>
      </c>
      <c r="BS236" t="s">
        <v>84</v>
      </c>
      <c r="BT236" t="s">
        <v>84</v>
      </c>
      <c r="BU236">
        <v>0</v>
      </c>
      <c r="BV236">
        <v>0</v>
      </c>
      <c r="BW236">
        <v>16903.666666666668</v>
      </c>
    </row>
    <row r="237" spans="1:75" x14ac:dyDescent="0.25">
      <c r="A237">
        <v>340</v>
      </c>
      <c r="B237" s="1">
        <v>45128.798611111109</v>
      </c>
      <c r="C237" t="s">
        <v>456</v>
      </c>
      <c r="D237" t="s">
        <v>73</v>
      </c>
      <c r="E237" t="s">
        <v>178</v>
      </c>
      <c r="F237">
        <v>1</v>
      </c>
      <c r="G237" t="s">
        <v>258</v>
      </c>
      <c r="H237" t="s">
        <v>423</v>
      </c>
      <c r="I237" t="s">
        <v>260</v>
      </c>
      <c r="J237" t="s">
        <v>261</v>
      </c>
      <c r="K237" t="s">
        <v>167</v>
      </c>
      <c r="L237" t="s">
        <v>110</v>
      </c>
      <c r="M237" t="s">
        <v>456</v>
      </c>
      <c r="N237" t="s">
        <v>468</v>
      </c>
      <c r="O237" t="s">
        <v>82</v>
      </c>
      <c r="P237">
        <v>20320</v>
      </c>
      <c r="Q237" t="s">
        <v>83</v>
      </c>
      <c r="R237">
        <v>16903.666669999999</v>
      </c>
      <c r="Z237">
        <v>0</v>
      </c>
      <c r="AA237">
        <v>0</v>
      </c>
      <c r="AE237" t="s">
        <v>84</v>
      </c>
      <c r="AG237" t="s">
        <v>84</v>
      </c>
      <c r="AH237" t="s">
        <v>84</v>
      </c>
      <c r="AI237">
        <v>0</v>
      </c>
      <c r="AJ237" t="s">
        <v>84</v>
      </c>
      <c r="AK237" t="s">
        <v>84</v>
      </c>
      <c r="AL237">
        <v>0</v>
      </c>
      <c r="AN237">
        <v>0</v>
      </c>
      <c r="AP237">
        <v>0</v>
      </c>
      <c r="AQ237" t="s">
        <v>84</v>
      </c>
      <c r="AR237">
        <v>0</v>
      </c>
      <c r="AT237" t="s">
        <v>84</v>
      </c>
      <c r="AU237" t="s">
        <v>84</v>
      </c>
      <c r="AV237" t="s">
        <v>84</v>
      </c>
      <c r="AW237">
        <v>0</v>
      </c>
      <c r="AX237" t="s">
        <v>84</v>
      </c>
      <c r="AY237">
        <v>16000</v>
      </c>
      <c r="BA237" t="s">
        <v>84</v>
      </c>
      <c r="BB237" t="s">
        <v>84</v>
      </c>
      <c r="BC237">
        <v>0</v>
      </c>
      <c r="BD237">
        <v>0</v>
      </c>
      <c r="BG237" t="s">
        <v>84</v>
      </c>
      <c r="BH237">
        <v>0</v>
      </c>
      <c r="BI237">
        <v>0</v>
      </c>
      <c r="BJ237" t="s">
        <v>84</v>
      </c>
      <c r="BK237" t="s">
        <v>84</v>
      </c>
      <c r="BM237" t="s">
        <v>84</v>
      </c>
      <c r="BP237">
        <v>0</v>
      </c>
      <c r="BQ237">
        <v>0</v>
      </c>
      <c r="BR237">
        <v>0</v>
      </c>
      <c r="BS237" t="s">
        <v>84</v>
      </c>
      <c r="BT237" t="s">
        <v>84</v>
      </c>
      <c r="BU237">
        <v>0</v>
      </c>
      <c r="BV237">
        <v>0</v>
      </c>
      <c r="BW237">
        <v>16903.666666666668</v>
      </c>
    </row>
    <row r="238" spans="1:75" x14ac:dyDescent="0.25">
      <c r="A238">
        <v>340</v>
      </c>
      <c r="B238" s="1">
        <v>45128.798611111109</v>
      </c>
      <c r="C238" t="s">
        <v>456</v>
      </c>
      <c r="D238" t="s">
        <v>73</v>
      </c>
      <c r="E238" t="s">
        <v>178</v>
      </c>
      <c r="F238">
        <v>0</v>
      </c>
      <c r="G238" t="s">
        <v>258</v>
      </c>
      <c r="H238" t="s">
        <v>423</v>
      </c>
      <c r="I238" t="s">
        <v>260</v>
      </c>
      <c r="J238" t="s">
        <v>261</v>
      </c>
      <c r="K238" t="s">
        <v>84</v>
      </c>
      <c r="L238" t="s">
        <v>110</v>
      </c>
      <c r="M238" t="s">
        <v>456</v>
      </c>
      <c r="N238" t="s">
        <v>469</v>
      </c>
      <c r="O238" t="s">
        <v>82</v>
      </c>
      <c r="P238">
        <v>21120</v>
      </c>
      <c r="Q238" t="s">
        <v>83</v>
      </c>
      <c r="W238">
        <v>1</v>
      </c>
      <c r="AE238" t="s">
        <v>84</v>
      </c>
      <c r="AG238" t="s">
        <v>84</v>
      </c>
      <c r="AH238" t="s">
        <v>84</v>
      </c>
      <c r="AJ238" t="s">
        <v>84</v>
      </c>
      <c r="AK238" t="s">
        <v>84</v>
      </c>
      <c r="AQ238" t="s">
        <v>84</v>
      </c>
      <c r="AT238" t="s">
        <v>84</v>
      </c>
      <c r="AU238" t="s">
        <v>84</v>
      </c>
      <c r="AV238" t="s">
        <v>84</v>
      </c>
      <c r="AX238" t="s">
        <v>84</v>
      </c>
      <c r="BA238" t="s">
        <v>84</v>
      </c>
      <c r="BB238" t="s">
        <v>84</v>
      </c>
      <c r="BG238" t="s">
        <v>84</v>
      </c>
      <c r="BJ238" t="s">
        <v>84</v>
      </c>
      <c r="BK238" t="s">
        <v>84</v>
      </c>
      <c r="BM238" t="s">
        <v>84</v>
      </c>
      <c r="BS238" t="s">
        <v>84</v>
      </c>
      <c r="BT238" t="s">
        <v>84</v>
      </c>
      <c r="BU238">
        <v>0</v>
      </c>
      <c r="BV238">
        <v>0</v>
      </c>
      <c r="BW238">
        <v>16903.666666666668</v>
      </c>
    </row>
    <row r="239" spans="1:75" x14ac:dyDescent="0.25">
      <c r="A239">
        <v>340</v>
      </c>
      <c r="B239" s="1">
        <v>45128.798611111109</v>
      </c>
      <c r="C239" t="s">
        <v>456</v>
      </c>
      <c r="D239" t="s">
        <v>73</v>
      </c>
      <c r="E239" t="s">
        <v>178</v>
      </c>
      <c r="F239">
        <v>0</v>
      </c>
      <c r="G239" t="s">
        <v>258</v>
      </c>
      <c r="H239" t="s">
        <v>423</v>
      </c>
      <c r="I239" t="s">
        <v>260</v>
      </c>
      <c r="J239" t="s">
        <v>261</v>
      </c>
      <c r="K239" t="s">
        <v>84</v>
      </c>
      <c r="L239" t="s">
        <v>87</v>
      </c>
      <c r="M239" t="s">
        <v>456</v>
      </c>
      <c r="N239" t="s">
        <v>470</v>
      </c>
      <c r="O239" t="s">
        <v>82</v>
      </c>
      <c r="P239">
        <v>115561.25</v>
      </c>
      <c r="Q239" t="s">
        <v>83</v>
      </c>
      <c r="X239">
        <v>1</v>
      </c>
      <c r="AE239" t="s">
        <v>84</v>
      </c>
      <c r="AG239" t="s">
        <v>84</v>
      </c>
      <c r="AH239" t="s">
        <v>84</v>
      </c>
      <c r="AJ239" t="s">
        <v>84</v>
      </c>
      <c r="AK239" t="s">
        <v>84</v>
      </c>
      <c r="AQ239" t="s">
        <v>84</v>
      </c>
      <c r="AT239" t="s">
        <v>84</v>
      </c>
      <c r="AU239" t="s">
        <v>84</v>
      </c>
      <c r="AV239" t="s">
        <v>84</v>
      </c>
      <c r="AX239" t="s">
        <v>84</v>
      </c>
      <c r="BA239" t="s">
        <v>84</v>
      </c>
      <c r="BB239" t="s">
        <v>84</v>
      </c>
      <c r="BG239" t="s">
        <v>84</v>
      </c>
      <c r="BJ239" t="s">
        <v>84</v>
      </c>
      <c r="BK239" t="s">
        <v>84</v>
      </c>
      <c r="BM239" t="s">
        <v>84</v>
      </c>
      <c r="BS239" t="s">
        <v>84</v>
      </c>
      <c r="BT239" t="s">
        <v>84</v>
      </c>
      <c r="BU239">
        <v>0</v>
      </c>
      <c r="BV239">
        <v>0</v>
      </c>
      <c r="BW239">
        <v>147026.44443333332</v>
      </c>
    </row>
    <row r="240" spans="1:75" x14ac:dyDescent="0.25">
      <c r="A240">
        <v>340</v>
      </c>
      <c r="B240" s="1">
        <v>45128.798611111109</v>
      </c>
      <c r="C240" t="s">
        <v>456</v>
      </c>
      <c r="D240" t="s">
        <v>73</v>
      </c>
      <c r="E240" t="s">
        <v>178</v>
      </c>
      <c r="F240">
        <v>1</v>
      </c>
      <c r="G240" t="s">
        <v>258</v>
      </c>
      <c r="H240" t="s">
        <v>423</v>
      </c>
      <c r="I240" t="s">
        <v>260</v>
      </c>
      <c r="J240" t="s">
        <v>261</v>
      </c>
      <c r="K240" t="s">
        <v>316</v>
      </c>
      <c r="L240" t="s">
        <v>87</v>
      </c>
      <c r="M240" t="s">
        <v>456</v>
      </c>
      <c r="N240" t="s">
        <v>471</v>
      </c>
      <c r="O240" t="s">
        <v>82</v>
      </c>
      <c r="P240">
        <v>173646.2</v>
      </c>
      <c r="Q240" t="s">
        <v>83</v>
      </c>
      <c r="R240">
        <v>147026.44440000001</v>
      </c>
      <c r="U240">
        <v>1</v>
      </c>
      <c r="AE240" t="s">
        <v>84</v>
      </c>
      <c r="AG240" t="s">
        <v>84</v>
      </c>
      <c r="AH240" t="s">
        <v>84</v>
      </c>
      <c r="AJ240" t="s">
        <v>84</v>
      </c>
      <c r="AK240" t="s">
        <v>84</v>
      </c>
      <c r="AL240">
        <v>34000</v>
      </c>
      <c r="AM240">
        <v>56000</v>
      </c>
      <c r="AN240">
        <v>29500</v>
      </c>
      <c r="AO240">
        <v>7172</v>
      </c>
      <c r="AQ240" t="s">
        <v>84</v>
      </c>
      <c r="AT240" t="s">
        <v>84</v>
      </c>
      <c r="AU240" t="s">
        <v>84</v>
      </c>
      <c r="AV240" t="s">
        <v>84</v>
      </c>
      <c r="AX240" t="s">
        <v>84</v>
      </c>
      <c r="BA240" t="s">
        <v>84</v>
      </c>
      <c r="BB240" t="s">
        <v>84</v>
      </c>
      <c r="BG240" t="s">
        <v>84</v>
      </c>
      <c r="BJ240" t="s">
        <v>84</v>
      </c>
      <c r="BK240" t="s">
        <v>84</v>
      </c>
      <c r="BM240" t="s">
        <v>84</v>
      </c>
      <c r="BS240" t="s">
        <v>84</v>
      </c>
      <c r="BT240" t="s">
        <v>84</v>
      </c>
      <c r="BU240">
        <v>0</v>
      </c>
      <c r="BV240">
        <v>0</v>
      </c>
      <c r="BW240">
        <v>147026.44443333332</v>
      </c>
    </row>
    <row r="241" spans="1:75" x14ac:dyDescent="0.25">
      <c r="A241">
        <v>340</v>
      </c>
      <c r="B241" s="1">
        <v>45128.798611111109</v>
      </c>
      <c r="C241" t="s">
        <v>456</v>
      </c>
      <c r="D241" t="s">
        <v>73</v>
      </c>
      <c r="E241" t="s">
        <v>178</v>
      </c>
      <c r="F241">
        <v>0</v>
      </c>
      <c r="G241" t="s">
        <v>258</v>
      </c>
      <c r="H241" t="s">
        <v>423</v>
      </c>
      <c r="I241" t="s">
        <v>472</v>
      </c>
      <c r="J241" t="s">
        <v>261</v>
      </c>
      <c r="K241" t="s">
        <v>84</v>
      </c>
      <c r="L241" t="s">
        <v>87</v>
      </c>
      <c r="M241" t="s">
        <v>473</v>
      </c>
      <c r="N241" t="s">
        <v>474</v>
      </c>
      <c r="O241" t="s">
        <v>82</v>
      </c>
      <c r="P241">
        <v>151871.88329999999</v>
      </c>
      <c r="Q241" t="s">
        <v>83</v>
      </c>
      <c r="AE241" t="s">
        <v>84</v>
      </c>
      <c r="AG241" t="s">
        <v>84</v>
      </c>
      <c r="AH241" t="s">
        <v>84</v>
      </c>
      <c r="AJ241" t="s">
        <v>84</v>
      </c>
      <c r="AK241" t="s">
        <v>84</v>
      </c>
      <c r="AQ241" t="s">
        <v>84</v>
      </c>
      <c r="AT241" t="s">
        <v>84</v>
      </c>
      <c r="AU241" t="s">
        <v>84</v>
      </c>
      <c r="AV241" t="s">
        <v>84</v>
      </c>
      <c r="AX241" t="s">
        <v>84</v>
      </c>
      <c r="BA241" t="s">
        <v>84</v>
      </c>
      <c r="BB241" t="s">
        <v>84</v>
      </c>
      <c r="BG241" t="s">
        <v>84</v>
      </c>
      <c r="BJ241" t="s">
        <v>84</v>
      </c>
      <c r="BK241" t="s">
        <v>84</v>
      </c>
      <c r="BM241" t="s">
        <v>84</v>
      </c>
      <c r="BS241" t="s">
        <v>84</v>
      </c>
      <c r="BT241" t="s">
        <v>84</v>
      </c>
      <c r="BU241">
        <v>0</v>
      </c>
      <c r="BV241">
        <v>0</v>
      </c>
      <c r="BW241">
        <v>147026.44443333332</v>
      </c>
    </row>
    <row r="242" spans="1:75" x14ac:dyDescent="0.25">
      <c r="A242">
        <v>340</v>
      </c>
      <c r="B242" s="1">
        <v>45128.798611111109</v>
      </c>
      <c r="C242" t="s">
        <v>456</v>
      </c>
      <c r="D242" t="s">
        <v>73</v>
      </c>
      <c r="E242" t="s">
        <v>178</v>
      </c>
      <c r="F242">
        <v>1</v>
      </c>
      <c r="G242" t="s">
        <v>258</v>
      </c>
      <c r="H242" t="s">
        <v>423</v>
      </c>
      <c r="I242" t="s">
        <v>472</v>
      </c>
      <c r="J242" t="s">
        <v>261</v>
      </c>
      <c r="K242" t="s">
        <v>289</v>
      </c>
      <c r="L242" t="s">
        <v>98</v>
      </c>
      <c r="M242" t="s">
        <v>475</v>
      </c>
      <c r="N242" t="s">
        <v>476</v>
      </c>
      <c r="O242" t="s">
        <v>82</v>
      </c>
      <c r="P242">
        <v>56650</v>
      </c>
      <c r="Q242" t="s">
        <v>83</v>
      </c>
      <c r="R242">
        <v>36483.333330000001</v>
      </c>
      <c r="AE242" t="s">
        <v>84</v>
      </c>
      <c r="AG242" t="s">
        <v>84</v>
      </c>
      <c r="AH242" t="s">
        <v>84</v>
      </c>
      <c r="AJ242" t="s">
        <v>84</v>
      </c>
      <c r="AK242" t="s">
        <v>84</v>
      </c>
      <c r="AQ242" t="s">
        <v>84</v>
      </c>
      <c r="AS242">
        <v>56650</v>
      </c>
      <c r="AT242" t="s">
        <v>84</v>
      </c>
      <c r="AU242" t="s">
        <v>84</v>
      </c>
      <c r="AV242" t="s">
        <v>84</v>
      </c>
      <c r="AX242" t="s">
        <v>84</v>
      </c>
      <c r="BA242" t="s">
        <v>84</v>
      </c>
      <c r="BB242" t="s">
        <v>84</v>
      </c>
      <c r="BG242" t="s">
        <v>84</v>
      </c>
      <c r="BJ242" t="s">
        <v>84</v>
      </c>
      <c r="BK242" t="s">
        <v>84</v>
      </c>
      <c r="BM242" t="s">
        <v>84</v>
      </c>
      <c r="BS242" t="s">
        <v>84</v>
      </c>
      <c r="BT242" t="s">
        <v>84</v>
      </c>
      <c r="BU242">
        <v>0</v>
      </c>
      <c r="BV242">
        <v>0</v>
      </c>
      <c r="BW242">
        <v>36483.333333333328</v>
      </c>
    </row>
    <row r="243" spans="1:75" x14ac:dyDescent="0.25">
      <c r="A243">
        <v>340</v>
      </c>
      <c r="B243" s="1">
        <v>45128.798611111109</v>
      </c>
      <c r="C243" t="s">
        <v>456</v>
      </c>
      <c r="D243" t="s">
        <v>73</v>
      </c>
      <c r="E243" t="s">
        <v>178</v>
      </c>
      <c r="F243">
        <v>0</v>
      </c>
      <c r="G243" t="s">
        <v>258</v>
      </c>
      <c r="H243" t="s">
        <v>423</v>
      </c>
      <c r="I243" t="s">
        <v>472</v>
      </c>
      <c r="J243" t="s">
        <v>261</v>
      </c>
      <c r="K243" t="s">
        <v>84</v>
      </c>
      <c r="L243" t="s">
        <v>98</v>
      </c>
      <c r="M243" t="s">
        <v>477</v>
      </c>
      <c r="N243" t="s">
        <v>478</v>
      </c>
      <c r="O243" t="s">
        <v>82</v>
      </c>
      <c r="P243">
        <v>21950</v>
      </c>
      <c r="Q243" t="s">
        <v>83</v>
      </c>
      <c r="AE243" t="s">
        <v>84</v>
      </c>
      <c r="AG243" t="s">
        <v>84</v>
      </c>
      <c r="AH243" t="s">
        <v>84</v>
      </c>
      <c r="AJ243" t="s">
        <v>84</v>
      </c>
      <c r="AK243" t="s">
        <v>84</v>
      </c>
      <c r="AQ243" t="s">
        <v>84</v>
      </c>
      <c r="AT243" t="s">
        <v>84</v>
      </c>
      <c r="AU243" t="s">
        <v>84</v>
      </c>
      <c r="AV243" t="s">
        <v>84</v>
      </c>
      <c r="AX243" t="s">
        <v>84</v>
      </c>
      <c r="BA243" t="s">
        <v>84</v>
      </c>
      <c r="BB243" t="s">
        <v>84</v>
      </c>
      <c r="BG243" t="s">
        <v>84</v>
      </c>
      <c r="BJ243" t="s">
        <v>84</v>
      </c>
      <c r="BK243" t="s">
        <v>84</v>
      </c>
      <c r="BM243" t="s">
        <v>84</v>
      </c>
      <c r="BS243" t="s">
        <v>84</v>
      </c>
      <c r="BT243" t="s">
        <v>84</v>
      </c>
      <c r="BU243">
        <v>0</v>
      </c>
      <c r="BV243">
        <v>0</v>
      </c>
      <c r="BW243">
        <v>36483.333333333328</v>
      </c>
    </row>
    <row r="244" spans="1:75" x14ac:dyDescent="0.25">
      <c r="A244">
        <v>340</v>
      </c>
      <c r="B244" s="1">
        <v>45128.798611111109</v>
      </c>
      <c r="C244" t="s">
        <v>456</v>
      </c>
      <c r="D244" t="s">
        <v>73</v>
      </c>
      <c r="E244" t="s">
        <v>178</v>
      </c>
      <c r="F244">
        <v>0</v>
      </c>
      <c r="G244" t="s">
        <v>258</v>
      </c>
      <c r="H244" t="s">
        <v>423</v>
      </c>
      <c r="I244" t="s">
        <v>472</v>
      </c>
      <c r="J244" t="s">
        <v>261</v>
      </c>
      <c r="K244" t="s">
        <v>84</v>
      </c>
      <c r="L244" t="s">
        <v>98</v>
      </c>
      <c r="M244" t="s">
        <v>479</v>
      </c>
      <c r="N244" t="s">
        <v>480</v>
      </c>
      <c r="O244" t="s">
        <v>82</v>
      </c>
      <c r="P244">
        <v>30850</v>
      </c>
      <c r="Q244" t="s">
        <v>83</v>
      </c>
      <c r="W244">
        <v>1</v>
      </c>
      <c r="AE244" t="s">
        <v>84</v>
      </c>
      <c r="AG244" t="s">
        <v>84</v>
      </c>
      <c r="AH244" t="s">
        <v>84</v>
      </c>
      <c r="AJ244" t="s">
        <v>84</v>
      </c>
      <c r="AK244" t="s">
        <v>84</v>
      </c>
      <c r="AQ244" t="s">
        <v>84</v>
      </c>
      <c r="AT244" t="s">
        <v>84</v>
      </c>
      <c r="AU244" t="s">
        <v>84</v>
      </c>
      <c r="AV244" t="s">
        <v>84</v>
      </c>
      <c r="AX244" t="s">
        <v>84</v>
      </c>
      <c r="BA244" t="s">
        <v>84</v>
      </c>
      <c r="BB244" t="s">
        <v>84</v>
      </c>
      <c r="BG244" t="s">
        <v>84</v>
      </c>
      <c r="BJ244" t="s">
        <v>84</v>
      </c>
      <c r="BK244" t="s">
        <v>84</v>
      </c>
      <c r="BM244" t="s">
        <v>84</v>
      </c>
      <c r="BS244" t="s">
        <v>84</v>
      </c>
      <c r="BT244" t="s">
        <v>84</v>
      </c>
      <c r="BU244">
        <v>0</v>
      </c>
      <c r="BV244">
        <v>0</v>
      </c>
      <c r="BW244">
        <v>36483.333333333328</v>
      </c>
    </row>
    <row r="245" spans="1:75" x14ac:dyDescent="0.25">
      <c r="A245">
        <v>341</v>
      </c>
      <c r="B245" s="1">
        <v>45128.799305555556</v>
      </c>
      <c r="C245" t="s">
        <v>481</v>
      </c>
      <c r="D245" t="s">
        <v>73</v>
      </c>
      <c r="E245" t="s">
        <v>178</v>
      </c>
      <c r="F245">
        <v>1</v>
      </c>
      <c r="G245" t="s">
        <v>258</v>
      </c>
      <c r="H245" t="s">
        <v>423</v>
      </c>
      <c r="I245" t="s">
        <v>472</v>
      </c>
      <c r="J245" t="s">
        <v>261</v>
      </c>
      <c r="K245" t="s">
        <v>248</v>
      </c>
      <c r="L245" t="s">
        <v>80</v>
      </c>
      <c r="M245" t="s">
        <v>481</v>
      </c>
      <c r="N245" t="s">
        <v>482</v>
      </c>
      <c r="O245" t="s">
        <v>82</v>
      </c>
      <c r="P245">
        <v>1025091.738</v>
      </c>
      <c r="Q245" t="s">
        <v>83</v>
      </c>
      <c r="R245">
        <v>791032.91899999999</v>
      </c>
      <c r="Z245">
        <v>46260.5</v>
      </c>
      <c r="AA245">
        <v>61000</v>
      </c>
      <c r="AE245" t="s">
        <v>84</v>
      </c>
      <c r="AG245" t="s">
        <v>84</v>
      </c>
      <c r="AH245" t="s">
        <v>84</v>
      </c>
      <c r="AI245">
        <v>150000</v>
      </c>
      <c r="AJ245" t="s">
        <v>84</v>
      </c>
      <c r="AK245" t="s">
        <v>84</v>
      </c>
      <c r="AL245">
        <v>0</v>
      </c>
      <c r="AN245">
        <v>0</v>
      </c>
      <c r="AP245">
        <v>83600</v>
      </c>
      <c r="AQ245" t="s">
        <v>84</v>
      </c>
      <c r="AR245">
        <v>2400</v>
      </c>
      <c r="AT245" t="s">
        <v>84</v>
      </c>
      <c r="AU245" t="s">
        <v>84</v>
      </c>
      <c r="AV245" t="s">
        <v>84</v>
      </c>
      <c r="AW245">
        <v>34390</v>
      </c>
      <c r="AX245" t="s">
        <v>84</v>
      </c>
      <c r="AY245">
        <v>16400</v>
      </c>
      <c r="BA245" t="s">
        <v>84</v>
      </c>
      <c r="BB245" t="s">
        <v>84</v>
      </c>
      <c r="BC245">
        <v>16900</v>
      </c>
      <c r="BD245">
        <v>186865.25</v>
      </c>
      <c r="BG245" t="s">
        <v>84</v>
      </c>
      <c r="BH245">
        <v>30000</v>
      </c>
      <c r="BI245">
        <v>144457.17000000001</v>
      </c>
      <c r="BJ245" t="s">
        <v>84</v>
      </c>
      <c r="BK245" t="s">
        <v>84</v>
      </c>
      <c r="BM245" t="s">
        <v>84</v>
      </c>
      <c r="BP245">
        <v>28580</v>
      </c>
      <c r="BQ245">
        <v>0</v>
      </c>
      <c r="BR245">
        <v>0</v>
      </c>
      <c r="BS245" t="s">
        <v>84</v>
      </c>
      <c r="BT245" t="s">
        <v>84</v>
      </c>
      <c r="BU245">
        <v>0</v>
      </c>
      <c r="BV245">
        <v>0</v>
      </c>
      <c r="BW245">
        <v>791032.91916666669</v>
      </c>
    </row>
    <row r="246" spans="1:75" x14ac:dyDescent="0.25">
      <c r="A246">
        <v>341</v>
      </c>
      <c r="B246" s="1">
        <v>45128.799305555556</v>
      </c>
      <c r="C246" t="s">
        <v>481</v>
      </c>
      <c r="D246" t="s">
        <v>73</v>
      </c>
      <c r="E246" t="s">
        <v>178</v>
      </c>
      <c r="F246">
        <v>0</v>
      </c>
      <c r="G246" t="s">
        <v>258</v>
      </c>
      <c r="H246" t="s">
        <v>423</v>
      </c>
      <c r="I246" t="s">
        <v>472</v>
      </c>
      <c r="J246" t="s">
        <v>261</v>
      </c>
      <c r="K246" t="s">
        <v>84</v>
      </c>
      <c r="L246" t="s">
        <v>80</v>
      </c>
      <c r="M246" t="s">
        <v>481</v>
      </c>
      <c r="N246" t="s">
        <v>483</v>
      </c>
      <c r="O246" t="s">
        <v>82</v>
      </c>
      <c r="P246">
        <v>726861.22089999996</v>
      </c>
      <c r="Q246" t="s">
        <v>83</v>
      </c>
      <c r="AE246" t="s">
        <v>84</v>
      </c>
      <c r="AG246" t="s">
        <v>84</v>
      </c>
      <c r="AH246" t="s">
        <v>84</v>
      </c>
      <c r="AJ246" t="s">
        <v>84</v>
      </c>
      <c r="AK246" t="s">
        <v>84</v>
      </c>
      <c r="AQ246" t="s">
        <v>84</v>
      </c>
      <c r="AT246" t="s">
        <v>84</v>
      </c>
      <c r="AU246" t="s">
        <v>84</v>
      </c>
      <c r="AV246" t="s">
        <v>84</v>
      </c>
      <c r="AX246" t="s">
        <v>84</v>
      </c>
      <c r="BA246" t="s">
        <v>84</v>
      </c>
      <c r="BB246" t="s">
        <v>84</v>
      </c>
      <c r="BG246" t="s">
        <v>84</v>
      </c>
      <c r="BJ246" t="s">
        <v>84</v>
      </c>
      <c r="BK246" t="s">
        <v>84</v>
      </c>
      <c r="BM246" t="s">
        <v>84</v>
      </c>
      <c r="BS246" t="s">
        <v>84</v>
      </c>
      <c r="BT246" t="s">
        <v>84</v>
      </c>
      <c r="BU246">
        <v>0</v>
      </c>
      <c r="BV246">
        <v>0</v>
      </c>
      <c r="BW246">
        <v>791032.91916666669</v>
      </c>
    </row>
    <row r="247" spans="1:75" x14ac:dyDescent="0.25">
      <c r="A247">
        <v>341</v>
      </c>
      <c r="B247" s="1">
        <v>45128.799305555556</v>
      </c>
      <c r="C247" t="s">
        <v>481</v>
      </c>
      <c r="D247" t="s">
        <v>73</v>
      </c>
      <c r="E247" t="s">
        <v>178</v>
      </c>
      <c r="F247">
        <v>0</v>
      </c>
      <c r="G247" t="s">
        <v>258</v>
      </c>
      <c r="H247" t="s">
        <v>423</v>
      </c>
      <c r="I247" t="s">
        <v>472</v>
      </c>
      <c r="J247" t="s">
        <v>261</v>
      </c>
      <c r="K247" t="s">
        <v>84</v>
      </c>
      <c r="L247" t="s">
        <v>80</v>
      </c>
      <c r="M247" t="s">
        <v>484</v>
      </c>
      <c r="N247" t="s">
        <v>485</v>
      </c>
      <c r="O247" t="s">
        <v>82</v>
      </c>
      <c r="P247">
        <v>621145.79859999998</v>
      </c>
      <c r="Q247" t="s">
        <v>83</v>
      </c>
      <c r="AE247" t="s">
        <v>84</v>
      </c>
      <c r="AG247" t="s">
        <v>84</v>
      </c>
      <c r="AH247" t="s">
        <v>84</v>
      </c>
      <c r="AJ247" t="s">
        <v>84</v>
      </c>
      <c r="AK247" t="s">
        <v>84</v>
      </c>
      <c r="AQ247" t="s">
        <v>84</v>
      </c>
      <c r="AT247" t="s">
        <v>84</v>
      </c>
      <c r="AU247" t="s">
        <v>84</v>
      </c>
      <c r="AV247" t="s">
        <v>84</v>
      </c>
      <c r="AX247" t="s">
        <v>84</v>
      </c>
      <c r="BA247" t="s">
        <v>84</v>
      </c>
      <c r="BB247" t="s">
        <v>84</v>
      </c>
      <c r="BG247" t="s">
        <v>84</v>
      </c>
      <c r="BJ247" t="s">
        <v>84</v>
      </c>
      <c r="BK247" t="s">
        <v>84</v>
      </c>
      <c r="BM247" t="s">
        <v>84</v>
      </c>
      <c r="BS247" t="s">
        <v>84</v>
      </c>
      <c r="BT247" t="s">
        <v>84</v>
      </c>
      <c r="BU247">
        <v>0</v>
      </c>
      <c r="BV247">
        <v>0</v>
      </c>
      <c r="BW247">
        <v>791032.91916666669</v>
      </c>
    </row>
    <row r="248" spans="1:75" x14ac:dyDescent="0.25">
      <c r="A248">
        <v>341</v>
      </c>
      <c r="B248" s="1">
        <v>45128.799305555556</v>
      </c>
      <c r="C248" t="s">
        <v>481</v>
      </c>
      <c r="D248" t="s">
        <v>73</v>
      </c>
      <c r="E248" t="s">
        <v>178</v>
      </c>
      <c r="F248">
        <v>1</v>
      </c>
      <c r="G248" t="s">
        <v>258</v>
      </c>
      <c r="H248" t="s">
        <v>423</v>
      </c>
      <c r="I248" t="s">
        <v>472</v>
      </c>
      <c r="J248" t="s">
        <v>261</v>
      </c>
      <c r="K248" t="s">
        <v>182</v>
      </c>
      <c r="L248" t="s">
        <v>92</v>
      </c>
      <c r="M248" t="s">
        <v>486</v>
      </c>
      <c r="N248" t="s">
        <v>487</v>
      </c>
      <c r="O248" t="s">
        <v>82</v>
      </c>
      <c r="P248">
        <v>27850</v>
      </c>
      <c r="Q248" t="s">
        <v>83</v>
      </c>
      <c r="R248">
        <v>38780</v>
      </c>
      <c r="V248">
        <v>1</v>
      </c>
      <c r="X248">
        <v>1</v>
      </c>
      <c r="AB248">
        <v>27850</v>
      </c>
      <c r="AE248" t="s">
        <v>84</v>
      </c>
      <c r="AG248" t="s">
        <v>84</v>
      </c>
      <c r="AH248" t="s">
        <v>84</v>
      </c>
      <c r="AJ248" t="s">
        <v>84</v>
      </c>
      <c r="AK248" t="s">
        <v>84</v>
      </c>
      <c r="AQ248" t="s">
        <v>84</v>
      </c>
      <c r="AT248" t="s">
        <v>84</v>
      </c>
      <c r="AU248" t="s">
        <v>84</v>
      </c>
      <c r="AV248" t="s">
        <v>84</v>
      </c>
      <c r="AX248" t="s">
        <v>84</v>
      </c>
      <c r="BA248" t="s">
        <v>84</v>
      </c>
      <c r="BB248" t="s">
        <v>84</v>
      </c>
      <c r="BG248" t="s">
        <v>84</v>
      </c>
      <c r="BJ248" t="s">
        <v>84</v>
      </c>
      <c r="BK248" t="s">
        <v>84</v>
      </c>
      <c r="BM248" t="s">
        <v>84</v>
      </c>
      <c r="BS248" t="s">
        <v>84</v>
      </c>
      <c r="BT248" t="s">
        <v>84</v>
      </c>
      <c r="BU248">
        <v>0</v>
      </c>
      <c r="BV248">
        <v>0</v>
      </c>
      <c r="BW248">
        <v>38780</v>
      </c>
    </row>
    <row r="249" spans="1:75" x14ac:dyDescent="0.25">
      <c r="A249">
        <v>341</v>
      </c>
      <c r="B249" s="1">
        <v>45128.799305555556</v>
      </c>
      <c r="C249" t="s">
        <v>481</v>
      </c>
      <c r="D249" t="s">
        <v>73</v>
      </c>
      <c r="E249" t="s">
        <v>178</v>
      </c>
      <c r="F249">
        <v>0</v>
      </c>
      <c r="G249" t="s">
        <v>258</v>
      </c>
      <c r="H249" t="s">
        <v>423</v>
      </c>
      <c r="I249" t="s">
        <v>472</v>
      </c>
      <c r="J249" t="s">
        <v>261</v>
      </c>
      <c r="K249" t="s">
        <v>84</v>
      </c>
      <c r="L249" t="s">
        <v>92</v>
      </c>
      <c r="M249" t="s">
        <v>488</v>
      </c>
      <c r="N249" t="s">
        <v>303</v>
      </c>
      <c r="O249" t="s">
        <v>82</v>
      </c>
      <c r="P249">
        <v>49710</v>
      </c>
      <c r="Q249" t="s">
        <v>83</v>
      </c>
      <c r="U249">
        <v>1</v>
      </c>
      <c r="V249">
        <v>1</v>
      </c>
      <c r="AE249" t="s">
        <v>84</v>
      </c>
      <c r="AG249" t="s">
        <v>84</v>
      </c>
      <c r="AH249" t="s">
        <v>84</v>
      </c>
      <c r="AJ249" t="s">
        <v>84</v>
      </c>
      <c r="AK249" t="s">
        <v>84</v>
      </c>
      <c r="AQ249" t="s">
        <v>84</v>
      </c>
      <c r="AT249" t="s">
        <v>84</v>
      </c>
      <c r="AU249" t="s">
        <v>84</v>
      </c>
      <c r="AV249" t="s">
        <v>84</v>
      </c>
      <c r="AX249" t="s">
        <v>84</v>
      </c>
      <c r="BA249" t="s">
        <v>84</v>
      </c>
      <c r="BB249" t="s">
        <v>84</v>
      </c>
      <c r="BG249" t="s">
        <v>84</v>
      </c>
      <c r="BJ249" t="s">
        <v>84</v>
      </c>
      <c r="BK249" t="s">
        <v>84</v>
      </c>
      <c r="BM249" t="s">
        <v>84</v>
      </c>
      <c r="BS249" t="s">
        <v>84</v>
      </c>
      <c r="BT249" t="s">
        <v>84</v>
      </c>
      <c r="BU249">
        <v>0</v>
      </c>
      <c r="BV249">
        <v>0</v>
      </c>
      <c r="BW249">
        <v>38780</v>
      </c>
    </row>
    <row r="250" spans="1:75" x14ac:dyDescent="0.25">
      <c r="A250">
        <v>341</v>
      </c>
      <c r="B250" s="1">
        <v>45128.799305555556</v>
      </c>
      <c r="C250" t="s">
        <v>481</v>
      </c>
      <c r="D250" t="s">
        <v>73</v>
      </c>
      <c r="E250" t="s">
        <v>178</v>
      </c>
      <c r="F250">
        <v>1</v>
      </c>
      <c r="G250" t="s">
        <v>258</v>
      </c>
      <c r="H250" t="s">
        <v>423</v>
      </c>
      <c r="I250" t="s">
        <v>472</v>
      </c>
      <c r="J250" t="s">
        <v>261</v>
      </c>
      <c r="K250" t="s">
        <v>248</v>
      </c>
      <c r="L250" t="s">
        <v>106</v>
      </c>
      <c r="M250" t="s">
        <v>481</v>
      </c>
      <c r="N250" t="s">
        <v>489</v>
      </c>
      <c r="O250" t="s">
        <v>82</v>
      </c>
      <c r="P250">
        <v>10327.4025</v>
      </c>
      <c r="Q250" t="s">
        <v>83</v>
      </c>
      <c r="R250">
        <v>10028.057500000001</v>
      </c>
      <c r="AE250" t="s">
        <v>84</v>
      </c>
      <c r="AF250">
        <v>5900</v>
      </c>
      <c r="AG250" t="s">
        <v>84</v>
      </c>
      <c r="AH250" t="s">
        <v>84</v>
      </c>
      <c r="AJ250" t="s">
        <v>84</v>
      </c>
      <c r="AK250" t="s">
        <v>84</v>
      </c>
      <c r="AQ250" t="s">
        <v>84</v>
      </c>
      <c r="AT250" t="s">
        <v>84</v>
      </c>
      <c r="AU250" t="s">
        <v>84</v>
      </c>
      <c r="AV250" t="s">
        <v>84</v>
      </c>
      <c r="AX250" t="s">
        <v>84</v>
      </c>
      <c r="BA250" t="s">
        <v>84</v>
      </c>
      <c r="BB250" t="s">
        <v>84</v>
      </c>
      <c r="BE250">
        <v>655</v>
      </c>
      <c r="BG250" t="s">
        <v>84</v>
      </c>
      <c r="BJ250" t="s">
        <v>84</v>
      </c>
      <c r="BK250" t="s">
        <v>84</v>
      </c>
      <c r="BM250" t="s">
        <v>84</v>
      </c>
      <c r="BS250" t="s">
        <v>84</v>
      </c>
      <c r="BT250" t="s">
        <v>84</v>
      </c>
      <c r="BU250">
        <v>0</v>
      </c>
      <c r="BV250">
        <v>0</v>
      </c>
      <c r="BW250">
        <v>10028.057500000001</v>
      </c>
    </row>
    <row r="251" spans="1:75" x14ac:dyDescent="0.25">
      <c r="A251">
        <v>341</v>
      </c>
      <c r="B251" s="1">
        <v>45128.799305555556</v>
      </c>
      <c r="C251" t="s">
        <v>481</v>
      </c>
      <c r="D251" t="s">
        <v>73</v>
      </c>
      <c r="E251" t="s">
        <v>178</v>
      </c>
      <c r="F251">
        <v>0</v>
      </c>
      <c r="G251" t="s">
        <v>258</v>
      </c>
      <c r="H251" t="s">
        <v>423</v>
      </c>
      <c r="I251" t="s">
        <v>472</v>
      </c>
      <c r="J251" t="s">
        <v>261</v>
      </c>
      <c r="K251" t="s">
        <v>84</v>
      </c>
      <c r="L251" t="s">
        <v>106</v>
      </c>
      <c r="M251" t="s">
        <v>481</v>
      </c>
      <c r="N251" t="s">
        <v>490</v>
      </c>
      <c r="O251" t="s">
        <v>82</v>
      </c>
      <c r="P251">
        <v>6168.0825000000004</v>
      </c>
      <c r="Q251" t="s">
        <v>83</v>
      </c>
      <c r="AE251" t="s">
        <v>84</v>
      </c>
      <c r="AG251" t="s">
        <v>84</v>
      </c>
      <c r="AH251" t="s">
        <v>84</v>
      </c>
      <c r="AJ251" t="s">
        <v>84</v>
      </c>
      <c r="AK251" t="s">
        <v>84</v>
      </c>
      <c r="AQ251" t="s">
        <v>84</v>
      </c>
      <c r="AT251" t="s">
        <v>84</v>
      </c>
      <c r="AU251" t="s">
        <v>84</v>
      </c>
      <c r="AV251" t="s">
        <v>84</v>
      </c>
      <c r="AX251" t="s">
        <v>84</v>
      </c>
      <c r="BA251" t="s">
        <v>84</v>
      </c>
      <c r="BB251" t="s">
        <v>84</v>
      </c>
      <c r="BG251" t="s">
        <v>84</v>
      </c>
      <c r="BJ251" t="s">
        <v>84</v>
      </c>
      <c r="BK251" t="s">
        <v>84</v>
      </c>
      <c r="BM251" t="s">
        <v>84</v>
      </c>
      <c r="BS251" t="s">
        <v>84</v>
      </c>
      <c r="BT251" t="s">
        <v>84</v>
      </c>
      <c r="BU251">
        <v>0</v>
      </c>
      <c r="BV251">
        <v>0</v>
      </c>
      <c r="BW251">
        <v>10028.057500000001</v>
      </c>
    </row>
    <row r="252" spans="1:75" x14ac:dyDescent="0.25">
      <c r="A252">
        <v>341</v>
      </c>
      <c r="B252" s="1">
        <v>45128.799305555556</v>
      </c>
      <c r="C252" t="s">
        <v>481</v>
      </c>
      <c r="D252" t="s">
        <v>73</v>
      </c>
      <c r="E252" t="s">
        <v>178</v>
      </c>
      <c r="F252">
        <v>0</v>
      </c>
      <c r="G252" t="s">
        <v>258</v>
      </c>
      <c r="H252" t="s">
        <v>423</v>
      </c>
      <c r="I252" t="s">
        <v>338</v>
      </c>
      <c r="J252" t="s">
        <v>261</v>
      </c>
      <c r="K252" t="s">
        <v>84</v>
      </c>
      <c r="L252" t="s">
        <v>106</v>
      </c>
      <c r="M252" t="s">
        <v>484</v>
      </c>
      <c r="N252" t="s">
        <v>491</v>
      </c>
      <c r="O252" t="s">
        <v>82</v>
      </c>
      <c r="P252">
        <v>13588.6875</v>
      </c>
      <c r="Q252" t="s">
        <v>83</v>
      </c>
      <c r="AE252" t="s">
        <v>84</v>
      </c>
      <c r="AG252" t="s">
        <v>84</v>
      </c>
      <c r="AH252" t="s">
        <v>84</v>
      </c>
      <c r="AJ252" t="s">
        <v>84</v>
      </c>
      <c r="AK252" t="s">
        <v>84</v>
      </c>
      <c r="AQ252" t="s">
        <v>84</v>
      </c>
      <c r="AT252" t="s">
        <v>84</v>
      </c>
      <c r="AU252" t="s">
        <v>84</v>
      </c>
      <c r="AV252" t="s">
        <v>84</v>
      </c>
      <c r="AX252" t="s">
        <v>84</v>
      </c>
      <c r="BA252" t="s">
        <v>84</v>
      </c>
      <c r="BB252" t="s">
        <v>84</v>
      </c>
      <c r="BG252" t="s">
        <v>84</v>
      </c>
      <c r="BJ252" t="s">
        <v>84</v>
      </c>
      <c r="BK252" t="s">
        <v>84</v>
      </c>
      <c r="BM252" t="s">
        <v>84</v>
      </c>
      <c r="BS252" t="s">
        <v>84</v>
      </c>
      <c r="BT252" t="s">
        <v>84</v>
      </c>
      <c r="BU252">
        <v>0</v>
      </c>
      <c r="BV252">
        <v>0</v>
      </c>
      <c r="BW252">
        <v>10028.057500000001</v>
      </c>
    </row>
    <row r="253" spans="1:75" x14ac:dyDescent="0.25">
      <c r="A253">
        <v>341</v>
      </c>
      <c r="B253" s="1">
        <v>45128.799305555556</v>
      </c>
      <c r="C253" t="s">
        <v>481</v>
      </c>
      <c r="D253" t="s">
        <v>73</v>
      </c>
      <c r="E253" t="s">
        <v>178</v>
      </c>
      <c r="F253">
        <v>1</v>
      </c>
      <c r="G253" t="s">
        <v>258</v>
      </c>
      <c r="H253" t="s">
        <v>423</v>
      </c>
      <c r="I253" t="s">
        <v>338</v>
      </c>
      <c r="J253" t="s">
        <v>261</v>
      </c>
      <c r="K253" t="s">
        <v>248</v>
      </c>
      <c r="L253" t="s">
        <v>110</v>
      </c>
      <c r="M253" t="s">
        <v>481</v>
      </c>
      <c r="N253" t="s">
        <v>492</v>
      </c>
      <c r="O253" t="s">
        <v>82</v>
      </c>
      <c r="P253">
        <v>18576</v>
      </c>
      <c r="Q253" t="s">
        <v>83</v>
      </c>
      <c r="R253">
        <v>16579.333330000001</v>
      </c>
      <c r="Z253">
        <v>0</v>
      </c>
      <c r="AA253">
        <v>0</v>
      </c>
      <c r="AE253" t="s">
        <v>84</v>
      </c>
      <c r="AG253" t="s">
        <v>84</v>
      </c>
      <c r="AH253" t="s">
        <v>84</v>
      </c>
      <c r="AI253">
        <v>0</v>
      </c>
      <c r="AJ253" t="s">
        <v>84</v>
      </c>
      <c r="AK253" t="s">
        <v>84</v>
      </c>
      <c r="AL253">
        <v>0</v>
      </c>
      <c r="AN253">
        <v>0</v>
      </c>
      <c r="AP253">
        <v>0</v>
      </c>
      <c r="AQ253" t="s">
        <v>84</v>
      </c>
      <c r="AR253">
        <v>0</v>
      </c>
      <c r="AT253" t="s">
        <v>84</v>
      </c>
      <c r="AU253" t="s">
        <v>84</v>
      </c>
      <c r="AV253" t="s">
        <v>84</v>
      </c>
      <c r="AW253">
        <v>0</v>
      </c>
      <c r="AX253" t="s">
        <v>84</v>
      </c>
      <c r="AY253">
        <v>14400</v>
      </c>
      <c r="BA253" t="s">
        <v>84</v>
      </c>
      <c r="BB253" t="s">
        <v>84</v>
      </c>
      <c r="BC253">
        <v>0</v>
      </c>
      <c r="BD253">
        <v>0</v>
      </c>
      <c r="BG253" t="s">
        <v>84</v>
      </c>
      <c r="BH253">
        <v>0</v>
      </c>
      <c r="BI253">
        <v>0</v>
      </c>
      <c r="BJ253" t="s">
        <v>84</v>
      </c>
      <c r="BK253" t="s">
        <v>84</v>
      </c>
      <c r="BM253" t="s">
        <v>84</v>
      </c>
      <c r="BP253">
        <v>0</v>
      </c>
      <c r="BQ253">
        <v>0</v>
      </c>
      <c r="BR253">
        <v>0</v>
      </c>
      <c r="BS253" t="s">
        <v>84</v>
      </c>
      <c r="BT253" t="s">
        <v>84</v>
      </c>
      <c r="BU253">
        <v>0</v>
      </c>
      <c r="BV253">
        <v>0</v>
      </c>
      <c r="BW253">
        <v>16579.333333333332</v>
      </c>
    </row>
    <row r="254" spans="1:75" x14ac:dyDescent="0.25">
      <c r="A254">
        <v>341</v>
      </c>
      <c r="B254" s="1">
        <v>45128.799305555556</v>
      </c>
      <c r="C254" t="s">
        <v>481</v>
      </c>
      <c r="D254" t="s">
        <v>73</v>
      </c>
      <c r="E254" t="s">
        <v>178</v>
      </c>
      <c r="F254">
        <v>0</v>
      </c>
      <c r="G254" t="s">
        <v>258</v>
      </c>
      <c r="H254" t="s">
        <v>423</v>
      </c>
      <c r="I254" t="s">
        <v>338</v>
      </c>
      <c r="J254" t="s">
        <v>261</v>
      </c>
      <c r="K254" t="s">
        <v>84</v>
      </c>
      <c r="L254" t="s">
        <v>110</v>
      </c>
      <c r="M254" t="s">
        <v>481</v>
      </c>
      <c r="N254" t="s">
        <v>493</v>
      </c>
      <c r="O254" t="s">
        <v>82</v>
      </c>
      <c r="P254">
        <v>12474</v>
      </c>
      <c r="Q254" t="s">
        <v>83</v>
      </c>
      <c r="AE254" t="s">
        <v>84</v>
      </c>
      <c r="AG254" t="s">
        <v>84</v>
      </c>
      <c r="AH254" t="s">
        <v>84</v>
      </c>
      <c r="AJ254" t="s">
        <v>84</v>
      </c>
      <c r="AK254" t="s">
        <v>84</v>
      </c>
      <c r="AQ254" t="s">
        <v>84</v>
      </c>
      <c r="AT254" t="s">
        <v>84</v>
      </c>
      <c r="AU254" t="s">
        <v>84</v>
      </c>
      <c r="AV254" t="s">
        <v>84</v>
      </c>
      <c r="AX254" t="s">
        <v>84</v>
      </c>
      <c r="BA254" t="s">
        <v>84</v>
      </c>
      <c r="BB254" t="s">
        <v>84</v>
      </c>
      <c r="BG254" t="s">
        <v>84</v>
      </c>
      <c r="BJ254" t="s">
        <v>84</v>
      </c>
      <c r="BK254" t="s">
        <v>84</v>
      </c>
      <c r="BM254" t="s">
        <v>84</v>
      </c>
      <c r="BS254" t="s">
        <v>84</v>
      </c>
      <c r="BT254" t="s">
        <v>84</v>
      </c>
      <c r="BU254">
        <v>0</v>
      </c>
      <c r="BV254">
        <v>0</v>
      </c>
      <c r="BW254">
        <v>16579.333333333332</v>
      </c>
    </row>
    <row r="255" spans="1:75" x14ac:dyDescent="0.25">
      <c r="A255">
        <v>341</v>
      </c>
      <c r="B255" s="1">
        <v>45128.799305555556</v>
      </c>
      <c r="C255" t="s">
        <v>481</v>
      </c>
      <c r="D255" t="s">
        <v>73</v>
      </c>
      <c r="E255" t="s">
        <v>178</v>
      </c>
      <c r="F255">
        <v>0</v>
      </c>
      <c r="G255" t="s">
        <v>258</v>
      </c>
      <c r="H255" t="s">
        <v>423</v>
      </c>
      <c r="I255" t="s">
        <v>338</v>
      </c>
      <c r="J255" t="s">
        <v>261</v>
      </c>
      <c r="K255" t="s">
        <v>84</v>
      </c>
      <c r="L255" t="s">
        <v>110</v>
      </c>
      <c r="M255" t="s">
        <v>484</v>
      </c>
      <c r="N255" t="s">
        <v>494</v>
      </c>
      <c r="O255" t="s">
        <v>82</v>
      </c>
      <c r="P255">
        <v>18688</v>
      </c>
      <c r="Q255" t="s">
        <v>83</v>
      </c>
      <c r="AE255" t="s">
        <v>84</v>
      </c>
      <c r="AG255" t="s">
        <v>84</v>
      </c>
      <c r="AH255" t="s">
        <v>84</v>
      </c>
      <c r="AJ255" t="s">
        <v>84</v>
      </c>
      <c r="AK255" t="s">
        <v>84</v>
      </c>
      <c r="AQ255" t="s">
        <v>84</v>
      </c>
      <c r="AT255" t="s">
        <v>84</v>
      </c>
      <c r="AU255" t="s">
        <v>84</v>
      </c>
      <c r="AV255" t="s">
        <v>84</v>
      </c>
      <c r="AX255" t="s">
        <v>84</v>
      </c>
      <c r="BA255" t="s">
        <v>84</v>
      </c>
      <c r="BB255" t="s">
        <v>84</v>
      </c>
      <c r="BG255" t="s">
        <v>84</v>
      </c>
      <c r="BJ255" t="s">
        <v>84</v>
      </c>
      <c r="BK255" t="s">
        <v>84</v>
      </c>
      <c r="BM255" t="s">
        <v>84</v>
      </c>
      <c r="BS255" t="s">
        <v>84</v>
      </c>
      <c r="BT255" t="s">
        <v>84</v>
      </c>
      <c r="BU255">
        <v>0</v>
      </c>
      <c r="BV255">
        <v>0</v>
      </c>
      <c r="BW255">
        <v>16579.333333333332</v>
      </c>
    </row>
    <row r="256" spans="1:75" x14ac:dyDescent="0.25">
      <c r="A256">
        <v>341</v>
      </c>
      <c r="B256" s="1">
        <v>45128.799305555556</v>
      </c>
      <c r="C256" t="s">
        <v>481</v>
      </c>
      <c r="D256" t="s">
        <v>73</v>
      </c>
      <c r="E256" t="s">
        <v>178</v>
      </c>
      <c r="F256">
        <v>1</v>
      </c>
      <c r="G256" t="s">
        <v>258</v>
      </c>
      <c r="H256" t="s">
        <v>423</v>
      </c>
      <c r="I256" t="s">
        <v>338</v>
      </c>
      <c r="J256" t="s">
        <v>261</v>
      </c>
      <c r="K256" t="s">
        <v>495</v>
      </c>
      <c r="L256" t="s">
        <v>87</v>
      </c>
      <c r="M256" t="s">
        <v>481</v>
      </c>
      <c r="N256" t="s">
        <v>496</v>
      </c>
      <c r="O256" t="s">
        <v>82</v>
      </c>
      <c r="P256">
        <v>86910.833329999994</v>
      </c>
      <c r="Q256" t="s">
        <v>83</v>
      </c>
      <c r="R256">
        <v>91396.2</v>
      </c>
      <c r="AE256" t="s">
        <v>84</v>
      </c>
      <c r="AG256" t="s">
        <v>84</v>
      </c>
      <c r="AH256" t="s">
        <v>84</v>
      </c>
      <c r="AJ256" t="s">
        <v>84</v>
      </c>
      <c r="AK256" t="s">
        <v>84</v>
      </c>
      <c r="AL256">
        <v>28650</v>
      </c>
      <c r="AM256">
        <v>18700</v>
      </c>
      <c r="AN256">
        <v>4250</v>
      </c>
      <c r="AO256">
        <v>11800</v>
      </c>
      <c r="AQ256" t="s">
        <v>84</v>
      </c>
      <c r="AT256" t="s">
        <v>84</v>
      </c>
      <c r="AU256" t="s">
        <v>84</v>
      </c>
      <c r="AV256" t="s">
        <v>84</v>
      </c>
      <c r="AX256" t="s">
        <v>84</v>
      </c>
      <c r="BA256" t="s">
        <v>84</v>
      </c>
      <c r="BB256" t="s">
        <v>84</v>
      </c>
      <c r="BG256" t="s">
        <v>84</v>
      </c>
      <c r="BJ256" t="s">
        <v>84</v>
      </c>
      <c r="BK256" t="s">
        <v>84</v>
      </c>
      <c r="BM256" t="s">
        <v>84</v>
      </c>
      <c r="BS256" t="s">
        <v>84</v>
      </c>
      <c r="BT256" t="s">
        <v>84</v>
      </c>
      <c r="BU256">
        <v>0</v>
      </c>
      <c r="BV256">
        <v>0</v>
      </c>
      <c r="BW256">
        <v>91396.2</v>
      </c>
    </row>
    <row r="257" spans="1:75" x14ac:dyDescent="0.25">
      <c r="A257">
        <v>341</v>
      </c>
      <c r="B257" s="1">
        <v>45128.799305555556</v>
      </c>
      <c r="C257" t="s">
        <v>481</v>
      </c>
      <c r="D257" t="s">
        <v>73</v>
      </c>
      <c r="E257" t="s">
        <v>178</v>
      </c>
      <c r="F257">
        <v>0</v>
      </c>
      <c r="G257" t="s">
        <v>258</v>
      </c>
      <c r="H257" t="s">
        <v>423</v>
      </c>
      <c r="I257" t="s">
        <v>338</v>
      </c>
      <c r="J257" t="s">
        <v>261</v>
      </c>
      <c r="K257" t="s">
        <v>84</v>
      </c>
      <c r="L257" t="s">
        <v>87</v>
      </c>
      <c r="M257" t="s">
        <v>497</v>
      </c>
      <c r="N257" t="s">
        <v>498</v>
      </c>
      <c r="O257" t="s">
        <v>82</v>
      </c>
      <c r="P257">
        <v>95881.56667</v>
      </c>
      <c r="Q257" t="s">
        <v>83</v>
      </c>
      <c r="AE257" t="s">
        <v>84</v>
      </c>
      <c r="AG257" t="s">
        <v>84</v>
      </c>
      <c r="AH257" t="s">
        <v>84</v>
      </c>
      <c r="AJ257" t="s">
        <v>84</v>
      </c>
      <c r="AK257" t="s">
        <v>84</v>
      </c>
      <c r="AQ257" t="s">
        <v>84</v>
      </c>
      <c r="AT257" t="s">
        <v>84</v>
      </c>
      <c r="AU257" t="s">
        <v>84</v>
      </c>
      <c r="AV257" t="s">
        <v>84</v>
      </c>
      <c r="AX257" t="s">
        <v>84</v>
      </c>
      <c r="BA257" t="s">
        <v>84</v>
      </c>
      <c r="BB257" t="s">
        <v>84</v>
      </c>
      <c r="BG257" t="s">
        <v>84</v>
      </c>
      <c r="BJ257" t="s">
        <v>84</v>
      </c>
      <c r="BK257" t="s">
        <v>84</v>
      </c>
      <c r="BM257" t="s">
        <v>84</v>
      </c>
      <c r="BS257" t="s">
        <v>84</v>
      </c>
      <c r="BT257" t="s">
        <v>84</v>
      </c>
      <c r="BU257">
        <v>0</v>
      </c>
      <c r="BV257">
        <v>0</v>
      </c>
      <c r="BW257">
        <v>91396.2</v>
      </c>
    </row>
    <row r="258" spans="1:75" x14ac:dyDescent="0.25">
      <c r="A258">
        <v>341</v>
      </c>
      <c r="B258" s="1">
        <v>45128.799305555556</v>
      </c>
      <c r="C258" t="s">
        <v>481</v>
      </c>
      <c r="D258" t="s">
        <v>73</v>
      </c>
      <c r="E258" t="s">
        <v>178</v>
      </c>
      <c r="F258">
        <v>0</v>
      </c>
      <c r="G258" t="s">
        <v>258</v>
      </c>
      <c r="H258" t="s">
        <v>423</v>
      </c>
      <c r="I258" t="s">
        <v>338</v>
      </c>
      <c r="J258" t="s">
        <v>261</v>
      </c>
      <c r="K258" t="s">
        <v>84</v>
      </c>
      <c r="L258" t="s">
        <v>98</v>
      </c>
      <c r="M258" t="s">
        <v>499</v>
      </c>
      <c r="N258" t="s">
        <v>500</v>
      </c>
      <c r="O258" t="s">
        <v>82</v>
      </c>
      <c r="P258">
        <v>36850</v>
      </c>
      <c r="Q258" t="s">
        <v>83</v>
      </c>
      <c r="AE258" t="s">
        <v>84</v>
      </c>
      <c r="AG258" t="s">
        <v>84</v>
      </c>
      <c r="AH258" t="s">
        <v>84</v>
      </c>
      <c r="AJ258" t="s">
        <v>84</v>
      </c>
      <c r="AK258" t="s">
        <v>84</v>
      </c>
      <c r="AQ258" t="s">
        <v>84</v>
      </c>
      <c r="AT258" t="s">
        <v>84</v>
      </c>
      <c r="AU258" t="s">
        <v>84</v>
      </c>
      <c r="AV258" t="s">
        <v>84</v>
      </c>
      <c r="AX258" t="s">
        <v>84</v>
      </c>
      <c r="BA258" t="s">
        <v>84</v>
      </c>
      <c r="BB258" t="s">
        <v>84</v>
      </c>
      <c r="BG258" t="s">
        <v>84</v>
      </c>
      <c r="BJ258" t="s">
        <v>84</v>
      </c>
      <c r="BK258" t="s">
        <v>84</v>
      </c>
      <c r="BM258" t="s">
        <v>84</v>
      </c>
      <c r="BS258" t="s">
        <v>84</v>
      </c>
      <c r="BT258" t="s">
        <v>84</v>
      </c>
      <c r="BU258">
        <v>0</v>
      </c>
      <c r="BV258">
        <v>0</v>
      </c>
      <c r="BW258">
        <v>28966.666666666668</v>
      </c>
    </row>
    <row r="259" spans="1:75" x14ac:dyDescent="0.25">
      <c r="A259">
        <v>341</v>
      </c>
      <c r="B259" s="1">
        <v>45128.799305555556</v>
      </c>
      <c r="C259" t="s">
        <v>481</v>
      </c>
      <c r="D259" t="s">
        <v>73</v>
      </c>
      <c r="E259" t="s">
        <v>178</v>
      </c>
      <c r="F259">
        <v>1</v>
      </c>
      <c r="G259" t="s">
        <v>258</v>
      </c>
      <c r="H259" t="s">
        <v>423</v>
      </c>
      <c r="I259" t="s">
        <v>338</v>
      </c>
      <c r="J259" t="s">
        <v>261</v>
      </c>
      <c r="K259" t="s">
        <v>158</v>
      </c>
      <c r="L259" t="s">
        <v>98</v>
      </c>
      <c r="M259" t="s">
        <v>501</v>
      </c>
      <c r="N259" t="s">
        <v>502</v>
      </c>
      <c r="O259" t="s">
        <v>82</v>
      </c>
      <c r="P259">
        <v>29550</v>
      </c>
      <c r="Q259" t="s">
        <v>83</v>
      </c>
      <c r="R259">
        <v>28966.666669999999</v>
      </c>
      <c r="U259">
        <v>1</v>
      </c>
      <c r="W259">
        <v>1</v>
      </c>
      <c r="AE259" t="s">
        <v>84</v>
      </c>
      <c r="AG259" t="s">
        <v>84</v>
      </c>
      <c r="AH259" t="s">
        <v>84</v>
      </c>
      <c r="AJ259" t="s">
        <v>84</v>
      </c>
      <c r="AK259" t="s">
        <v>84</v>
      </c>
      <c r="AQ259" t="s">
        <v>84</v>
      </c>
      <c r="AS259">
        <v>29550</v>
      </c>
      <c r="AT259" t="s">
        <v>84</v>
      </c>
      <c r="AU259" t="s">
        <v>84</v>
      </c>
      <c r="AV259" t="s">
        <v>84</v>
      </c>
      <c r="AX259" t="s">
        <v>84</v>
      </c>
      <c r="BA259" t="s">
        <v>84</v>
      </c>
      <c r="BB259" t="s">
        <v>84</v>
      </c>
      <c r="BG259" t="s">
        <v>84</v>
      </c>
      <c r="BJ259" t="s">
        <v>84</v>
      </c>
      <c r="BK259" t="s">
        <v>84</v>
      </c>
      <c r="BM259" t="s">
        <v>84</v>
      </c>
      <c r="BS259" t="s">
        <v>84</v>
      </c>
      <c r="BT259" t="s">
        <v>84</v>
      </c>
      <c r="BU259">
        <v>0</v>
      </c>
      <c r="BV259">
        <v>0</v>
      </c>
      <c r="BW259">
        <v>28966.666666666668</v>
      </c>
    </row>
    <row r="260" spans="1:75" x14ac:dyDescent="0.25">
      <c r="A260">
        <v>341</v>
      </c>
      <c r="B260" s="1">
        <v>45128.799305555556</v>
      </c>
      <c r="C260" t="s">
        <v>481</v>
      </c>
      <c r="D260" t="s">
        <v>73</v>
      </c>
      <c r="E260" t="s">
        <v>178</v>
      </c>
      <c r="F260">
        <v>0</v>
      </c>
      <c r="G260" t="s">
        <v>258</v>
      </c>
      <c r="H260" t="s">
        <v>423</v>
      </c>
      <c r="I260" t="s">
        <v>338</v>
      </c>
      <c r="J260" t="s">
        <v>261</v>
      </c>
      <c r="K260" t="s">
        <v>84</v>
      </c>
      <c r="L260" t="s">
        <v>98</v>
      </c>
      <c r="M260" t="s">
        <v>503</v>
      </c>
      <c r="N260" t="s">
        <v>504</v>
      </c>
      <c r="O260" t="s">
        <v>82</v>
      </c>
      <c r="P260">
        <v>20500</v>
      </c>
      <c r="Q260" t="s">
        <v>83</v>
      </c>
      <c r="V260">
        <v>1</v>
      </c>
      <c r="X260">
        <v>1</v>
      </c>
      <c r="AE260" t="s">
        <v>84</v>
      </c>
      <c r="AG260" t="s">
        <v>84</v>
      </c>
      <c r="AH260" t="s">
        <v>84</v>
      </c>
      <c r="AJ260" t="s">
        <v>84</v>
      </c>
      <c r="AK260" t="s">
        <v>84</v>
      </c>
      <c r="AQ260" t="s">
        <v>84</v>
      </c>
      <c r="AT260" t="s">
        <v>84</v>
      </c>
      <c r="AU260" t="s">
        <v>84</v>
      </c>
      <c r="AV260" t="s">
        <v>84</v>
      </c>
      <c r="AX260" t="s">
        <v>84</v>
      </c>
      <c r="BA260" t="s">
        <v>84</v>
      </c>
      <c r="BB260" t="s">
        <v>84</v>
      </c>
      <c r="BG260" t="s">
        <v>84</v>
      </c>
      <c r="BJ260" t="s">
        <v>84</v>
      </c>
      <c r="BK260" t="s">
        <v>84</v>
      </c>
      <c r="BM260" t="s">
        <v>84</v>
      </c>
      <c r="BS260" t="s">
        <v>84</v>
      </c>
      <c r="BT260" t="s">
        <v>84</v>
      </c>
      <c r="BU260">
        <v>0</v>
      </c>
      <c r="BV260">
        <v>0</v>
      </c>
      <c r="BW260">
        <v>28966.666666666668</v>
      </c>
    </row>
    <row r="261" spans="1:75" x14ac:dyDescent="0.25">
      <c r="A261">
        <v>342</v>
      </c>
      <c r="B261" s="1">
        <v>45128.872916666667</v>
      </c>
      <c r="C261" t="s">
        <v>505</v>
      </c>
      <c r="D261" t="s">
        <v>506</v>
      </c>
      <c r="E261" t="s">
        <v>178</v>
      </c>
      <c r="F261">
        <v>0</v>
      </c>
      <c r="G261" t="s">
        <v>507</v>
      </c>
      <c r="H261" t="s">
        <v>508</v>
      </c>
      <c r="I261" t="s">
        <v>338</v>
      </c>
      <c r="J261" t="s">
        <v>509</v>
      </c>
      <c r="K261" t="s">
        <v>84</v>
      </c>
      <c r="L261" t="s">
        <v>87</v>
      </c>
      <c r="M261" t="s">
        <v>505</v>
      </c>
      <c r="N261" t="s">
        <v>510</v>
      </c>
      <c r="O261" t="s">
        <v>82</v>
      </c>
      <c r="P261">
        <v>153774.6</v>
      </c>
      <c r="Q261" t="s">
        <v>83</v>
      </c>
      <c r="AE261" t="s">
        <v>84</v>
      </c>
      <c r="AG261" t="s">
        <v>84</v>
      </c>
      <c r="AH261" t="s">
        <v>84</v>
      </c>
      <c r="AJ261" t="s">
        <v>84</v>
      </c>
      <c r="AK261" t="s">
        <v>84</v>
      </c>
      <c r="AQ261" t="s">
        <v>84</v>
      </c>
      <c r="AT261" t="s">
        <v>84</v>
      </c>
      <c r="AU261" t="s">
        <v>84</v>
      </c>
      <c r="AV261" t="s">
        <v>84</v>
      </c>
      <c r="AX261" t="s">
        <v>84</v>
      </c>
      <c r="BA261" t="s">
        <v>84</v>
      </c>
      <c r="BB261" t="s">
        <v>84</v>
      </c>
      <c r="BG261" t="s">
        <v>84</v>
      </c>
      <c r="BJ261" t="s">
        <v>84</v>
      </c>
      <c r="BK261" t="s">
        <v>84</v>
      </c>
      <c r="BM261" t="s">
        <v>84</v>
      </c>
      <c r="BS261" t="s">
        <v>84</v>
      </c>
      <c r="BT261" t="s">
        <v>84</v>
      </c>
      <c r="BU261">
        <v>0</v>
      </c>
      <c r="BV261">
        <v>0</v>
      </c>
      <c r="BW261">
        <v>143791.27776666667</v>
      </c>
    </row>
    <row r="262" spans="1:75" x14ac:dyDescent="0.25">
      <c r="A262">
        <v>342</v>
      </c>
      <c r="B262" s="1">
        <v>45128.872916666667</v>
      </c>
      <c r="C262" t="s">
        <v>505</v>
      </c>
      <c r="D262" t="s">
        <v>506</v>
      </c>
      <c r="E262" t="s">
        <v>178</v>
      </c>
      <c r="F262">
        <v>0</v>
      </c>
      <c r="G262" t="s">
        <v>507</v>
      </c>
      <c r="H262" t="s">
        <v>508</v>
      </c>
      <c r="I262" t="s">
        <v>338</v>
      </c>
      <c r="J262" t="s">
        <v>509</v>
      </c>
      <c r="K262" t="s">
        <v>84</v>
      </c>
      <c r="L262" t="s">
        <v>87</v>
      </c>
      <c r="M262" t="s">
        <v>505</v>
      </c>
      <c r="N262" t="s">
        <v>511</v>
      </c>
      <c r="O262" t="s">
        <v>82</v>
      </c>
      <c r="P262">
        <v>145154.79999999999</v>
      </c>
      <c r="Q262" t="s">
        <v>83</v>
      </c>
      <c r="AE262" t="s">
        <v>84</v>
      </c>
      <c r="AG262" t="s">
        <v>84</v>
      </c>
      <c r="AH262" t="s">
        <v>84</v>
      </c>
      <c r="AJ262" t="s">
        <v>84</v>
      </c>
      <c r="AK262" t="s">
        <v>84</v>
      </c>
      <c r="AQ262" t="s">
        <v>84</v>
      </c>
      <c r="AT262" t="s">
        <v>84</v>
      </c>
      <c r="AU262" t="s">
        <v>84</v>
      </c>
      <c r="AV262" t="s">
        <v>84</v>
      </c>
      <c r="AX262" t="s">
        <v>84</v>
      </c>
      <c r="BA262" t="s">
        <v>84</v>
      </c>
      <c r="BB262" t="s">
        <v>84</v>
      </c>
      <c r="BG262" t="s">
        <v>84</v>
      </c>
      <c r="BJ262" t="s">
        <v>84</v>
      </c>
      <c r="BK262" t="s">
        <v>84</v>
      </c>
      <c r="BM262" t="s">
        <v>84</v>
      </c>
      <c r="BS262" t="s">
        <v>84</v>
      </c>
      <c r="BT262" t="s">
        <v>84</v>
      </c>
      <c r="BU262">
        <v>0</v>
      </c>
      <c r="BV262">
        <v>0</v>
      </c>
      <c r="BW262">
        <v>143791.27776666667</v>
      </c>
    </row>
    <row r="263" spans="1:75" x14ac:dyDescent="0.25">
      <c r="A263">
        <v>342</v>
      </c>
      <c r="B263" s="1">
        <v>45128.872916666667</v>
      </c>
      <c r="C263" t="s">
        <v>505</v>
      </c>
      <c r="D263" t="s">
        <v>506</v>
      </c>
      <c r="E263" t="s">
        <v>178</v>
      </c>
      <c r="F263">
        <v>1</v>
      </c>
      <c r="G263" t="s">
        <v>507</v>
      </c>
      <c r="H263" t="s">
        <v>508</v>
      </c>
      <c r="I263" t="s">
        <v>338</v>
      </c>
      <c r="J263" t="s">
        <v>509</v>
      </c>
      <c r="K263" t="s">
        <v>512</v>
      </c>
      <c r="L263" t="s">
        <v>87</v>
      </c>
      <c r="M263" t="s">
        <v>505</v>
      </c>
      <c r="N263" t="s">
        <v>513</v>
      </c>
      <c r="O263" t="s">
        <v>82</v>
      </c>
      <c r="P263">
        <v>132444.4333</v>
      </c>
      <c r="Q263" t="s">
        <v>83</v>
      </c>
      <c r="R263">
        <v>143791.27780000001</v>
      </c>
      <c r="AE263" t="s">
        <v>84</v>
      </c>
      <c r="AG263" t="s">
        <v>84</v>
      </c>
      <c r="AH263" t="s">
        <v>84</v>
      </c>
      <c r="AJ263" t="s">
        <v>84</v>
      </c>
      <c r="AK263" t="s">
        <v>84</v>
      </c>
      <c r="AL263">
        <v>21250</v>
      </c>
      <c r="AM263">
        <v>56450</v>
      </c>
      <c r="AN263">
        <v>11600</v>
      </c>
      <c r="AO263">
        <v>7316</v>
      </c>
      <c r="AQ263" t="s">
        <v>84</v>
      </c>
      <c r="AT263" t="s">
        <v>84</v>
      </c>
      <c r="AU263" t="s">
        <v>84</v>
      </c>
      <c r="AV263" t="s">
        <v>84</v>
      </c>
      <c r="AX263" t="s">
        <v>84</v>
      </c>
      <c r="BA263" t="s">
        <v>84</v>
      </c>
      <c r="BB263" t="s">
        <v>84</v>
      </c>
      <c r="BG263" t="s">
        <v>84</v>
      </c>
      <c r="BJ263" t="s">
        <v>84</v>
      </c>
      <c r="BK263" t="s">
        <v>84</v>
      </c>
      <c r="BM263" t="s">
        <v>84</v>
      </c>
      <c r="BS263" t="s">
        <v>84</v>
      </c>
      <c r="BT263" t="s">
        <v>84</v>
      </c>
      <c r="BU263">
        <v>0</v>
      </c>
      <c r="BV263">
        <v>0</v>
      </c>
      <c r="BW263">
        <v>143791.27776666667</v>
      </c>
    </row>
    <row r="264" spans="1:75" x14ac:dyDescent="0.25">
      <c r="A264">
        <v>343</v>
      </c>
      <c r="B264" s="1">
        <v>45128.872916666667</v>
      </c>
      <c r="C264" t="s">
        <v>514</v>
      </c>
      <c r="D264" t="s">
        <v>506</v>
      </c>
      <c r="E264" t="s">
        <v>178</v>
      </c>
      <c r="F264">
        <v>0</v>
      </c>
      <c r="G264" t="s">
        <v>507</v>
      </c>
      <c r="H264" t="s">
        <v>508</v>
      </c>
      <c r="I264" t="s">
        <v>338</v>
      </c>
      <c r="J264" t="s">
        <v>509</v>
      </c>
      <c r="K264" t="s">
        <v>84</v>
      </c>
      <c r="L264" t="s">
        <v>92</v>
      </c>
      <c r="M264" t="s">
        <v>515</v>
      </c>
      <c r="N264" t="s">
        <v>303</v>
      </c>
      <c r="O264" t="s">
        <v>82</v>
      </c>
      <c r="P264">
        <v>50780</v>
      </c>
      <c r="Q264" t="s">
        <v>83</v>
      </c>
      <c r="AE264" t="s">
        <v>84</v>
      </c>
      <c r="AG264" t="s">
        <v>84</v>
      </c>
      <c r="AH264" t="s">
        <v>84</v>
      </c>
      <c r="AJ264" t="s">
        <v>84</v>
      </c>
      <c r="AK264" t="s">
        <v>84</v>
      </c>
      <c r="AQ264" t="s">
        <v>84</v>
      </c>
      <c r="AT264" t="s">
        <v>84</v>
      </c>
      <c r="AU264" t="s">
        <v>84</v>
      </c>
      <c r="AV264" t="s">
        <v>84</v>
      </c>
      <c r="AX264" t="s">
        <v>84</v>
      </c>
      <c r="BA264" t="s">
        <v>84</v>
      </c>
      <c r="BB264" t="s">
        <v>84</v>
      </c>
      <c r="BG264" t="s">
        <v>84</v>
      </c>
      <c r="BJ264" t="s">
        <v>84</v>
      </c>
      <c r="BK264" t="s">
        <v>84</v>
      </c>
      <c r="BM264" t="s">
        <v>84</v>
      </c>
      <c r="BS264" t="s">
        <v>84</v>
      </c>
      <c r="BT264" t="s">
        <v>84</v>
      </c>
      <c r="BU264">
        <v>0</v>
      </c>
      <c r="BV264">
        <v>0</v>
      </c>
      <c r="BW264">
        <v>52585</v>
      </c>
    </row>
    <row r="265" spans="1:75" x14ac:dyDescent="0.25">
      <c r="A265">
        <v>343</v>
      </c>
      <c r="B265" s="1">
        <v>45128.872916666667</v>
      </c>
      <c r="C265" t="s">
        <v>514</v>
      </c>
      <c r="D265" t="s">
        <v>506</v>
      </c>
      <c r="E265" t="s">
        <v>178</v>
      </c>
      <c r="F265">
        <v>1</v>
      </c>
      <c r="G265" t="s">
        <v>507</v>
      </c>
      <c r="H265" t="s">
        <v>508</v>
      </c>
      <c r="I265" t="s">
        <v>338</v>
      </c>
      <c r="J265" t="s">
        <v>509</v>
      </c>
      <c r="K265" t="s">
        <v>141</v>
      </c>
      <c r="L265" t="s">
        <v>92</v>
      </c>
      <c r="M265" t="s">
        <v>516</v>
      </c>
      <c r="N265" t="s">
        <v>517</v>
      </c>
      <c r="O265" t="s">
        <v>82</v>
      </c>
      <c r="P265">
        <v>54390</v>
      </c>
      <c r="Q265" t="s">
        <v>83</v>
      </c>
      <c r="R265">
        <v>52585</v>
      </c>
      <c r="AB265">
        <v>54390</v>
      </c>
      <c r="AE265" t="s">
        <v>84</v>
      </c>
      <c r="AG265" t="s">
        <v>84</v>
      </c>
      <c r="AH265" t="s">
        <v>84</v>
      </c>
      <c r="AJ265" t="s">
        <v>84</v>
      </c>
      <c r="AK265" t="s">
        <v>84</v>
      </c>
      <c r="AQ265" t="s">
        <v>84</v>
      </c>
      <c r="AT265" t="s">
        <v>84</v>
      </c>
      <c r="AU265" t="s">
        <v>84</v>
      </c>
      <c r="AV265" t="s">
        <v>84</v>
      </c>
      <c r="AX265" t="s">
        <v>84</v>
      </c>
      <c r="BA265" t="s">
        <v>84</v>
      </c>
      <c r="BB265" t="s">
        <v>84</v>
      </c>
      <c r="BG265" t="s">
        <v>84</v>
      </c>
      <c r="BJ265" t="s">
        <v>84</v>
      </c>
      <c r="BK265" t="s">
        <v>84</v>
      </c>
      <c r="BM265" t="s">
        <v>84</v>
      </c>
      <c r="BS265" t="s">
        <v>84</v>
      </c>
      <c r="BT265" t="s">
        <v>84</v>
      </c>
      <c r="BU265">
        <v>0</v>
      </c>
      <c r="BV265">
        <v>0</v>
      </c>
      <c r="BW265">
        <v>52585</v>
      </c>
    </row>
    <row r="266" spans="1:75" x14ac:dyDescent="0.25">
      <c r="A266">
        <v>343</v>
      </c>
      <c r="B266" s="1">
        <v>45128.872916666667</v>
      </c>
      <c r="C266" t="s">
        <v>514</v>
      </c>
      <c r="D266" t="s">
        <v>506</v>
      </c>
      <c r="E266" t="s">
        <v>178</v>
      </c>
      <c r="F266">
        <v>0</v>
      </c>
      <c r="G266" t="s">
        <v>507</v>
      </c>
      <c r="H266" t="s">
        <v>508</v>
      </c>
      <c r="I266" t="s">
        <v>338</v>
      </c>
      <c r="J266" t="s">
        <v>509</v>
      </c>
      <c r="K266" t="s">
        <v>84</v>
      </c>
      <c r="L266" t="s">
        <v>80</v>
      </c>
      <c r="M266" t="s">
        <v>514</v>
      </c>
      <c r="N266" t="s">
        <v>518</v>
      </c>
      <c r="O266" t="s">
        <v>82</v>
      </c>
      <c r="P266">
        <v>766626.6825</v>
      </c>
      <c r="Q266" t="s">
        <v>83</v>
      </c>
      <c r="T266">
        <v>1</v>
      </c>
      <c r="X266">
        <v>1</v>
      </c>
      <c r="AE266" t="s">
        <v>84</v>
      </c>
      <c r="AG266" t="s">
        <v>84</v>
      </c>
      <c r="AH266" t="s">
        <v>84</v>
      </c>
      <c r="AJ266" t="s">
        <v>84</v>
      </c>
      <c r="AK266" t="s">
        <v>84</v>
      </c>
      <c r="AQ266" t="s">
        <v>84</v>
      </c>
      <c r="AT266" t="s">
        <v>84</v>
      </c>
      <c r="AU266" t="s">
        <v>84</v>
      </c>
      <c r="AV266" t="s">
        <v>84</v>
      </c>
      <c r="AX266" t="s">
        <v>84</v>
      </c>
      <c r="BA266" t="s">
        <v>84</v>
      </c>
      <c r="BB266" t="s">
        <v>84</v>
      </c>
      <c r="BG266" t="s">
        <v>84</v>
      </c>
      <c r="BJ266" t="s">
        <v>84</v>
      </c>
      <c r="BK266" t="s">
        <v>84</v>
      </c>
      <c r="BM266" t="s">
        <v>84</v>
      </c>
      <c r="BS266" t="s">
        <v>84</v>
      </c>
      <c r="BT266" t="s">
        <v>84</v>
      </c>
      <c r="BU266">
        <v>0</v>
      </c>
      <c r="BV266">
        <v>0</v>
      </c>
      <c r="BW266">
        <v>825872.91529999999</v>
      </c>
    </row>
    <row r="267" spans="1:75" x14ac:dyDescent="0.25">
      <c r="A267">
        <v>343</v>
      </c>
      <c r="B267" s="1">
        <v>45128.872916666667</v>
      </c>
      <c r="C267" t="s">
        <v>514</v>
      </c>
      <c r="D267" t="s">
        <v>506</v>
      </c>
      <c r="E267" t="s">
        <v>178</v>
      </c>
      <c r="F267">
        <v>0</v>
      </c>
      <c r="G267" t="s">
        <v>507</v>
      </c>
      <c r="H267" t="s">
        <v>508</v>
      </c>
      <c r="I267" t="s">
        <v>338</v>
      </c>
      <c r="J267" t="s">
        <v>509</v>
      </c>
      <c r="K267" t="s">
        <v>84</v>
      </c>
      <c r="L267" t="s">
        <v>80</v>
      </c>
      <c r="M267" t="s">
        <v>514</v>
      </c>
      <c r="N267" t="s">
        <v>519</v>
      </c>
      <c r="O267" t="s">
        <v>82</v>
      </c>
      <c r="P267">
        <v>942912.96</v>
      </c>
      <c r="Q267" t="s">
        <v>83</v>
      </c>
      <c r="AE267" t="s">
        <v>84</v>
      </c>
      <c r="AG267" t="s">
        <v>84</v>
      </c>
      <c r="AH267" t="s">
        <v>84</v>
      </c>
      <c r="AJ267" t="s">
        <v>84</v>
      </c>
      <c r="AK267" t="s">
        <v>84</v>
      </c>
      <c r="AQ267" t="s">
        <v>84</v>
      </c>
      <c r="AT267" t="s">
        <v>84</v>
      </c>
      <c r="AU267" t="s">
        <v>84</v>
      </c>
      <c r="AV267" t="s">
        <v>84</v>
      </c>
      <c r="AX267" t="s">
        <v>84</v>
      </c>
      <c r="BA267" t="s">
        <v>84</v>
      </c>
      <c r="BB267" t="s">
        <v>84</v>
      </c>
      <c r="BG267" t="s">
        <v>84</v>
      </c>
      <c r="BJ267" t="s">
        <v>84</v>
      </c>
      <c r="BK267" t="s">
        <v>84</v>
      </c>
      <c r="BM267" t="s">
        <v>84</v>
      </c>
      <c r="BS267" t="s">
        <v>84</v>
      </c>
      <c r="BT267" t="s">
        <v>84</v>
      </c>
      <c r="BU267">
        <v>0</v>
      </c>
      <c r="BV267">
        <v>0</v>
      </c>
      <c r="BW267">
        <v>825872.91529999999</v>
      </c>
    </row>
    <row r="268" spans="1:75" x14ac:dyDescent="0.25">
      <c r="A268">
        <v>343</v>
      </c>
      <c r="B268" s="1">
        <v>45128.872916666667</v>
      </c>
      <c r="C268" t="s">
        <v>514</v>
      </c>
      <c r="D268" t="s">
        <v>506</v>
      </c>
      <c r="E268" t="s">
        <v>178</v>
      </c>
      <c r="F268">
        <v>1</v>
      </c>
      <c r="G268" t="s">
        <v>507</v>
      </c>
      <c r="H268" t="s">
        <v>508</v>
      </c>
      <c r="I268" t="s">
        <v>338</v>
      </c>
      <c r="J268" t="s">
        <v>509</v>
      </c>
      <c r="K268" t="s">
        <v>326</v>
      </c>
      <c r="L268" t="s">
        <v>80</v>
      </c>
      <c r="M268" t="s">
        <v>514</v>
      </c>
      <c r="N268" t="s">
        <v>520</v>
      </c>
      <c r="O268" t="s">
        <v>82</v>
      </c>
      <c r="P268">
        <v>768079.10340000002</v>
      </c>
      <c r="Q268" t="s">
        <v>83</v>
      </c>
      <c r="R268">
        <v>825872.91529999999</v>
      </c>
      <c r="T268">
        <v>1</v>
      </c>
      <c r="X268">
        <v>1</v>
      </c>
      <c r="Z268">
        <v>59345</v>
      </c>
      <c r="AA268">
        <v>55900</v>
      </c>
      <c r="AE268" t="s">
        <v>84</v>
      </c>
      <c r="AG268" t="s">
        <v>84</v>
      </c>
      <c r="AH268" t="s">
        <v>84</v>
      </c>
      <c r="AI268">
        <v>30000</v>
      </c>
      <c r="AJ268" t="s">
        <v>84</v>
      </c>
      <c r="AK268" t="s">
        <v>84</v>
      </c>
      <c r="AL268">
        <v>0</v>
      </c>
      <c r="AN268">
        <v>0</v>
      </c>
      <c r="AP268">
        <v>62400</v>
      </c>
      <c r="AQ268" t="s">
        <v>84</v>
      </c>
      <c r="AR268">
        <v>2000</v>
      </c>
      <c r="AT268" t="s">
        <v>84</v>
      </c>
      <c r="AU268" t="s">
        <v>84</v>
      </c>
      <c r="AV268" t="s">
        <v>84</v>
      </c>
      <c r="AW268">
        <v>15462</v>
      </c>
      <c r="AX268" t="s">
        <v>84</v>
      </c>
      <c r="AY268">
        <v>12400</v>
      </c>
      <c r="BA268" t="s">
        <v>84</v>
      </c>
      <c r="BB268" t="s">
        <v>84</v>
      </c>
      <c r="BC268">
        <v>38500</v>
      </c>
      <c r="BD268">
        <v>97490.25</v>
      </c>
      <c r="BG268" t="s">
        <v>84</v>
      </c>
      <c r="BH268">
        <v>7800</v>
      </c>
      <c r="BI268">
        <v>192389.34</v>
      </c>
      <c r="BJ268" t="s">
        <v>84</v>
      </c>
      <c r="BK268" t="s">
        <v>84</v>
      </c>
      <c r="BM268" t="s">
        <v>84</v>
      </c>
      <c r="BP268">
        <v>35900</v>
      </c>
      <c r="BQ268">
        <v>0</v>
      </c>
      <c r="BR268">
        <v>0</v>
      </c>
      <c r="BS268" t="s">
        <v>84</v>
      </c>
      <c r="BT268" t="s">
        <v>84</v>
      </c>
      <c r="BU268">
        <v>0</v>
      </c>
      <c r="BV268">
        <v>0</v>
      </c>
      <c r="BW268">
        <v>825872.91529999999</v>
      </c>
    </row>
    <row r="269" spans="1:75" x14ac:dyDescent="0.25">
      <c r="A269">
        <v>343</v>
      </c>
      <c r="B269" s="1">
        <v>45128.872916666667</v>
      </c>
      <c r="C269" t="s">
        <v>514</v>
      </c>
      <c r="D269" t="s">
        <v>506</v>
      </c>
      <c r="E269" t="s">
        <v>178</v>
      </c>
      <c r="F269">
        <v>0</v>
      </c>
      <c r="G269" t="s">
        <v>507</v>
      </c>
      <c r="H269" t="s">
        <v>508</v>
      </c>
      <c r="I269" t="s">
        <v>338</v>
      </c>
      <c r="J269" t="s">
        <v>509</v>
      </c>
      <c r="K269" t="s">
        <v>84</v>
      </c>
      <c r="L269" t="s">
        <v>106</v>
      </c>
      <c r="M269" t="s">
        <v>514</v>
      </c>
      <c r="N269" t="s">
        <v>521</v>
      </c>
      <c r="O269" t="s">
        <v>82</v>
      </c>
      <c r="P269">
        <v>11107.275</v>
      </c>
      <c r="Q269" t="s">
        <v>83</v>
      </c>
      <c r="T269">
        <v>1</v>
      </c>
      <c r="X269">
        <v>1</v>
      </c>
      <c r="AE269" t="s">
        <v>84</v>
      </c>
      <c r="AG269" t="s">
        <v>84</v>
      </c>
      <c r="AH269" t="s">
        <v>84</v>
      </c>
      <c r="AJ269" t="s">
        <v>84</v>
      </c>
      <c r="AK269" t="s">
        <v>84</v>
      </c>
      <c r="AQ269" t="s">
        <v>84</v>
      </c>
      <c r="AT269" t="s">
        <v>84</v>
      </c>
      <c r="AU269" t="s">
        <v>84</v>
      </c>
      <c r="AV269" t="s">
        <v>84</v>
      </c>
      <c r="AX269" t="s">
        <v>84</v>
      </c>
      <c r="BA269" t="s">
        <v>84</v>
      </c>
      <c r="BB269" t="s">
        <v>84</v>
      </c>
      <c r="BG269" t="s">
        <v>84</v>
      </c>
      <c r="BJ269" t="s">
        <v>84</v>
      </c>
      <c r="BK269" t="s">
        <v>84</v>
      </c>
      <c r="BM269" t="s">
        <v>84</v>
      </c>
      <c r="BS269" t="s">
        <v>84</v>
      </c>
      <c r="BT269" t="s">
        <v>84</v>
      </c>
      <c r="BU269">
        <v>0</v>
      </c>
      <c r="BV269">
        <v>0</v>
      </c>
      <c r="BW269">
        <v>7738.3308333333334</v>
      </c>
    </row>
    <row r="270" spans="1:75" x14ac:dyDescent="0.25">
      <c r="A270">
        <v>343</v>
      </c>
      <c r="B270" s="1">
        <v>45128.872916666667</v>
      </c>
      <c r="C270" t="s">
        <v>514</v>
      </c>
      <c r="D270" t="s">
        <v>506</v>
      </c>
      <c r="E270" t="s">
        <v>178</v>
      </c>
      <c r="F270">
        <v>0</v>
      </c>
      <c r="G270" t="s">
        <v>507</v>
      </c>
      <c r="H270" t="s">
        <v>508</v>
      </c>
      <c r="I270" t="s">
        <v>338</v>
      </c>
      <c r="J270" t="s">
        <v>509</v>
      </c>
      <c r="K270" t="s">
        <v>84</v>
      </c>
      <c r="L270" t="s">
        <v>106</v>
      </c>
      <c r="M270" t="s">
        <v>514</v>
      </c>
      <c r="N270" t="s">
        <v>522</v>
      </c>
      <c r="O270" t="s">
        <v>82</v>
      </c>
      <c r="P270">
        <v>4852.54</v>
      </c>
      <c r="Q270" t="s">
        <v>83</v>
      </c>
      <c r="AE270" t="s">
        <v>84</v>
      </c>
      <c r="AG270" t="s">
        <v>84</v>
      </c>
      <c r="AH270" t="s">
        <v>84</v>
      </c>
      <c r="AJ270" t="s">
        <v>84</v>
      </c>
      <c r="AK270" t="s">
        <v>84</v>
      </c>
      <c r="AQ270" t="s">
        <v>84</v>
      </c>
      <c r="AT270" t="s">
        <v>84</v>
      </c>
      <c r="AU270" t="s">
        <v>84</v>
      </c>
      <c r="AV270" t="s">
        <v>84</v>
      </c>
      <c r="AX270" t="s">
        <v>84</v>
      </c>
      <c r="BA270" t="s">
        <v>84</v>
      </c>
      <c r="BB270" t="s">
        <v>84</v>
      </c>
      <c r="BG270" t="s">
        <v>84</v>
      </c>
      <c r="BJ270" t="s">
        <v>84</v>
      </c>
      <c r="BK270" t="s">
        <v>84</v>
      </c>
      <c r="BM270" t="s">
        <v>84</v>
      </c>
      <c r="BS270" t="s">
        <v>84</v>
      </c>
      <c r="BT270" t="s">
        <v>84</v>
      </c>
      <c r="BU270">
        <v>0</v>
      </c>
      <c r="BV270">
        <v>0</v>
      </c>
      <c r="BW270">
        <v>7738.3308333333334</v>
      </c>
    </row>
    <row r="271" spans="1:75" x14ac:dyDescent="0.25">
      <c r="A271">
        <v>343</v>
      </c>
      <c r="B271" s="1">
        <v>45128.872916666667</v>
      </c>
      <c r="C271" t="s">
        <v>514</v>
      </c>
      <c r="D271" t="s">
        <v>506</v>
      </c>
      <c r="E271" t="s">
        <v>178</v>
      </c>
      <c r="F271">
        <v>1</v>
      </c>
      <c r="G271" t="s">
        <v>507</v>
      </c>
      <c r="H271" t="s">
        <v>508</v>
      </c>
      <c r="I271" t="s">
        <v>338</v>
      </c>
      <c r="J271" t="s">
        <v>509</v>
      </c>
      <c r="K271" t="s">
        <v>326</v>
      </c>
      <c r="L271" t="s">
        <v>106</v>
      </c>
      <c r="M271" t="s">
        <v>514</v>
      </c>
      <c r="N271" t="s">
        <v>523</v>
      </c>
      <c r="O271" t="s">
        <v>82</v>
      </c>
      <c r="P271">
        <v>7255.1774999999998</v>
      </c>
      <c r="Q271" t="s">
        <v>83</v>
      </c>
      <c r="R271">
        <v>7738.330833</v>
      </c>
      <c r="T271">
        <v>1</v>
      </c>
      <c r="X271">
        <v>1</v>
      </c>
      <c r="AE271" t="s">
        <v>84</v>
      </c>
      <c r="AF271">
        <v>3200</v>
      </c>
      <c r="AG271" t="s">
        <v>84</v>
      </c>
      <c r="AH271" t="s">
        <v>84</v>
      </c>
      <c r="AJ271" t="s">
        <v>84</v>
      </c>
      <c r="AK271" t="s">
        <v>84</v>
      </c>
      <c r="AQ271" t="s">
        <v>84</v>
      </c>
      <c r="AT271" t="s">
        <v>84</v>
      </c>
      <c r="AU271" t="s">
        <v>84</v>
      </c>
      <c r="AV271" t="s">
        <v>84</v>
      </c>
      <c r="AX271" t="s">
        <v>84</v>
      </c>
      <c r="BA271" t="s">
        <v>84</v>
      </c>
      <c r="BB271" t="s">
        <v>84</v>
      </c>
      <c r="BE271">
        <v>1405</v>
      </c>
      <c r="BG271" t="s">
        <v>84</v>
      </c>
      <c r="BJ271" t="s">
        <v>84</v>
      </c>
      <c r="BK271" t="s">
        <v>84</v>
      </c>
      <c r="BM271" t="s">
        <v>84</v>
      </c>
      <c r="BS271" t="s">
        <v>84</v>
      </c>
      <c r="BT271" t="s">
        <v>84</v>
      </c>
      <c r="BU271">
        <v>0</v>
      </c>
      <c r="BV271">
        <v>0</v>
      </c>
      <c r="BW271">
        <v>7738.3308333333334</v>
      </c>
    </row>
    <row r="272" spans="1:75" x14ac:dyDescent="0.25">
      <c r="A272">
        <v>343</v>
      </c>
      <c r="B272" s="1">
        <v>45128.872916666667</v>
      </c>
      <c r="C272" t="s">
        <v>514</v>
      </c>
      <c r="D272" t="s">
        <v>506</v>
      </c>
      <c r="E272" t="s">
        <v>178</v>
      </c>
      <c r="F272">
        <v>0</v>
      </c>
      <c r="G272" t="s">
        <v>507</v>
      </c>
      <c r="H272" t="s">
        <v>508</v>
      </c>
      <c r="I272" t="s">
        <v>338</v>
      </c>
      <c r="J272" t="s">
        <v>509</v>
      </c>
      <c r="K272" t="s">
        <v>84</v>
      </c>
      <c r="L272" t="s">
        <v>87</v>
      </c>
      <c r="M272" t="s">
        <v>524</v>
      </c>
      <c r="N272" t="s">
        <v>525</v>
      </c>
      <c r="O272" t="s">
        <v>82</v>
      </c>
      <c r="P272">
        <v>122741.675</v>
      </c>
      <c r="Q272" t="s">
        <v>83</v>
      </c>
      <c r="V272">
        <v>1</v>
      </c>
      <c r="X272">
        <v>1</v>
      </c>
      <c r="AE272" t="s">
        <v>84</v>
      </c>
      <c r="AG272" t="s">
        <v>84</v>
      </c>
      <c r="AH272" t="s">
        <v>84</v>
      </c>
      <c r="AJ272" t="s">
        <v>84</v>
      </c>
      <c r="AK272" t="s">
        <v>84</v>
      </c>
      <c r="AQ272" t="s">
        <v>84</v>
      </c>
      <c r="AT272" t="s">
        <v>84</v>
      </c>
      <c r="AU272" t="s">
        <v>84</v>
      </c>
      <c r="AV272" t="s">
        <v>84</v>
      </c>
      <c r="AX272" t="s">
        <v>84</v>
      </c>
      <c r="BA272" t="s">
        <v>84</v>
      </c>
      <c r="BB272" t="s">
        <v>84</v>
      </c>
      <c r="BG272" t="s">
        <v>84</v>
      </c>
      <c r="BJ272" t="s">
        <v>84</v>
      </c>
      <c r="BK272" t="s">
        <v>84</v>
      </c>
      <c r="BM272" t="s">
        <v>84</v>
      </c>
      <c r="BS272" t="s">
        <v>84</v>
      </c>
      <c r="BT272" t="s">
        <v>84</v>
      </c>
      <c r="BU272">
        <v>0</v>
      </c>
      <c r="BV272">
        <v>0</v>
      </c>
      <c r="BW272">
        <v>133351.01110999999</v>
      </c>
    </row>
    <row r="273" spans="1:75" x14ac:dyDescent="0.25">
      <c r="A273">
        <v>343</v>
      </c>
      <c r="B273" s="1">
        <v>45128.872916666667</v>
      </c>
      <c r="C273" t="s">
        <v>514</v>
      </c>
      <c r="D273" t="s">
        <v>506</v>
      </c>
      <c r="E273" t="s">
        <v>178</v>
      </c>
      <c r="F273">
        <v>1</v>
      </c>
      <c r="G273" t="s">
        <v>507</v>
      </c>
      <c r="H273" t="s">
        <v>508</v>
      </c>
      <c r="I273" t="s">
        <v>338</v>
      </c>
      <c r="J273" t="s">
        <v>509</v>
      </c>
      <c r="K273" t="s">
        <v>207</v>
      </c>
      <c r="L273" t="s">
        <v>87</v>
      </c>
      <c r="M273" t="s">
        <v>514</v>
      </c>
      <c r="N273" t="s">
        <v>526</v>
      </c>
      <c r="O273" t="s">
        <v>82</v>
      </c>
      <c r="P273">
        <v>95547.083329999994</v>
      </c>
      <c r="Q273" t="s">
        <v>83</v>
      </c>
      <c r="R273">
        <v>133351.0111</v>
      </c>
      <c r="W273">
        <v>1</v>
      </c>
      <c r="X273">
        <v>1</v>
      </c>
      <c r="AE273" t="s">
        <v>84</v>
      </c>
      <c r="AG273" t="s">
        <v>84</v>
      </c>
      <c r="AH273" t="s">
        <v>84</v>
      </c>
      <c r="AJ273" t="s">
        <v>84</v>
      </c>
      <c r="AK273" t="s">
        <v>84</v>
      </c>
      <c r="AL273">
        <v>21250</v>
      </c>
      <c r="AM273">
        <v>22000</v>
      </c>
      <c r="AN273">
        <v>13300</v>
      </c>
      <c r="AO273">
        <v>13150</v>
      </c>
      <c r="AQ273" t="s">
        <v>84</v>
      </c>
      <c r="AT273" t="s">
        <v>84</v>
      </c>
      <c r="AU273" t="s">
        <v>84</v>
      </c>
      <c r="AV273" t="s">
        <v>84</v>
      </c>
      <c r="AX273" t="s">
        <v>84</v>
      </c>
      <c r="BA273" t="s">
        <v>84</v>
      </c>
      <c r="BB273" t="s">
        <v>84</v>
      </c>
      <c r="BG273" t="s">
        <v>84</v>
      </c>
      <c r="BJ273" t="s">
        <v>84</v>
      </c>
      <c r="BK273" t="s">
        <v>84</v>
      </c>
      <c r="BM273" t="s">
        <v>84</v>
      </c>
      <c r="BS273" t="s">
        <v>84</v>
      </c>
      <c r="BT273" t="s">
        <v>84</v>
      </c>
      <c r="BU273">
        <v>0</v>
      </c>
      <c r="BV273">
        <v>0</v>
      </c>
      <c r="BW273">
        <v>133351.01110999999</v>
      </c>
    </row>
    <row r="274" spans="1:75" x14ac:dyDescent="0.25">
      <c r="A274">
        <v>343</v>
      </c>
      <c r="B274" s="1">
        <v>45128.872916666667</v>
      </c>
      <c r="C274" t="s">
        <v>514</v>
      </c>
      <c r="D274" t="s">
        <v>506</v>
      </c>
      <c r="E274" t="s">
        <v>178</v>
      </c>
      <c r="F274">
        <v>0</v>
      </c>
      <c r="G274" t="s">
        <v>507</v>
      </c>
      <c r="H274" t="s">
        <v>508</v>
      </c>
      <c r="I274" t="s">
        <v>338</v>
      </c>
      <c r="J274" t="s">
        <v>509</v>
      </c>
      <c r="K274" t="s">
        <v>84</v>
      </c>
      <c r="L274" t="s">
        <v>87</v>
      </c>
      <c r="M274" t="s">
        <v>514</v>
      </c>
      <c r="N274" t="s">
        <v>527</v>
      </c>
      <c r="O274" t="s">
        <v>82</v>
      </c>
      <c r="P274">
        <v>181764.27499999999</v>
      </c>
      <c r="Q274" t="s">
        <v>83</v>
      </c>
      <c r="AE274" t="s">
        <v>84</v>
      </c>
      <c r="AG274" t="s">
        <v>84</v>
      </c>
      <c r="AH274" t="s">
        <v>84</v>
      </c>
      <c r="AJ274" t="s">
        <v>84</v>
      </c>
      <c r="AK274" t="s">
        <v>84</v>
      </c>
      <c r="AQ274" t="s">
        <v>84</v>
      </c>
      <c r="AT274" t="s">
        <v>84</v>
      </c>
      <c r="AU274" t="s">
        <v>84</v>
      </c>
      <c r="AV274" t="s">
        <v>84</v>
      </c>
      <c r="AX274" t="s">
        <v>84</v>
      </c>
      <c r="BA274" t="s">
        <v>84</v>
      </c>
      <c r="BB274" t="s">
        <v>84</v>
      </c>
      <c r="BG274" t="s">
        <v>84</v>
      </c>
      <c r="BJ274" t="s">
        <v>84</v>
      </c>
      <c r="BK274" t="s">
        <v>84</v>
      </c>
      <c r="BM274" t="s">
        <v>84</v>
      </c>
      <c r="BS274" t="s">
        <v>84</v>
      </c>
      <c r="BT274" t="s">
        <v>84</v>
      </c>
      <c r="BU274">
        <v>0</v>
      </c>
      <c r="BV274">
        <v>0</v>
      </c>
      <c r="BW274">
        <v>133351.01110999999</v>
      </c>
    </row>
    <row r="275" spans="1:75" x14ac:dyDescent="0.25">
      <c r="A275">
        <v>343</v>
      </c>
      <c r="B275" s="1">
        <v>45128.872916666667</v>
      </c>
      <c r="C275" t="s">
        <v>514</v>
      </c>
      <c r="D275" t="s">
        <v>506</v>
      </c>
      <c r="E275" t="s">
        <v>178</v>
      </c>
      <c r="F275">
        <v>1</v>
      </c>
      <c r="G275" t="s">
        <v>507</v>
      </c>
      <c r="H275" t="s">
        <v>508</v>
      </c>
      <c r="I275" t="s">
        <v>338</v>
      </c>
      <c r="J275" t="s">
        <v>509</v>
      </c>
      <c r="K275" t="s">
        <v>528</v>
      </c>
      <c r="L275" t="s">
        <v>98</v>
      </c>
      <c r="M275" t="s">
        <v>529</v>
      </c>
      <c r="N275" t="s">
        <v>530</v>
      </c>
      <c r="O275" t="s">
        <v>82</v>
      </c>
      <c r="P275">
        <v>32300</v>
      </c>
      <c r="Q275" t="s">
        <v>83</v>
      </c>
      <c r="R275">
        <v>30325</v>
      </c>
      <c r="U275">
        <v>1</v>
      </c>
      <c r="AE275" t="s">
        <v>84</v>
      </c>
      <c r="AG275" t="s">
        <v>84</v>
      </c>
      <c r="AH275" t="s">
        <v>84</v>
      </c>
      <c r="AJ275" t="s">
        <v>84</v>
      </c>
      <c r="AK275" t="s">
        <v>84</v>
      </c>
      <c r="AQ275" t="s">
        <v>84</v>
      </c>
      <c r="AS275">
        <v>32300</v>
      </c>
      <c r="AT275" t="s">
        <v>84</v>
      </c>
      <c r="AU275" t="s">
        <v>84</v>
      </c>
      <c r="AV275" t="s">
        <v>84</v>
      </c>
      <c r="AX275" t="s">
        <v>84</v>
      </c>
      <c r="BA275" t="s">
        <v>84</v>
      </c>
      <c r="BB275" t="s">
        <v>84</v>
      </c>
      <c r="BG275" t="s">
        <v>84</v>
      </c>
      <c r="BJ275" t="s">
        <v>84</v>
      </c>
      <c r="BK275" t="s">
        <v>84</v>
      </c>
      <c r="BM275" t="s">
        <v>84</v>
      </c>
      <c r="BS275" t="s">
        <v>84</v>
      </c>
      <c r="BT275" t="s">
        <v>84</v>
      </c>
      <c r="BU275">
        <v>0</v>
      </c>
      <c r="BV275">
        <v>0</v>
      </c>
      <c r="BW275">
        <v>30325</v>
      </c>
    </row>
    <row r="276" spans="1:75" x14ac:dyDescent="0.25">
      <c r="A276">
        <v>343</v>
      </c>
      <c r="B276" s="1">
        <v>45128.872916666667</v>
      </c>
      <c r="C276" t="s">
        <v>514</v>
      </c>
      <c r="D276" t="s">
        <v>506</v>
      </c>
      <c r="E276" t="s">
        <v>178</v>
      </c>
      <c r="F276">
        <v>0</v>
      </c>
      <c r="G276" t="s">
        <v>507</v>
      </c>
      <c r="H276" t="s">
        <v>508</v>
      </c>
      <c r="I276" t="s">
        <v>338</v>
      </c>
      <c r="J276" t="s">
        <v>509</v>
      </c>
      <c r="K276" t="s">
        <v>84</v>
      </c>
      <c r="L276" t="s">
        <v>98</v>
      </c>
      <c r="M276" t="s">
        <v>531</v>
      </c>
      <c r="N276" t="s">
        <v>532</v>
      </c>
      <c r="O276" t="s">
        <v>82</v>
      </c>
      <c r="P276">
        <v>28350</v>
      </c>
      <c r="Q276" t="s">
        <v>83</v>
      </c>
      <c r="V276">
        <v>1</v>
      </c>
      <c r="X276">
        <v>1</v>
      </c>
      <c r="AE276" t="s">
        <v>84</v>
      </c>
      <c r="AG276" t="s">
        <v>84</v>
      </c>
      <c r="AH276" t="s">
        <v>84</v>
      </c>
      <c r="AJ276" t="s">
        <v>84</v>
      </c>
      <c r="AK276" t="s">
        <v>84</v>
      </c>
      <c r="AQ276" t="s">
        <v>84</v>
      </c>
      <c r="AT276" t="s">
        <v>84</v>
      </c>
      <c r="AU276" t="s">
        <v>84</v>
      </c>
      <c r="AV276" t="s">
        <v>84</v>
      </c>
      <c r="AX276" t="s">
        <v>84</v>
      </c>
      <c r="BA276" t="s">
        <v>84</v>
      </c>
      <c r="BB276" t="s">
        <v>84</v>
      </c>
      <c r="BG276" t="s">
        <v>84</v>
      </c>
      <c r="BJ276" t="s">
        <v>84</v>
      </c>
      <c r="BK276" t="s">
        <v>84</v>
      </c>
      <c r="BM276" t="s">
        <v>84</v>
      </c>
      <c r="BS276" t="s">
        <v>84</v>
      </c>
      <c r="BT276" t="s">
        <v>84</v>
      </c>
      <c r="BU276">
        <v>0</v>
      </c>
      <c r="BV276">
        <v>0</v>
      </c>
      <c r="BW276">
        <v>30325</v>
      </c>
    </row>
    <row r="277" spans="1:75" x14ac:dyDescent="0.25">
      <c r="A277">
        <v>344</v>
      </c>
      <c r="B277" s="1">
        <v>45128.873611111114</v>
      </c>
      <c r="C277" t="s">
        <v>533</v>
      </c>
      <c r="D277" t="s">
        <v>506</v>
      </c>
      <c r="E277" t="s">
        <v>74</v>
      </c>
      <c r="F277">
        <v>0</v>
      </c>
      <c r="G277" t="s">
        <v>507</v>
      </c>
      <c r="H277" t="s">
        <v>508</v>
      </c>
      <c r="I277" t="s">
        <v>338</v>
      </c>
      <c r="J277" t="s">
        <v>509</v>
      </c>
      <c r="K277" t="s">
        <v>84</v>
      </c>
      <c r="L277" t="s">
        <v>87</v>
      </c>
      <c r="M277" t="s">
        <v>533</v>
      </c>
      <c r="N277" t="s">
        <v>534</v>
      </c>
      <c r="O277" t="s">
        <v>82</v>
      </c>
      <c r="P277">
        <v>144247.3083</v>
      </c>
      <c r="Q277" t="s">
        <v>83</v>
      </c>
      <c r="AE277" t="s">
        <v>84</v>
      </c>
      <c r="AG277" t="s">
        <v>84</v>
      </c>
      <c r="AH277" t="s">
        <v>84</v>
      </c>
      <c r="AJ277" t="s">
        <v>84</v>
      </c>
      <c r="AK277" t="s">
        <v>84</v>
      </c>
      <c r="AQ277" t="s">
        <v>84</v>
      </c>
      <c r="AT277" t="s">
        <v>84</v>
      </c>
      <c r="AU277" t="s">
        <v>84</v>
      </c>
      <c r="AV277" t="s">
        <v>84</v>
      </c>
      <c r="AX277" t="s">
        <v>84</v>
      </c>
      <c r="BA277" t="s">
        <v>84</v>
      </c>
      <c r="BB277" t="s">
        <v>84</v>
      </c>
      <c r="BG277" t="s">
        <v>84</v>
      </c>
      <c r="BJ277" t="s">
        <v>84</v>
      </c>
      <c r="BK277" t="s">
        <v>84</v>
      </c>
      <c r="BM277" t="s">
        <v>84</v>
      </c>
      <c r="BS277" t="s">
        <v>84</v>
      </c>
      <c r="BT277" t="s">
        <v>84</v>
      </c>
      <c r="BU277">
        <v>0</v>
      </c>
      <c r="BV277">
        <v>0</v>
      </c>
      <c r="BW277">
        <v>138920.25</v>
      </c>
    </row>
    <row r="278" spans="1:75" x14ac:dyDescent="0.25">
      <c r="A278">
        <v>344</v>
      </c>
      <c r="B278" s="1">
        <v>45128.873611111114</v>
      </c>
      <c r="C278" t="s">
        <v>533</v>
      </c>
      <c r="D278" t="s">
        <v>506</v>
      </c>
      <c r="E278" t="s">
        <v>74</v>
      </c>
      <c r="F278">
        <v>1</v>
      </c>
      <c r="G278" t="s">
        <v>507</v>
      </c>
      <c r="H278" t="s">
        <v>508</v>
      </c>
      <c r="I278" t="s">
        <v>338</v>
      </c>
      <c r="J278" t="s">
        <v>509</v>
      </c>
      <c r="K278" t="s">
        <v>413</v>
      </c>
      <c r="L278" t="s">
        <v>87</v>
      </c>
      <c r="M278" t="s">
        <v>535</v>
      </c>
      <c r="N278" t="s">
        <v>536</v>
      </c>
      <c r="O278" t="s">
        <v>82</v>
      </c>
      <c r="P278">
        <v>161621.25</v>
      </c>
      <c r="Q278" t="s">
        <v>83</v>
      </c>
      <c r="R278">
        <v>138920.25</v>
      </c>
      <c r="AE278" t="s">
        <v>84</v>
      </c>
      <c r="AG278" t="s">
        <v>84</v>
      </c>
      <c r="AH278" t="s">
        <v>84</v>
      </c>
      <c r="AJ278" t="s">
        <v>84</v>
      </c>
      <c r="AK278" t="s">
        <v>84</v>
      </c>
      <c r="AL278">
        <v>53150</v>
      </c>
      <c r="AM278">
        <v>27900</v>
      </c>
      <c r="AN278">
        <v>22600</v>
      </c>
      <c r="AO278">
        <v>14250</v>
      </c>
      <c r="AQ278" t="s">
        <v>84</v>
      </c>
      <c r="AT278" t="s">
        <v>84</v>
      </c>
      <c r="AU278" t="s">
        <v>84</v>
      </c>
      <c r="AV278" t="s">
        <v>84</v>
      </c>
      <c r="AX278" t="s">
        <v>84</v>
      </c>
      <c r="BA278" t="s">
        <v>84</v>
      </c>
      <c r="BB278" t="s">
        <v>84</v>
      </c>
      <c r="BG278" t="s">
        <v>84</v>
      </c>
      <c r="BJ278" t="s">
        <v>84</v>
      </c>
      <c r="BK278" t="s">
        <v>84</v>
      </c>
      <c r="BM278" t="s">
        <v>84</v>
      </c>
      <c r="BS278" t="s">
        <v>84</v>
      </c>
      <c r="BT278" t="s">
        <v>84</v>
      </c>
      <c r="BU278">
        <v>0</v>
      </c>
      <c r="BV278">
        <v>0</v>
      </c>
      <c r="BW278">
        <v>138920.25</v>
      </c>
    </row>
    <row r="279" spans="1:75" x14ac:dyDescent="0.25">
      <c r="A279">
        <v>344</v>
      </c>
      <c r="B279" s="1">
        <v>45128.873611111114</v>
      </c>
      <c r="C279" t="s">
        <v>533</v>
      </c>
      <c r="D279" t="s">
        <v>506</v>
      </c>
      <c r="E279" t="s">
        <v>74</v>
      </c>
      <c r="F279">
        <v>0</v>
      </c>
      <c r="G279" t="s">
        <v>507</v>
      </c>
      <c r="H279" t="s">
        <v>508</v>
      </c>
      <c r="I279" t="s">
        <v>338</v>
      </c>
      <c r="J279" t="s">
        <v>509</v>
      </c>
      <c r="K279" t="s">
        <v>84</v>
      </c>
      <c r="L279" t="s">
        <v>87</v>
      </c>
      <c r="M279" t="s">
        <v>533</v>
      </c>
      <c r="N279" t="s">
        <v>537</v>
      </c>
      <c r="O279" t="s">
        <v>82</v>
      </c>
      <c r="P279">
        <v>110892.1917</v>
      </c>
      <c r="Q279" t="s">
        <v>83</v>
      </c>
      <c r="AE279" t="s">
        <v>84</v>
      </c>
      <c r="AG279" t="s">
        <v>84</v>
      </c>
      <c r="AH279" t="s">
        <v>84</v>
      </c>
      <c r="AJ279" t="s">
        <v>84</v>
      </c>
      <c r="AK279" t="s">
        <v>84</v>
      </c>
      <c r="AQ279" t="s">
        <v>84</v>
      </c>
      <c r="AT279" t="s">
        <v>84</v>
      </c>
      <c r="AU279" t="s">
        <v>84</v>
      </c>
      <c r="AV279" t="s">
        <v>84</v>
      </c>
      <c r="AX279" t="s">
        <v>84</v>
      </c>
      <c r="BA279" t="s">
        <v>84</v>
      </c>
      <c r="BB279" t="s">
        <v>84</v>
      </c>
      <c r="BG279" t="s">
        <v>84</v>
      </c>
      <c r="BJ279" t="s">
        <v>84</v>
      </c>
      <c r="BK279" t="s">
        <v>84</v>
      </c>
      <c r="BM279" t="s">
        <v>84</v>
      </c>
      <c r="BS279" t="s">
        <v>84</v>
      </c>
      <c r="BT279" t="s">
        <v>84</v>
      </c>
      <c r="BU279">
        <v>0</v>
      </c>
      <c r="BV279">
        <v>0</v>
      </c>
      <c r="BW279">
        <v>138920.25</v>
      </c>
    </row>
    <row r="280" spans="1:75" x14ac:dyDescent="0.25">
      <c r="A280">
        <v>345</v>
      </c>
      <c r="B280" s="1">
        <v>45128.874305555553</v>
      </c>
      <c r="C280" t="s">
        <v>538</v>
      </c>
      <c r="D280" t="s">
        <v>506</v>
      </c>
      <c r="E280" t="s">
        <v>178</v>
      </c>
      <c r="F280">
        <v>0</v>
      </c>
      <c r="G280" t="s">
        <v>507</v>
      </c>
      <c r="H280" t="s">
        <v>539</v>
      </c>
      <c r="I280" t="s">
        <v>338</v>
      </c>
      <c r="J280" t="s">
        <v>509</v>
      </c>
      <c r="K280" t="s">
        <v>84</v>
      </c>
      <c r="L280" t="s">
        <v>92</v>
      </c>
      <c r="M280" t="s">
        <v>540</v>
      </c>
      <c r="N280" t="s">
        <v>541</v>
      </c>
      <c r="O280" t="s">
        <v>82</v>
      </c>
      <c r="P280">
        <v>13050</v>
      </c>
      <c r="Q280" t="s">
        <v>83</v>
      </c>
      <c r="AE280" t="s">
        <v>84</v>
      </c>
      <c r="AG280" t="s">
        <v>84</v>
      </c>
      <c r="AH280" t="s">
        <v>84</v>
      </c>
      <c r="AJ280" t="s">
        <v>84</v>
      </c>
      <c r="AK280" t="s">
        <v>84</v>
      </c>
      <c r="AQ280" t="s">
        <v>84</v>
      </c>
      <c r="AT280" t="s">
        <v>84</v>
      </c>
      <c r="AU280" t="s">
        <v>84</v>
      </c>
      <c r="AV280" t="s">
        <v>84</v>
      </c>
      <c r="AX280" t="s">
        <v>84</v>
      </c>
      <c r="BA280" t="s">
        <v>84</v>
      </c>
      <c r="BB280" t="s">
        <v>84</v>
      </c>
      <c r="BG280" t="s">
        <v>84</v>
      </c>
      <c r="BJ280" t="s">
        <v>84</v>
      </c>
      <c r="BK280" t="s">
        <v>84</v>
      </c>
      <c r="BM280" t="s">
        <v>84</v>
      </c>
      <c r="BS280" t="s">
        <v>84</v>
      </c>
      <c r="BT280" t="s">
        <v>84</v>
      </c>
      <c r="BU280">
        <v>0</v>
      </c>
      <c r="BV280">
        <v>0</v>
      </c>
      <c r="BW280">
        <v>28613.333333333336</v>
      </c>
    </row>
    <row r="281" spans="1:75" x14ac:dyDescent="0.25">
      <c r="A281">
        <v>345</v>
      </c>
      <c r="B281" s="1">
        <v>45128.874305555553</v>
      </c>
      <c r="C281" t="s">
        <v>538</v>
      </c>
      <c r="D281" t="s">
        <v>506</v>
      </c>
      <c r="E281" t="s">
        <v>178</v>
      </c>
      <c r="F281">
        <v>1</v>
      </c>
      <c r="G281" t="s">
        <v>507</v>
      </c>
      <c r="H281" t="s">
        <v>539</v>
      </c>
      <c r="I281" t="s">
        <v>338</v>
      </c>
      <c r="J281" t="s">
        <v>509</v>
      </c>
      <c r="K281" t="s">
        <v>264</v>
      </c>
      <c r="L281" t="s">
        <v>92</v>
      </c>
      <c r="M281" t="s">
        <v>542</v>
      </c>
      <c r="N281" t="s">
        <v>543</v>
      </c>
      <c r="O281" t="s">
        <v>82</v>
      </c>
      <c r="P281">
        <v>27240</v>
      </c>
      <c r="Q281" t="s">
        <v>83</v>
      </c>
      <c r="R281">
        <v>28613.333330000001</v>
      </c>
      <c r="AB281">
        <v>27240</v>
      </c>
      <c r="AE281" t="s">
        <v>84</v>
      </c>
      <c r="AG281" t="s">
        <v>84</v>
      </c>
      <c r="AH281" t="s">
        <v>84</v>
      </c>
      <c r="AJ281" t="s">
        <v>84</v>
      </c>
      <c r="AK281" t="s">
        <v>84</v>
      </c>
      <c r="AQ281" t="s">
        <v>84</v>
      </c>
      <c r="AT281" t="s">
        <v>84</v>
      </c>
      <c r="AU281" t="s">
        <v>84</v>
      </c>
      <c r="AV281" t="s">
        <v>84</v>
      </c>
      <c r="AX281" t="s">
        <v>84</v>
      </c>
      <c r="BA281" t="s">
        <v>84</v>
      </c>
      <c r="BB281" t="s">
        <v>84</v>
      </c>
      <c r="BG281" t="s">
        <v>84</v>
      </c>
      <c r="BJ281" t="s">
        <v>84</v>
      </c>
      <c r="BK281" t="s">
        <v>84</v>
      </c>
      <c r="BM281" t="s">
        <v>84</v>
      </c>
      <c r="BS281" t="s">
        <v>84</v>
      </c>
      <c r="BT281" t="s">
        <v>84</v>
      </c>
      <c r="BU281">
        <v>0</v>
      </c>
      <c r="BV281">
        <v>0</v>
      </c>
      <c r="BW281">
        <v>28613.333333333336</v>
      </c>
    </row>
    <row r="282" spans="1:75" x14ac:dyDescent="0.25">
      <c r="A282">
        <v>345</v>
      </c>
      <c r="B282" s="1">
        <v>45128.874305555553</v>
      </c>
      <c r="C282" t="s">
        <v>538</v>
      </c>
      <c r="D282" t="s">
        <v>506</v>
      </c>
      <c r="E282" t="s">
        <v>178</v>
      </c>
      <c r="F282">
        <v>0</v>
      </c>
      <c r="G282" t="s">
        <v>507</v>
      </c>
      <c r="H282" t="s">
        <v>539</v>
      </c>
      <c r="I282" t="s">
        <v>338</v>
      </c>
      <c r="J282" t="s">
        <v>509</v>
      </c>
      <c r="K282" t="s">
        <v>84</v>
      </c>
      <c r="L282" t="s">
        <v>92</v>
      </c>
      <c r="M282" t="s">
        <v>544</v>
      </c>
      <c r="N282" t="s">
        <v>181</v>
      </c>
      <c r="O282" t="s">
        <v>82</v>
      </c>
      <c r="P282">
        <v>45550</v>
      </c>
      <c r="Q282" t="s">
        <v>83</v>
      </c>
      <c r="W282">
        <v>1</v>
      </c>
      <c r="AE282" t="s">
        <v>84</v>
      </c>
      <c r="AG282" t="s">
        <v>84</v>
      </c>
      <c r="AH282" t="s">
        <v>84</v>
      </c>
      <c r="AJ282" t="s">
        <v>84</v>
      </c>
      <c r="AK282" t="s">
        <v>84</v>
      </c>
      <c r="AQ282" t="s">
        <v>84</v>
      </c>
      <c r="AT282" t="s">
        <v>84</v>
      </c>
      <c r="AU282" t="s">
        <v>84</v>
      </c>
      <c r="AV282" t="s">
        <v>84</v>
      </c>
      <c r="AX282" t="s">
        <v>84</v>
      </c>
      <c r="BA282" t="s">
        <v>84</v>
      </c>
      <c r="BB282" t="s">
        <v>84</v>
      </c>
      <c r="BG282" t="s">
        <v>84</v>
      </c>
      <c r="BJ282" t="s">
        <v>84</v>
      </c>
      <c r="BK282" t="s">
        <v>84</v>
      </c>
      <c r="BM282" t="s">
        <v>84</v>
      </c>
      <c r="BS282" t="s">
        <v>84</v>
      </c>
      <c r="BT282" t="s">
        <v>84</v>
      </c>
      <c r="BU282">
        <v>0</v>
      </c>
      <c r="BV282">
        <v>0</v>
      </c>
      <c r="BW282">
        <v>28613.333333333336</v>
      </c>
    </row>
    <row r="283" spans="1:75" x14ac:dyDescent="0.25">
      <c r="A283">
        <v>345</v>
      </c>
      <c r="B283" s="1">
        <v>45128.874305555553</v>
      </c>
      <c r="C283" t="s">
        <v>538</v>
      </c>
      <c r="D283" t="s">
        <v>506</v>
      </c>
      <c r="E283" t="s">
        <v>178</v>
      </c>
      <c r="F283">
        <v>1</v>
      </c>
      <c r="G283" t="s">
        <v>507</v>
      </c>
      <c r="H283" t="s">
        <v>539</v>
      </c>
      <c r="I283" t="s">
        <v>338</v>
      </c>
      <c r="J283" t="s">
        <v>509</v>
      </c>
      <c r="K283" t="s">
        <v>289</v>
      </c>
      <c r="L283" t="s">
        <v>98</v>
      </c>
      <c r="M283" t="s">
        <v>545</v>
      </c>
      <c r="N283" t="s">
        <v>546</v>
      </c>
      <c r="O283" t="s">
        <v>82</v>
      </c>
      <c r="P283">
        <v>14200</v>
      </c>
      <c r="Q283" t="s">
        <v>83</v>
      </c>
      <c r="R283">
        <v>23825</v>
      </c>
      <c r="U283">
        <v>1</v>
      </c>
      <c r="V283">
        <v>1</v>
      </c>
      <c r="AE283" t="s">
        <v>84</v>
      </c>
      <c r="AG283" t="s">
        <v>84</v>
      </c>
      <c r="AH283" t="s">
        <v>84</v>
      </c>
      <c r="AJ283" t="s">
        <v>84</v>
      </c>
      <c r="AK283" t="s">
        <v>84</v>
      </c>
      <c r="AQ283" t="s">
        <v>84</v>
      </c>
      <c r="AS283">
        <v>14200</v>
      </c>
      <c r="AT283" t="s">
        <v>84</v>
      </c>
      <c r="AU283" t="s">
        <v>84</v>
      </c>
      <c r="AV283" t="s">
        <v>84</v>
      </c>
      <c r="AX283" t="s">
        <v>84</v>
      </c>
      <c r="BA283" t="s">
        <v>84</v>
      </c>
      <c r="BB283" t="s">
        <v>84</v>
      </c>
      <c r="BG283" t="s">
        <v>84</v>
      </c>
      <c r="BJ283" t="s">
        <v>84</v>
      </c>
      <c r="BK283" t="s">
        <v>84</v>
      </c>
      <c r="BM283" t="s">
        <v>84</v>
      </c>
      <c r="BS283" t="s">
        <v>84</v>
      </c>
      <c r="BT283" t="s">
        <v>84</v>
      </c>
      <c r="BU283">
        <v>0</v>
      </c>
      <c r="BV283">
        <v>0</v>
      </c>
      <c r="BW283">
        <v>23825</v>
      </c>
    </row>
    <row r="284" spans="1:75" x14ac:dyDescent="0.25">
      <c r="A284">
        <v>345</v>
      </c>
      <c r="B284" s="1">
        <v>45128.874305555553</v>
      </c>
      <c r="C284" t="s">
        <v>538</v>
      </c>
      <c r="D284" t="s">
        <v>506</v>
      </c>
      <c r="E284" t="s">
        <v>178</v>
      </c>
      <c r="F284">
        <v>0</v>
      </c>
      <c r="G284" t="s">
        <v>507</v>
      </c>
      <c r="H284" t="s">
        <v>539</v>
      </c>
      <c r="I284" t="s">
        <v>338</v>
      </c>
      <c r="J284" t="s">
        <v>509</v>
      </c>
      <c r="K284" t="s">
        <v>84</v>
      </c>
      <c r="L284" t="s">
        <v>98</v>
      </c>
      <c r="M284" t="s">
        <v>547</v>
      </c>
      <c r="N284" t="s">
        <v>548</v>
      </c>
      <c r="O284" t="s">
        <v>82</v>
      </c>
      <c r="P284">
        <v>33450</v>
      </c>
      <c r="Q284" t="s">
        <v>83</v>
      </c>
      <c r="AE284" t="s">
        <v>84</v>
      </c>
      <c r="AG284" t="s">
        <v>84</v>
      </c>
      <c r="AH284" t="s">
        <v>84</v>
      </c>
      <c r="AJ284" t="s">
        <v>84</v>
      </c>
      <c r="AK284" t="s">
        <v>84</v>
      </c>
      <c r="AQ284" t="s">
        <v>84</v>
      </c>
      <c r="AT284" t="s">
        <v>84</v>
      </c>
      <c r="AU284" t="s">
        <v>84</v>
      </c>
      <c r="AV284" t="s">
        <v>84</v>
      </c>
      <c r="AX284" t="s">
        <v>84</v>
      </c>
      <c r="BA284" t="s">
        <v>84</v>
      </c>
      <c r="BB284" t="s">
        <v>84</v>
      </c>
      <c r="BG284" t="s">
        <v>84</v>
      </c>
      <c r="BJ284" t="s">
        <v>84</v>
      </c>
      <c r="BK284" t="s">
        <v>84</v>
      </c>
      <c r="BM284" t="s">
        <v>84</v>
      </c>
      <c r="BS284" t="s">
        <v>84</v>
      </c>
      <c r="BT284" t="s">
        <v>84</v>
      </c>
      <c r="BU284">
        <v>0</v>
      </c>
      <c r="BV284">
        <v>0</v>
      </c>
      <c r="BW284">
        <v>23825</v>
      </c>
    </row>
    <row r="285" spans="1:75" x14ac:dyDescent="0.25">
      <c r="A285">
        <v>345</v>
      </c>
      <c r="B285" s="1">
        <v>45128.874305555553</v>
      </c>
      <c r="C285" t="s">
        <v>538</v>
      </c>
      <c r="D285" t="s">
        <v>506</v>
      </c>
      <c r="E285" t="s">
        <v>178</v>
      </c>
      <c r="F285">
        <v>1</v>
      </c>
      <c r="G285" t="s">
        <v>507</v>
      </c>
      <c r="H285" t="s">
        <v>539</v>
      </c>
      <c r="I285" t="s">
        <v>338</v>
      </c>
      <c r="J285" t="s">
        <v>509</v>
      </c>
      <c r="K285" t="s">
        <v>495</v>
      </c>
      <c r="L285" t="s">
        <v>87</v>
      </c>
      <c r="M285" t="s">
        <v>538</v>
      </c>
      <c r="N285" t="s">
        <v>549</v>
      </c>
      <c r="O285" t="s">
        <v>82</v>
      </c>
      <c r="P285">
        <v>145993.75</v>
      </c>
      <c r="Q285" t="s">
        <v>83</v>
      </c>
      <c r="R285">
        <v>127258.5708</v>
      </c>
      <c r="U285">
        <v>1</v>
      </c>
      <c r="AE285" t="s">
        <v>84</v>
      </c>
      <c r="AG285" t="s">
        <v>84</v>
      </c>
      <c r="AH285" t="s">
        <v>84</v>
      </c>
      <c r="AJ285" t="s">
        <v>84</v>
      </c>
      <c r="AK285" t="s">
        <v>84</v>
      </c>
      <c r="AL285">
        <v>16350</v>
      </c>
      <c r="AM285">
        <v>51900</v>
      </c>
      <c r="AN285">
        <v>24950</v>
      </c>
      <c r="AO285">
        <v>13300</v>
      </c>
      <c r="AQ285" t="s">
        <v>84</v>
      </c>
      <c r="AT285" t="s">
        <v>84</v>
      </c>
      <c r="AU285" t="s">
        <v>84</v>
      </c>
      <c r="AV285" t="s">
        <v>84</v>
      </c>
      <c r="AX285" t="s">
        <v>84</v>
      </c>
      <c r="BA285" t="s">
        <v>84</v>
      </c>
      <c r="BB285" t="s">
        <v>84</v>
      </c>
      <c r="BG285" t="s">
        <v>84</v>
      </c>
      <c r="BJ285" t="s">
        <v>84</v>
      </c>
      <c r="BK285" t="s">
        <v>84</v>
      </c>
      <c r="BM285" t="s">
        <v>84</v>
      </c>
      <c r="BS285" t="s">
        <v>84</v>
      </c>
      <c r="BT285" t="s">
        <v>84</v>
      </c>
      <c r="BU285">
        <v>0</v>
      </c>
      <c r="BV285">
        <v>0</v>
      </c>
      <c r="BW285">
        <v>127258.57084999999</v>
      </c>
    </row>
    <row r="286" spans="1:75" x14ac:dyDescent="0.25">
      <c r="A286">
        <v>345</v>
      </c>
      <c r="B286" s="1">
        <v>45128.874305555553</v>
      </c>
      <c r="C286" t="s">
        <v>538</v>
      </c>
      <c r="D286" t="s">
        <v>506</v>
      </c>
      <c r="E286" t="s">
        <v>178</v>
      </c>
      <c r="F286">
        <v>0</v>
      </c>
      <c r="G286" t="s">
        <v>507</v>
      </c>
      <c r="H286" t="s">
        <v>539</v>
      </c>
      <c r="I286" t="s">
        <v>338</v>
      </c>
      <c r="J286" t="s">
        <v>509</v>
      </c>
      <c r="K286" t="s">
        <v>84</v>
      </c>
      <c r="L286" t="s">
        <v>87</v>
      </c>
      <c r="M286" t="s">
        <v>538</v>
      </c>
      <c r="N286" t="s">
        <v>550</v>
      </c>
      <c r="O286" t="s">
        <v>82</v>
      </c>
      <c r="P286">
        <v>108523.39169999999</v>
      </c>
      <c r="Q286" t="s">
        <v>83</v>
      </c>
      <c r="X286">
        <v>1</v>
      </c>
      <c r="AE286" t="s">
        <v>84</v>
      </c>
      <c r="AG286" t="s">
        <v>84</v>
      </c>
      <c r="AH286" t="s">
        <v>84</v>
      </c>
      <c r="AJ286" t="s">
        <v>84</v>
      </c>
      <c r="AK286" t="s">
        <v>84</v>
      </c>
      <c r="AQ286" t="s">
        <v>84</v>
      </c>
      <c r="AT286" t="s">
        <v>84</v>
      </c>
      <c r="AU286" t="s">
        <v>84</v>
      </c>
      <c r="AV286" t="s">
        <v>84</v>
      </c>
      <c r="AX286" t="s">
        <v>84</v>
      </c>
      <c r="BA286" t="s">
        <v>84</v>
      </c>
      <c r="BB286" t="s">
        <v>84</v>
      </c>
      <c r="BG286" t="s">
        <v>84</v>
      </c>
      <c r="BJ286" t="s">
        <v>84</v>
      </c>
      <c r="BK286" t="s">
        <v>84</v>
      </c>
      <c r="BM286" t="s">
        <v>84</v>
      </c>
      <c r="BS286" t="s">
        <v>84</v>
      </c>
      <c r="BT286" t="s">
        <v>84</v>
      </c>
      <c r="BU286">
        <v>0</v>
      </c>
      <c r="BV286">
        <v>0</v>
      </c>
      <c r="BW286">
        <v>127258.57084999999</v>
      </c>
    </row>
    <row r="287" spans="1:75" x14ac:dyDescent="0.25">
      <c r="A287">
        <v>345</v>
      </c>
      <c r="B287" s="1">
        <v>45128.874305555553</v>
      </c>
      <c r="C287" t="s">
        <v>538</v>
      </c>
      <c r="D287" t="s">
        <v>506</v>
      </c>
      <c r="E287" t="s">
        <v>178</v>
      </c>
      <c r="F287">
        <v>1</v>
      </c>
      <c r="G287" t="s">
        <v>507</v>
      </c>
      <c r="H287" t="s">
        <v>539</v>
      </c>
      <c r="I287" t="s">
        <v>338</v>
      </c>
      <c r="J287" t="s">
        <v>509</v>
      </c>
      <c r="K287" t="s">
        <v>79</v>
      </c>
      <c r="L287" t="s">
        <v>106</v>
      </c>
      <c r="M287" t="s">
        <v>538</v>
      </c>
      <c r="N287" t="s">
        <v>551</v>
      </c>
      <c r="O287" t="s">
        <v>82</v>
      </c>
      <c r="P287">
        <v>9350.5925000000007</v>
      </c>
      <c r="Q287" t="s">
        <v>83</v>
      </c>
      <c r="R287">
        <v>8098.07</v>
      </c>
      <c r="AE287" t="s">
        <v>84</v>
      </c>
      <c r="AF287">
        <v>3400</v>
      </c>
      <c r="AG287" t="s">
        <v>84</v>
      </c>
      <c r="AH287" t="s">
        <v>84</v>
      </c>
      <c r="AJ287" t="s">
        <v>84</v>
      </c>
      <c r="AK287" t="s">
        <v>84</v>
      </c>
      <c r="AQ287" t="s">
        <v>84</v>
      </c>
      <c r="AT287" t="s">
        <v>84</v>
      </c>
      <c r="AU287" t="s">
        <v>84</v>
      </c>
      <c r="AV287" t="s">
        <v>84</v>
      </c>
      <c r="AX287" t="s">
        <v>84</v>
      </c>
      <c r="BA287" t="s">
        <v>84</v>
      </c>
      <c r="BB287" t="s">
        <v>84</v>
      </c>
      <c r="BE287">
        <v>2535</v>
      </c>
      <c r="BG287" t="s">
        <v>84</v>
      </c>
      <c r="BJ287" t="s">
        <v>84</v>
      </c>
      <c r="BK287" t="s">
        <v>84</v>
      </c>
      <c r="BM287" t="s">
        <v>84</v>
      </c>
      <c r="BS287" t="s">
        <v>84</v>
      </c>
      <c r="BT287" t="s">
        <v>84</v>
      </c>
      <c r="BU287">
        <v>0</v>
      </c>
      <c r="BV287">
        <v>0</v>
      </c>
      <c r="BW287">
        <v>8098.07</v>
      </c>
    </row>
    <row r="288" spans="1:75" x14ac:dyDescent="0.25">
      <c r="A288">
        <v>345</v>
      </c>
      <c r="B288" s="1">
        <v>45128.874305555553</v>
      </c>
      <c r="C288" t="s">
        <v>538</v>
      </c>
      <c r="D288" t="s">
        <v>506</v>
      </c>
      <c r="E288" t="s">
        <v>178</v>
      </c>
      <c r="F288">
        <v>0</v>
      </c>
      <c r="G288" t="s">
        <v>507</v>
      </c>
      <c r="H288" t="s">
        <v>539</v>
      </c>
      <c r="I288" t="s">
        <v>552</v>
      </c>
      <c r="J288" t="s">
        <v>509</v>
      </c>
      <c r="K288" t="s">
        <v>84</v>
      </c>
      <c r="L288" t="s">
        <v>106</v>
      </c>
      <c r="M288" t="s">
        <v>538</v>
      </c>
      <c r="N288" t="s">
        <v>553</v>
      </c>
      <c r="O288" t="s">
        <v>82</v>
      </c>
      <c r="P288">
        <v>6845.5474999999997</v>
      </c>
      <c r="Q288" t="s">
        <v>83</v>
      </c>
      <c r="W288">
        <v>1</v>
      </c>
      <c r="AE288" t="s">
        <v>84</v>
      </c>
      <c r="AG288" t="s">
        <v>84</v>
      </c>
      <c r="AH288" t="s">
        <v>84</v>
      </c>
      <c r="AJ288" t="s">
        <v>84</v>
      </c>
      <c r="AK288" t="s">
        <v>84</v>
      </c>
      <c r="AQ288" t="s">
        <v>84</v>
      </c>
      <c r="AT288" t="s">
        <v>84</v>
      </c>
      <c r="AU288" t="s">
        <v>84</v>
      </c>
      <c r="AV288" t="s">
        <v>84</v>
      </c>
      <c r="AX288" t="s">
        <v>84</v>
      </c>
      <c r="BA288" t="s">
        <v>84</v>
      </c>
      <c r="BB288" t="s">
        <v>84</v>
      </c>
      <c r="BG288" t="s">
        <v>84</v>
      </c>
      <c r="BJ288" t="s">
        <v>84</v>
      </c>
      <c r="BK288" t="s">
        <v>84</v>
      </c>
      <c r="BM288" t="s">
        <v>84</v>
      </c>
      <c r="BS288" t="s">
        <v>84</v>
      </c>
      <c r="BT288" t="s">
        <v>84</v>
      </c>
      <c r="BU288">
        <v>0</v>
      </c>
      <c r="BV288">
        <v>0</v>
      </c>
      <c r="BW288">
        <v>8098.07</v>
      </c>
    </row>
    <row r="289" spans="1:75" x14ac:dyDescent="0.25">
      <c r="A289">
        <v>345</v>
      </c>
      <c r="B289" s="1">
        <v>45128.874305555553</v>
      </c>
      <c r="C289" t="s">
        <v>538</v>
      </c>
      <c r="D289" t="s">
        <v>506</v>
      </c>
      <c r="E289" t="s">
        <v>178</v>
      </c>
      <c r="F289">
        <v>1</v>
      </c>
      <c r="G289" t="s">
        <v>507</v>
      </c>
      <c r="H289" t="s">
        <v>539</v>
      </c>
      <c r="I289" t="s">
        <v>552</v>
      </c>
      <c r="J289" t="s">
        <v>509</v>
      </c>
      <c r="K289" t="s">
        <v>79</v>
      </c>
      <c r="L289" t="s">
        <v>80</v>
      </c>
      <c r="M289" t="s">
        <v>538</v>
      </c>
      <c r="N289" t="s">
        <v>554</v>
      </c>
      <c r="O289" t="s">
        <v>82</v>
      </c>
      <c r="P289">
        <v>895921.25</v>
      </c>
      <c r="Q289" t="s">
        <v>83</v>
      </c>
      <c r="R289">
        <v>775087.81499999994</v>
      </c>
      <c r="Z289">
        <v>19090.5</v>
      </c>
      <c r="AA289">
        <v>139400</v>
      </c>
      <c r="AE289" t="s">
        <v>84</v>
      </c>
      <c r="AG289" t="s">
        <v>84</v>
      </c>
      <c r="AH289" t="s">
        <v>84</v>
      </c>
      <c r="AI289">
        <v>195000</v>
      </c>
      <c r="AJ289" t="s">
        <v>84</v>
      </c>
      <c r="AK289" t="s">
        <v>84</v>
      </c>
      <c r="AL289">
        <v>0</v>
      </c>
      <c r="AN289">
        <v>0</v>
      </c>
      <c r="AP289">
        <v>21900</v>
      </c>
      <c r="AQ289" t="s">
        <v>84</v>
      </c>
      <c r="AR289">
        <v>2000</v>
      </c>
      <c r="AT289" t="s">
        <v>84</v>
      </c>
      <c r="AU289" t="s">
        <v>84</v>
      </c>
      <c r="AV289" t="s">
        <v>84</v>
      </c>
      <c r="AW289">
        <v>22252</v>
      </c>
      <c r="AX289" t="s">
        <v>84</v>
      </c>
      <c r="AY289">
        <v>10700</v>
      </c>
      <c r="BA289" t="s">
        <v>84</v>
      </c>
      <c r="BB289" t="s">
        <v>84</v>
      </c>
      <c r="BC289">
        <v>11050</v>
      </c>
      <c r="BD289">
        <v>154368.5</v>
      </c>
      <c r="BG289" t="s">
        <v>84</v>
      </c>
      <c r="BH289">
        <v>23000</v>
      </c>
      <c r="BI289">
        <v>94666</v>
      </c>
      <c r="BJ289" t="s">
        <v>84</v>
      </c>
      <c r="BK289" t="s">
        <v>84</v>
      </c>
      <c r="BM289" t="s">
        <v>84</v>
      </c>
      <c r="BP289">
        <v>23310</v>
      </c>
      <c r="BQ289">
        <v>0</v>
      </c>
      <c r="BR289">
        <v>0</v>
      </c>
      <c r="BS289" t="s">
        <v>84</v>
      </c>
      <c r="BT289" t="s">
        <v>84</v>
      </c>
      <c r="BU289">
        <v>0</v>
      </c>
      <c r="BV289">
        <v>0</v>
      </c>
      <c r="BW289">
        <v>775087.81499999994</v>
      </c>
    </row>
    <row r="290" spans="1:75" x14ac:dyDescent="0.25">
      <c r="A290">
        <v>345</v>
      </c>
      <c r="B290" s="1">
        <v>45128.874305555553</v>
      </c>
      <c r="C290" t="s">
        <v>538</v>
      </c>
      <c r="D290" t="s">
        <v>506</v>
      </c>
      <c r="E290" t="s">
        <v>178</v>
      </c>
      <c r="F290">
        <v>0</v>
      </c>
      <c r="G290" t="s">
        <v>507</v>
      </c>
      <c r="H290" t="s">
        <v>539</v>
      </c>
      <c r="I290" t="s">
        <v>552</v>
      </c>
      <c r="J290" t="s">
        <v>509</v>
      </c>
      <c r="K290" t="s">
        <v>84</v>
      </c>
      <c r="L290" t="s">
        <v>80</v>
      </c>
      <c r="M290" t="s">
        <v>538</v>
      </c>
      <c r="N290" t="s">
        <v>555</v>
      </c>
      <c r="O290" t="s">
        <v>82</v>
      </c>
      <c r="P290">
        <v>654254.38</v>
      </c>
      <c r="Q290" t="s">
        <v>83</v>
      </c>
      <c r="W290">
        <v>1</v>
      </c>
      <c r="AE290" t="s">
        <v>84</v>
      </c>
      <c r="AG290" t="s">
        <v>84</v>
      </c>
      <c r="AH290" t="s">
        <v>84</v>
      </c>
      <c r="AJ290" t="s">
        <v>84</v>
      </c>
      <c r="AK290" t="s">
        <v>84</v>
      </c>
      <c r="AQ290" t="s">
        <v>84</v>
      </c>
      <c r="AT290" t="s">
        <v>84</v>
      </c>
      <c r="AU290" t="s">
        <v>84</v>
      </c>
      <c r="AV290" t="s">
        <v>84</v>
      </c>
      <c r="AX290" t="s">
        <v>84</v>
      </c>
      <c r="BA290" t="s">
        <v>84</v>
      </c>
      <c r="BB290" t="s">
        <v>84</v>
      </c>
      <c r="BG290" t="s">
        <v>84</v>
      </c>
      <c r="BJ290" t="s">
        <v>84</v>
      </c>
      <c r="BK290" t="s">
        <v>84</v>
      </c>
      <c r="BM290" t="s">
        <v>84</v>
      </c>
      <c r="BS290" t="s">
        <v>84</v>
      </c>
      <c r="BT290" t="s">
        <v>84</v>
      </c>
      <c r="BU290">
        <v>0</v>
      </c>
      <c r="BV290">
        <v>0</v>
      </c>
      <c r="BW290">
        <v>775087.81499999994</v>
      </c>
    </row>
    <row r="291" spans="1:75" x14ac:dyDescent="0.25">
      <c r="A291">
        <v>347</v>
      </c>
      <c r="B291" s="1">
        <v>45128.87777777778</v>
      </c>
      <c r="C291" t="s">
        <v>556</v>
      </c>
      <c r="D291" t="s">
        <v>506</v>
      </c>
      <c r="E291" t="s">
        <v>74</v>
      </c>
      <c r="F291">
        <v>0</v>
      </c>
      <c r="G291" t="s">
        <v>557</v>
      </c>
      <c r="H291" t="s">
        <v>558</v>
      </c>
      <c r="I291" t="s">
        <v>552</v>
      </c>
      <c r="J291" t="s">
        <v>559</v>
      </c>
      <c r="K291" t="s">
        <v>84</v>
      </c>
      <c r="L291" t="s">
        <v>92</v>
      </c>
      <c r="M291" t="s">
        <v>560</v>
      </c>
      <c r="N291" t="s">
        <v>543</v>
      </c>
      <c r="O291" t="s">
        <v>82</v>
      </c>
      <c r="P291">
        <v>34420</v>
      </c>
      <c r="Q291" t="s">
        <v>83</v>
      </c>
      <c r="U291">
        <v>1</v>
      </c>
      <c r="AE291" t="s">
        <v>84</v>
      </c>
      <c r="AG291" t="s">
        <v>84</v>
      </c>
      <c r="AH291" t="s">
        <v>84</v>
      </c>
      <c r="AJ291" t="s">
        <v>84</v>
      </c>
      <c r="AK291" t="s">
        <v>84</v>
      </c>
      <c r="AQ291" t="s">
        <v>84</v>
      </c>
      <c r="AT291" t="s">
        <v>84</v>
      </c>
      <c r="AU291" t="s">
        <v>84</v>
      </c>
      <c r="AV291" t="s">
        <v>84</v>
      </c>
      <c r="AX291" t="s">
        <v>84</v>
      </c>
      <c r="BA291" t="s">
        <v>84</v>
      </c>
      <c r="BB291" t="s">
        <v>84</v>
      </c>
      <c r="BG291" t="s">
        <v>84</v>
      </c>
      <c r="BJ291" t="s">
        <v>84</v>
      </c>
      <c r="BK291" t="s">
        <v>84</v>
      </c>
      <c r="BM291" t="s">
        <v>84</v>
      </c>
      <c r="BS291" t="s">
        <v>84</v>
      </c>
      <c r="BT291" t="s">
        <v>84</v>
      </c>
      <c r="BU291">
        <v>0</v>
      </c>
      <c r="BV291">
        <v>0</v>
      </c>
      <c r="BW291">
        <v>32550</v>
      </c>
    </row>
    <row r="292" spans="1:75" x14ac:dyDescent="0.25">
      <c r="A292">
        <v>347</v>
      </c>
      <c r="B292" s="1">
        <v>45128.87777777778</v>
      </c>
      <c r="C292" t="s">
        <v>556</v>
      </c>
      <c r="D292" t="s">
        <v>506</v>
      </c>
      <c r="E292" t="s">
        <v>74</v>
      </c>
      <c r="F292">
        <v>0</v>
      </c>
      <c r="G292" t="s">
        <v>557</v>
      </c>
      <c r="H292" t="s">
        <v>558</v>
      </c>
      <c r="I292" t="s">
        <v>552</v>
      </c>
      <c r="J292" t="s">
        <v>559</v>
      </c>
      <c r="K292" t="s">
        <v>84</v>
      </c>
      <c r="L292" t="s">
        <v>92</v>
      </c>
      <c r="M292" t="s">
        <v>561</v>
      </c>
      <c r="N292" t="s">
        <v>562</v>
      </c>
      <c r="O292" t="s">
        <v>82</v>
      </c>
      <c r="P292">
        <v>34780</v>
      </c>
      <c r="Q292" t="s">
        <v>83</v>
      </c>
      <c r="T292">
        <v>1</v>
      </c>
      <c r="V292">
        <v>1</v>
      </c>
      <c r="AE292" t="s">
        <v>84</v>
      </c>
      <c r="AG292" t="s">
        <v>84</v>
      </c>
      <c r="AH292" t="s">
        <v>84</v>
      </c>
      <c r="AJ292" t="s">
        <v>84</v>
      </c>
      <c r="AK292" t="s">
        <v>84</v>
      </c>
      <c r="AQ292" t="s">
        <v>84</v>
      </c>
      <c r="AT292" t="s">
        <v>84</v>
      </c>
      <c r="AU292" t="s">
        <v>84</v>
      </c>
      <c r="AV292" t="s">
        <v>84</v>
      </c>
      <c r="AX292" t="s">
        <v>84</v>
      </c>
      <c r="BA292" t="s">
        <v>84</v>
      </c>
      <c r="BB292" t="s">
        <v>84</v>
      </c>
      <c r="BG292" t="s">
        <v>84</v>
      </c>
      <c r="BJ292" t="s">
        <v>84</v>
      </c>
      <c r="BK292" t="s">
        <v>84</v>
      </c>
      <c r="BM292" t="s">
        <v>84</v>
      </c>
      <c r="BS292" t="s">
        <v>84</v>
      </c>
      <c r="BT292" t="s">
        <v>84</v>
      </c>
      <c r="BU292">
        <v>0</v>
      </c>
      <c r="BV292">
        <v>0</v>
      </c>
      <c r="BW292">
        <v>32550</v>
      </c>
    </row>
    <row r="293" spans="1:75" x14ac:dyDescent="0.25">
      <c r="A293">
        <v>347</v>
      </c>
      <c r="B293" s="1">
        <v>45128.87777777778</v>
      </c>
      <c r="C293" t="s">
        <v>556</v>
      </c>
      <c r="D293" t="s">
        <v>506</v>
      </c>
      <c r="E293" t="s">
        <v>74</v>
      </c>
      <c r="F293">
        <v>1</v>
      </c>
      <c r="G293" t="s">
        <v>557</v>
      </c>
      <c r="H293" t="s">
        <v>558</v>
      </c>
      <c r="I293" t="s">
        <v>552</v>
      </c>
      <c r="J293" t="s">
        <v>559</v>
      </c>
      <c r="K293" t="s">
        <v>301</v>
      </c>
      <c r="L293" t="s">
        <v>92</v>
      </c>
      <c r="M293" t="s">
        <v>563</v>
      </c>
      <c r="N293" t="s">
        <v>303</v>
      </c>
      <c r="O293" t="s">
        <v>82</v>
      </c>
      <c r="P293">
        <v>28450</v>
      </c>
      <c r="Q293" t="s">
        <v>83</v>
      </c>
      <c r="R293">
        <v>32550</v>
      </c>
      <c r="W293">
        <v>1</v>
      </c>
      <c r="AB293">
        <v>28450</v>
      </c>
      <c r="AE293" t="s">
        <v>84</v>
      </c>
      <c r="AG293" t="s">
        <v>84</v>
      </c>
      <c r="AH293" t="s">
        <v>84</v>
      </c>
      <c r="AJ293" t="s">
        <v>84</v>
      </c>
      <c r="AK293" t="s">
        <v>84</v>
      </c>
      <c r="AQ293" t="s">
        <v>84</v>
      </c>
      <c r="AT293" t="s">
        <v>84</v>
      </c>
      <c r="AU293" t="s">
        <v>84</v>
      </c>
      <c r="AV293" t="s">
        <v>84</v>
      </c>
      <c r="AX293" t="s">
        <v>84</v>
      </c>
      <c r="BA293" t="s">
        <v>84</v>
      </c>
      <c r="BB293" t="s">
        <v>84</v>
      </c>
      <c r="BG293" t="s">
        <v>84</v>
      </c>
      <c r="BJ293" t="s">
        <v>84</v>
      </c>
      <c r="BK293" t="s">
        <v>84</v>
      </c>
      <c r="BM293" t="s">
        <v>84</v>
      </c>
      <c r="BS293" t="s">
        <v>84</v>
      </c>
      <c r="BT293" t="s">
        <v>84</v>
      </c>
      <c r="BU293">
        <v>0</v>
      </c>
      <c r="BV293">
        <v>0</v>
      </c>
      <c r="BW293">
        <v>32550</v>
      </c>
    </row>
    <row r="294" spans="1:75" x14ac:dyDescent="0.25">
      <c r="A294">
        <v>347</v>
      </c>
      <c r="B294" s="1">
        <v>45128.87777777778</v>
      </c>
      <c r="C294" t="s">
        <v>556</v>
      </c>
      <c r="D294" t="s">
        <v>506</v>
      </c>
      <c r="E294" t="s">
        <v>74</v>
      </c>
      <c r="F294">
        <v>0</v>
      </c>
      <c r="G294" t="s">
        <v>557</v>
      </c>
      <c r="H294" t="s">
        <v>558</v>
      </c>
      <c r="I294" t="s">
        <v>552</v>
      </c>
      <c r="J294" t="s">
        <v>559</v>
      </c>
      <c r="K294" t="s">
        <v>84</v>
      </c>
      <c r="L294" t="s">
        <v>185</v>
      </c>
      <c r="M294" t="s">
        <v>556</v>
      </c>
      <c r="N294" t="s">
        <v>564</v>
      </c>
      <c r="O294" t="s">
        <v>82</v>
      </c>
      <c r="P294">
        <v>15439.9</v>
      </c>
      <c r="Q294" t="s">
        <v>83</v>
      </c>
      <c r="AE294" t="s">
        <v>84</v>
      </c>
      <c r="AG294" t="s">
        <v>84</v>
      </c>
      <c r="AH294" t="s">
        <v>84</v>
      </c>
      <c r="AJ294" t="s">
        <v>84</v>
      </c>
      <c r="AK294" t="s">
        <v>84</v>
      </c>
      <c r="AQ294" t="s">
        <v>84</v>
      </c>
      <c r="AT294" t="s">
        <v>84</v>
      </c>
      <c r="AU294" t="s">
        <v>84</v>
      </c>
      <c r="AV294" t="s">
        <v>84</v>
      </c>
      <c r="AX294" t="s">
        <v>84</v>
      </c>
      <c r="BA294" t="s">
        <v>84</v>
      </c>
      <c r="BB294" t="s">
        <v>84</v>
      </c>
      <c r="BG294" t="s">
        <v>84</v>
      </c>
      <c r="BJ294" t="s">
        <v>84</v>
      </c>
      <c r="BK294" t="s">
        <v>84</v>
      </c>
      <c r="BM294" t="s">
        <v>84</v>
      </c>
      <c r="BS294" t="s">
        <v>84</v>
      </c>
      <c r="BT294" t="s">
        <v>84</v>
      </c>
      <c r="BU294">
        <v>0</v>
      </c>
      <c r="BV294">
        <v>0</v>
      </c>
      <c r="BW294">
        <v>16175.133333333333</v>
      </c>
    </row>
    <row r="295" spans="1:75" x14ac:dyDescent="0.25">
      <c r="A295">
        <v>347</v>
      </c>
      <c r="B295" s="1">
        <v>45128.87777777778</v>
      </c>
      <c r="C295" t="s">
        <v>556</v>
      </c>
      <c r="D295" t="s">
        <v>506</v>
      </c>
      <c r="E295" t="s">
        <v>74</v>
      </c>
      <c r="F295">
        <v>1</v>
      </c>
      <c r="G295" t="s">
        <v>557</v>
      </c>
      <c r="H295" t="s">
        <v>558</v>
      </c>
      <c r="I295" t="s">
        <v>552</v>
      </c>
      <c r="J295" t="s">
        <v>559</v>
      </c>
      <c r="K295" t="s">
        <v>79</v>
      </c>
      <c r="L295" t="s">
        <v>185</v>
      </c>
      <c r="M295" t="s">
        <v>556</v>
      </c>
      <c r="N295" t="s">
        <v>565</v>
      </c>
      <c r="O295" t="s">
        <v>82</v>
      </c>
      <c r="P295">
        <v>13549.3</v>
      </c>
      <c r="Q295" t="s">
        <v>83</v>
      </c>
      <c r="R295">
        <v>16175.133330000001</v>
      </c>
      <c r="AC295">
        <v>8600</v>
      </c>
      <c r="AE295" t="s">
        <v>84</v>
      </c>
      <c r="AG295" t="s">
        <v>84</v>
      </c>
      <c r="AH295" t="s">
        <v>84</v>
      </c>
      <c r="AJ295" t="s">
        <v>84</v>
      </c>
      <c r="AK295" t="s">
        <v>84</v>
      </c>
      <c r="AQ295" t="s">
        <v>84</v>
      </c>
      <c r="AT295" t="s">
        <v>84</v>
      </c>
      <c r="AU295" t="s">
        <v>84</v>
      </c>
      <c r="AV295" t="s">
        <v>84</v>
      </c>
      <c r="AX295" t="s">
        <v>84</v>
      </c>
      <c r="BA295" t="s">
        <v>84</v>
      </c>
      <c r="BB295" t="s">
        <v>84</v>
      </c>
      <c r="BG295" t="s">
        <v>84</v>
      </c>
      <c r="BJ295" t="s">
        <v>84</v>
      </c>
      <c r="BK295" t="s">
        <v>84</v>
      </c>
      <c r="BM295" t="s">
        <v>84</v>
      </c>
      <c r="BS295" t="s">
        <v>84</v>
      </c>
      <c r="BT295" t="s">
        <v>84</v>
      </c>
      <c r="BU295">
        <v>0</v>
      </c>
      <c r="BV295">
        <v>0</v>
      </c>
      <c r="BW295">
        <v>16175.133333333333</v>
      </c>
    </row>
    <row r="296" spans="1:75" x14ac:dyDescent="0.25">
      <c r="A296">
        <v>347</v>
      </c>
      <c r="B296" s="1">
        <v>45128.87777777778</v>
      </c>
      <c r="C296" t="s">
        <v>556</v>
      </c>
      <c r="D296" t="s">
        <v>506</v>
      </c>
      <c r="E296" t="s">
        <v>74</v>
      </c>
      <c r="F296">
        <v>0</v>
      </c>
      <c r="G296" t="s">
        <v>557</v>
      </c>
      <c r="H296" t="s">
        <v>558</v>
      </c>
      <c r="I296" t="s">
        <v>552</v>
      </c>
      <c r="J296" t="s">
        <v>559</v>
      </c>
      <c r="K296" t="s">
        <v>84</v>
      </c>
      <c r="L296" t="s">
        <v>185</v>
      </c>
      <c r="M296" t="s">
        <v>556</v>
      </c>
      <c r="N296" t="s">
        <v>566</v>
      </c>
      <c r="O296" t="s">
        <v>82</v>
      </c>
      <c r="P296">
        <v>19536.2</v>
      </c>
      <c r="Q296" t="s">
        <v>83</v>
      </c>
      <c r="AE296" t="s">
        <v>84</v>
      </c>
      <c r="AG296" t="s">
        <v>84</v>
      </c>
      <c r="AH296" t="s">
        <v>84</v>
      </c>
      <c r="AJ296" t="s">
        <v>84</v>
      </c>
      <c r="AK296" t="s">
        <v>84</v>
      </c>
      <c r="AQ296" t="s">
        <v>84</v>
      </c>
      <c r="AT296" t="s">
        <v>84</v>
      </c>
      <c r="AU296" t="s">
        <v>84</v>
      </c>
      <c r="AV296" t="s">
        <v>84</v>
      </c>
      <c r="AX296" t="s">
        <v>84</v>
      </c>
      <c r="BA296" t="s">
        <v>84</v>
      </c>
      <c r="BB296" t="s">
        <v>84</v>
      </c>
      <c r="BG296" t="s">
        <v>84</v>
      </c>
      <c r="BJ296" t="s">
        <v>84</v>
      </c>
      <c r="BK296" t="s">
        <v>84</v>
      </c>
      <c r="BM296" t="s">
        <v>84</v>
      </c>
      <c r="BS296" t="s">
        <v>84</v>
      </c>
      <c r="BT296" t="s">
        <v>84</v>
      </c>
      <c r="BU296">
        <v>0</v>
      </c>
      <c r="BV296">
        <v>0</v>
      </c>
      <c r="BW296">
        <v>16175.133333333333</v>
      </c>
    </row>
    <row r="297" spans="1:75" x14ac:dyDescent="0.25">
      <c r="A297">
        <v>347</v>
      </c>
      <c r="B297" s="1">
        <v>45128.87777777778</v>
      </c>
      <c r="C297" t="s">
        <v>556</v>
      </c>
      <c r="D297" t="s">
        <v>506</v>
      </c>
      <c r="E297" t="s">
        <v>74</v>
      </c>
      <c r="F297">
        <v>1</v>
      </c>
      <c r="G297" t="s">
        <v>557</v>
      </c>
      <c r="H297" t="s">
        <v>558</v>
      </c>
      <c r="I297" t="s">
        <v>552</v>
      </c>
      <c r="J297" t="s">
        <v>559</v>
      </c>
      <c r="K297" t="s">
        <v>203</v>
      </c>
      <c r="L297" t="s">
        <v>98</v>
      </c>
      <c r="M297" t="s">
        <v>567</v>
      </c>
      <c r="N297" t="s">
        <v>568</v>
      </c>
      <c r="O297" t="s">
        <v>82</v>
      </c>
      <c r="P297">
        <v>34400</v>
      </c>
      <c r="Q297" t="s">
        <v>83</v>
      </c>
      <c r="R297">
        <v>30133.333330000001</v>
      </c>
      <c r="AE297" t="s">
        <v>84</v>
      </c>
      <c r="AG297" t="s">
        <v>84</v>
      </c>
      <c r="AH297" t="s">
        <v>84</v>
      </c>
      <c r="AJ297" t="s">
        <v>84</v>
      </c>
      <c r="AK297" t="s">
        <v>84</v>
      </c>
      <c r="AQ297" t="s">
        <v>84</v>
      </c>
      <c r="AS297">
        <v>34400</v>
      </c>
      <c r="AT297" t="s">
        <v>84</v>
      </c>
      <c r="AU297" t="s">
        <v>84</v>
      </c>
      <c r="AV297" t="s">
        <v>84</v>
      </c>
      <c r="AX297" t="s">
        <v>84</v>
      </c>
      <c r="BA297" t="s">
        <v>84</v>
      </c>
      <c r="BB297" t="s">
        <v>84</v>
      </c>
      <c r="BG297" t="s">
        <v>84</v>
      </c>
      <c r="BJ297" t="s">
        <v>84</v>
      </c>
      <c r="BK297" t="s">
        <v>84</v>
      </c>
      <c r="BM297" t="s">
        <v>84</v>
      </c>
      <c r="BS297" t="s">
        <v>84</v>
      </c>
      <c r="BT297" t="s">
        <v>84</v>
      </c>
      <c r="BU297">
        <v>0</v>
      </c>
      <c r="BV297">
        <v>0</v>
      </c>
      <c r="BW297">
        <v>30133.333333333332</v>
      </c>
    </row>
    <row r="298" spans="1:75" x14ac:dyDescent="0.25">
      <c r="A298">
        <v>347</v>
      </c>
      <c r="B298" s="1">
        <v>45128.87777777778</v>
      </c>
      <c r="C298" t="s">
        <v>556</v>
      </c>
      <c r="D298" t="s">
        <v>506</v>
      </c>
      <c r="E298" t="s">
        <v>74</v>
      </c>
      <c r="F298">
        <v>0</v>
      </c>
      <c r="G298" t="s">
        <v>557</v>
      </c>
      <c r="H298" t="s">
        <v>558</v>
      </c>
      <c r="I298" t="s">
        <v>552</v>
      </c>
      <c r="J298" t="s">
        <v>559</v>
      </c>
      <c r="K298" t="s">
        <v>84</v>
      </c>
      <c r="L298" t="s">
        <v>98</v>
      </c>
      <c r="M298" t="s">
        <v>569</v>
      </c>
      <c r="N298" t="s">
        <v>570</v>
      </c>
      <c r="O298" t="s">
        <v>82</v>
      </c>
      <c r="P298">
        <v>23350</v>
      </c>
      <c r="Q298" t="s">
        <v>83</v>
      </c>
      <c r="W298">
        <v>1</v>
      </c>
      <c r="AE298" t="s">
        <v>84</v>
      </c>
      <c r="AG298" t="s">
        <v>84</v>
      </c>
      <c r="AH298" t="s">
        <v>84</v>
      </c>
      <c r="AJ298" t="s">
        <v>84</v>
      </c>
      <c r="AK298" t="s">
        <v>84</v>
      </c>
      <c r="AQ298" t="s">
        <v>84</v>
      </c>
      <c r="AT298" t="s">
        <v>84</v>
      </c>
      <c r="AU298" t="s">
        <v>84</v>
      </c>
      <c r="AV298" t="s">
        <v>84</v>
      </c>
      <c r="AX298" t="s">
        <v>84</v>
      </c>
      <c r="BA298" t="s">
        <v>84</v>
      </c>
      <c r="BB298" t="s">
        <v>84</v>
      </c>
      <c r="BG298" t="s">
        <v>84</v>
      </c>
      <c r="BJ298" t="s">
        <v>84</v>
      </c>
      <c r="BK298" t="s">
        <v>84</v>
      </c>
      <c r="BM298" t="s">
        <v>84</v>
      </c>
      <c r="BS298" t="s">
        <v>84</v>
      </c>
      <c r="BT298" t="s">
        <v>84</v>
      </c>
      <c r="BU298">
        <v>0</v>
      </c>
      <c r="BV298">
        <v>0</v>
      </c>
      <c r="BW298">
        <v>30133.333333333332</v>
      </c>
    </row>
    <row r="299" spans="1:75" x14ac:dyDescent="0.25">
      <c r="A299">
        <v>347</v>
      </c>
      <c r="B299" s="1">
        <v>45128.87777777778</v>
      </c>
      <c r="C299" t="s">
        <v>556</v>
      </c>
      <c r="D299" t="s">
        <v>506</v>
      </c>
      <c r="E299" t="s">
        <v>74</v>
      </c>
      <c r="F299">
        <v>0</v>
      </c>
      <c r="G299" t="s">
        <v>557</v>
      </c>
      <c r="H299" t="s">
        <v>558</v>
      </c>
      <c r="I299" t="s">
        <v>552</v>
      </c>
      <c r="J299" t="s">
        <v>559</v>
      </c>
      <c r="K299" t="s">
        <v>84</v>
      </c>
      <c r="L299" t="s">
        <v>98</v>
      </c>
      <c r="M299" t="s">
        <v>571</v>
      </c>
      <c r="N299" t="s">
        <v>572</v>
      </c>
      <c r="O299" t="s">
        <v>82</v>
      </c>
      <c r="P299">
        <v>32650</v>
      </c>
      <c r="Q299" t="s">
        <v>83</v>
      </c>
      <c r="U299">
        <v>1</v>
      </c>
      <c r="W299">
        <v>1</v>
      </c>
      <c r="AE299" t="s">
        <v>84</v>
      </c>
      <c r="AG299" t="s">
        <v>84</v>
      </c>
      <c r="AH299" t="s">
        <v>84</v>
      </c>
      <c r="AJ299" t="s">
        <v>84</v>
      </c>
      <c r="AK299" t="s">
        <v>84</v>
      </c>
      <c r="AQ299" t="s">
        <v>84</v>
      </c>
      <c r="AT299" t="s">
        <v>84</v>
      </c>
      <c r="AU299" t="s">
        <v>84</v>
      </c>
      <c r="AV299" t="s">
        <v>84</v>
      </c>
      <c r="AX299" t="s">
        <v>84</v>
      </c>
      <c r="BA299" t="s">
        <v>84</v>
      </c>
      <c r="BB299" t="s">
        <v>84</v>
      </c>
      <c r="BG299" t="s">
        <v>84</v>
      </c>
      <c r="BJ299" t="s">
        <v>84</v>
      </c>
      <c r="BK299" t="s">
        <v>84</v>
      </c>
      <c r="BM299" t="s">
        <v>84</v>
      </c>
      <c r="BS299" t="s">
        <v>84</v>
      </c>
      <c r="BT299" t="s">
        <v>84</v>
      </c>
      <c r="BU299">
        <v>0</v>
      </c>
      <c r="BV299">
        <v>0</v>
      </c>
      <c r="BW299">
        <v>30133.333333333332</v>
      </c>
    </row>
    <row r="300" spans="1:75" x14ac:dyDescent="0.25">
      <c r="A300">
        <v>347</v>
      </c>
      <c r="B300" s="1">
        <v>45128.87777777778</v>
      </c>
      <c r="C300" t="s">
        <v>556</v>
      </c>
      <c r="D300" t="s">
        <v>506</v>
      </c>
      <c r="E300" t="s">
        <v>74</v>
      </c>
      <c r="F300">
        <v>1</v>
      </c>
      <c r="G300" t="s">
        <v>557</v>
      </c>
      <c r="H300" t="s">
        <v>558</v>
      </c>
      <c r="I300" t="s">
        <v>552</v>
      </c>
      <c r="J300" t="s">
        <v>559</v>
      </c>
      <c r="K300" t="s">
        <v>384</v>
      </c>
      <c r="L300" t="s">
        <v>87</v>
      </c>
      <c r="M300" t="s">
        <v>556</v>
      </c>
      <c r="N300" t="s">
        <v>573</v>
      </c>
      <c r="O300" t="s">
        <v>82</v>
      </c>
      <c r="P300">
        <v>76794.083329999994</v>
      </c>
      <c r="Q300" t="s">
        <v>83</v>
      </c>
      <c r="R300">
        <v>87986.9375</v>
      </c>
      <c r="V300">
        <v>1</v>
      </c>
      <c r="AE300" t="s">
        <v>84</v>
      </c>
      <c r="AG300" t="s">
        <v>84</v>
      </c>
      <c r="AH300" t="s">
        <v>84</v>
      </c>
      <c r="AJ300" t="s">
        <v>84</v>
      </c>
      <c r="AK300" t="s">
        <v>84</v>
      </c>
      <c r="AL300">
        <v>21200</v>
      </c>
      <c r="AM300">
        <v>19950</v>
      </c>
      <c r="AN300">
        <v>11900</v>
      </c>
      <c r="AO300">
        <v>2970</v>
      </c>
      <c r="AQ300" t="s">
        <v>84</v>
      </c>
      <c r="AT300" t="s">
        <v>84</v>
      </c>
      <c r="AU300" t="s">
        <v>84</v>
      </c>
      <c r="AV300" t="s">
        <v>84</v>
      </c>
      <c r="AX300" t="s">
        <v>84</v>
      </c>
      <c r="BA300" t="s">
        <v>84</v>
      </c>
      <c r="BB300" t="s">
        <v>84</v>
      </c>
      <c r="BG300" t="s">
        <v>84</v>
      </c>
      <c r="BJ300" t="s">
        <v>84</v>
      </c>
      <c r="BK300" t="s">
        <v>84</v>
      </c>
      <c r="BM300" t="s">
        <v>84</v>
      </c>
      <c r="BS300" t="s">
        <v>84</v>
      </c>
      <c r="BT300" t="s">
        <v>84</v>
      </c>
      <c r="BU300">
        <v>0</v>
      </c>
      <c r="BV300">
        <v>0</v>
      </c>
      <c r="BW300">
        <v>87986.9375</v>
      </c>
    </row>
    <row r="301" spans="1:75" x14ac:dyDescent="0.25">
      <c r="A301">
        <v>347</v>
      </c>
      <c r="B301" s="1">
        <v>45128.87777777778</v>
      </c>
      <c r="C301" t="s">
        <v>556</v>
      </c>
      <c r="D301" t="s">
        <v>506</v>
      </c>
      <c r="E301" t="s">
        <v>74</v>
      </c>
      <c r="F301">
        <v>0</v>
      </c>
      <c r="G301" t="s">
        <v>557</v>
      </c>
      <c r="H301" t="s">
        <v>558</v>
      </c>
      <c r="I301" t="s">
        <v>552</v>
      </c>
      <c r="J301" t="s">
        <v>559</v>
      </c>
      <c r="K301" t="s">
        <v>84</v>
      </c>
      <c r="L301" t="s">
        <v>87</v>
      </c>
      <c r="M301" t="s">
        <v>556</v>
      </c>
      <c r="N301" t="s">
        <v>574</v>
      </c>
      <c r="O301" t="s">
        <v>82</v>
      </c>
      <c r="P301">
        <v>99179.791670000006</v>
      </c>
      <c r="Q301" t="s">
        <v>83</v>
      </c>
      <c r="AE301" t="s">
        <v>84</v>
      </c>
      <c r="AG301" t="s">
        <v>84</v>
      </c>
      <c r="AH301" t="s">
        <v>84</v>
      </c>
      <c r="AJ301" t="s">
        <v>84</v>
      </c>
      <c r="AK301" t="s">
        <v>84</v>
      </c>
      <c r="AQ301" t="s">
        <v>84</v>
      </c>
      <c r="AT301" t="s">
        <v>84</v>
      </c>
      <c r="AU301" t="s">
        <v>84</v>
      </c>
      <c r="AV301" t="s">
        <v>84</v>
      </c>
      <c r="AX301" t="s">
        <v>84</v>
      </c>
      <c r="BA301" t="s">
        <v>84</v>
      </c>
      <c r="BB301" t="s">
        <v>84</v>
      </c>
      <c r="BG301" t="s">
        <v>84</v>
      </c>
      <c r="BJ301" t="s">
        <v>84</v>
      </c>
      <c r="BK301" t="s">
        <v>84</v>
      </c>
      <c r="BM301" t="s">
        <v>84</v>
      </c>
      <c r="BS301" t="s">
        <v>84</v>
      </c>
      <c r="BT301" t="s">
        <v>84</v>
      </c>
      <c r="BU301">
        <v>0</v>
      </c>
      <c r="BV301">
        <v>0</v>
      </c>
      <c r="BW301">
        <v>87986.9375</v>
      </c>
    </row>
    <row r="302" spans="1:75" x14ac:dyDescent="0.25">
      <c r="A302">
        <v>347</v>
      </c>
      <c r="B302" s="1">
        <v>45128.87777777778</v>
      </c>
      <c r="C302" t="s">
        <v>556</v>
      </c>
      <c r="D302" t="s">
        <v>506</v>
      </c>
      <c r="E302" t="s">
        <v>74</v>
      </c>
      <c r="F302">
        <v>0</v>
      </c>
      <c r="G302" t="s">
        <v>557</v>
      </c>
      <c r="H302" t="s">
        <v>558</v>
      </c>
      <c r="I302" t="s">
        <v>552</v>
      </c>
      <c r="J302" t="s">
        <v>559</v>
      </c>
      <c r="K302" t="s">
        <v>84</v>
      </c>
      <c r="L302" t="s">
        <v>110</v>
      </c>
      <c r="M302" t="s">
        <v>556</v>
      </c>
      <c r="N302" t="s">
        <v>575</v>
      </c>
      <c r="O302" t="s">
        <v>82</v>
      </c>
      <c r="P302">
        <v>12065</v>
      </c>
      <c r="Q302" t="s">
        <v>83</v>
      </c>
      <c r="AE302" t="s">
        <v>84</v>
      </c>
      <c r="AG302" t="s">
        <v>84</v>
      </c>
      <c r="AH302" t="s">
        <v>84</v>
      </c>
      <c r="AJ302" t="s">
        <v>84</v>
      </c>
      <c r="AK302" t="s">
        <v>84</v>
      </c>
      <c r="AQ302" t="s">
        <v>84</v>
      </c>
      <c r="AT302" t="s">
        <v>84</v>
      </c>
      <c r="AU302" t="s">
        <v>84</v>
      </c>
      <c r="AV302" t="s">
        <v>84</v>
      </c>
      <c r="AX302" t="s">
        <v>84</v>
      </c>
      <c r="BA302" t="s">
        <v>84</v>
      </c>
      <c r="BB302" t="s">
        <v>84</v>
      </c>
      <c r="BG302" t="s">
        <v>84</v>
      </c>
      <c r="BJ302" t="s">
        <v>84</v>
      </c>
      <c r="BK302" t="s">
        <v>84</v>
      </c>
      <c r="BM302" t="s">
        <v>84</v>
      </c>
      <c r="BS302" t="s">
        <v>84</v>
      </c>
      <c r="BT302" t="s">
        <v>84</v>
      </c>
      <c r="BU302">
        <v>0</v>
      </c>
      <c r="BV302">
        <v>0</v>
      </c>
      <c r="BW302">
        <v>14816.666666666666</v>
      </c>
    </row>
    <row r="303" spans="1:75" x14ac:dyDescent="0.25">
      <c r="A303">
        <v>347</v>
      </c>
      <c r="B303" s="1">
        <v>45128.87777777778</v>
      </c>
      <c r="C303" t="s">
        <v>556</v>
      </c>
      <c r="D303" t="s">
        <v>506</v>
      </c>
      <c r="E303" t="s">
        <v>74</v>
      </c>
      <c r="F303">
        <v>1</v>
      </c>
      <c r="G303" t="s">
        <v>557</v>
      </c>
      <c r="H303" t="s">
        <v>558</v>
      </c>
      <c r="I303" t="s">
        <v>552</v>
      </c>
      <c r="J303" t="s">
        <v>559</v>
      </c>
      <c r="K303" t="s">
        <v>79</v>
      </c>
      <c r="L303" t="s">
        <v>110</v>
      </c>
      <c r="M303" t="s">
        <v>556</v>
      </c>
      <c r="N303" t="s">
        <v>576</v>
      </c>
      <c r="O303" t="s">
        <v>82</v>
      </c>
      <c r="P303">
        <v>18288</v>
      </c>
      <c r="Q303" t="s">
        <v>83</v>
      </c>
      <c r="R303">
        <v>14816.666670000001</v>
      </c>
      <c r="Z303">
        <v>0</v>
      </c>
      <c r="AA303">
        <v>0</v>
      </c>
      <c r="AE303" t="s">
        <v>84</v>
      </c>
      <c r="AG303" t="s">
        <v>84</v>
      </c>
      <c r="AH303" t="s">
        <v>84</v>
      </c>
      <c r="AI303">
        <v>0</v>
      </c>
      <c r="AJ303" t="s">
        <v>84</v>
      </c>
      <c r="AK303" t="s">
        <v>84</v>
      </c>
      <c r="AL303">
        <v>0</v>
      </c>
      <c r="AN303">
        <v>0</v>
      </c>
      <c r="AP303">
        <v>0</v>
      </c>
      <c r="AQ303" t="s">
        <v>84</v>
      </c>
      <c r="AR303">
        <v>0</v>
      </c>
      <c r="AT303" t="s">
        <v>84</v>
      </c>
      <c r="AU303" t="s">
        <v>84</v>
      </c>
      <c r="AV303" t="s">
        <v>84</v>
      </c>
      <c r="AW303">
        <v>0</v>
      </c>
      <c r="AX303" t="s">
        <v>84</v>
      </c>
      <c r="AY303">
        <v>14400</v>
      </c>
      <c r="BA303" t="s">
        <v>84</v>
      </c>
      <c r="BB303" t="s">
        <v>84</v>
      </c>
      <c r="BC303">
        <v>0</v>
      </c>
      <c r="BD303">
        <v>0</v>
      </c>
      <c r="BG303" t="s">
        <v>84</v>
      </c>
      <c r="BH303">
        <v>0</v>
      </c>
      <c r="BI303">
        <v>0</v>
      </c>
      <c r="BJ303" t="s">
        <v>84</v>
      </c>
      <c r="BK303" t="s">
        <v>84</v>
      </c>
      <c r="BM303" t="s">
        <v>84</v>
      </c>
      <c r="BP303">
        <v>0</v>
      </c>
      <c r="BQ303">
        <v>0</v>
      </c>
      <c r="BR303">
        <v>0</v>
      </c>
      <c r="BS303" t="s">
        <v>84</v>
      </c>
      <c r="BT303" t="s">
        <v>84</v>
      </c>
      <c r="BU303">
        <v>0</v>
      </c>
      <c r="BV303">
        <v>0</v>
      </c>
      <c r="BW303">
        <v>14816.666666666666</v>
      </c>
    </row>
    <row r="304" spans="1:75" x14ac:dyDescent="0.25">
      <c r="A304">
        <v>347</v>
      </c>
      <c r="B304" s="1">
        <v>45128.87777777778</v>
      </c>
      <c r="C304" t="s">
        <v>556</v>
      </c>
      <c r="D304" t="s">
        <v>506</v>
      </c>
      <c r="E304" t="s">
        <v>74</v>
      </c>
      <c r="F304">
        <v>0</v>
      </c>
      <c r="G304" t="s">
        <v>557</v>
      </c>
      <c r="H304" t="s">
        <v>558</v>
      </c>
      <c r="I304" t="s">
        <v>552</v>
      </c>
      <c r="J304" t="s">
        <v>559</v>
      </c>
      <c r="K304" t="s">
        <v>84</v>
      </c>
      <c r="L304" t="s">
        <v>110</v>
      </c>
      <c r="M304" t="s">
        <v>556</v>
      </c>
      <c r="N304" t="s">
        <v>577</v>
      </c>
      <c r="O304" t="s">
        <v>82</v>
      </c>
      <c r="P304">
        <v>14097</v>
      </c>
      <c r="Q304" t="s">
        <v>83</v>
      </c>
      <c r="AE304" t="s">
        <v>84</v>
      </c>
      <c r="AG304" t="s">
        <v>84</v>
      </c>
      <c r="AH304" t="s">
        <v>84</v>
      </c>
      <c r="AJ304" t="s">
        <v>84</v>
      </c>
      <c r="AK304" t="s">
        <v>84</v>
      </c>
      <c r="AQ304" t="s">
        <v>84</v>
      </c>
      <c r="AT304" t="s">
        <v>84</v>
      </c>
      <c r="AU304" t="s">
        <v>84</v>
      </c>
      <c r="AV304" t="s">
        <v>84</v>
      </c>
      <c r="AX304" t="s">
        <v>84</v>
      </c>
      <c r="BA304" t="s">
        <v>84</v>
      </c>
      <c r="BB304" t="s">
        <v>84</v>
      </c>
      <c r="BG304" t="s">
        <v>84</v>
      </c>
      <c r="BJ304" t="s">
        <v>84</v>
      </c>
      <c r="BK304" t="s">
        <v>84</v>
      </c>
      <c r="BM304" t="s">
        <v>84</v>
      </c>
      <c r="BS304" t="s">
        <v>84</v>
      </c>
      <c r="BT304" t="s">
        <v>84</v>
      </c>
      <c r="BU304">
        <v>0</v>
      </c>
      <c r="BV304">
        <v>0</v>
      </c>
      <c r="BW304">
        <v>14816.666666666666</v>
      </c>
    </row>
    <row r="305" spans="1:75" x14ac:dyDescent="0.25">
      <c r="A305">
        <v>347</v>
      </c>
      <c r="B305" s="1">
        <v>45128.87777777778</v>
      </c>
      <c r="C305" t="s">
        <v>556</v>
      </c>
      <c r="D305" t="s">
        <v>506</v>
      </c>
      <c r="E305" t="s">
        <v>74</v>
      </c>
      <c r="F305">
        <v>0</v>
      </c>
      <c r="G305" t="s">
        <v>557</v>
      </c>
      <c r="H305" t="s">
        <v>558</v>
      </c>
      <c r="I305" t="s">
        <v>552</v>
      </c>
      <c r="J305" t="s">
        <v>559</v>
      </c>
      <c r="K305" t="s">
        <v>84</v>
      </c>
      <c r="L305" t="s">
        <v>106</v>
      </c>
      <c r="M305" t="s">
        <v>556</v>
      </c>
      <c r="N305" t="s">
        <v>578</v>
      </c>
      <c r="O305" t="s">
        <v>82</v>
      </c>
      <c r="P305">
        <v>10083.200000000001</v>
      </c>
      <c r="Q305" t="s">
        <v>83</v>
      </c>
      <c r="AE305" t="s">
        <v>84</v>
      </c>
      <c r="AG305" t="s">
        <v>84</v>
      </c>
      <c r="AH305" t="s">
        <v>84</v>
      </c>
      <c r="AJ305" t="s">
        <v>84</v>
      </c>
      <c r="AK305" t="s">
        <v>84</v>
      </c>
      <c r="AQ305" t="s">
        <v>84</v>
      </c>
      <c r="AT305" t="s">
        <v>84</v>
      </c>
      <c r="AU305" t="s">
        <v>84</v>
      </c>
      <c r="AV305" t="s">
        <v>84</v>
      </c>
      <c r="AX305" t="s">
        <v>84</v>
      </c>
      <c r="BA305" t="s">
        <v>84</v>
      </c>
      <c r="BB305" t="s">
        <v>84</v>
      </c>
      <c r="BG305" t="s">
        <v>84</v>
      </c>
      <c r="BJ305" t="s">
        <v>84</v>
      </c>
      <c r="BK305" t="s">
        <v>84</v>
      </c>
      <c r="BM305" t="s">
        <v>84</v>
      </c>
      <c r="BS305" t="s">
        <v>84</v>
      </c>
      <c r="BT305" t="s">
        <v>84</v>
      </c>
      <c r="BU305">
        <v>0</v>
      </c>
      <c r="BV305">
        <v>0</v>
      </c>
      <c r="BW305">
        <v>7780.3441666666668</v>
      </c>
    </row>
    <row r="306" spans="1:75" x14ac:dyDescent="0.25">
      <c r="A306">
        <v>347</v>
      </c>
      <c r="B306" s="1">
        <v>45128.87777777778</v>
      </c>
      <c r="C306" t="s">
        <v>556</v>
      </c>
      <c r="D306" t="s">
        <v>506</v>
      </c>
      <c r="E306" t="s">
        <v>74</v>
      </c>
      <c r="F306">
        <v>1</v>
      </c>
      <c r="G306" t="s">
        <v>557</v>
      </c>
      <c r="H306" t="s">
        <v>558</v>
      </c>
      <c r="I306" t="s">
        <v>552</v>
      </c>
      <c r="J306" t="s">
        <v>559</v>
      </c>
      <c r="K306" t="s">
        <v>79</v>
      </c>
      <c r="L306" t="s">
        <v>106</v>
      </c>
      <c r="M306" t="s">
        <v>556</v>
      </c>
      <c r="N306" t="s">
        <v>579</v>
      </c>
      <c r="O306" t="s">
        <v>82</v>
      </c>
      <c r="P306">
        <v>8736.1474999999991</v>
      </c>
      <c r="Q306" t="s">
        <v>83</v>
      </c>
      <c r="R306">
        <v>7780.3441670000002</v>
      </c>
      <c r="AE306" t="s">
        <v>84</v>
      </c>
      <c r="AF306">
        <v>4050</v>
      </c>
      <c r="AG306" t="s">
        <v>84</v>
      </c>
      <c r="AH306" t="s">
        <v>84</v>
      </c>
      <c r="AJ306" t="s">
        <v>84</v>
      </c>
      <c r="AK306" t="s">
        <v>84</v>
      </c>
      <c r="AQ306" t="s">
        <v>84</v>
      </c>
      <c r="AT306" t="s">
        <v>84</v>
      </c>
      <c r="AU306" t="s">
        <v>84</v>
      </c>
      <c r="AV306" t="s">
        <v>84</v>
      </c>
      <c r="AX306" t="s">
        <v>84</v>
      </c>
      <c r="BA306" t="s">
        <v>84</v>
      </c>
      <c r="BB306" t="s">
        <v>84</v>
      </c>
      <c r="BE306">
        <v>1495</v>
      </c>
      <c r="BG306" t="s">
        <v>84</v>
      </c>
      <c r="BJ306" t="s">
        <v>84</v>
      </c>
      <c r="BK306" t="s">
        <v>84</v>
      </c>
      <c r="BM306" t="s">
        <v>84</v>
      </c>
      <c r="BS306" t="s">
        <v>84</v>
      </c>
      <c r="BT306" t="s">
        <v>84</v>
      </c>
      <c r="BU306">
        <v>0</v>
      </c>
      <c r="BV306">
        <v>0</v>
      </c>
      <c r="BW306">
        <v>7780.3441666666668</v>
      </c>
    </row>
    <row r="307" spans="1:75" x14ac:dyDescent="0.25">
      <c r="A307">
        <v>347</v>
      </c>
      <c r="B307" s="1">
        <v>45128.87777777778</v>
      </c>
      <c r="C307" t="s">
        <v>556</v>
      </c>
      <c r="D307" t="s">
        <v>506</v>
      </c>
      <c r="E307" t="s">
        <v>74</v>
      </c>
      <c r="F307">
        <v>0</v>
      </c>
      <c r="G307" t="s">
        <v>557</v>
      </c>
      <c r="H307" t="s">
        <v>558</v>
      </c>
      <c r="I307" t="s">
        <v>552</v>
      </c>
      <c r="J307" t="s">
        <v>559</v>
      </c>
      <c r="K307" t="s">
        <v>84</v>
      </c>
      <c r="L307" t="s">
        <v>106</v>
      </c>
      <c r="M307" t="s">
        <v>556</v>
      </c>
      <c r="N307" t="s">
        <v>580</v>
      </c>
      <c r="O307" t="s">
        <v>82</v>
      </c>
      <c r="P307">
        <v>4521.6850000000004</v>
      </c>
      <c r="Q307" t="s">
        <v>83</v>
      </c>
      <c r="AE307" t="s">
        <v>84</v>
      </c>
      <c r="AG307" t="s">
        <v>84</v>
      </c>
      <c r="AH307" t="s">
        <v>84</v>
      </c>
      <c r="AJ307" t="s">
        <v>84</v>
      </c>
      <c r="AK307" t="s">
        <v>84</v>
      </c>
      <c r="AQ307" t="s">
        <v>84</v>
      </c>
      <c r="AT307" t="s">
        <v>84</v>
      </c>
      <c r="AU307" t="s">
        <v>84</v>
      </c>
      <c r="AV307" t="s">
        <v>84</v>
      </c>
      <c r="AX307" t="s">
        <v>84</v>
      </c>
      <c r="BA307" t="s">
        <v>84</v>
      </c>
      <c r="BB307" t="s">
        <v>84</v>
      </c>
      <c r="BG307" t="s">
        <v>84</v>
      </c>
      <c r="BJ307" t="s">
        <v>84</v>
      </c>
      <c r="BK307" t="s">
        <v>84</v>
      </c>
      <c r="BM307" t="s">
        <v>84</v>
      </c>
      <c r="BS307" t="s">
        <v>84</v>
      </c>
      <c r="BT307" t="s">
        <v>84</v>
      </c>
      <c r="BU307">
        <v>0</v>
      </c>
      <c r="BV307">
        <v>0</v>
      </c>
      <c r="BW307">
        <v>7780.3441666666668</v>
      </c>
    </row>
    <row r="308" spans="1:75" x14ac:dyDescent="0.25">
      <c r="A308">
        <v>347</v>
      </c>
      <c r="B308" s="1">
        <v>45128.87777777778</v>
      </c>
      <c r="C308" t="s">
        <v>556</v>
      </c>
      <c r="D308" t="s">
        <v>506</v>
      </c>
      <c r="E308" t="s">
        <v>74</v>
      </c>
      <c r="F308">
        <v>0</v>
      </c>
      <c r="G308" t="s">
        <v>557</v>
      </c>
      <c r="H308" t="s">
        <v>558</v>
      </c>
      <c r="I308" t="s">
        <v>552</v>
      </c>
      <c r="J308" t="s">
        <v>559</v>
      </c>
      <c r="K308" t="s">
        <v>84</v>
      </c>
      <c r="L308" t="s">
        <v>80</v>
      </c>
      <c r="M308" t="s">
        <v>556</v>
      </c>
      <c r="N308" t="s">
        <v>581</v>
      </c>
      <c r="O308" t="s">
        <v>82</v>
      </c>
      <c r="P308">
        <v>891654.0625</v>
      </c>
      <c r="Q308" t="s">
        <v>83</v>
      </c>
      <c r="AE308" t="s">
        <v>84</v>
      </c>
      <c r="AG308" t="s">
        <v>84</v>
      </c>
      <c r="AH308" t="s">
        <v>84</v>
      </c>
      <c r="AJ308" t="s">
        <v>84</v>
      </c>
      <c r="AK308" t="s">
        <v>84</v>
      </c>
      <c r="AQ308" t="s">
        <v>84</v>
      </c>
      <c r="AT308" t="s">
        <v>84</v>
      </c>
      <c r="AU308" t="s">
        <v>84</v>
      </c>
      <c r="AV308" t="s">
        <v>84</v>
      </c>
      <c r="AX308" t="s">
        <v>84</v>
      </c>
      <c r="BA308" t="s">
        <v>84</v>
      </c>
      <c r="BB308" t="s">
        <v>84</v>
      </c>
      <c r="BG308" t="s">
        <v>84</v>
      </c>
      <c r="BJ308" t="s">
        <v>84</v>
      </c>
      <c r="BK308" t="s">
        <v>84</v>
      </c>
      <c r="BM308" t="s">
        <v>84</v>
      </c>
      <c r="BS308" t="s">
        <v>84</v>
      </c>
      <c r="BT308" t="s">
        <v>84</v>
      </c>
      <c r="BU308">
        <v>0</v>
      </c>
      <c r="BV308">
        <v>0</v>
      </c>
      <c r="BW308">
        <v>834064.01939999999</v>
      </c>
    </row>
    <row r="309" spans="1:75" x14ac:dyDescent="0.25">
      <c r="A309">
        <v>347</v>
      </c>
      <c r="B309" s="1">
        <v>45128.87777777778</v>
      </c>
      <c r="C309" t="s">
        <v>556</v>
      </c>
      <c r="D309" t="s">
        <v>506</v>
      </c>
      <c r="E309" t="s">
        <v>74</v>
      </c>
      <c r="F309">
        <v>1</v>
      </c>
      <c r="G309" t="s">
        <v>557</v>
      </c>
      <c r="H309" t="s">
        <v>558</v>
      </c>
      <c r="I309" t="s">
        <v>552</v>
      </c>
      <c r="J309" t="s">
        <v>559</v>
      </c>
      <c r="K309" t="s">
        <v>79</v>
      </c>
      <c r="L309" t="s">
        <v>80</v>
      </c>
      <c r="M309" t="s">
        <v>556</v>
      </c>
      <c r="N309" t="s">
        <v>582</v>
      </c>
      <c r="O309" t="s">
        <v>82</v>
      </c>
      <c r="P309">
        <v>805591.46250000002</v>
      </c>
      <c r="Q309" t="s">
        <v>83</v>
      </c>
      <c r="R309">
        <v>834064.01939999999</v>
      </c>
      <c r="Z309">
        <v>34177</v>
      </c>
      <c r="AA309">
        <v>15350</v>
      </c>
      <c r="AE309" t="s">
        <v>84</v>
      </c>
      <c r="AG309" t="s">
        <v>84</v>
      </c>
      <c r="AH309" t="s">
        <v>84</v>
      </c>
      <c r="AI309">
        <v>95000</v>
      </c>
      <c r="AJ309" t="s">
        <v>84</v>
      </c>
      <c r="AK309" t="s">
        <v>84</v>
      </c>
      <c r="AL309">
        <v>0</v>
      </c>
      <c r="AN309">
        <v>0</v>
      </c>
      <c r="AP309">
        <v>81850</v>
      </c>
      <c r="AQ309" t="s">
        <v>84</v>
      </c>
      <c r="AR309">
        <v>2000</v>
      </c>
      <c r="AT309" t="s">
        <v>84</v>
      </c>
      <c r="AU309" t="s">
        <v>84</v>
      </c>
      <c r="AV309" t="s">
        <v>84</v>
      </c>
      <c r="AW309">
        <v>39334</v>
      </c>
      <c r="AX309" t="s">
        <v>84</v>
      </c>
      <c r="AY309">
        <v>0</v>
      </c>
      <c r="BA309" t="s">
        <v>84</v>
      </c>
      <c r="BB309" t="s">
        <v>84</v>
      </c>
      <c r="BC309">
        <v>18050</v>
      </c>
      <c r="BD309">
        <v>165236.5</v>
      </c>
      <c r="BG309" t="s">
        <v>84</v>
      </c>
      <c r="BH309">
        <v>30000</v>
      </c>
      <c r="BI309">
        <v>155825.67000000001</v>
      </c>
      <c r="BJ309" t="s">
        <v>84</v>
      </c>
      <c r="BK309" t="s">
        <v>84</v>
      </c>
      <c r="BM309" t="s">
        <v>84</v>
      </c>
      <c r="BP309">
        <v>7650</v>
      </c>
      <c r="BQ309">
        <v>0</v>
      </c>
      <c r="BR309">
        <v>0</v>
      </c>
      <c r="BS309" t="s">
        <v>84</v>
      </c>
      <c r="BT309" t="s">
        <v>84</v>
      </c>
      <c r="BU309">
        <v>0</v>
      </c>
      <c r="BV309">
        <v>0</v>
      </c>
      <c r="BW309">
        <v>834064.01939999999</v>
      </c>
    </row>
    <row r="310" spans="1:75" x14ac:dyDescent="0.25">
      <c r="A310">
        <v>347</v>
      </c>
      <c r="B310" s="1">
        <v>45128.87777777778</v>
      </c>
      <c r="C310" t="s">
        <v>556</v>
      </c>
      <c r="D310" t="s">
        <v>506</v>
      </c>
      <c r="E310" t="s">
        <v>74</v>
      </c>
      <c r="F310">
        <v>0</v>
      </c>
      <c r="G310" t="s">
        <v>557</v>
      </c>
      <c r="H310" t="s">
        <v>558</v>
      </c>
      <c r="I310" t="s">
        <v>552</v>
      </c>
      <c r="J310" t="s">
        <v>559</v>
      </c>
      <c r="K310" t="s">
        <v>84</v>
      </c>
      <c r="L310" t="s">
        <v>80</v>
      </c>
      <c r="M310" t="s">
        <v>556</v>
      </c>
      <c r="N310" t="s">
        <v>583</v>
      </c>
      <c r="O310" t="s">
        <v>82</v>
      </c>
      <c r="P310">
        <v>804946.53319999995</v>
      </c>
      <c r="Q310" t="s">
        <v>83</v>
      </c>
      <c r="AE310" t="s">
        <v>84</v>
      </c>
      <c r="AG310" t="s">
        <v>84</v>
      </c>
      <c r="AH310" t="s">
        <v>84</v>
      </c>
      <c r="AJ310" t="s">
        <v>84</v>
      </c>
      <c r="AK310" t="s">
        <v>84</v>
      </c>
      <c r="AQ310" t="s">
        <v>84</v>
      </c>
      <c r="AT310" t="s">
        <v>84</v>
      </c>
      <c r="AU310" t="s">
        <v>84</v>
      </c>
      <c r="AV310" t="s">
        <v>84</v>
      </c>
      <c r="AX310" t="s">
        <v>84</v>
      </c>
      <c r="BA310" t="s">
        <v>84</v>
      </c>
      <c r="BB310" t="s">
        <v>84</v>
      </c>
      <c r="BG310" t="s">
        <v>84</v>
      </c>
      <c r="BJ310" t="s">
        <v>84</v>
      </c>
      <c r="BK310" t="s">
        <v>84</v>
      </c>
      <c r="BM310" t="s">
        <v>84</v>
      </c>
      <c r="BS310" t="s">
        <v>84</v>
      </c>
      <c r="BT310" t="s">
        <v>84</v>
      </c>
      <c r="BU310">
        <v>0</v>
      </c>
      <c r="BV310">
        <v>0</v>
      </c>
      <c r="BW310">
        <v>834064.01939999999</v>
      </c>
    </row>
    <row r="311" spans="1:75" x14ac:dyDescent="0.25">
      <c r="A311">
        <v>350</v>
      </c>
      <c r="B311" s="1">
        <v>45128.879166666666</v>
      </c>
      <c r="C311" t="s">
        <v>584</v>
      </c>
      <c r="D311" t="s">
        <v>506</v>
      </c>
      <c r="E311" t="s">
        <v>74</v>
      </c>
      <c r="F311">
        <v>1</v>
      </c>
      <c r="G311" t="s">
        <v>557</v>
      </c>
      <c r="H311" t="s">
        <v>585</v>
      </c>
      <c r="I311" t="s">
        <v>552</v>
      </c>
      <c r="J311" t="s">
        <v>559</v>
      </c>
      <c r="K311" t="s">
        <v>141</v>
      </c>
      <c r="L311" t="s">
        <v>92</v>
      </c>
      <c r="M311" t="s">
        <v>586</v>
      </c>
      <c r="N311" t="s">
        <v>587</v>
      </c>
      <c r="O311" t="s">
        <v>82</v>
      </c>
      <c r="P311">
        <v>30170</v>
      </c>
      <c r="Q311" t="s">
        <v>83</v>
      </c>
      <c r="R311">
        <v>38485</v>
      </c>
      <c r="S311">
        <v>1</v>
      </c>
      <c r="AB311">
        <v>30170</v>
      </c>
      <c r="AE311" t="s">
        <v>84</v>
      </c>
      <c r="AG311" t="s">
        <v>84</v>
      </c>
      <c r="AH311" t="s">
        <v>84</v>
      </c>
      <c r="AJ311" t="s">
        <v>84</v>
      </c>
      <c r="AK311" t="s">
        <v>84</v>
      </c>
      <c r="AQ311" t="s">
        <v>84</v>
      </c>
      <c r="AT311" t="s">
        <v>84</v>
      </c>
      <c r="AU311" t="s">
        <v>84</v>
      </c>
      <c r="AV311" t="s">
        <v>84</v>
      </c>
      <c r="AX311" t="s">
        <v>84</v>
      </c>
      <c r="BA311" t="s">
        <v>84</v>
      </c>
      <c r="BB311" t="s">
        <v>84</v>
      </c>
      <c r="BG311" t="s">
        <v>84</v>
      </c>
      <c r="BJ311" t="s">
        <v>84</v>
      </c>
      <c r="BK311" t="s">
        <v>84</v>
      </c>
      <c r="BM311" t="s">
        <v>84</v>
      </c>
      <c r="BS311" t="s">
        <v>84</v>
      </c>
      <c r="BT311" t="s">
        <v>84</v>
      </c>
      <c r="BU311">
        <v>30170</v>
      </c>
      <c r="BV311">
        <v>30170</v>
      </c>
      <c r="BW311">
        <v>38485</v>
      </c>
    </row>
    <row r="312" spans="1:75" x14ac:dyDescent="0.25">
      <c r="A312">
        <v>350</v>
      </c>
      <c r="B312" s="1">
        <v>45128.879166666666</v>
      </c>
      <c r="C312" t="s">
        <v>584</v>
      </c>
      <c r="D312" t="s">
        <v>506</v>
      </c>
      <c r="E312" t="s">
        <v>74</v>
      </c>
      <c r="F312">
        <v>0</v>
      </c>
      <c r="G312" t="s">
        <v>557</v>
      </c>
      <c r="H312" t="s">
        <v>585</v>
      </c>
      <c r="I312" t="s">
        <v>552</v>
      </c>
      <c r="J312" t="s">
        <v>559</v>
      </c>
      <c r="K312" t="s">
        <v>84</v>
      </c>
      <c r="L312" t="s">
        <v>92</v>
      </c>
      <c r="M312" t="s">
        <v>543</v>
      </c>
      <c r="N312" t="s">
        <v>543</v>
      </c>
      <c r="O312" t="s">
        <v>82</v>
      </c>
      <c r="P312">
        <v>46800</v>
      </c>
      <c r="Q312" t="s">
        <v>83</v>
      </c>
      <c r="AE312" t="s">
        <v>84</v>
      </c>
      <c r="AG312" t="s">
        <v>84</v>
      </c>
      <c r="AH312" t="s">
        <v>84</v>
      </c>
      <c r="AJ312" t="s">
        <v>84</v>
      </c>
      <c r="AK312" t="s">
        <v>84</v>
      </c>
      <c r="AQ312" t="s">
        <v>84</v>
      </c>
      <c r="AT312" t="s">
        <v>84</v>
      </c>
      <c r="AU312" t="s">
        <v>84</v>
      </c>
      <c r="AV312" t="s">
        <v>84</v>
      </c>
      <c r="AX312" t="s">
        <v>84</v>
      </c>
      <c r="BA312" t="s">
        <v>84</v>
      </c>
      <c r="BB312" t="s">
        <v>84</v>
      </c>
      <c r="BG312" t="s">
        <v>84</v>
      </c>
      <c r="BJ312" t="s">
        <v>84</v>
      </c>
      <c r="BK312" t="s">
        <v>84</v>
      </c>
      <c r="BM312" t="s">
        <v>84</v>
      </c>
      <c r="BS312" t="s">
        <v>84</v>
      </c>
      <c r="BT312" t="s">
        <v>84</v>
      </c>
      <c r="BU312">
        <v>0</v>
      </c>
      <c r="BV312">
        <v>0</v>
      </c>
      <c r="BW312">
        <v>38485</v>
      </c>
    </row>
    <row r="313" spans="1:75" x14ac:dyDescent="0.25">
      <c r="A313">
        <v>350</v>
      </c>
      <c r="B313" s="1">
        <v>45128.879166666666</v>
      </c>
      <c r="C313" t="s">
        <v>584</v>
      </c>
      <c r="D313" t="s">
        <v>506</v>
      </c>
      <c r="E313" t="s">
        <v>74</v>
      </c>
      <c r="F313">
        <v>0</v>
      </c>
      <c r="G313" t="s">
        <v>557</v>
      </c>
      <c r="H313" t="s">
        <v>585</v>
      </c>
      <c r="I313" t="s">
        <v>552</v>
      </c>
      <c r="J313" t="s">
        <v>559</v>
      </c>
      <c r="K313" t="s">
        <v>84</v>
      </c>
      <c r="L313" t="s">
        <v>80</v>
      </c>
      <c r="M313" t="s">
        <v>584</v>
      </c>
      <c r="N313" t="s">
        <v>588</v>
      </c>
      <c r="O313" t="s">
        <v>82</v>
      </c>
      <c r="P313">
        <v>767907.3125</v>
      </c>
      <c r="Q313" t="s">
        <v>83</v>
      </c>
      <c r="T313">
        <v>1</v>
      </c>
      <c r="AE313" t="s">
        <v>84</v>
      </c>
      <c r="AG313" t="s">
        <v>84</v>
      </c>
      <c r="AH313" t="s">
        <v>84</v>
      </c>
      <c r="AJ313" t="s">
        <v>84</v>
      </c>
      <c r="AK313" t="s">
        <v>84</v>
      </c>
      <c r="AQ313" t="s">
        <v>84</v>
      </c>
      <c r="AT313" t="s">
        <v>84</v>
      </c>
      <c r="AU313" t="s">
        <v>84</v>
      </c>
      <c r="AV313" t="s">
        <v>84</v>
      </c>
      <c r="AX313" t="s">
        <v>84</v>
      </c>
      <c r="BA313" t="s">
        <v>84</v>
      </c>
      <c r="BB313" t="s">
        <v>84</v>
      </c>
      <c r="BG313" t="s">
        <v>84</v>
      </c>
      <c r="BJ313" t="s">
        <v>84</v>
      </c>
      <c r="BK313" t="s">
        <v>84</v>
      </c>
      <c r="BM313" t="s">
        <v>84</v>
      </c>
      <c r="BS313" t="s">
        <v>84</v>
      </c>
      <c r="BT313" t="s">
        <v>84</v>
      </c>
      <c r="BU313">
        <v>0</v>
      </c>
      <c r="BV313">
        <v>0</v>
      </c>
      <c r="BW313">
        <v>831311.73625000007</v>
      </c>
    </row>
    <row r="314" spans="1:75" x14ac:dyDescent="0.25">
      <c r="A314">
        <v>350</v>
      </c>
      <c r="B314" s="1">
        <v>45128.879166666666</v>
      </c>
      <c r="C314" t="s">
        <v>584</v>
      </c>
      <c r="D314" t="s">
        <v>506</v>
      </c>
      <c r="E314" t="s">
        <v>74</v>
      </c>
      <c r="F314">
        <v>1</v>
      </c>
      <c r="G314" t="s">
        <v>557</v>
      </c>
      <c r="H314" t="s">
        <v>585</v>
      </c>
      <c r="I314" t="s">
        <v>552</v>
      </c>
      <c r="J314" t="s">
        <v>559</v>
      </c>
      <c r="K314" t="s">
        <v>248</v>
      </c>
      <c r="L314" t="s">
        <v>80</v>
      </c>
      <c r="M314" t="s">
        <v>589</v>
      </c>
      <c r="N314" t="s">
        <v>590</v>
      </c>
      <c r="O314" t="s">
        <v>82</v>
      </c>
      <c r="P314">
        <v>894716.16</v>
      </c>
      <c r="Q314" t="s">
        <v>83</v>
      </c>
      <c r="R314">
        <v>831311.73629999999</v>
      </c>
      <c r="Z314">
        <v>50050</v>
      </c>
      <c r="AA314">
        <v>85850</v>
      </c>
      <c r="AE314" t="s">
        <v>84</v>
      </c>
      <c r="AG314" t="s">
        <v>84</v>
      </c>
      <c r="AH314" t="s">
        <v>84</v>
      </c>
      <c r="AI314">
        <v>90000</v>
      </c>
      <c r="AJ314" t="s">
        <v>84</v>
      </c>
      <c r="AK314" t="s">
        <v>84</v>
      </c>
      <c r="AL314">
        <v>0</v>
      </c>
      <c r="AN314">
        <v>0</v>
      </c>
      <c r="AP314">
        <v>51500</v>
      </c>
      <c r="AQ314" t="s">
        <v>84</v>
      </c>
      <c r="AR314">
        <v>2400</v>
      </c>
      <c r="AT314" t="s">
        <v>84</v>
      </c>
      <c r="AU314" t="s">
        <v>84</v>
      </c>
      <c r="AV314" t="s">
        <v>84</v>
      </c>
      <c r="AW314">
        <v>17899</v>
      </c>
      <c r="AX314" t="s">
        <v>84</v>
      </c>
      <c r="AY314">
        <v>7600</v>
      </c>
      <c r="BA314" t="s">
        <v>84</v>
      </c>
      <c r="BB314" t="s">
        <v>84</v>
      </c>
      <c r="BC314">
        <v>26400</v>
      </c>
      <c r="BD314">
        <v>187866.25</v>
      </c>
      <c r="BG314" t="s">
        <v>84</v>
      </c>
      <c r="BH314">
        <v>4000</v>
      </c>
      <c r="BI314">
        <v>160481.75</v>
      </c>
      <c r="BJ314" t="s">
        <v>84</v>
      </c>
      <c r="BK314" t="s">
        <v>84</v>
      </c>
      <c r="BM314" t="s">
        <v>84</v>
      </c>
      <c r="BP314">
        <v>14950</v>
      </c>
      <c r="BQ314">
        <v>0</v>
      </c>
      <c r="BR314">
        <v>0</v>
      </c>
      <c r="BS314" t="s">
        <v>84</v>
      </c>
      <c r="BT314" t="s">
        <v>84</v>
      </c>
      <c r="BU314">
        <v>0</v>
      </c>
      <c r="BV314">
        <v>0</v>
      </c>
      <c r="BW314">
        <v>831311.73625000007</v>
      </c>
    </row>
    <row r="315" spans="1:75" x14ac:dyDescent="0.25">
      <c r="A315">
        <v>350</v>
      </c>
      <c r="B315" s="1">
        <v>45128.879166666666</v>
      </c>
      <c r="C315" t="s">
        <v>584</v>
      </c>
      <c r="D315" t="s">
        <v>506</v>
      </c>
      <c r="E315" t="s">
        <v>74</v>
      </c>
      <c r="F315">
        <v>0</v>
      </c>
      <c r="G315" t="s">
        <v>557</v>
      </c>
      <c r="H315" t="s">
        <v>585</v>
      </c>
      <c r="I315" t="s">
        <v>552</v>
      </c>
      <c r="J315" t="s">
        <v>559</v>
      </c>
      <c r="K315" t="s">
        <v>84</v>
      </c>
      <c r="L315" t="s">
        <v>87</v>
      </c>
      <c r="M315" t="s">
        <v>584</v>
      </c>
      <c r="N315" t="s">
        <v>591</v>
      </c>
      <c r="O315" t="s">
        <v>82</v>
      </c>
      <c r="P315">
        <v>103909.1667</v>
      </c>
      <c r="Q315" t="s">
        <v>83</v>
      </c>
      <c r="U315">
        <v>1</v>
      </c>
      <c r="AE315" t="s">
        <v>84</v>
      </c>
      <c r="AG315" t="s">
        <v>84</v>
      </c>
      <c r="AH315" t="s">
        <v>84</v>
      </c>
      <c r="AJ315" t="s">
        <v>84</v>
      </c>
      <c r="AK315" t="s">
        <v>84</v>
      </c>
      <c r="AQ315" t="s">
        <v>84</v>
      </c>
      <c r="AT315" t="s">
        <v>84</v>
      </c>
      <c r="AU315" t="s">
        <v>84</v>
      </c>
      <c r="AV315" t="s">
        <v>84</v>
      </c>
      <c r="AX315" t="s">
        <v>84</v>
      </c>
      <c r="BA315" t="s">
        <v>84</v>
      </c>
      <c r="BB315" t="s">
        <v>84</v>
      </c>
      <c r="BG315" t="s">
        <v>84</v>
      </c>
      <c r="BJ315" t="s">
        <v>84</v>
      </c>
      <c r="BK315" t="s">
        <v>84</v>
      </c>
      <c r="BM315" t="s">
        <v>84</v>
      </c>
      <c r="BS315" t="s">
        <v>84</v>
      </c>
      <c r="BT315" t="s">
        <v>84</v>
      </c>
      <c r="BU315">
        <v>0</v>
      </c>
      <c r="BV315">
        <v>0</v>
      </c>
      <c r="BW315">
        <v>122096.46946666666</v>
      </c>
    </row>
    <row r="316" spans="1:75" x14ac:dyDescent="0.25">
      <c r="A316">
        <v>350</v>
      </c>
      <c r="B316" s="1">
        <v>45128.879166666666</v>
      </c>
      <c r="C316" t="s">
        <v>584</v>
      </c>
      <c r="D316" t="s">
        <v>506</v>
      </c>
      <c r="E316" t="s">
        <v>74</v>
      </c>
      <c r="F316">
        <v>1</v>
      </c>
      <c r="G316" t="s">
        <v>557</v>
      </c>
      <c r="H316" t="s">
        <v>585</v>
      </c>
      <c r="I316" t="s">
        <v>552</v>
      </c>
      <c r="J316" t="s">
        <v>559</v>
      </c>
      <c r="K316" t="s">
        <v>495</v>
      </c>
      <c r="L316" t="s">
        <v>87</v>
      </c>
      <c r="M316" t="s">
        <v>584</v>
      </c>
      <c r="N316" t="s">
        <v>592</v>
      </c>
      <c r="O316" t="s">
        <v>82</v>
      </c>
      <c r="P316">
        <v>109025.1167</v>
      </c>
      <c r="Q316" t="s">
        <v>83</v>
      </c>
      <c r="R316">
        <v>122096.4694</v>
      </c>
      <c r="AE316" t="s">
        <v>84</v>
      </c>
      <c r="AG316" t="s">
        <v>84</v>
      </c>
      <c r="AH316" t="s">
        <v>84</v>
      </c>
      <c r="AJ316" t="s">
        <v>84</v>
      </c>
      <c r="AK316" t="s">
        <v>84</v>
      </c>
      <c r="AL316">
        <v>20400</v>
      </c>
      <c r="AM316">
        <v>21300</v>
      </c>
      <c r="AN316">
        <v>32250</v>
      </c>
      <c r="AO316">
        <v>5582</v>
      </c>
      <c r="AQ316" t="s">
        <v>84</v>
      </c>
      <c r="AT316" t="s">
        <v>84</v>
      </c>
      <c r="AU316" t="s">
        <v>84</v>
      </c>
      <c r="AV316" t="s">
        <v>84</v>
      </c>
      <c r="AX316" t="s">
        <v>84</v>
      </c>
      <c r="BA316" t="s">
        <v>84</v>
      </c>
      <c r="BB316" t="s">
        <v>84</v>
      </c>
      <c r="BG316" t="s">
        <v>84</v>
      </c>
      <c r="BJ316" t="s">
        <v>84</v>
      </c>
      <c r="BK316" t="s">
        <v>84</v>
      </c>
      <c r="BM316" t="s">
        <v>84</v>
      </c>
      <c r="BS316" t="s">
        <v>84</v>
      </c>
      <c r="BT316" t="s">
        <v>84</v>
      </c>
      <c r="BU316">
        <v>0</v>
      </c>
      <c r="BV316">
        <v>0</v>
      </c>
      <c r="BW316">
        <v>122096.46946666666</v>
      </c>
    </row>
    <row r="317" spans="1:75" x14ac:dyDescent="0.25">
      <c r="A317">
        <v>350</v>
      </c>
      <c r="B317" s="1">
        <v>45128.879166666666</v>
      </c>
      <c r="C317" t="s">
        <v>584</v>
      </c>
      <c r="D317" t="s">
        <v>506</v>
      </c>
      <c r="E317" t="s">
        <v>74</v>
      </c>
      <c r="F317">
        <v>0</v>
      </c>
      <c r="G317" t="s">
        <v>557</v>
      </c>
      <c r="H317" t="s">
        <v>585</v>
      </c>
      <c r="I317" t="s">
        <v>552</v>
      </c>
      <c r="J317" t="s">
        <v>559</v>
      </c>
      <c r="K317" t="s">
        <v>84</v>
      </c>
      <c r="L317" t="s">
        <v>87</v>
      </c>
      <c r="M317" t="s">
        <v>593</v>
      </c>
      <c r="N317" t="s">
        <v>594</v>
      </c>
      <c r="O317" t="s">
        <v>82</v>
      </c>
      <c r="P317">
        <v>153355.125</v>
      </c>
      <c r="Q317" t="s">
        <v>83</v>
      </c>
      <c r="V317">
        <v>1</v>
      </c>
      <c r="X317">
        <v>1</v>
      </c>
      <c r="AE317" t="s">
        <v>84</v>
      </c>
      <c r="AG317" t="s">
        <v>84</v>
      </c>
      <c r="AH317" t="s">
        <v>84</v>
      </c>
      <c r="AJ317" t="s">
        <v>84</v>
      </c>
      <c r="AK317" t="s">
        <v>84</v>
      </c>
      <c r="AQ317" t="s">
        <v>84</v>
      </c>
      <c r="AT317" t="s">
        <v>84</v>
      </c>
      <c r="AU317" t="s">
        <v>84</v>
      </c>
      <c r="AV317" t="s">
        <v>84</v>
      </c>
      <c r="AX317" t="s">
        <v>84</v>
      </c>
      <c r="BA317" t="s">
        <v>84</v>
      </c>
      <c r="BB317" t="s">
        <v>84</v>
      </c>
      <c r="BG317" t="s">
        <v>84</v>
      </c>
      <c r="BJ317" t="s">
        <v>84</v>
      </c>
      <c r="BK317" t="s">
        <v>84</v>
      </c>
      <c r="BM317" t="s">
        <v>84</v>
      </c>
      <c r="BS317" t="s">
        <v>84</v>
      </c>
      <c r="BT317" t="s">
        <v>84</v>
      </c>
      <c r="BU317">
        <v>0</v>
      </c>
      <c r="BV317">
        <v>0</v>
      </c>
      <c r="BW317">
        <v>122096.46946666666</v>
      </c>
    </row>
    <row r="318" spans="1:75" x14ac:dyDescent="0.25">
      <c r="A318">
        <v>350</v>
      </c>
      <c r="B318" s="1">
        <v>45128.879166666666</v>
      </c>
      <c r="C318" t="s">
        <v>584</v>
      </c>
      <c r="D318" t="s">
        <v>506</v>
      </c>
      <c r="E318" t="s">
        <v>74</v>
      </c>
      <c r="F318">
        <v>0</v>
      </c>
      <c r="G318" t="s">
        <v>557</v>
      </c>
      <c r="H318" t="s">
        <v>585</v>
      </c>
      <c r="I318" t="s">
        <v>552</v>
      </c>
      <c r="J318" t="s">
        <v>559</v>
      </c>
      <c r="K318" t="s">
        <v>84</v>
      </c>
      <c r="L318" t="s">
        <v>98</v>
      </c>
      <c r="M318" t="s">
        <v>595</v>
      </c>
      <c r="N318" t="s">
        <v>596</v>
      </c>
      <c r="O318" t="s">
        <v>82</v>
      </c>
      <c r="P318">
        <v>16750</v>
      </c>
      <c r="Q318" t="s">
        <v>83</v>
      </c>
      <c r="U318">
        <v>1</v>
      </c>
      <c r="AE318" t="s">
        <v>84</v>
      </c>
      <c r="AG318" t="s">
        <v>84</v>
      </c>
      <c r="AH318" t="s">
        <v>84</v>
      </c>
      <c r="AJ318" t="s">
        <v>84</v>
      </c>
      <c r="AK318" t="s">
        <v>84</v>
      </c>
      <c r="AQ318" t="s">
        <v>84</v>
      </c>
      <c r="AT318" t="s">
        <v>84</v>
      </c>
      <c r="AU318" t="s">
        <v>84</v>
      </c>
      <c r="AV318" t="s">
        <v>84</v>
      </c>
      <c r="AX318" t="s">
        <v>84</v>
      </c>
      <c r="BA318" t="s">
        <v>84</v>
      </c>
      <c r="BB318" t="s">
        <v>84</v>
      </c>
      <c r="BG318" t="s">
        <v>84</v>
      </c>
      <c r="BJ318" t="s">
        <v>84</v>
      </c>
      <c r="BK318" t="s">
        <v>84</v>
      </c>
      <c r="BM318" t="s">
        <v>84</v>
      </c>
      <c r="BS318" t="s">
        <v>84</v>
      </c>
      <c r="BT318" t="s">
        <v>84</v>
      </c>
      <c r="BU318">
        <v>0</v>
      </c>
      <c r="BV318">
        <v>0</v>
      </c>
      <c r="BW318">
        <v>23066.666666666668</v>
      </c>
    </row>
    <row r="319" spans="1:75" x14ac:dyDescent="0.25">
      <c r="A319">
        <v>350</v>
      </c>
      <c r="B319" s="1">
        <v>45128.879166666666</v>
      </c>
      <c r="C319" t="s">
        <v>584</v>
      </c>
      <c r="D319" t="s">
        <v>506</v>
      </c>
      <c r="E319" t="s">
        <v>74</v>
      </c>
      <c r="F319">
        <v>1</v>
      </c>
      <c r="G319" t="s">
        <v>557</v>
      </c>
      <c r="H319" t="s">
        <v>585</v>
      </c>
      <c r="I319" t="s">
        <v>552</v>
      </c>
      <c r="J319" t="s">
        <v>559</v>
      </c>
      <c r="K319" t="s">
        <v>528</v>
      </c>
      <c r="L319" t="s">
        <v>98</v>
      </c>
      <c r="M319" t="s">
        <v>597</v>
      </c>
      <c r="N319" t="s">
        <v>598</v>
      </c>
      <c r="O319" t="s">
        <v>82</v>
      </c>
      <c r="P319">
        <v>30450</v>
      </c>
      <c r="Q319" t="s">
        <v>83</v>
      </c>
      <c r="R319">
        <v>23066.666669999999</v>
      </c>
      <c r="AE319" t="s">
        <v>84</v>
      </c>
      <c r="AG319" t="s">
        <v>84</v>
      </c>
      <c r="AH319" t="s">
        <v>84</v>
      </c>
      <c r="AJ319" t="s">
        <v>84</v>
      </c>
      <c r="AK319" t="s">
        <v>84</v>
      </c>
      <c r="AQ319" t="s">
        <v>84</v>
      </c>
      <c r="AS319">
        <v>30450</v>
      </c>
      <c r="AT319" t="s">
        <v>84</v>
      </c>
      <c r="AU319" t="s">
        <v>84</v>
      </c>
      <c r="AV319" t="s">
        <v>84</v>
      </c>
      <c r="AX319" t="s">
        <v>84</v>
      </c>
      <c r="BA319" t="s">
        <v>84</v>
      </c>
      <c r="BB319" t="s">
        <v>84</v>
      </c>
      <c r="BG319" t="s">
        <v>84</v>
      </c>
      <c r="BJ319" t="s">
        <v>84</v>
      </c>
      <c r="BK319" t="s">
        <v>84</v>
      </c>
      <c r="BM319" t="s">
        <v>84</v>
      </c>
      <c r="BS319" t="s">
        <v>84</v>
      </c>
      <c r="BT319" t="s">
        <v>84</v>
      </c>
      <c r="BU319">
        <v>0</v>
      </c>
      <c r="BV319">
        <v>0</v>
      </c>
      <c r="BW319">
        <v>23066.666666666668</v>
      </c>
    </row>
    <row r="320" spans="1:75" x14ac:dyDescent="0.25">
      <c r="A320">
        <v>350</v>
      </c>
      <c r="B320" s="1">
        <v>45128.879166666666</v>
      </c>
      <c r="C320" t="s">
        <v>584</v>
      </c>
      <c r="D320" t="s">
        <v>506</v>
      </c>
      <c r="E320" t="s">
        <v>74</v>
      </c>
      <c r="F320">
        <v>0</v>
      </c>
      <c r="G320" t="s">
        <v>557</v>
      </c>
      <c r="H320" t="s">
        <v>585</v>
      </c>
      <c r="I320" t="s">
        <v>552</v>
      </c>
      <c r="J320" t="s">
        <v>559</v>
      </c>
      <c r="K320" t="s">
        <v>84</v>
      </c>
      <c r="L320" t="s">
        <v>98</v>
      </c>
      <c r="M320" t="s">
        <v>599</v>
      </c>
      <c r="N320" t="s">
        <v>600</v>
      </c>
      <c r="O320" t="s">
        <v>82</v>
      </c>
      <c r="P320">
        <v>22000</v>
      </c>
      <c r="Q320" t="s">
        <v>83</v>
      </c>
      <c r="W320">
        <v>1</v>
      </c>
      <c r="AE320" t="s">
        <v>84</v>
      </c>
      <c r="AG320" t="s">
        <v>84</v>
      </c>
      <c r="AH320" t="s">
        <v>84</v>
      </c>
      <c r="AJ320" t="s">
        <v>84</v>
      </c>
      <c r="AK320" t="s">
        <v>84</v>
      </c>
      <c r="AQ320" t="s">
        <v>84</v>
      </c>
      <c r="AT320" t="s">
        <v>84</v>
      </c>
      <c r="AU320" t="s">
        <v>84</v>
      </c>
      <c r="AV320" t="s">
        <v>84</v>
      </c>
      <c r="AX320" t="s">
        <v>84</v>
      </c>
      <c r="BA320" t="s">
        <v>84</v>
      </c>
      <c r="BB320" t="s">
        <v>84</v>
      </c>
      <c r="BG320" t="s">
        <v>84</v>
      </c>
      <c r="BJ320" t="s">
        <v>84</v>
      </c>
      <c r="BK320" t="s">
        <v>84</v>
      </c>
      <c r="BM320" t="s">
        <v>84</v>
      </c>
      <c r="BS320" t="s">
        <v>84</v>
      </c>
      <c r="BT320" t="s">
        <v>84</v>
      </c>
      <c r="BU320">
        <v>0</v>
      </c>
      <c r="BV320">
        <v>0</v>
      </c>
      <c r="BW320">
        <v>23066.666666666668</v>
      </c>
    </row>
    <row r="321" spans="1:75" x14ac:dyDescent="0.25">
      <c r="A321">
        <v>350</v>
      </c>
      <c r="B321" s="1">
        <v>45128.879166666666</v>
      </c>
      <c r="C321" t="s">
        <v>584</v>
      </c>
      <c r="D321" t="s">
        <v>506</v>
      </c>
      <c r="E321" t="s">
        <v>74</v>
      </c>
      <c r="F321">
        <v>0</v>
      </c>
      <c r="G321" t="s">
        <v>557</v>
      </c>
      <c r="H321" t="s">
        <v>585</v>
      </c>
      <c r="I321" t="s">
        <v>552</v>
      </c>
      <c r="J321" t="s">
        <v>559</v>
      </c>
      <c r="K321" t="s">
        <v>84</v>
      </c>
      <c r="L321" t="s">
        <v>106</v>
      </c>
      <c r="M321" t="s">
        <v>584</v>
      </c>
      <c r="N321" t="s">
        <v>601</v>
      </c>
      <c r="O321" t="s">
        <v>82</v>
      </c>
      <c r="P321">
        <v>13147.547500000001</v>
      </c>
      <c r="Q321" t="s">
        <v>83</v>
      </c>
      <c r="T321">
        <v>1</v>
      </c>
      <c r="AE321" t="s">
        <v>84</v>
      </c>
      <c r="AG321" t="s">
        <v>84</v>
      </c>
      <c r="AH321" t="s">
        <v>84</v>
      </c>
      <c r="AJ321" t="s">
        <v>84</v>
      </c>
      <c r="AK321" t="s">
        <v>84</v>
      </c>
      <c r="AQ321" t="s">
        <v>84</v>
      </c>
      <c r="AT321" t="s">
        <v>84</v>
      </c>
      <c r="AU321" t="s">
        <v>84</v>
      </c>
      <c r="AV321" t="s">
        <v>84</v>
      </c>
      <c r="AX321" t="s">
        <v>84</v>
      </c>
      <c r="BA321" t="s">
        <v>84</v>
      </c>
      <c r="BB321" t="s">
        <v>84</v>
      </c>
      <c r="BG321" t="s">
        <v>84</v>
      </c>
      <c r="BJ321" t="s">
        <v>84</v>
      </c>
      <c r="BK321" t="s">
        <v>84</v>
      </c>
      <c r="BM321" t="s">
        <v>84</v>
      </c>
      <c r="BS321" t="s">
        <v>84</v>
      </c>
      <c r="BT321" t="s">
        <v>84</v>
      </c>
      <c r="BU321">
        <v>0</v>
      </c>
      <c r="BV321">
        <v>0</v>
      </c>
      <c r="BW321">
        <v>9449.0612500000007</v>
      </c>
    </row>
    <row r="322" spans="1:75" x14ac:dyDescent="0.25">
      <c r="A322">
        <v>350</v>
      </c>
      <c r="B322" s="1">
        <v>45128.879166666666</v>
      </c>
      <c r="C322" t="s">
        <v>584</v>
      </c>
      <c r="D322" t="s">
        <v>506</v>
      </c>
      <c r="E322" t="s">
        <v>74</v>
      </c>
      <c r="F322">
        <v>1</v>
      </c>
      <c r="G322" t="s">
        <v>557</v>
      </c>
      <c r="H322" t="s">
        <v>585</v>
      </c>
      <c r="I322" t="s">
        <v>552</v>
      </c>
      <c r="J322" t="s">
        <v>559</v>
      </c>
      <c r="K322" t="s">
        <v>248</v>
      </c>
      <c r="L322" t="s">
        <v>106</v>
      </c>
      <c r="M322" t="s">
        <v>589</v>
      </c>
      <c r="N322" t="s">
        <v>602</v>
      </c>
      <c r="O322" t="s">
        <v>82</v>
      </c>
      <c r="P322">
        <v>5750.5749999999998</v>
      </c>
      <c r="Q322" t="s">
        <v>83</v>
      </c>
      <c r="R322">
        <v>9449.0612500000007</v>
      </c>
      <c r="AE322" t="s">
        <v>84</v>
      </c>
      <c r="AF322">
        <v>2000</v>
      </c>
      <c r="AG322" t="s">
        <v>84</v>
      </c>
      <c r="AH322" t="s">
        <v>84</v>
      </c>
      <c r="AJ322" t="s">
        <v>84</v>
      </c>
      <c r="AK322" t="s">
        <v>84</v>
      </c>
      <c r="AQ322" t="s">
        <v>84</v>
      </c>
      <c r="AT322" t="s">
        <v>84</v>
      </c>
      <c r="AU322" t="s">
        <v>84</v>
      </c>
      <c r="AV322" t="s">
        <v>84</v>
      </c>
      <c r="AX322" t="s">
        <v>84</v>
      </c>
      <c r="BA322" t="s">
        <v>84</v>
      </c>
      <c r="BB322" t="s">
        <v>84</v>
      </c>
      <c r="BE322">
        <v>1650</v>
      </c>
      <c r="BG322" t="s">
        <v>84</v>
      </c>
      <c r="BJ322" t="s">
        <v>84</v>
      </c>
      <c r="BK322" t="s">
        <v>84</v>
      </c>
      <c r="BM322" t="s">
        <v>84</v>
      </c>
      <c r="BS322" t="s">
        <v>84</v>
      </c>
      <c r="BT322" t="s">
        <v>84</v>
      </c>
      <c r="BU322">
        <v>0</v>
      </c>
      <c r="BV322">
        <v>0</v>
      </c>
      <c r="BW322">
        <v>9449.0612500000007</v>
      </c>
    </row>
    <row r="323" spans="1:75" x14ac:dyDescent="0.25">
      <c r="A323">
        <v>350</v>
      </c>
      <c r="B323" s="1">
        <v>45128.879166666666</v>
      </c>
      <c r="C323" t="s">
        <v>584</v>
      </c>
      <c r="D323" t="s">
        <v>506</v>
      </c>
      <c r="E323" t="s">
        <v>74</v>
      </c>
      <c r="F323">
        <v>0</v>
      </c>
      <c r="G323" t="s">
        <v>557</v>
      </c>
      <c r="H323" t="s">
        <v>585</v>
      </c>
      <c r="I323" t="s">
        <v>552</v>
      </c>
      <c r="J323" t="s">
        <v>559</v>
      </c>
      <c r="K323" t="s">
        <v>84</v>
      </c>
      <c r="L323" t="s">
        <v>110</v>
      </c>
      <c r="M323" t="s">
        <v>584</v>
      </c>
      <c r="N323" t="s">
        <v>603</v>
      </c>
      <c r="O323" t="s">
        <v>82</v>
      </c>
      <c r="P323">
        <v>7680</v>
      </c>
      <c r="Q323" t="s">
        <v>83</v>
      </c>
      <c r="T323">
        <v>1</v>
      </c>
      <c r="AE323" t="s">
        <v>84</v>
      </c>
      <c r="AG323" t="s">
        <v>84</v>
      </c>
      <c r="AH323" t="s">
        <v>84</v>
      </c>
      <c r="AJ323" t="s">
        <v>84</v>
      </c>
      <c r="AK323" t="s">
        <v>84</v>
      </c>
      <c r="AQ323" t="s">
        <v>84</v>
      </c>
      <c r="AT323" t="s">
        <v>84</v>
      </c>
      <c r="AU323" t="s">
        <v>84</v>
      </c>
      <c r="AV323" t="s">
        <v>84</v>
      </c>
      <c r="AX323" t="s">
        <v>84</v>
      </c>
      <c r="BA323" t="s">
        <v>84</v>
      </c>
      <c r="BB323" t="s">
        <v>84</v>
      </c>
      <c r="BG323" t="s">
        <v>84</v>
      </c>
      <c r="BJ323" t="s">
        <v>84</v>
      </c>
      <c r="BK323" t="s">
        <v>84</v>
      </c>
      <c r="BM323" t="s">
        <v>84</v>
      </c>
      <c r="BS323" t="s">
        <v>84</v>
      </c>
      <c r="BT323" t="s">
        <v>84</v>
      </c>
      <c r="BU323">
        <v>0</v>
      </c>
      <c r="BV323">
        <v>0</v>
      </c>
      <c r="BW323">
        <v>13794</v>
      </c>
    </row>
    <row r="324" spans="1:75" x14ac:dyDescent="0.25">
      <c r="A324">
        <v>350</v>
      </c>
      <c r="B324" s="1">
        <v>45128.879166666666</v>
      </c>
      <c r="C324" t="s">
        <v>584</v>
      </c>
      <c r="D324" t="s">
        <v>506</v>
      </c>
      <c r="E324" t="s">
        <v>74</v>
      </c>
      <c r="F324">
        <v>1</v>
      </c>
      <c r="G324" t="s">
        <v>557</v>
      </c>
      <c r="H324" t="s">
        <v>585</v>
      </c>
      <c r="I324" t="s">
        <v>552</v>
      </c>
      <c r="J324" t="s">
        <v>559</v>
      </c>
      <c r="K324" t="s">
        <v>248</v>
      </c>
      <c r="L324" t="s">
        <v>110</v>
      </c>
      <c r="M324" t="s">
        <v>589</v>
      </c>
      <c r="N324" t="s">
        <v>604</v>
      </c>
      <c r="O324" t="s">
        <v>82</v>
      </c>
      <c r="P324">
        <v>19908</v>
      </c>
      <c r="Q324" t="s">
        <v>83</v>
      </c>
      <c r="R324">
        <v>13794</v>
      </c>
      <c r="Z324">
        <v>0</v>
      </c>
      <c r="AA324">
        <v>0</v>
      </c>
      <c r="AE324" t="s">
        <v>84</v>
      </c>
      <c r="AG324" t="s">
        <v>84</v>
      </c>
      <c r="AH324" t="s">
        <v>84</v>
      </c>
      <c r="AI324">
        <v>0</v>
      </c>
      <c r="AJ324" t="s">
        <v>84</v>
      </c>
      <c r="AK324" t="s">
        <v>84</v>
      </c>
      <c r="AL324">
        <v>0</v>
      </c>
      <c r="AN324">
        <v>0</v>
      </c>
      <c r="AP324">
        <v>0</v>
      </c>
      <c r="AQ324" t="s">
        <v>84</v>
      </c>
      <c r="AR324">
        <v>0</v>
      </c>
      <c r="AT324" t="s">
        <v>84</v>
      </c>
      <c r="AU324" t="s">
        <v>84</v>
      </c>
      <c r="AV324" t="s">
        <v>84</v>
      </c>
      <c r="AW324">
        <v>0</v>
      </c>
      <c r="AX324" t="s">
        <v>84</v>
      </c>
      <c r="AY324">
        <v>15800</v>
      </c>
      <c r="BA324" t="s">
        <v>84</v>
      </c>
      <c r="BB324" t="s">
        <v>84</v>
      </c>
      <c r="BC324">
        <v>0</v>
      </c>
      <c r="BD324">
        <v>0</v>
      </c>
      <c r="BG324" t="s">
        <v>84</v>
      </c>
      <c r="BH324">
        <v>0</v>
      </c>
      <c r="BI324">
        <v>0</v>
      </c>
      <c r="BJ324" t="s">
        <v>84</v>
      </c>
      <c r="BK324" t="s">
        <v>84</v>
      </c>
      <c r="BM324" t="s">
        <v>84</v>
      </c>
      <c r="BP324">
        <v>0</v>
      </c>
      <c r="BQ324">
        <v>0</v>
      </c>
      <c r="BR324">
        <v>0</v>
      </c>
      <c r="BS324" t="s">
        <v>84</v>
      </c>
      <c r="BT324" t="s">
        <v>84</v>
      </c>
      <c r="BU324">
        <v>0</v>
      </c>
      <c r="BV324">
        <v>0</v>
      </c>
      <c r="BW324">
        <v>13794</v>
      </c>
    </row>
    <row r="325" spans="1:75" x14ac:dyDescent="0.25">
      <c r="A325">
        <v>350</v>
      </c>
      <c r="B325" s="1">
        <v>45128.879166666666</v>
      </c>
      <c r="C325" t="s">
        <v>584</v>
      </c>
      <c r="D325" t="s">
        <v>506</v>
      </c>
      <c r="E325" t="s">
        <v>74</v>
      </c>
      <c r="F325">
        <v>0</v>
      </c>
      <c r="G325" t="s">
        <v>557</v>
      </c>
      <c r="H325" t="s">
        <v>585</v>
      </c>
      <c r="I325" t="s">
        <v>552</v>
      </c>
      <c r="J325" t="s">
        <v>559</v>
      </c>
      <c r="K325" t="s">
        <v>84</v>
      </c>
      <c r="L325" t="s">
        <v>185</v>
      </c>
      <c r="M325" t="s">
        <v>584</v>
      </c>
      <c r="N325" t="s">
        <v>605</v>
      </c>
      <c r="O325" t="s">
        <v>82</v>
      </c>
      <c r="P325">
        <v>19299.875</v>
      </c>
      <c r="Q325" t="s">
        <v>83</v>
      </c>
      <c r="T325">
        <v>1</v>
      </c>
      <c r="AE325" t="s">
        <v>84</v>
      </c>
      <c r="AG325" t="s">
        <v>84</v>
      </c>
      <c r="AH325" t="s">
        <v>84</v>
      </c>
      <c r="AJ325" t="s">
        <v>84</v>
      </c>
      <c r="AK325" t="s">
        <v>84</v>
      </c>
      <c r="AQ325" t="s">
        <v>84</v>
      </c>
      <c r="AT325" t="s">
        <v>84</v>
      </c>
      <c r="AU325" t="s">
        <v>84</v>
      </c>
      <c r="AV325" t="s">
        <v>84</v>
      </c>
      <c r="AX325" t="s">
        <v>84</v>
      </c>
      <c r="BA325" t="s">
        <v>84</v>
      </c>
      <c r="BB325" t="s">
        <v>84</v>
      </c>
      <c r="BG325" t="s">
        <v>84</v>
      </c>
      <c r="BJ325" t="s">
        <v>84</v>
      </c>
      <c r="BK325" t="s">
        <v>84</v>
      </c>
      <c r="BM325" t="s">
        <v>84</v>
      </c>
      <c r="BS325" t="s">
        <v>84</v>
      </c>
      <c r="BT325" t="s">
        <v>84</v>
      </c>
      <c r="BU325">
        <v>0</v>
      </c>
      <c r="BV325">
        <v>0</v>
      </c>
      <c r="BW325">
        <v>20323.95</v>
      </c>
    </row>
    <row r="326" spans="1:75" x14ac:dyDescent="0.25">
      <c r="A326">
        <v>350</v>
      </c>
      <c r="B326" s="1">
        <v>45128.879166666666</v>
      </c>
      <c r="C326" t="s">
        <v>584</v>
      </c>
      <c r="D326" t="s">
        <v>506</v>
      </c>
      <c r="E326" t="s">
        <v>74</v>
      </c>
      <c r="F326">
        <v>1</v>
      </c>
      <c r="G326" t="s">
        <v>557</v>
      </c>
      <c r="H326" t="s">
        <v>585</v>
      </c>
      <c r="I326" t="s">
        <v>552</v>
      </c>
      <c r="J326" t="s">
        <v>559</v>
      </c>
      <c r="K326" t="s">
        <v>248</v>
      </c>
      <c r="L326" t="s">
        <v>185</v>
      </c>
      <c r="M326" t="s">
        <v>589</v>
      </c>
      <c r="N326" t="s">
        <v>606</v>
      </c>
      <c r="O326" t="s">
        <v>82</v>
      </c>
      <c r="P326">
        <v>21348.025000000001</v>
      </c>
      <c r="Q326" t="s">
        <v>83</v>
      </c>
      <c r="R326">
        <v>20323.95</v>
      </c>
      <c r="AC326">
        <v>13550</v>
      </c>
      <c r="AE326" t="s">
        <v>84</v>
      </c>
      <c r="AG326" t="s">
        <v>84</v>
      </c>
      <c r="AH326" t="s">
        <v>84</v>
      </c>
      <c r="AJ326" t="s">
        <v>84</v>
      </c>
      <c r="AK326" t="s">
        <v>84</v>
      </c>
      <c r="AQ326" t="s">
        <v>84</v>
      </c>
      <c r="AT326" t="s">
        <v>84</v>
      </c>
      <c r="AU326" t="s">
        <v>84</v>
      </c>
      <c r="AV326" t="s">
        <v>84</v>
      </c>
      <c r="AX326" t="s">
        <v>84</v>
      </c>
      <c r="BA326" t="s">
        <v>84</v>
      </c>
      <c r="BB326" t="s">
        <v>84</v>
      </c>
      <c r="BG326" t="s">
        <v>84</v>
      </c>
      <c r="BJ326" t="s">
        <v>84</v>
      </c>
      <c r="BK326" t="s">
        <v>84</v>
      </c>
      <c r="BM326" t="s">
        <v>84</v>
      </c>
      <c r="BS326" t="s">
        <v>84</v>
      </c>
      <c r="BT326" t="s">
        <v>84</v>
      </c>
      <c r="BU326">
        <v>0</v>
      </c>
      <c r="BV326">
        <v>0</v>
      </c>
      <c r="BW326">
        <v>20323.95</v>
      </c>
    </row>
    <row r="327" spans="1:75" x14ac:dyDescent="0.25">
      <c r="A327">
        <v>356</v>
      </c>
      <c r="B327" s="1">
        <v>45128.884027777778</v>
      </c>
      <c r="C327" t="s">
        <v>607</v>
      </c>
      <c r="D327" t="s">
        <v>506</v>
      </c>
      <c r="E327" t="s">
        <v>178</v>
      </c>
      <c r="F327">
        <v>0</v>
      </c>
      <c r="G327" t="s">
        <v>608</v>
      </c>
      <c r="H327" t="s">
        <v>609</v>
      </c>
      <c r="I327" t="s">
        <v>552</v>
      </c>
      <c r="J327" t="s">
        <v>610</v>
      </c>
      <c r="K327" t="s">
        <v>84</v>
      </c>
      <c r="L327" t="s">
        <v>92</v>
      </c>
      <c r="M327" t="s">
        <v>611</v>
      </c>
      <c r="N327" t="s">
        <v>612</v>
      </c>
      <c r="O327" t="s">
        <v>82</v>
      </c>
      <c r="P327">
        <v>77780</v>
      </c>
      <c r="Q327" t="s">
        <v>83</v>
      </c>
      <c r="U327">
        <v>1</v>
      </c>
      <c r="X327">
        <v>1</v>
      </c>
      <c r="AE327" t="s">
        <v>84</v>
      </c>
      <c r="AG327" t="s">
        <v>84</v>
      </c>
      <c r="AH327" t="s">
        <v>84</v>
      </c>
      <c r="AJ327" t="s">
        <v>84</v>
      </c>
      <c r="AK327" t="s">
        <v>84</v>
      </c>
      <c r="AQ327" t="s">
        <v>84</v>
      </c>
      <c r="AT327" t="s">
        <v>84</v>
      </c>
      <c r="AU327" t="s">
        <v>84</v>
      </c>
      <c r="AV327" t="s">
        <v>84</v>
      </c>
      <c r="AX327" t="s">
        <v>84</v>
      </c>
      <c r="BA327" t="s">
        <v>84</v>
      </c>
      <c r="BB327" t="s">
        <v>84</v>
      </c>
      <c r="BG327" t="s">
        <v>84</v>
      </c>
      <c r="BJ327" t="s">
        <v>84</v>
      </c>
      <c r="BK327" t="s">
        <v>84</v>
      </c>
      <c r="BM327" t="s">
        <v>84</v>
      </c>
      <c r="BS327" t="s">
        <v>84</v>
      </c>
      <c r="BT327" t="s">
        <v>84</v>
      </c>
      <c r="BU327">
        <v>0</v>
      </c>
      <c r="BV327">
        <v>0</v>
      </c>
      <c r="BW327">
        <v>65180</v>
      </c>
    </row>
    <row r="328" spans="1:75" x14ac:dyDescent="0.25">
      <c r="A328">
        <v>356</v>
      </c>
      <c r="B328" s="1">
        <v>45128.884027777778</v>
      </c>
      <c r="C328" t="s">
        <v>607</v>
      </c>
      <c r="D328" t="s">
        <v>506</v>
      </c>
      <c r="E328" t="s">
        <v>178</v>
      </c>
      <c r="F328">
        <v>1</v>
      </c>
      <c r="G328" t="s">
        <v>608</v>
      </c>
      <c r="H328" t="s">
        <v>609</v>
      </c>
      <c r="I328" t="s">
        <v>552</v>
      </c>
      <c r="J328" t="s">
        <v>610</v>
      </c>
      <c r="K328" t="s">
        <v>221</v>
      </c>
      <c r="L328" t="s">
        <v>92</v>
      </c>
      <c r="M328" t="s">
        <v>613</v>
      </c>
      <c r="N328" t="s">
        <v>221</v>
      </c>
      <c r="O328" t="s">
        <v>82</v>
      </c>
      <c r="P328">
        <v>52580</v>
      </c>
      <c r="Q328" t="s">
        <v>83</v>
      </c>
      <c r="R328">
        <v>65180</v>
      </c>
      <c r="AB328">
        <v>52580</v>
      </c>
      <c r="AE328" t="s">
        <v>84</v>
      </c>
      <c r="AG328" t="s">
        <v>84</v>
      </c>
      <c r="AH328" t="s">
        <v>84</v>
      </c>
      <c r="AJ328" t="s">
        <v>84</v>
      </c>
      <c r="AK328" t="s">
        <v>84</v>
      </c>
      <c r="AQ328" t="s">
        <v>84</v>
      </c>
      <c r="AT328" t="s">
        <v>84</v>
      </c>
      <c r="AU328" t="s">
        <v>84</v>
      </c>
      <c r="AV328" t="s">
        <v>84</v>
      </c>
      <c r="AX328" t="s">
        <v>84</v>
      </c>
      <c r="BA328" t="s">
        <v>84</v>
      </c>
      <c r="BB328" t="s">
        <v>84</v>
      </c>
      <c r="BG328" t="s">
        <v>84</v>
      </c>
      <c r="BJ328" t="s">
        <v>84</v>
      </c>
      <c r="BK328" t="s">
        <v>84</v>
      </c>
      <c r="BM328" t="s">
        <v>84</v>
      </c>
      <c r="BS328" t="s">
        <v>84</v>
      </c>
      <c r="BT328" t="s">
        <v>84</v>
      </c>
      <c r="BU328">
        <v>0</v>
      </c>
      <c r="BV328">
        <v>0</v>
      </c>
      <c r="BW328">
        <v>65180</v>
      </c>
    </row>
    <row r="329" spans="1:75" x14ac:dyDescent="0.25">
      <c r="A329">
        <v>356</v>
      </c>
      <c r="B329" s="1">
        <v>45128.884027777778</v>
      </c>
      <c r="C329" t="s">
        <v>607</v>
      </c>
      <c r="D329" t="s">
        <v>506</v>
      </c>
      <c r="E329" t="s">
        <v>178</v>
      </c>
      <c r="F329">
        <v>0</v>
      </c>
      <c r="G329" t="s">
        <v>608</v>
      </c>
      <c r="H329" t="s">
        <v>609</v>
      </c>
      <c r="I329" t="s">
        <v>552</v>
      </c>
      <c r="J329" t="s">
        <v>610</v>
      </c>
      <c r="K329" t="s">
        <v>84</v>
      </c>
      <c r="L329" t="s">
        <v>98</v>
      </c>
      <c r="M329" t="s">
        <v>614</v>
      </c>
      <c r="N329" t="s">
        <v>615</v>
      </c>
      <c r="O329" t="s">
        <v>82</v>
      </c>
      <c r="P329">
        <v>29750</v>
      </c>
      <c r="Q329" t="s">
        <v>83</v>
      </c>
      <c r="AE329" t="s">
        <v>84</v>
      </c>
      <c r="AG329" t="s">
        <v>84</v>
      </c>
      <c r="AH329" t="s">
        <v>84</v>
      </c>
      <c r="AJ329" t="s">
        <v>84</v>
      </c>
      <c r="AK329" t="s">
        <v>84</v>
      </c>
      <c r="AQ329" t="s">
        <v>84</v>
      </c>
      <c r="AT329" t="s">
        <v>84</v>
      </c>
      <c r="AU329" t="s">
        <v>84</v>
      </c>
      <c r="AV329" t="s">
        <v>84</v>
      </c>
      <c r="AX329" t="s">
        <v>84</v>
      </c>
      <c r="BA329" t="s">
        <v>84</v>
      </c>
      <c r="BB329" t="s">
        <v>84</v>
      </c>
      <c r="BG329" t="s">
        <v>84</v>
      </c>
      <c r="BJ329" t="s">
        <v>84</v>
      </c>
      <c r="BK329" t="s">
        <v>84</v>
      </c>
      <c r="BM329" t="s">
        <v>84</v>
      </c>
      <c r="BS329" t="s">
        <v>84</v>
      </c>
      <c r="BT329" t="s">
        <v>84</v>
      </c>
      <c r="BU329">
        <v>0</v>
      </c>
      <c r="BV329">
        <v>0</v>
      </c>
      <c r="BW329">
        <v>36666.666666666664</v>
      </c>
    </row>
    <row r="330" spans="1:75" x14ac:dyDescent="0.25">
      <c r="A330">
        <v>356</v>
      </c>
      <c r="B330" s="1">
        <v>45128.884027777778</v>
      </c>
      <c r="C330" t="s">
        <v>607</v>
      </c>
      <c r="D330" t="s">
        <v>506</v>
      </c>
      <c r="E330" t="s">
        <v>178</v>
      </c>
      <c r="F330">
        <v>0</v>
      </c>
      <c r="G330" t="s">
        <v>608</v>
      </c>
      <c r="H330" t="s">
        <v>609</v>
      </c>
      <c r="I330" t="s">
        <v>552</v>
      </c>
      <c r="J330" t="s">
        <v>610</v>
      </c>
      <c r="K330" t="s">
        <v>84</v>
      </c>
      <c r="L330" t="s">
        <v>98</v>
      </c>
      <c r="M330" t="s">
        <v>616</v>
      </c>
      <c r="N330" t="s">
        <v>617</v>
      </c>
      <c r="O330" t="s">
        <v>82</v>
      </c>
      <c r="P330">
        <v>16600</v>
      </c>
      <c r="Q330" t="s">
        <v>83</v>
      </c>
      <c r="W330">
        <v>1</v>
      </c>
      <c r="AE330" t="s">
        <v>84</v>
      </c>
      <c r="AG330" t="s">
        <v>84</v>
      </c>
      <c r="AH330" t="s">
        <v>84</v>
      </c>
      <c r="AJ330" t="s">
        <v>84</v>
      </c>
      <c r="AK330" t="s">
        <v>84</v>
      </c>
      <c r="AQ330" t="s">
        <v>84</v>
      </c>
      <c r="AT330" t="s">
        <v>84</v>
      </c>
      <c r="AU330" t="s">
        <v>84</v>
      </c>
      <c r="AV330" t="s">
        <v>84</v>
      </c>
      <c r="AX330" t="s">
        <v>84</v>
      </c>
      <c r="BA330" t="s">
        <v>84</v>
      </c>
      <c r="BB330" t="s">
        <v>84</v>
      </c>
      <c r="BG330" t="s">
        <v>84</v>
      </c>
      <c r="BJ330" t="s">
        <v>84</v>
      </c>
      <c r="BK330" t="s">
        <v>84</v>
      </c>
      <c r="BM330" t="s">
        <v>84</v>
      </c>
      <c r="BS330" t="s">
        <v>84</v>
      </c>
      <c r="BT330" t="s">
        <v>84</v>
      </c>
      <c r="BU330">
        <v>0</v>
      </c>
      <c r="BV330">
        <v>0</v>
      </c>
      <c r="BW330">
        <v>36666.666666666664</v>
      </c>
    </row>
    <row r="331" spans="1:75" x14ac:dyDescent="0.25">
      <c r="A331">
        <v>356</v>
      </c>
      <c r="B331" s="1">
        <v>45128.884027777778</v>
      </c>
      <c r="C331" t="s">
        <v>607</v>
      </c>
      <c r="D331" t="s">
        <v>506</v>
      </c>
      <c r="E331" t="s">
        <v>178</v>
      </c>
      <c r="F331">
        <v>1</v>
      </c>
      <c r="G331" t="s">
        <v>608</v>
      </c>
      <c r="H331" t="s">
        <v>609</v>
      </c>
      <c r="I331" t="s">
        <v>552</v>
      </c>
      <c r="J331" t="s">
        <v>610</v>
      </c>
      <c r="K331" t="s">
        <v>103</v>
      </c>
      <c r="L331" t="s">
        <v>98</v>
      </c>
      <c r="M331" t="s">
        <v>618</v>
      </c>
      <c r="N331" t="s">
        <v>619</v>
      </c>
      <c r="O331" t="s">
        <v>82</v>
      </c>
      <c r="P331">
        <v>63650</v>
      </c>
      <c r="Q331" t="s">
        <v>83</v>
      </c>
      <c r="R331">
        <v>36666.666669999999</v>
      </c>
      <c r="V331">
        <v>1</v>
      </c>
      <c r="X331">
        <v>1</v>
      </c>
      <c r="AE331" t="s">
        <v>84</v>
      </c>
      <c r="AG331" t="s">
        <v>84</v>
      </c>
      <c r="AH331" t="s">
        <v>84</v>
      </c>
      <c r="AJ331" t="s">
        <v>84</v>
      </c>
      <c r="AK331" t="s">
        <v>84</v>
      </c>
      <c r="AQ331" t="s">
        <v>84</v>
      </c>
      <c r="AS331">
        <v>63650</v>
      </c>
      <c r="AT331" t="s">
        <v>84</v>
      </c>
      <c r="AU331" t="s">
        <v>84</v>
      </c>
      <c r="AV331" t="s">
        <v>84</v>
      </c>
      <c r="AX331" t="s">
        <v>84</v>
      </c>
      <c r="BA331" t="s">
        <v>84</v>
      </c>
      <c r="BB331" t="s">
        <v>84</v>
      </c>
      <c r="BG331" t="s">
        <v>84</v>
      </c>
      <c r="BJ331" t="s">
        <v>84</v>
      </c>
      <c r="BK331" t="s">
        <v>84</v>
      </c>
      <c r="BM331" t="s">
        <v>84</v>
      </c>
      <c r="BS331" t="s">
        <v>84</v>
      </c>
      <c r="BT331" t="s">
        <v>84</v>
      </c>
      <c r="BU331">
        <v>0</v>
      </c>
      <c r="BV331">
        <v>0</v>
      </c>
      <c r="BW331">
        <v>36666.666666666664</v>
      </c>
    </row>
    <row r="332" spans="1:75" x14ac:dyDescent="0.25">
      <c r="A332">
        <v>356</v>
      </c>
      <c r="B332" s="1">
        <v>45128.884027777778</v>
      </c>
      <c r="C332" t="s">
        <v>607</v>
      </c>
      <c r="D332" t="s">
        <v>506</v>
      </c>
      <c r="E332" t="s">
        <v>178</v>
      </c>
      <c r="F332">
        <v>0</v>
      </c>
      <c r="G332" t="s">
        <v>608</v>
      </c>
      <c r="H332" t="s">
        <v>609</v>
      </c>
      <c r="I332" t="s">
        <v>552</v>
      </c>
      <c r="J332" t="s">
        <v>610</v>
      </c>
      <c r="K332" t="s">
        <v>84</v>
      </c>
      <c r="L332" t="s">
        <v>87</v>
      </c>
      <c r="M332" t="s">
        <v>620</v>
      </c>
      <c r="N332" t="s">
        <v>621</v>
      </c>
      <c r="O332" t="s">
        <v>82</v>
      </c>
      <c r="P332">
        <v>110045.01669999999</v>
      </c>
      <c r="Q332" t="s">
        <v>83</v>
      </c>
      <c r="AE332" t="s">
        <v>84</v>
      </c>
      <c r="AG332" t="s">
        <v>84</v>
      </c>
      <c r="AH332" t="s">
        <v>84</v>
      </c>
      <c r="AJ332" t="s">
        <v>84</v>
      </c>
      <c r="AK332" t="s">
        <v>84</v>
      </c>
      <c r="AQ332" t="s">
        <v>84</v>
      </c>
      <c r="AT332" t="s">
        <v>84</v>
      </c>
      <c r="AU332" t="s">
        <v>84</v>
      </c>
      <c r="AV332" t="s">
        <v>84</v>
      </c>
      <c r="AX332" t="s">
        <v>84</v>
      </c>
      <c r="BA332" t="s">
        <v>84</v>
      </c>
      <c r="BB332" t="s">
        <v>84</v>
      </c>
      <c r="BG332" t="s">
        <v>84</v>
      </c>
      <c r="BJ332" t="s">
        <v>84</v>
      </c>
      <c r="BK332" t="s">
        <v>84</v>
      </c>
      <c r="BM332" t="s">
        <v>84</v>
      </c>
      <c r="BS332" t="s">
        <v>84</v>
      </c>
      <c r="BT332" t="s">
        <v>84</v>
      </c>
      <c r="BU332">
        <v>0</v>
      </c>
      <c r="BV332">
        <v>0</v>
      </c>
      <c r="BW332">
        <v>116541.85279999999</v>
      </c>
    </row>
    <row r="333" spans="1:75" x14ac:dyDescent="0.25">
      <c r="A333">
        <v>356</v>
      </c>
      <c r="B333" s="1">
        <v>45128.884027777778</v>
      </c>
      <c r="C333" t="s">
        <v>607</v>
      </c>
      <c r="D333" t="s">
        <v>506</v>
      </c>
      <c r="E333" t="s">
        <v>178</v>
      </c>
      <c r="F333">
        <v>1</v>
      </c>
      <c r="G333" t="s">
        <v>608</v>
      </c>
      <c r="H333" t="s">
        <v>609</v>
      </c>
      <c r="I333" t="s">
        <v>552</v>
      </c>
      <c r="J333" t="s">
        <v>610</v>
      </c>
      <c r="K333" t="s">
        <v>413</v>
      </c>
      <c r="L333" t="s">
        <v>87</v>
      </c>
      <c r="M333" t="s">
        <v>622</v>
      </c>
      <c r="N333" t="s">
        <v>623</v>
      </c>
      <c r="O333" t="s">
        <v>82</v>
      </c>
      <c r="P333">
        <v>112271.25</v>
      </c>
      <c r="Q333" t="s">
        <v>83</v>
      </c>
      <c r="R333">
        <v>116541.85279999999</v>
      </c>
      <c r="AE333" t="s">
        <v>84</v>
      </c>
      <c r="AG333" t="s">
        <v>84</v>
      </c>
      <c r="AH333" t="s">
        <v>84</v>
      </c>
      <c r="AJ333" t="s">
        <v>84</v>
      </c>
      <c r="AK333" t="s">
        <v>84</v>
      </c>
      <c r="AL333">
        <v>23900</v>
      </c>
      <c r="AM333">
        <v>10200</v>
      </c>
      <c r="AN333">
        <v>39500</v>
      </c>
      <c r="AO333">
        <v>8300</v>
      </c>
      <c r="AQ333" t="s">
        <v>84</v>
      </c>
      <c r="AT333" t="s">
        <v>84</v>
      </c>
      <c r="AU333" t="s">
        <v>84</v>
      </c>
      <c r="AV333" t="s">
        <v>84</v>
      </c>
      <c r="AX333" t="s">
        <v>84</v>
      </c>
      <c r="BA333" t="s">
        <v>84</v>
      </c>
      <c r="BB333" t="s">
        <v>84</v>
      </c>
      <c r="BG333" t="s">
        <v>84</v>
      </c>
      <c r="BJ333" t="s">
        <v>84</v>
      </c>
      <c r="BK333" t="s">
        <v>84</v>
      </c>
      <c r="BM333" t="s">
        <v>84</v>
      </c>
      <c r="BS333" t="s">
        <v>84</v>
      </c>
      <c r="BT333" t="s">
        <v>84</v>
      </c>
      <c r="BU333">
        <v>0</v>
      </c>
      <c r="BV333">
        <v>0</v>
      </c>
      <c r="BW333">
        <v>116541.85279999999</v>
      </c>
    </row>
    <row r="334" spans="1:75" x14ac:dyDescent="0.25">
      <c r="A334">
        <v>356</v>
      </c>
      <c r="B334" s="1">
        <v>45128.884027777778</v>
      </c>
      <c r="C334" t="s">
        <v>607</v>
      </c>
      <c r="D334" t="s">
        <v>506</v>
      </c>
      <c r="E334" t="s">
        <v>178</v>
      </c>
      <c r="F334">
        <v>0</v>
      </c>
      <c r="G334" t="s">
        <v>608</v>
      </c>
      <c r="H334" t="s">
        <v>609</v>
      </c>
      <c r="I334" t="s">
        <v>552</v>
      </c>
      <c r="J334" t="s">
        <v>610</v>
      </c>
      <c r="K334" t="s">
        <v>84</v>
      </c>
      <c r="L334" t="s">
        <v>87</v>
      </c>
      <c r="M334" t="s">
        <v>624</v>
      </c>
      <c r="N334" t="s">
        <v>625</v>
      </c>
      <c r="O334" t="s">
        <v>82</v>
      </c>
      <c r="P334">
        <v>127309.2917</v>
      </c>
      <c r="Q334" t="s">
        <v>83</v>
      </c>
      <c r="U334">
        <v>1</v>
      </c>
      <c r="V334">
        <v>1</v>
      </c>
      <c r="AE334" t="s">
        <v>84</v>
      </c>
      <c r="AG334" t="s">
        <v>84</v>
      </c>
      <c r="AH334" t="s">
        <v>84</v>
      </c>
      <c r="AJ334" t="s">
        <v>84</v>
      </c>
      <c r="AK334" t="s">
        <v>84</v>
      </c>
      <c r="AQ334" t="s">
        <v>84</v>
      </c>
      <c r="AT334" t="s">
        <v>84</v>
      </c>
      <c r="AU334" t="s">
        <v>84</v>
      </c>
      <c r="AV334" t="s">
        <v>84</v>
      </c>
      <c r="AX334" t="s">
        <v>84</v>
      </c>
      <c r="BA334" t="s">
        <v>84</v>
      </c>
      <c r="BB334" t="s">
        <v>84</v>
      </c>
      <c r="BG334" t="s">
        <v>84</v>
      </c>
      <c r="BJ334" t="s">
        <v>84</v>
      </c>
      <c r="BK334" t="s">
        <v>84</v>
      </c>
      <c r="BM334" t="s">
        <v>84</v>
      </c>
      <c r="BS334" t="s">
        <v>84</v>
      </c>
      <c r="BT334" t="s">
        <v>84</v>
      </c>
      <c r="BU334">
        <v>0</v>
      </c>
      <c r="BV334">
        <v>0</v>
      </c>
      <c r="BW334">
        <v>116541.85279999999</v>
      </c>
    </row>
    <row r="335" spans="1:75" x14ac:dyDescent="0.25">
      <c r="A335">
        <v>356</v>
      </c>
      <c r="B335" s="1">
        <v>45128.884027777778</v>
      </c>
      <c r="C335" t="s">
        <v>607</v>
      </c>
      <c r="D335" t="s">
        <v>506</v>
      </c>
      <c r="E335" t="s">
        <v>178</v>
      </c>
      <c r="F335">
        <v>1</v>
      </c>
      <c r="G335" t="s">
        <v>608</v>
      </c>
      <c r="H335" t="s">
        <v>609</v>
      </c>
      <c r="I335" t="s">
        <v>552</v>
      </c>
      <c r="J335" t="s">
        <v>610</v>
      </c>
      <c r="K335" t="s">
        <v>626</v>
      </c>
      <c r="L335" t="s">
        <v>80</v>
      </c>
      <c r="M335" t="s">
        <v>607</v>
      </c>
      <c r="N335" t="s">
        <v>627</v>
      </c>
      <c r="O335" t="s">
        <v>82</v>
      </c>
      <c r="P335">
        <v>696940.44</v>
      </c>
      <c r="Q335" t="s">
        <v>83</v>
      </c>
      <c r="R335">
        <v>729332.05169999995</v>
      </c>
      <c r="Z335">
        <v>39503.75</v>
      </c>
      <c r="AA335">
        <v>77500</v>
      </c>
      <c r="AE335" t="s">
        <v>84</v>
      </c>
      <c r="AG335" t="s">
        <v>84</v>
      </c>
      <c r="AH335" t="s">
        <v>84</v>
      </c>
      <c r="AI335">
        <v>30000</v>
      </c>
      <c r="AJ335" t="s">
        <v>84</v>
      </c>
      <c r="AK335" t="s">
        <v>84</v>
      </c>
      <c r="AL335">
        <v>0</v>
      </c>
      <c r="AN335">
        <v>0</v>
      </c>
      <c r="AP335">
        <v>51200</v>
      </c>
      <c r="AQ335" t="s">
        <v>84</v>
      </c>
      <c r="AR335">
        <v>3000</v>
      </c>
      <c r="AT335" t="s">
        <v>84</v>
      </c>
      <c r="AU335" t="s">
        <v>84</v>
      </c>
      <c r="AV335" t="s">
        <v>84</v>
      </c>
      <c r="AW335">
        <v>29800</v>
      </c>
      <c r="AX335" t="s">
        <v>84</v>
      </c>
      <c r="AY335">
        <v>5000</v>
      </c>
      <c r="BA335" t="s">
        <v>84</v>
      </c>
      <c r="BB335" t="s">
        <v>84</v>
      </c>
      <c r="BC335">
        <v>15000</v>
      </c>
      <c r="BD335">
        <v>136708</v>
      </c>
      <c r="BG335" t="s">
        <v>84</v>
      </c>
      <c r="BH335">
        <v>17000</v>
      </c>
      <c r="BI335">
        <v>130380.25</v>
      </c>
      <c r="BJ335" t="s">
        <v>84</v>
      </c>
      <c r="BK335" t="s">
        <v>84</v>
      </c>
      <c r="BM335" t="s">
        <v>84</v>
      </c>
      <c r="BP335">
        <v>13680</v>
      </c>
      <c r="BQ335">
        <v>0</v>
      </c>
      <c r="BR335">
        <v>0</v>
      </c>
      <c r="BS335" t="s">
        <v>84</v>
      </c>
      <c r="BT335" t="s">
        <v>84</v>
      </c>
      <c r="BU335">
        <v>0</v>
      </c>
      <c r="BV335">
        <v>0</v>
      </c>
      <c r="BW335">
        <v>729332.05169999995</v>
      </c>
    </row>
    <row r="336" spans="1:75" x14ac:dyDescent="0.25">
      <c r="A336">
        <v>356</v>
      </c>
      <c r="B336" s="1">
        <v>45128.884027777778</v>
      </c>
      <c r="C336" t="s">
        <v>607</v>
      </c>
      <c r="D336" t="s">
        <v>506</v>
      </c>
      <c r="E336" t="s">
        <v>178</v>
      </c>
      <c r="F336">
        <v>0</v>
      </c>
      <c r="G336" t="s">
        <v>608</v>
      </c>
      <c r="H336" t="s">
        <v>609</v>
      </c>
      <c r="I336" t="s">
        <v>552</v>
      </c>
      <c r="J336" t="s">
        <v>610</v>
      </c>
      <c r="K336" t="s">
        <v>84</v>
      </c>
      <c r="L336" t="s">
        <v>80</v>
      </c>
      <c r="M336" t="s">
        <v>628</v>
      </c>
      <c r="N336" t="s">
        <v>629</v>
      </c>
      <c r="O336" t="s">
        <v>82</v>
      </c>
      <c r="P336">
        <v>761723.66339999996</v>
      </c>
      <c r="Q336" t="s">
        <v>83</v>
      </c>
      <c r="AE336" t="s">
        <v>84</v>
      </c>
      <c r="AG336" t="s">
        <v>84</v>
      </c>
      <c r="AH336" t="s">
        <v>84</v>
      </c>
      <c r="AJ336" t="s">
        <v>84</v>
      </c>
      <c r="AK336" t="s">
        <v>84</v>
      </c>
      <c r="AQ336" t="s">
        <v>84</v>
      </c>
      <c r="AT336" t="s">
        <v>84</v>
      </c>
      <c r="AU336" t="s">
        <v>84</v>
      </c>
      <c r="AV336" t="s">
        <v>84</v>
      </c>
      <c r="AX336" t="s">
        <v>84</v>
      </c>
      <c r="BA336" t="s">
        <v>84</v>
      </c>
      <c r="BB336" t="s">
        <v>84</v>
      </c>
      <c r="BG336" t="s">
        <v>84</v>
      </c>
      <c r="BJ336" t="s">
        <v>84</v>
      </c>
      <c r="BK336" t="s">
        <v>84</v>
      </c>
      <c r="BM336" t="s">
        <v>84</v>
      </c>
      <c r="BS336" t="s">
        <v>84</v>
      </c>
      <c r="BT336" t="s">
        <v>84</v>
      </c>
      <c r="BU336">
        <v>0</v>
      </c>
      <c r="BV336">
        <v>0</v>
      </c>
      <c r="BW336">
        <v>729332.05169999995</v>
      </c>
    </row>
    <row r="337" spans="1:75" x14ac:dyDescent="0.25">
      <c r="A337">
        <v>358</v>
      </c>
      <c r="B337" s="1">
        <v>45128.884722222225</v>
      </c>
      <c r="C337" t="s">
        <v>630</v>
      </c>
      <c r="D337" t="s">
        <v>506</v>
      </c>
      <c r="E337" t="s">
        <v>178</v>
      </c>
      <c r="F337">
        <v>1</v>
      </c>
      <c r="G337" t="s">
        <v>608</v>
      </c>
      <c r="H337" t="s">
        <v>609</v>
      </c>
      <c r="I337" t="s">
        <v>552</v>
      </c>
      <c r="J337" t="s">
        <v>610</v>
      </c>
      <c r="K337" t="s">
        <v>181</v>
      </c>
      <c r="L337" t="s">
        <v>92</v>
      </c>
      <c r="M337" t="s">
        <v>631</v>
      </c>
      <c r="N337" t="s">
        <v>181</v>
      </c>
      <c r="O337" t="s">
        <v>82</v>
      </c>
      <c r="P337">
        <v>31110</v>
      </c>
      <c r="Q337" t="s">
        <v>83</v>
      </c>
      <c r="R337">
        <v>29100</v>
      </c>
      <c r="AB337">
        <v>31110</v>
      </c>
      <c r="AE337" t="s">
        <v>84</v>
      </c>
      <c r="AG337" t="s">
        <v>84</v>
      </c>
      <c r="AH337" t="s">
        <v>84</v>
      </c>
      <c r="AJ337" t="s">
        <v>84</v>
      </c>
      <c r="AK337" t="s">
        <v>84</v>
      </c>
      <c r="AQ337" t="s">
        <v>84</v>
      </c>
      <c r="AT337" t="s">
        <v>84</v>
      </c>
      <c r="AU337" t="s">
        <v>84</v>
      </c>
      <c r="AV337" t="s">
        <v>84</v>
      </c>
      <c r="AX337" t="s">
        <v>84</v>
      </c>
      <c r="BA337" t="s">
        <v>84</v>
      </c>
      <c r="BB337" t="s">
        <v>84</v>
      </c>
      <c r="BG337" t="s">
        <v>84</v>
      </c>
      <c r="BJ337" t="s">
        <v>84</v>
      </c>
      <c r="BK337" t="s">
        <v>84</v>
      </c>
      <c r="BM337" t="s">
        <v>84</v>
      </c>
      <c r="BS337" t="s">
        <v>84</v>
      </c>
      <c r="BT337" t="s">
        <v>84</v>
      </c>
      <c r="BU337">
        <v>0</v>
      </c>
      <c r="BV337">
        <v>0</v>
      </c>
      <c r="BW337">
        <v>29100</v>
      </c>
    </row>
    <row r="338" spans="1:75" x14ac:dyDescent="0.25">
      <c r="A338">
        <v>358</v>
      </c>
      <c r="B338" s="1">
        <v>45128.884722222225</v>
      </c>
      <c r="C338" t="s">
        <v>630</v>
      </c>
      <c r="D338" t="s">
        <v>506</v>
      </c>
      <c r="E338" t="s">
        <v>178</v>
      </c>
      <c r="F338">
        <v>0</v>
      </c>
      <c r="G338" t="s">
        <v>608</v>
      </c>
      <c r="H338" t="s">
        <v>609</v>
      </c>
      <c r="I338" t="s">
        <v>552</v>
      </c>
      <c r="J338" t="s">
        <v>610</v>
      </c>
      <c r="K338" t="s">
        <v>84</v>
      </c>
      <c r="L338" t="s">
        <v>92</v>
      </c>
      <c r="M338" t="s">
        <v>632</v>
      </c>
      <c r="N338" t="s">
        <v>633</v>
      </c>
      <c r="O338" t="s">
        <v>82</v>
      </c>
      <c r="P338">
        <v>27090</v>
      </c>
      <c r="Q338" t="s">
        <v>83</v>
      </c>
      <c r="AE338" t="s">
        <v>84</v>
      </c>
      <c r="AG338" t="s">
        <v>84</v>
      </c>
      <c r="AH338" t="s">
        <v>84</v>
      </c>
      <c r="AJ338" t="s">
        <v>84</v>
      </c>
      <c r="AK338" t="s">
        <v>84</v>
      </c>
      <c r="AQ338" t="s">
        <v>84</v>
      </c>
      <c r="AT338" t="s">
        <v>84</v>
      </c>
      <c r="AU338" t="s">
        <v>84</v>
      </c>
      <c r="AV338" t="s">
        <v>84</v>
      </c>
      <c r="AX338" t="s">
        <v>84</v>
      </c>
      <c r="BA338" t="s">
        <v>84</v>
      </c>
      <c r="BB338" t="s">
        <v>84</v>
      </c>
      <c r="BG338" t="s">
        <v>84</v>
      </c>
      <c r="BJ338" t="s">
        <v>84</v>
      </c>
      <c r="BK338" t="s">
        <v>84</v>
      </c>
      <c r="BM338" t="s">
        <v>84</v>
      </c>
      <c r="BS338" t="s">
        <v>84</v>
      </c>
      <c r="BT338" t="s">
        <v>84</v>
      </c>
      <c r="BU338">
        <v>0</v>
      </c>
      <c r="BV338">
        <v>0</v>
      </c>
      <c r="BW338">
        <v>29100</v>
      </c>
    </row>
    <row r="339" spans="1:75" x14ac:dyDescent="0.25">
      <c r="A339">
        <v>358</v>
      </c>
      <c r="B339" s="1">
        <v>45128.884722222225</v>
      </c>
      <c r="C339" t="s">
        <v>630</v>
      </c>
      <c r="D339" t="s">
        <v>506</v>
      </c>
      <c r="E339" t="s">
        <v>178</v>
      </c>
      <c r="F339">
        <v>0</v>
      </c>
      <c r="G339" t="s">
        <v>608</v>
      </c>
      <c r="H339" t="s">
        <v>609</v>
      </c>
      <c r="I339" t="s">
        <v>552</v>
      </c>
      <c r="J339" t="s">
        <v>610</v>
      </c>
      <c r="K339" t="s">
        <v>84</v>
      </c>
      <c r="L339" t="s">
        <v>98</v>
      </c>
      <c r="M339" t="s">
        <v>634</v>
      </c>
      <c r="N339" t="s">
        <v>635</v>
      </c>
      <c r="O339" t="s">
        <v>82</v>
      </c>
      <c r="P339">
        <v>34400</v>
      </c>
      <c r="Q339" t="s">
        <v>83</v>
      </c>
      <c r="W339">
        <v>1</v>
      </c>
      <c r="AE339" t="s">
        <v>84</v>
      </c>
      <c r="AG339" t="s">
        <v>84</v>
      </c>
      <c r="AH339" t="s">
        <v>84</v>
      </c>
      <c r="AJ339" t="s">
        <v>84</v>
      </c>
      <c r="AK339" t="s">
        <v>84</v>
      </c>
      <c r="AQ339" t="s">
        <v>84</v>
      </c>
      <c r="AT339" t="s">
        <v>84</v>
      </c>
      <c r="AU339" t="s">
        <v>84</v>
      </c>
      <c r="AV339" t="s">
        <v>84</v>
      </c>
      <c r="AX339" t="s">
        <v>84</v>
      </c>
      <c r="BA339" t="s">
        <v>84</v>
      </c>
      <c r="BB339" t="s">
        <v>84</v>
      </c>
      <c r="BG339" t="s">
        <v>84</v>
      </c>
      <c r="BJ339" t="s">
        <v>84</v>
      </c>
      <c r="BK339" t="s">
        <v>84</v>
      </c>
      <c r="BM339" t="s">
        <v>84</v>
      </c>
      <c r="BS339" t="s">
        <v>84</v>
      </c>
      <c r="BT339" t="s">
        <v>84</v>
      </c>
      <c r="BU339">
        <v>0</v>
      </c>
      <c r="BV339">
        <v>0</v>
      </c>
      <c r="BW339">
        <v>30216.666666666668</v>
      </c>
    </row>
    <row r="340" spans="1:75" x14ac:dyDescent="0.25">
      <c r="A340">
        <v>358</v>
      </c>
      <c r="B340" s="1">
        <v>45128.884722222225</v>
      </c>
      <c r="C340" t="s">
        <v>630</v>
      </c>
      <c r="D340" t="s">
        <v>506</v>
      </c>
      <c r="E340" t="s">
        <v>178</v>
      </c>
      <c r="F340">
        <v>1</v>
      </c>
      <c r="G340" t="s">
        <v>608</v>
      </c>
      <c r="H340" t="s">
        <v>609</v>
      </c>
      <c r="I340" t="s">
        <v>552</v>
      </c>
      <c r="J340" t="s">
        <v>610</v>
      </c>
      <c r="K340" t="s">
        <v>289</v>
      </c>
      <c r="L340" t="s">
        <v>98</v>
      </c>
      <c r="M340" t="s">
        <v>636</v>
      </c>
      <c r="N340" t="s">
        <v>637</v>
      </c>
      <c r="O340" t="s">
        <v>82</v>
      </c>
      <c r="P340">
        <v>35000</v>
      </c>
      <c r="Q340" t="s">
        <v>83</v>
      </c>
      <c r="R340">
        <v>30216.666669999999</v>
      </c>
      <c r="AE340" t="s">
        <v>84</v>
      </c>
      <c r="AG340" t="s">
        <v>84</v>
      </c>
      <c r="AH340" t="s">
        <v>84</v>
      </c>
      <c r="AJ340" t="s">
        <v>84</v>
      </c>
      <c r="AK340" t="s">
        <v>84</v>
      </c>
      <c r="AQ340" t="s">
        <v>84</v>
      </c>
      <c r="AS340">
        <v>35000</v>
      </c>
      <c r="AT340" t="s">
        <v>84</v>
      </c>
      <c r="AU340" t="s">
        <v>84</v>
      </c>
      <c r="AV340" t="s">
        <v>84</v>
      </c>
      <c r="AX340" t="s">
        <v>84</v>
      </c>
      <c r="BA340" t="s">
        <v>84</v>
      </c>
      <c r="BB340" t="s">
        <v>84</v>
      </c>
      <c r="BG340" t="s">
        <v>84</v>
      </c>
      <c r="BJ340" t="s">
        <v>84</v>
      </c>
      <c r="BK340" t="s">
        <v>84</v>
      </c>
      <c r="BM340" t="s">
        <v>84</v>
      </c>
      <c r="BS340" t="s">
        <v>84</v>
      </c>
      <c r="BT340" t="s">
        <v>84</v>
      </c>
      <c r="BU340">
        <v>0</v>
      </c>
      <c r="BV340">
        <v>0</v>
      </c>
      <c r="BW340">
        <v>30216.666666666668</v>
      </c>
    </row>
    <row r="341" spans="1:75" x14ac:dyDescent="0.25">
      <c r="A341">
        <v>358</v>
      </c>
      <c r="B341" s="1">
        <v>45128.884722222225</v>
      </c>
      <c r="C341" t="s">
        <v>630</v>
      </c>
      <c r="D341" t="s">
        <v>506</v>
      </c>
      <c r="E341" t="s">
        <v>178</v>
      </c>
      <c r="F341">
        <v>0</v>
      </c>
      <c r="G341" t="s">
        <v>608</v>
      </c>
      <c r="H341" t="s">
        <v>609</v>
      </c>
      <c r="I341" t="s">
        <v>552</v>
      </c>
      <c r="J341" t="s">
        <v>610</v>
      </c>
      <c r="K341" t="s">
        <v>84</v>
      </c>
      <c r="L341" t="s">
        <v>98</v>
      </c>
      <c r="M341" t="s">
        <v>638</v>
      </c>
      <c r="N341" t="s">
        <v>639</v>
      </c>
      <c r="O341" t="s">
        <v>82</v>
      </c>
      <c r="P341">
        <v>21250</v>
      </c>
      <c r="Q341" t="s">
        <v>83</v>
      </c>
      <c r="AE341" t="s">
        <v>84</v>
      </c>
      <c r="AG341" t="s">
        <v>84</v>
      </c>
      <c r="AH341" t="s">
        <v>84</v>
      </c>
      <c r="AJ341" t="s">
        <v>84</v>
      </c>
      <c r="AK341" t="s">
        <v>84</v>
      </c>
      <c r="AQ341" t="s">
        <v>84</v>
      </c>
      <c r="AT341" t="s">
        <v>84</v>
      </c>
      <c r="AU341" t="s">
        <v>84</v>
      </c>
      <c r="AV341" t="s">
        <v>84</v>
      </c>
      <c r="AX341" t="s">
        <v>84</v>
      </c>
      <c r="BA341" t="s">
        <v>84</v>
      </c>
      <c r="BB341" t="s">
        <v>84</v>
      </c>
      <c r="BG341" t="s">
        <v>84</v>
      </c>
      <c r="BJ341" t="s">
        <v>84</v>
      </c>
      <c r="BK341" t="s">
        <v>84</v>
      </c>
      <c r="BM341" t="s">
        <v>84</v>
      </c>
      <c r="BS341" t="s">
        <v>84</v>
      </c>
      <c r="BT341" t="s">
        <v>84</v>
      </c>
      <c r="BU341">
        <v>0</v>
      </c>
      <c r="BV341">
        <v>0</v>
      </c>
      <c r="BW341">
        <v>30216.666666666668</v>
      </c>
    </row>
    <row r="342" spans="1:75" x14ac:dyDescent="0.25">
      <c r="A342">
        <v>358</v>
      </c>
      <c r="B342" s="1">
        <v>45128.884722222225</v>
      </c>
      <c r="C342" t="s">
        <v>630</v>
      </c>
      <c r="D342" t="s">
        <v>506</v>
      </c>
      <c r="E342" t="s">
        <v>178</v>
      </c>
      <c r="F342">
        <v>0</v>
      </c>
      <c r="G342" t="s">
        <v>608</v>
      </c>
      <c r="H342" t="s">
        <v>609</v>
      </c>
      <c r="I342" t="s">
        <v>552</v>
      </c>
      <c r="J342" t="s">
        <v>610</v>
      </c>
      <c r="K342" t="s">
        <v>84</v>
      </c>
      <c r="L342" t="s">
        <v>87</v>
      </c>
      <c r="M342" t="s">
        <v>630</v>
      </c>
      <c r="N342" t="s">
        <v>640</v>
      </c>
      <c r="O342" t="s">
        <v>82</v>
      </c>
      <c r="P342">
        <v>101570.52499999999</v>
      </c>
      <c r="Q342" t="s">
        <v>83</v>
      </c>
      <c r="W342">
        <v>1</v>
      </c>
      <c r="X342">
        <v>1</v>
      </c>
      <c r="AE342" t="s">
        <v>84</v>
      </c>
      <c r="AG342" t="s">
        <v>84</v>
      </c>
      <c r="AH342" t="s">
        <v>84</v>
      </c>
      <c r="AJ342" t="s">
        <v>84</v>
      </c>
      <c r="AK342" t="s">
        <v>84</v>
      </c>
      <c r="AQ342" t="s">
        <v>84</v>
      </c>
      <c r="AT342" t="s">
        <v>84</v>
      </c>
      <c r="AU342" t="s">
        <v>84</v>
      </c>
      <c r="AV342" t="s">
        <v>84</v>
      </c>
      <c r="AX342" t="s">
        <v>84</v>
      </c>
      <c r="BA342" t="s">
        <v>84</v>
      </c>
      <c r="BB342" t="s">
        <v>84</v>
      </c>
      <c r="BG342" t="s">
        <v>84</v>
      </c>
      <c r="BJ342" t="s">
        <v>84</v>
      </c>
      <c r="BK342" t="s">
        <v>84</v>
      </c>
      <c r="BM342" t="s">
        <v>84</v>
      </c>
      <c r="BS342" t="s">
        <v>84</v>
      </c>
      <c r="BT342" t="s">
        <v>84</v>
      </c>
      <c r="BU342">
        <v>0</v>
      </c>
      <c r="BV342">
        <v>0</v>
      </c>
      <c r="BW342">
        <v>109087.2611</v>
      </c>
    </row>
    <row r="343" spans="1:75" x14ac:dyDescent="0.25">
      <c r="A343">
        <v>358</v>
      </c>
      <c r="B343" s="1">
        <v>45128.884722222225</v>
      </c>
      <c r="C343" t="s">
        <v>630</v>
      </c>
      <c r="D343" t="s">
        <v>506</v>
      </c>
      <c r="E343" t="s">
        <v>178</v>
      </c>
      <c r="F343">
        <v>1</v>
      </c>
      <c r="G343" t="s">
        <v>608</v>
      </c>
      <c r="H343" t="s">
        <v>609</v>
      </c>
      <c r="I343" t="s">
        <v>552</v>
      </c>
      <c r="J343" t="s">
        <v>610</v>
      </c>
      <c r="K343" t="s">
        <v>495</v>
      </c>
      <c r="L343" t="s">
        <v>87</v>
      </c>
      <c r="M343" t="s">
        <v>630</v>
      </c>
      <c r="N343" t="s">
        <v>641</v>
      </c>
      <c r="O343" t="s">
        <v>82</v>
      </c>
      <c r="P343">
        <v>109992.925</v>
      </c>
      <c r="Q343" t="s">
        <v>83</v>
      </c>
      <c r="R343">
        <v>109087.2611</v>
      </c>
      <c r="AE343" t="s">
        <v>84</v>
      </c>
      <c r="AG343" t="s">
        <v>84</v>
      </c>
      <c r="AH343" t="s">
        <v>84</v>
      </c>
      <c r="AJ343" t="s">
        <v>84</v>
      </c>
      <c r="AK343" t="s">
        <v>84</v>
      </c>
      <c r="AL343">
        <v>30350</v>
      </c>
      <c r="AM343">
        <v>20500</v>
      </c>
      <c r="AN343">
        <v>18700</v>
      </c>
      <c r="AO343">
        <v>10688</v>
      </c>
      <c r="AQ343" t="s">
        <v>84</v>
      </c>
      <c r="AT343" t="s">
        <v>84</v>
      </c>
      <c r="AU343" t="s">
        <v>84</v>
      </c>
      <c r="AV343" t="s">
        <v>84</v>
      </c>
      <c r="AX343" t="s">
        <v>84</v>
      </c>
      <c r="BA343" t="s">
        <v>84</v>
      </c>
      <c r="BB343" t="s">
        <v>84</v>
      </c>
      <c r="BG343" t="s">
        <v>84</v>
      </c>
      <c r="BJ343" t="s">
        <v>84</v>
      </c>
      <c r="BK343" t="s">
        <v>84</v>
      </c>
      <c r="BM343" t="s">
        <v>84</v>
      </c>
      <c r="BS343" t="s">
        <v>84</v>
      </c>
      <c r="BT343" t="s">
        <v>84</v>
      </c>
      <c r="BU343">
        <v>0</v>
      </c>
      <c r="BV343">
        <v>0</v>
      </c>
      <c r="BW343">
        <v>109087.2611</v>
      </c>
    </row>
    <row r="344" spans="1:75" x14ac:dyDescent="0.25">
      <c r="A344">
        <v>358</v>
      </c>
      <c r="B344" s="1">
        <v>45128.884722222225</v>
      </c>
      <c r="C344" t="s">
        <v>630</v>
      </c>
      <c r="D344" t="s">
        <v>506</v>
      </c>
      <c r="E344" t="s">
        <v>178</v>
      </c>
      <c r="F344">
        <v>0</v>
      </c>
      <c r="G344" t="s">
        <v>608</v>
      </c>
      <c r="H344" t="s">
        <v>609</v>
      </c>
      <c r="I344" t="s">
        <v>552</v>
      </c>
      <c r="J344" t="s">
        <v>610</v>
      </c>
      <c r="K344" t="s">
        <v>84</v>
      </c>
      <c r="L344" t="s">
        <v>87</v>
      </c>
      <c r="M344" t="s">
        <v>642</v>
      </c>
      <c r="N344" t="s">
        <v>643</v>
      </c>
      <c r="O344" t="s">
        <v>82</v>
      </c>
      <c r="P344">
        <v>115698.3333</v>
      </c>
      <c r="Q344" t="s">
        <v>83</v>
      </c>
      <c r="X344">
        <v>1</v>
      </c>
      <c r="AE344" t="s">
        <v>84</v>
      </c>
      <c r="AG344" t="s">
        <v>84</v>
      </c>
      <c r="AH344" t="s">
        <v>84</v>
      </c>
      <c r="AJ344" t="s">
        <v>84</v>
      </c>
      <c r="AK344" t="s">
        <v>84</v>
      </c>
      <c r="AQ344" t="s">
        <v>84</v>
      </c>
      <c r="AT344" t="s">
        <v>84</v>
      </c>
      <c r="AU344" t="s">
        <v>84</v>
      </c>
      <c r="AV344" t="s">
        <v>84</v>
      </c>
      <c r="AX344" t="s">
        <v>84</v>
      </c>
      <c r="BA344" t="s">
        <v>84</v>
      </c>
      <c r="BB344" t="s">
        <v>84</v>
      </c>
      <c r="BG344" t="s">
        <v>84</v>
      </c>
      <c r="BJ344" t="s">
        <v>84</v>
      </c>
      <c r="BK344" t="s">
        <v>84</v>
      </c>
      <c r="BM344" t="s">
        <v>84</v>
      </c>
      <c r="BS344" t="s">
        <v>84</v>
      </c>
      <c r="BT344" t="s">
        <v>84</v>
      </c>
      <c r="BU344">
        <v>0</v>
      </c>
      <c r="BV344">
        <v>0</v>
      </c>
      <c r="BW344">
        <v>109087.2611</v>
      </c>
    </row>
    <row r="345" spans="1:75" x14ac:dyDescent="0.25">
      <c r="A345">
        <v>358</v>
      </c>
      <c r="B345" s="1">
        <v>45128.884722222225</v>
      </c>
      <c r="C345" t="s">
        <v>630</v>
      </c>
      <c r="D345" t="s">
        <v>506</v>
      </c>
      <c r="E345" t="s">
        <v>178</v>
      </c>
      <c r="F345">
        <v>0</v>
      </c>
      <c r="G345" t="s">
        <v>608</v>
      </c>
      <c r="H345" t="s">
        <v>609</v>
      </c>
      <c r="I345" t="s">
        <v>552</v>
      </c>
      <c r="J345" t="s">
        <v>610</v>
      </c>
      <c r="K345" t="s">
        <v>84</v>
      </c>
      <c r="L345" t="s">
        <v>80</v>
      </c>
      <c r="M345" t="s">
        <v>630</v>
      </c>
      <c r="N345" t="s">
        <v>644</v>
      </c>
      <c r="O345" t="s">
        <v>82</v>
      </c>
      <c r="P345">
        <v>797565.82929999998</v>
      </c>
      <c r="Q345" t="s">
        <v>83</v>
      </c>
      <c r="AE345" t="s">
        <v>84</v>
      </c>
      <c r="AG345" t="s">
        <v>84</v>
      </c>
      <c r="AH345" t="s">
        <v>84</v>
      </c>
      <c r="AJ345" t="s">
        <v>84</v>
      </c>
      <c r="AK345" t="s">
        <v>84</v>
      </c>
      <c r="AQ345" t="s">
        <v>84</v>
      </c>
      <c r="AT345" t="s">
        <v>84</v>
      </c>
      <c r="AU345" t="s">
        <v>84</v>
      </c>
      <c r="AV345" t="s">
        <v>84</v>
      </c>
      <c r="AX345" t="s">
        <v>84</v>
      </c>
      <c r="BA345" t="s">
        <v>84</v>
      </c>
      <c r="BB345" t="s">
        <v>84</v>
      </c>
      <c r="BG345" t="s">
        <v>84</v>
      </c>
      <c r="BJ345" t="s">
        <v>84</v>
      </c>
      <c r="BK345" t="s">
        <v>84</v>
      </c>
      <c r="BM345" t="s">
        <v>84</v>
      </c>
      <c r="BS345" t="s">
        <v>84</v>
      </c>
      <c r="BT345" t="s">
        <v>84</v>
      </c>
      <c r="BU345">
        <v>0</v>
      </c>
      <c r="BV345">
        <v>0</v>
      </c>
      <c r="BW345">
        <v>801505.2209666667</v>
      </c>
    </row>
    <row r="346" spans="1:75" x14ac:dyDescent="0.25">
      <c r="A346">
        <v>358</v>
      </c>
      <c r="B346" s="1">
        <v>45128.884722222225</v>
      </c>
      <c r="C346" t="s">
        <v>630</v>
      </c>
      <c r="D346" t="s">
        <v>506</v>
      </c>
      <c r="E346" t="s">
        <v>178</v>
      </c>
      <c r="F346">
        <v>0</v>
      </c>
      <c r="G346" t="s">
        <v>608</v>
      </c>
      <c r="H346" t="s">
        <v>609</v>
      </c>
      <c r="I346" t="s">
        <v>552</v>
      </c>
      <c r="J346" t="s">
        <v>610</v>
      </c>
      <c r="K346" t="s">
        <v>84</v>
      </c>
      <c r="L346" t="s">
        <v>80</v>
      </c>
      <c r="M346" t="s">
        <v>630</v>
      </c>
      <c r="N346" t="s">
        <v>645</v>
      </c>
      <c r="O346" t="s">
        <v>82</v>
      </c>
      <c r="P346">
        <v>808227.59360000002</v>
      </c>
      <c r="Q346" t="s">
        <v>83</v>
      </c>
      <c r="AE346" t="s">
        <v>84</v>
      </c>
      <c r="AG346" t="s">
        <v>84</v>
      </c>
      <c r="AH346" t="s">
        <v>84</v>
      </c>
      <c r="AJ346" t="s">
        <v>84</v>
      </c>
      <c r="AK346" t="s">
        <v>84</v>
      </c>
      <c r="AQ346" t="s">
        <v>84</v>
      </c>
      <c r="AT346" t="s">
        <v>84</v>
      </c>
      <c r="AU346" t="s">
        <v>84</v>
      </c>
      <c r="AV346" t="s">
        <v>84</v>
      </c>
      <c r="AX346" t="s">
        <v>84</v>
      </c>
      <c r="BA346" t="s">
        <v>84</v>
      </c>
      <c r="BB346" t="s">
        <v>84</v>
      </c>
      <c r="BG346" t="s">
        <v>84</v>
      </c>
      <c r="BJ346" t="s">
        <v>84</v>
      </c>
      <c r="BK346" t="s">
        <v>84</v>
      </c>
      <c r="BM346" t="s">
        <v>84</v>
      </c>
      <c r="BS346" t="s">
        <v>84</v>
      </c>
      <c r="BT346" t="s">
        <v>84</v>
      </c>
      <c r="BU346">
        <v>0</v>
      </c>
      <c r="BV346">
        <v>0</v>
      </c>
      <c r="BW346">
        <v>801505.2209666667</v>
      </c>
    </row>
    <row r="347" spans="1:75" x14ac:dyDescent="0.25">
      <c r="A347">
        <v>358</v>
      </c>
      <c r="B347" s="1">
        <v>45128.884722222225</v>
      </c>
      <c r="C347" t="s">
        <v>630</v>
      </c>
      <c r="D347" t="s">
        <v>506</v>
      </c>
      <c r="E347" t="s">
        <v>178</v>
      </c>
      <c r="F347">
        <v>1</v>
      </c>
      <c r="G347" t="s">
        <v>608</v>
      </c>
      <c r="H347" t="s">
        <v>609</v>
      </c>
      <c r="I347" t="s">
        <v>552</v>
      </c>
      <c r="J347" t="s">
        <v>610</v>
      </c>
      <c r="K347" t="s">
        <v>167</v>
      </c>
      <c r="L347" t="s">
        <v>80</v>
      </c>
      <c r="M347" t="s">
        <v>630</v>
      </c>
      <c r="N347" t="s">
        <v>646</v>
      </c>
      <c r="O347" t="s">
        <v>82</v>
      </c>
      <c r="P347">
        <v>798722.24</v>
      </c>
      <c r="Q347" t="s">
        <v>83</v>
      </c>
      <c r="R347">
        <v>801505.22100000002</v>
      </c>
      <c r="Z347">
        <v>21271.25</v>
      </c>
      <c r="AA347">
        <v>74300</v>
      </c>
      <c r="AE347" t="s">
        <v>84</v>
      </c>
      <c r="AG347" t="s">
        <v>84</v>
      </c>
      <c r="AH347" t="s">
        <v>84</v>
      </c>
      <c r="AI347">
        <v>205000</v>
      </c>
      <c r="AJ347" t="s">
        <v>84</v>
      </c>
      <c r="AK347" t="s">
        <v>84</v>
      </c>
      <c r="AL347">
        <v>0</v>
      </c>
      <c r="AN347">
        <v>0</v>
      </c>
      <c r="AP347">
        <v>53400</v>
      </c>
      <c r="AQ347" t="s">
        <v>84</v>
      </c>
      <c r="AR347">
        <v>3000</v>
      </c>
      <c r="AT347" t="s">
        <v>84</v>
      </c>
      <c r="AU347" t="s">
        <v>84</v>
      </c>
      <c r="AV347" t="s">
        <v>84</v>
      </c>
      <c r="AW347">
        <v>31138</v>
      </c>
      <c r="AX347" t="s">
        <v>84</v>
      </c>
      <c r="AY347">
        <v>4400</v>
      </c>
      <c r="BA347" t="s">
        <v>84</v>
      </c>
      <c r="BB347" t="s">
        <v>84</v>
      </c>
      <c r="BC347">
        <v>23300</v>
      </c>
      <c r="BD347">
        <v>60203</v>
      </c>
      <c r="BG347" t="s">
        <v>84</v>
      </c>
      <c r="BH347">
        <v>14400</v>
      </c>
      <c r="BI347">
        <v>118189.5</v>
      </c>
      <c r="BJ347" t="s">
        <v>84</v>
      </c>
      <c r="BK347" t="s">
        <v>84</v>
      </c>
      <c r="BM347" t="s">
        <v>84</v>
      </c>
      <c r="BP347">
        <v>15400</v>
      </c>
      <c r="BQ347">
        <v>0</v>
      </c>
      <c r="BR347">
        <v>0</v>
      </c>
      <c r="BS347" t="s">
        <v>84</v>
      </c>
      <c r="BT347" t="s">
        <v>84</v>
      </c>
      <c r="BU347">
        <v>0</v>
      </c>
      <c r="BV347">
        <v>0</v>
      </c>
      <c r="BW347">
        <v>801505.2209666667</v>
      </c>
    </row>
    <row r="348" spans="1:75" x14ac:dyDescent="0.25">
      <c r="A348">
        <v>361</v>
      </c>
      <c r="B348" s="1">
        <v>45128.886111111111</v>
      </c>
      <c r="C348" t="s">
        <v>647</v>
      </c>
      <c r="D348" t="s">
        <v>506</v>
      </c>
      <c r="E348" t="s">
        <v>178</v>
      </c>
      <c r="F348">
        <v>0</v>
      </c>
      <c r="G348" t="s">
        <v>608</v>
      </c>
      <c r="H348" t="s">
        <v>648</v>
      </c>
      <c r="I348" t="s">
        <v>552</v>
      </c>
      <c r="J348" t="s">
        <v>610</v>
      </c>
      <c r="K348" t="s">
        <v>84</v>
      </c>
      <c r="L348" t="s">
        <v>92</v>
      </c>
      <c r="M348" t="s">
        <v>649</v>
      </c>
      <c r="N348" t="s">
        <v>181</v>
      </c>
      <c r="O348" t="s">
        <v>82</v>
      </c>
      <c r="P348">
        <v>38480</v>
      </c>
      <c r="Q348" t="s">
        <v>83</v>
      </c>
      <c r="T348">
        <v>1</v>
      </c>
      <c r="AE348" t="s">
        <v>84</v>
      </c>
      <c r="AG348" t="s">
        <v>84</v>
      </c>
      <c r="AH348" t="s">
        <v>84</v>
      </c>
      <c r="AJ348" t="s">
        <v>84</v>
      </c>
      <c r="AK348" t="s">
        <v>84</v>
      </c>
      <c r="AQ348" t="s">
        <v>84</v>
      </c>
      <c r="AT348" t="s">
        <v>84</v>
      </c>
      <c r="AU348" t="s">
        <v>84</v>
      </c>
      <c r="AV348" t="s">
        <v>84</v>
      </c>
      <c r="AX348" t="s">
        <v>84</v>
      </c>
      <c r="BA348" t="s">
        <v>84</v>
      </c>
      <c r="BB348" t="s">
        <v>84</v>
      </c>
      <c r="BG348" t="s">
        <v>84</v>
      </c>
      <c r="BJ348" t="s">
        <v>84</v>
      </c>
      <c r="BK348" t="s">
        <v>84</v>
      </c>
      <c r="BM348" t="s">
        <v>84</v>
      </c>
      <c r="BS348" t="s">
        <v>84</v>
      </c>
      <c r="BT348" t="s">
        <v>84</v>
      </c>
      <c r="BU348">
        <v>0</v>
      </c>
      <c r="BV348">
        <v>0</v>
      </c>
      <c r="BW348">
        <v>48485</v>
      </c>
    </row>
    <row r="349" spans="1:75" x14ac:dyDescent="0.25">
      <c r="A349">
        <v>361</v>
      </c>
      <c r="B349" s="1">
        <v>45128.886111111111</v>
      </c>
      <c r="C349" t="s">
        <v>647</v>
      </c>
      <c r="D349" t="s">
        <v>506</v>
      </c>
      <c r="E349" t="s">
        <v>178</v>
      </c>
      <c r="F349">
        <v>1</v>
      </c>
      <c r="G349" t="s">
        <v>608</v>
      </c>
      <c r="H349" t="s">
        <v>648</v>
      </c>
      <c r="I349" t="s">
        <v>552</v>
      </c>
      <c r="J349" t="s">
        <v>610</v>
      </c>
      <c r="K349" t="s">
        <v>301</v>
      </c>
      <c r="L349" t="s">
        <v>92</v>
      </c>
      <c r="M349" t="s">
        <v>650</v>
      </c>
      <c r="N349" t="s">
        <v>303</v>
      </c>
      <c r="O349" t="s">
        <v>82</v>
      </c>
      <c r="P349">
        <v>58490</v>
      </c>
      <c r="Q349" t="s">
        <v>83</v>
      </c>
      <c r="R349">
        <v>48485</v>
      </c>
      <c r="S349">
        <v>1</v>
      </c>
      <c r="V349">
        <v>1</v>
      </c>
      <c r="W349">
        <v>1</v>
      </c>
      <c r="AB349">
        <v>58490</v>
      </c>
      <c r="AE349" t="s">
        <v>84</v>
      </c>
      <c r="AG349" t="s">
        <v>84</v>
      </c>
      <c r="AH349" t="s">
        <v>84</v>
      </c>
      <c r="AJ349" t="s">
        <v>84</v>
      </c>
      <c r="AK349" t="s">
        <v>84</v>
      </c>
      <c r="AQ349" t="s">
        <v>84</v>
      </c>
      <c r="AT349" t="s">
        <v>84</v>
      </c>
      <c r="AU349" t="s">
        <v>84</v>
      </c>
      <c r="AV349" t="s">
        <v>84</v>
      </c>
      <c r="AX349" t="s">
        <v>84</v>
      </c>
      <c r="BA349" t="s">
        <v>84</v>
      </c>
      <c r="BB349" t="s">
        <v>84</v>
      </c>
      <c r="BG349" t="s">
        <v>84</v>
      </c>
      <c r="BJ349" t="s">
        <v>84</v>
      </c>
      <c r="BK349" t="s">
        <v>84</v>
      </c>
      <c r="BM349" t="s">
        <v>84</v>
      </c>
      <c r="BS349" t="s">
        <v>84</v>
      </c>
      <c r="BT349" t="s">
        <v>84</v>
      </c>
      <c r="BU349">
        <v>58490</v>
      </c>
      <c r="BV349">
        <v>58490</v>
      </c>
      <c r="BW349">
        <v>48485</v>
      </c>
    </row>
    <row r="350" spans="1:75" x14ac:dyDescent="0.25">
      <c r="A350">
        <v>361</v>
      </c>
      <c r="B350" s="1">
        <v>45128.886111111111</v>
      </c>
      <c r="C350" t="s">
        <v>647</v>
      </c>
      <c r="D350" t="s">
        <v>506</v>
      </c>
      <c r="E350" t="s">
        <v>178</v>
      </c>
      <c r="F350">
        <v>1</v>
      </c>
      <c r="G350" t="s">
        <v>608</v>
      </c>
      <c r="H350" t="s">
        <v>648</v>
      </c>
      <c r="I350" t="s">
        <v>552</v>
      </c>
      <c r="J350" t="s">
        <v>610</v>
      </c>
      <c r="K350" t="s">
        <v>238</v>
      </c>
      <c r="L350" t="s">
        <v>98</v>
      </c>
      <c r="M350" t="s">
        <v>651</v>
      </c>
      <c r="N350" t="s">
        <v>652</v>
      </c>
      <c r="O350" t="s">
        <v>82</v>
      </c>
      <c r="P350">
        <v>47100</v>
      </c>
      <c r="Q350" t="s">
        <v>83</v>
      </c>
      <c r="R350">
        <v>29333.333330000001</v>
      </c>
      <c r="AE350" t="s">
        <v>84</v>
      </c>
      <c r="AG350" t="s">
        <v>84</v>
      </c>
      <c r="AH350" t="s">
        <v>84</v>
      </c>
      <c r="AJ350" t="s">
        <v>84</v>
      </c>
      <c r="AK350" t="s">
        <v>84</v>
      </c>
      <c r="AQ350" t="s">
        <v>84</v>
      </c>
      <c r="AS350">
        <v>47100</v>
      </c>
      <c r="AT350" t="s">
        <v>84</v>
      </c>
      <c r="AU350" t="s">
        <v>84</v>
      </c>
      <c r="AV350" t="s">
        <v>84</v>
      </c>
      <c r="AX350" t="s">
        <v>84</v>
      </c>
      <c r="BA350" t="s">
        <v>84</v>
      </c>
      <c r="BB350" t="s">
        <v>84</v>
      </c>
      <c r="BG350" t="s">
        <v>84</v>
      </c>
      <c r="BJ350" t="s">
        <v>84</v>
      </c>
      <c r="BK350" t="s">
        <v>84</v>
      </c>
      <c r="BM350" t="s">
        <v>84</v>
      </c>
      <c r="BS350" t="s">
        <v>84</v>
      </c>
      <c r="BT350" t="s">
        <v>84</v>
      </c>
      <c r="BU350">
        <v>0</v>
      </c>
      <c r="BV350">
        <v>0</v>
      </c>
      <c r="BW350">
        <v>29333.333333333332</v>
      </c>
    </row>
    <row r="351" spans="1:75" x14ac:dyDescent="0.25">
      <c r="A351">
        <v>361</v>
      </c>
      <c r="B351" s="1">
        <v>45128.886111111111</v>
      </c>
      <c r="C351" t="s">
        <v>647</v>
      </c>
      <c r="D351" t="s">
        <v>506</v>
      </c>
      <c r="E351" t="s">
        <v>178</v>
      </c>
      <c r="F351">
        <v>0</v>
      </c>
      <c r="G351" t="s">
        <v>608</v>
      </c>
      <c r="H351" t="s">
        <v>648</v>
      </c>
      <c r="I351" t="s">
        <v>552</v>
      </c>
      <c r="J351" t="s">
        <v>610</v>
      </c>
      <c r="K351" t="s">
        <v>84</v>
      </c>
      <c r="L351" t="s">
        <v>98</v>
      </c>
      <c r="M351" t="s">
        <v>653</v>
      </c>
      <c r="N351" t="s">
        <v>654</v>
      </c>
      <c r="O351" t="s">
        <v>82</v>
      </c>
      <c r="P351">
        <v>22650</v>
      </c>
      <c r="Q351" t="s">
        <v>83</v>
      </c>
      <c r="W351">
        <v>1</v>
      </c>
      <c r="AE351" t="s">
        <v>84</v>
      </c>
      <c r="AG351" t="s">
        <v>84</v>
      </c>
      <c r="AH351" t="s">
        <v>84</v>
      </c>
      <c r="AJ351" t="s">
        <v>84</v>
      </c>
      <c r="AK351" t="s">
        <v>84</v>
      </c>
      <c r="AQ351" t="s">
        <v>84</v>
      </c>
      <c r="AT351" t="s">
        <v>84</v>
      </c>
      <c r="AU351" t="s">
        <v>84</v>
      </c>
      <c r="AV351" t="s">
        <v>84</v>
      </c>
      <c r="AX351" t="s">
        <v>84</v>
      </c>
      <c r="BA351" t="s">
        <v>84</v>
      </c>
      <c r="BB351" t="s">
        <v>84</v>
      </c>
      <c r="BG351" t="s">
        <v>84</v>
      </c>
      <c r="BJ351" t="s">
        <v>84</v>
      </c>
      <c r="BK351" t="s">
        <v>84</v>
      </c>
      <c r="BM351" t="s">
        <v>84</v>
      </c>
      <c r="BS351" t="s">
        <v>84</v>
      </c>
      <c r="BT351" t="s">
        <v>84</v>
      </c>
      <c r="BU351">
        <v>0</v>
      </c>
      <c r="BV351">
        <v>0</v>
      </c>
      <c r="BW351">
        <v>29333.333333333332</v>
      </c>
    </row>
    <row r="352" spans="1:75" x14ac:dyDescent="0.25">
      <c r="A352">
        <v>361</v>
      </c>
      <c r="B352" s="1">
        <v>45128.886111111111</v>
      </c>
      <c r="C352" t="s">
        <v>647</v>
      </c>
      <c r="D352" t="s">
        <v>506</v>
      </c>
      <c r="E352" t="s">
        <v>178</v>
      </c>
      <c r="F352">
        <v>0</v>
      </c>
      <c r="G352" t="s">
        <v>608</v>
      </c>
      <c r="H352" t="s">
        <v>648</v>
      </c>
      <c r="I352" t="s">
        <v>552</v>
      </c>
      <c r="J352" t="s">
        <v>610</v>
      </c>
      <c r="K352" t="s">
        <v>84</v>
      </c>
      <c r="L352" t="s">
        <v>98</v>
      </c>
      <c r="M352" t="s">
        <v>655</v>
      </c>
      <c r="N352" t="s">
        <v>656</v>
      </c>
      <c r="O352" t="s">
        <v>82</v>
      </c>
      <c r="P352">
        <v>18250</v>
      </c>
      <c r="Q352" t="s">
        <v>83</v>
      </c>
      <c r="V352">
        <v>1</v>
      </c>
      <c r="AE352" t="s">
        <v>84</v>
      </c>
      <c r="AG352" t="s">
        <v>84</v>
      </c>
      <c r="AH352" t="s">
        <v>84</v>
      </c>
      <c r="AJ352" t="s">
        <v>84</v>
      </c>
      <c r="AK352" t="s">
        <v>84</v>
      </c>
      <c r="AQ352" t="s">
        <v>84</v>
      </c>
      <c r="AT352" t="s">
        <v>84</v>
      </c>
      <c r="AU352" t="s">
        <v>84</v>
      </c>
      <c r="AV352" t="s">
        <v>84</v>
      </c>
      <c r="AX352" t="s">
        <v>84</v>
      </c>
      <c r="BA352" t="s">
        <v>84</v>
      </c>
      <c r="BB352" t="s">
        <v>84</v>
      </c>
      <c r="BG352" t="s">
        <v>84</v>
      </c>
      <c r="BJ352" t="s">
        <v>84</v>
      </c>
      <c r="BK352" t="s">
        <v>84</v>
      </c>
      <c r="BM352" t="s">
        <v>84</v>
      </c>
      <c r="BS352" t="s">
        <v>84</v>
      </c>
      <c r="BT352" t="s">
        <v>84</v>
      </c>
      <c r="BU352">
        <v>0</v>
      </c>
      <c r="BV352">
        <v>0</v>
      </c>
      <c r="BW352">
        <v>29333.333333333332</v>
      </c>
    </row>
    <row r="353" spans="1:75" x14ac:dyDescent="0.25">
      <c r="A353">
        <v>361</v>
      </c>
      <c r="B353" s="1">
        <v>45128.886111111111</v>
      </c>
      <c r="C353" t="s">
        <v>647</v>
      </c>
      <c r="D353" t="s">
        <v>506</v>
      </c>
      <c r="E353" t="s">
        <v>178</v>
      </c>
      <c r="F353">
        <v>1</v>
      </c>
      <c r="G353" t="s">
        <v>608</v>
      </c>
      <c r="H353" t="s">
        <v>648</v>
      </c>
      <c r="I353" t="s">
        <v>552</v>
      </c>
      <c r="J353" t="s">
        <v>610</v>
      </c>
      <c r="K353" t="s">
        <v>413</v>
      </c>
      <c r="L353" t="s">
        <v>87</v>
      </c>
      <c r="M353" t="s">
        <v>657</v>
      </c>
      <c r="N353" t="s">
        <v>658</v>
      </c>
      <c r="O353" t="s">
        <v>82</v>
      </c>
      <c r="P353">
        <v>128682.8667</v>
      </c>
      <c r="Q353" t="s">
        <v>83</v>
      </c>
      <c r="R353">
        <v>128325.07919999999</v>
      </c>
      <c r="AE353" t="s">
        <v>84</v>
      </c>
      <c r="AG353" t="s">
        <v>84</v>
      </c>
      <c r="AH353" t="s">
        <v>84</v>
      </c>
      <c r="AJ353" t="s">
        <v>84</v>
      </c>
      <c r="AK353" t="s">
        <v>84</v>
      </c>
      <c r="AL353">
        <v>21250</v>
      </c>
      <c r="AM353">
        <v>29200</v>
      </c>
      <c r="AN353">
        <v>33600</v>
      </c>
      <c r="AO353">
        <v>9822</v>
      </c>
      <c r="AQ353" t="s">
        <v>84</v>
      </c>
      <c r="AT353" t="s">
        <v>84</v>
      </c>
      <c r="AU353" t="s">
        <v>84</v>
      </c>
      <c r="AV353" t="s">
        <v>84</v>
      </c>
      <c r="AX353" t="s">
        <v>84</v>
      </c>
      <c r="BA353" t="s">
        <v>84</v>
      </c>
      <c r="BB353" t="s">
        <v>84</v>
      </c>
      <c r="BG353" t="s">
        <v>84</v>
      </c>
      <c r="BJ353" t="s">
        <v>84</v>
      </c>
      <c r="BK353" t="s">
        <v>84</v>
      </c>
      <c r="BM353" t="s">
        <v>84</v>
      </c>
      <c r="BS353" t="s">
        <v>84</v>
      </c>
      <c r="BT353" t="s">
        <v>84</v>
      </c>
      <c r="BU353">
        <v>0</v>
      </c>
      <c r="BV353">
        <v>0</v>
      </c>
      <c r="BW353">
        <v>128325.07920000001</v>
      </c>
    </row>
    <row r="354" spans="1:75" x14ac:dyDescent="0.25">
      <c r="A354">
        <v>361</v>
      </c>
      <c r="B354" s="1">
        <v>45128.886111111111</v>
      </c>
      <c r="C354" t="s">
        <v>647</v>
      </c>
      <c r="D354" t="s">
        <v>506</v>
      </c>
      <c r="E354" t="s">
        <v>178</v>
      </c>
      <c r="F354">
        <v>0</v>
      </c>
      <c r="G354" t="s">
        <v>608</v>
      </c>
      <c r="H354" t="s">
        <v>648</v>
      </c>
      <c r="I354" t="s">
        <v>552</v>
      </c>
      <c r="J354" t="s">
        <v>610</v>
      </c>
      <c r="K354" t="s">
        <v>84</v>
      </c>
      <c r="L354" t="s">
        <v>87</v>
      </c>
      <c r="M354" t="s">
        <v>647</v>
      </c>
      <c r="N354" t="s">
        <v>659</v>
      </c>
      <c r="O354" t="s">
        <v>82</v>
      </c>
      <c r="P354">
        <v>127967.2917</v>
      </c>
      <c r="Q354" t="s">
        <v>83</v>
      </c>
      <c r="AE354" t="s">
        <v>84</v>
      </c>
      <c r="AG354" t="s">
        <v>84</v>
      </c>
      <c r="AH354" t="s">
        <v>84</v>
      </c>
      <c r="AJ354" t="s">
        <v>84</v>
      </c>
      <c r="AK354" t="s">
        <v>84</v>
      </c>
      <c r="AQ354" t="s">
        <v>84</v>
      </c>
      <c r="AT354" t="s">
        <v>84</v>
      </c>
      <c r="AU354" t="s">
        <v>84</v>
      </c>
      <c r="AV354" t="s">
        <v>84</v>
      </c>
      <c r="AX354" t="s">
        <v>84</v>
      </c>
      <c r="BA354" t="s">
        <v>84</v>
      </c>
      <c r="BB354" t="s">
        <v>84</v>
      </c>
      <c r="BG354" t="s">
        <v>84</v>
      </c>
      <c r="BJ354" t="s">
        <v>84</v>
      </c>
      <c r="BK354" t="s">
        <v>84</v>
      </c>
      <c r="BM354" t="s">
        <v>84</v>
      </c>
      <c r="BS354" t="s">
        <v>84</v>
      </c>
      <c r="BT354" t="s">
        <v>84</v>
      </c>
      <c r="BU354">
        <v>0</v>
      </c>
      <c r="BV354">
        <v>0</v>
      </c>
      <c r="BW354">
        <v>128325.07920000001</v>
      </c>
    </row>
    <row r="355" spans="1:75" x14ac:dyDescent="0.25">
      <c r="A355">
        <v>361</v>
      </c>
      <c r="B355" s="1">
        <v>45128.886111111111</v>
      </c>
      <c r="C355" t="s">
        <v>647</v>
      </c>
      <c r="D355" t="s">
        <v>506</v>
      </c>
      <c r="E355" t="s">
        <v>178</v>
      </c>
      <c r="F355">
        <v>0</v>
      </c>
      <c r="G355" t="s">
        <v>608</v>
      </c>
      <c r="H355" t="s">
        <v>648</v>
      </c>
      <c r="I355" t="s">
        <v>552</v>
      </c>
      <c r="J355" t="s">
        <v>610</v>
      </c>
      <c r="K355" t="s">
        <v>84</v>
      </c>
      <c r="L355" t="s">
        <v>80</v>
      </c>
      <c r="M355" t="s">
        <v>660</v>
      </c>
      <c r="N355" t="s">
        <v>661</v>
      </c>
      <c r="O355" t="s">
        <v>82</v>
      </c>
      <c r="P355">
        <v>921879.46180000005</v>
      </c>
      <c r="Q355" t="s">
        <v>83</v>
      </c>
      <c r="AE355" t="s">
        <v>84</v>
      </c>
      <c r="AG355" t="s">
        <v>84</v>
      </c>
      <c r="AH355" t="s">
        <v>84</v>
      </c>
      <c r="AJ355" t="s">
        <v>84</v>
      </c>
      <c r="AK355" t="s">
        <v>84</v>
      </c>
      <c r="AQ355" t="s">
        <v>84</v>
      </c>
      <c r="AT355" t="s">
        <v>84</v>
      </c>
      <c r="AU355" t="s">
        <v>84</v>
      </c>
      <c r="AV355" t="s">
        <v>84</v>
      </c>
      <c r="AX355" t="s">
        <v>84</v>
      </c>
      <c r="BA355" t="s">
        <v>84</v>
      </c>
      <c r="BB355" t="s">
        <v>84</v>
      </c>
      <c r="BG355" t="s">
        <v>84</v>
      </c>
      <c r="BJ355" t="s">
        <v>84</v>
      </c>
      <c r="BK355" t="s">
        <v>84</v>
      </c>
      <c r="BM355" t="s">
        <v>84</v>
      </c>
      <c r="BS355" t="s">
        <v>84</v>
      </c>
      <c r="BT355" t="s">
        <v>84</v>
      </c>
      <c r="BU355">
        <v>0</v>
      </c>
      <c r="BV355">
        <v>0</v>
      </c>
      <c r="BW355">
        <v>752620.27560000005</v>
      </c>
    </row>
    <row r="356" spans="1:75" x14ac:dyDescent="0.25">
      <c r="A356">
        <v>361</v>
      </c>
      <c r="B356" s="1">
        <v>45128.886111111111</v>
      </c>
      <c r="C356" t="s">
        <v>647</v>
      </c>
      <c r="D356" t="s">
        <v>506</v>
      </c>
      <c r="E356" t="s">
        <v>178</v>
      </c>
      <c r="F356">
        <v>0</v>
      </c>
      <c r="G356" t="s">
        <v>608</v>
      </c>
      <c r="H356" t="s">
        <v>648</v>
      </c>
      <c r="I356" t="s">
        <v>552</v>
      </c>
      <c r="J356" t="s">
        <v>610</v>
      </c>
      <c r="K356" t="s">
        <v>84</v>
      </c>
      <c r="L356" t="s">
        <v>80</v>
      </c>
      <c r="M356" t="s">
        <v>662</v>
      </c>
      <c r="N356" t="s">
        <v>663</v>
      </c>
      <c r="O356" t="s">
        <v>82</v>
      </c>
      <c r="P356">
        <v>664739.125</v>
      </c>
      <c r="Q356" t="s">
        <v>83</v>
      </c>
      <c r="W356">
        <v>1</v>
      </c>
      <c r="AE356" t="s">
        <v>84</v>
      </c>
      <c r="AG356" t="s">
        <v>84</v>
      </c>
      <c r="AH356" t="s">
        <v>84</v>
      </c>
      <c r="AJ356" t="s">
        <v>84</v>
      </c>
      <c r="AK356" t="s">
        <v>84</v>
      </c>
      <c r="AQ356" t="s">
        <v>84</v>
      </c>
      <c r="AT356" t="s">
        <v>84</v>
      </c>
      <c r="AU356" t="s">
        <v>84</v>
      </c>
      <c r="AV356" t="s">
        <v>84</v>
      </c>
      <c r="AX356" t="s">
        <v>84</v>
      </c>
      <c r="BA356" t="s">
        <v>84</v>
      </c>
      <c r="BB356" t="s">
        <v>84</v>
      </c>
      <c r="BG356" t="s">
        <v>84</v>
      </c>
      <c r="BJ356" t="s">
        <v>84</v>
      </c>
      <c r="BK356" t="s">
        <v>84</v>
      </c>
      <c r="BM356" t="s">
        <v>84</v>
      </c>
      <c r="BS356" t="s">
        <v>84</v>
      </c>
      <c r="BT356" t="s">
        <v>84</v>
      </c>
      <c r="BU356">
        <v>0</v>
      </c>
      <c r="BV356">
        <v>0</v>
      </c>
      <c r="BW356">
        <v>752620.27560000005</v>
      </c>
    </row>
    <row r="357" spans="1:75" x14ac:dyDescent="0.25">
      <c r="A357">
        <v>361</v>
      </c>
      <c r="B357" s="1">
        <v>45128.886111111111</v>
      </c>
      <c r="C357" t="s">
        <v>647</v>
      </c>
      <c r="D357" t="s">
        <v>506</v>
      </c>
      <c r="E357" t="s">
        <v>178</v>
      </c>
      <c r="F357">
        <v>1</v>
      </c>
      <c r="G357" t="s">
        <v>608</v>
      </c>
      <c r="H357" t="s">
        <v>648</v>
      </c>
      <c r="I357" t="s">
        <v>552</v>
      </c>
      <c r="J357" t="s">
        <v>610</v>
      </c>
      <c r="K357" t="s">
        <v>326</v>
      </c>
      <c r="L357" t="s">
        <v>80</v>
      </c>
      <c r="M357" t="s">
        <v>664</v>
      </c>
      <c r="N357" t="s">
        <v>665</v>
      </c>
      <c r="O357" t="s">
        <v>82</v>
      </c>
      <c r="P357">
        <v>671242.23999999999</v>
      </c>
      <c r="Q357" t="s">
        <v>83</v>
      </c>
      <c r="R357">
        <v>752620.27560000005</v>
      </c>
      <c r="T357">
        <v>1</v>
      </c>
      <c r="X357">
        <v>1</v>
      </c>
      <c r="Z357">
        <v>30709.25</v>
      </c>
      <c r="AA357">
        <v>44100</v>
      </c>
      <c r="AE357" t="s">
        <v>84</v>
      </c>
      <c r="AG357" t="s">
        <v>84</v>
      </c>
      <c r="AH357" t="s">
        <v>84</v>
      </c>
      <c r="AI357">
        <v>80000</v>
      </c>
      <c r="AJ357" t="s">
        <v>84</v>
      </c>
      <c r="AK357" t="s">
        <v>84</v>
      </c>
      <c r="AL357">
        <v>0</v>
      </c>
      <c r="AN357">
        <v>0</v>
      </c>
      <c r="AP357">
        <v>11000</v>
      </c>
      <c r="AQ357" t="s">
        <v>84</v>
      </c>
      <c r="AR357">
        <v>2400</v>
      </c>
      <c r="AT357" t="s">
        <v>84</v>
      </c>
      <c r="AU357" t="s">
        <v>84</v>
      </c>
      <c r="AV357" t="s">
        <v>84</v>
      </c>
      <c r="AW357">
        <v>27898</v>
      </c>
      <c r="AX357" t="s">
        <v>84</v>
      </c>
      <c r="AY357">
        <v>0</v>
      </c>
      <c r="BA357" t="s">
        <v>84</v>
      </c>
      <c r="BB357" t="s">
        <v>84</v>
      </c>
      <c r="BC357">
        <v>34750</v>
      </c>
      <c r="BD357">
        <v>113577.75</v>
      </c>
      <c r="BG357" t="s">
        <v>84</v>
      </c>
      <c r="BH357">
        <v>29000</v>
      </c>
      <c r="BI357">
        <v>130273</v>
      </c>
      <c r="BJ357" t="s">
        <v>84</v>
      </c>
      <c r="BK357" t="s">
        <v>84</v>
      </c>
      <c r="BM357" t="s">
        <v>84</v>
      </c>
      <c r="BP357">
        <v>20700</v>
      </c>
      <c r="BQ357">
        <v>0</v>
      </c>
      <c r="BR357">
        <v>0</v>
      </c>
      <c r="BS357" t="s">
        <v>84</v>
      </c>
      <c r="BT357" t="s">
        <v>84</v>
      </c>
      <c r="BU357">
        <v>0</v>
      </c>
      <c r="BV357">
        <v>0</v>
      </c>
      <c r="BW357">
        <v>752620.27560000005</v>
      </c>
    </row>
    <row r="358" spans="1:75" x14ac:dyDescent="0.25">
      <c r="A358">
        <v>362</v>
      </c>
      <c r="B358" s="1">
        <v>45128.886111111111</v>
      </c>
      <c r="C358" t="s">
        <v>666</v>
      </c>
      <c r="D358" t="s">
        <v>506</v>
      </c>
      <c r="E358" t="s">
        <v>178</v>
      </c>
      <c r="F358">
        <v>0</v>
      </c>
      <c r="G358" t="s">
        <v>608</v>
      </c>
      <c r="H358" t="s">
        <v>648</v>
      </c>
      <c r="I358" t="s">
        <v>552</v>
      </c>
      <c r="J358" t="s">
        <v>610</v>
      </c>
      <c r="K358" t="s">
        <v>84</v>
      </c>
      <c r="L358" t="s">
        <v>92</v>
      </c>
      <c r="M358" t="s">
        <v>667</v>
      </c>
      <c r="N358" t="s">
        <v>543</v>
      </c>
      <c r="O358" t="s">
        <v>82</v>
      </c>
      <c r="P358">
        <v>38410</v>
      </c>
      <c r="Q358" t="s">
        <v>83</v>
      </c>
      <c r="V358">
        <v>1</v>
      </c>
      <c r="W358">
        <v>1</v>
      </c>
      <c r="AE358" t="s">
        <v>84</v>
      </c>
      <c r="AG358" t="s">
        <v>84</v>
      </c>
      <c r="AH358" t="s">
        <v>84</v>
      </c>
      <c r="AJ358" t="s">
        <v>84</v>
      </c>
      <c r="AK358" t="s">
        <v>84</v>
      </c>
      <c r="AQ358" t="s">
        <v>84</v>
      </c>
      <c r="AT358" t="s">
        <v>84</v>
      </c>
      <c r="AU358" t="s">
        <v>84</v>
      </c>
      <c r="AV358" t="s">
        <v>84</v>
      </c>
      <c r="AX358" t="s">
        <v>84</v>
      </c>
      <c r="BA358" t="s">
        <v>84</v>
      </c>
      <c r="BB358" t="s">
        <v>84</v>
      </c>
      <c r="BG358" t="s">
        <v>84</v>
      </c>
      <c r="BJ358" t="s">
        <v>84</v>
      </c>
      <c r="BK358" t="s">
        <v>84</v>
      </c>
      <c r="BM358" t="s">
        <v>84</v>
      </c>
      <c r="BS358" t="s">
        <v>84</v>
      </c>
      <c r="BT358" t="s">
        <v>84</v>
      </c>
      <c r="BU358">
        <v>0</v>
      </c>
      <c r="BV358">
        <v>0</v>
      </c>
      <c r="BW358">
        <v>40866.666666666664</v>
      </c>
    </row>
    <row r="359" spans="1:75" x14ac:dyDescent="0.25">
      <c r="A359">
        <v>362</v>
      </c>
      <c r="B359" s="1">
        <v>45128.886111111111</v>
      </c>
      <c r="C359" t="s">
        <v>666</v>
      </c>
      <c r="D359" t="s">
        <v>506</v>
      </c>
      <c r="E359" t="s">
        <v>178</v>
      </c>
      <c r="F359">
        <v>1</v>
      </c>
      <c r="G359" t="s">
        <v>608</v>
      </c>
      <c r="H359" t="s">
        <v>648</v>
      </c>
      <c r="I359" t="s">
        <v>552</v>
      </c>
      <c r="J359" t="s">
        <v>610</v>
      </c>
      <c r="K359" t="s">
        <v>221</v>
      </c>
      <c r="L359" t="s">
        <v>92</v>
      </c>
      <c r="M359" t="s">
        <v>221</v>
      </c>
      <c r="N359" t="s">
        <v>221</v>
      </c>
      <c r="O359" t="s">
        <v>82</v>
      </c>
      <c r="P359">
        <v>55620</v>
      </c>
      <c r="Q359" t="s">
        <v>83</v>
      </c>
      <c r="R359">
        <v>40866.666669999999</v>
      </c>
      <c r="S359">
        <v>1</v>
      </c>
      <c r="V359">
        <v>1</v>
      </c>
      <c r="AB359">
        <v>55620</v>
      </c>
      <c r="AE359" t="s">
        <v>84</v>
      </c>
      <c r="AG359" t="s">
        <v>84</v>
      </c>
      <c r="AH359" t="s">
        <v>84</v>
      </c>
      <c r="AJ359" t="s">
        <v>84</v>
      </c>
      <c r="AK359" t="s">
        <v>84</v>
      </c>
      <c r="AQ359" t="s">
        <v>84</v>
      </c>
      <c r="AT359" t="s">
        <v>84</v>
      </c>
      <c r="AU359" t="s">
        <v>84</v>
      </c>
      <c r="AV359" t="s">
        <v>84</v>
      </c>
      <c r="AX359" t="s">
        <v>84</v>
      </c>
      <c r="BA359" t="s">
        <v>84</v>
      </c>
      <c r="BB359" t="s">
        <v>84</v>
      </c>
      <c r="BG359" t="s">
        <v>84</v>
      </c>
      <c r="BJ359" t="s">
        <v>84</v>
      </c>
      <c r="BK359" t="s">
        <v>84</v>
      </c>
      <c r="BM359" t="s">
        <v>84</v>
      </c>
      <c r="BS359" t="s">
        <v>84</v>
      </c>
      <c r="BT359" t="s">
        <v>84</v>
      </c>
      <c r="BU359">
        <v>55620</v>
      </c>
      <c r="BV359">
        <v>55620</v>
      </c>
      <c r="BW359">
        <v>40866.666666666664</v>
      </c>
    </row>
    <row r="360" spans="1:75" x14ac:dyDescent="0.25">
      <c r="A360">
        <v>362</v>
      </c>
      <c r="B360" s="1">
        <v>45128.886111111111</v>
      </c>
      <c r="C360" t="s">
        <v>666</v>
      </c>
      <c r="D360" t="s">
        <v>506</v>
      </c>
      <c r="E360" t="s">
        <v>178</v>
      </c>
      <c r="F360">
        <v>0</v>
      </c>
      <c r="G360" t="s">
        <v>608</v>
      </c>
      <c r="H360" t="s">
        <v>648</v>
      </c>
      <c r="I360" t="s">
        <v>552</v>
      </c>
      <c r="J360" t="s">
        <v>610</v>
      </c>
      <c r="K360" t="s">
        <v>84</v>
      </c>
      <c r="L360" t="s">
        <v>92</v>
      </c>
      <c r="M360" t="s">
        <v>668</v>
      </c>
      <c r="N360" t="s">
        <v>343</v>
      </c>
      <c r="O360" t="s">
        <v>82</v>
      </c>
      <c r="P360">
        <v>28570</v>
      </c>
      <c r="Q360" t="s">
        <v>83</v>
      </c>
      <c r="T360">
        <v>1</v>
      </c>
      <c r="V360">
        <v>1</v>
      </c>
      <c r="X360">
        <v>1</v>
      </c>
      <c r="AE360" t="s">
        <v>84</v>
      </c>
      <c r="AG360" t="s">
        <v>84</v>
      </c>
      <c r="AH360" t="s">
        <v>84</v>
      </c>
      <c r="AJ360" t="s">
        <v>84</v>
      </c>
      <c r="AK360" t="s">
        <v>84</v>
      </c>
      <c r="AQ360" t="s">
        <v>84</v>
      </c>
      <c r="AT360" t="s">
        <v>84</v>
      </c>
      <c r="AU360" t="s">
        <v>84</v>
      </c>
      <c r="AV360" t="s">
        <v>84</v>
      </c>
      <c r="AX360" t="s">
        <v>84</v>
      </c>
      <c r="BA360" t="s">
        <v>84</v>
      </c>
      <c r="BB360" t="s">
        <v>84</v>
      </c>
      <c r="BG360" t="s">
        <v>84</v>
      </c>
      <c r="BJ360" t="s">
        <v>84</v>
      </c>
      <c r="BK360" t="s">
        <v>84</v>
      </c>
      <c r="BM360" t="s">
        <v>84</v>
      </c>
      <c r="BS360" t="s">
        <v>84</v>
      </c>
      <c r="BT360" t="s">
        <v>84</v>
      </c>
      <c r="BU360">
        <v>0</v>
      </c>
      <c r="BV360">
        <v>0</v>
      </c>
      <c r="BW360">
        <v>40866.666666666664</v>
      </c>
    </row>
    <row r="361" spans="1:75" x14ac:dyDescent="0.25">
      <c r="A361">
        <v>362</v>
      </c>
      <c r="B361" s="1">
        <v>45128.886111111111</v>
      </c>
      <c r="C361" t="s">
        <v>666</v>
      </c>
      <c r="D361" t="s">
        <v>506</v>
      </c>
      <c r="E361" t="s">
        <v>178</v>
      </c>
      <c r="F361">
        <v>0</v>
      </c>
      <c r="G361" t="s">
        <v>608</v>
      </c>
      <c r="H361" t="s">
        <v>648</v>
      </c>
      <c r="I361" t="s">
        <v>552</v>
      </c>
      <c r="J361" t="s">
        <v>610</v>
      </c>
      <c r="K361" t="s">
        <v>84</v>
      </c>
      <c r="L361" t="s">
        <v>98</v>
      </c>
      <c r="M361" t="s">
        <v>669</v>
      </c>
      <c r="N361" t="s">
        <v>670</v>
      </c>
      <c r="O361" t="s">
        <v>82</v>
      </c>
      <c r="P361">
        <v>20550</v>
      </c>
      <c r="Q361" t="s">
        <v>83</v>
      </c>
      <c r="V361">
        <v>1</v>
      </c>
      <c r="X361">
        <v>1</v>
      </c>
      <c r="AE361" t="s">
        <v>84</v>
      </c>
      <c r="AG361" t="s">
        <v>84</v>
      </c>
      <c r="AH361" t="s">
        <v>84</v>
      </c>
      <c r="AJ361" t="s">
        <v>84</v>
      </c>
      <c r="AK361" t="s">
        <v>84</v>
      </c>
      <c r="AQ361" t="s">
        <v>84</v>
      </c>
      <c r="AT361" t="s">
        <v>84</v>
      </c>
      <c r="AU361" t="s">
        <v>84</v>
      </c>
      <c r="AV361" t="s">
        <v>84</v>
      </c>
      <c r="AX361" t="s">
        <v>84</v>
      </c>
      <c r="BA361" t="s">
        <v>84</v>
      </c>
      <c r="BB361" t="s">
        <v>84</v>
      </c>
      <c r="BG361" t="s">
        <v>84</v>
      </c>
      <c r="BJ361" t="s">
        <v>84</v>
      </c>
      <c r="BK361" t="s">
        <v>84</v>
      </c>
      <c r="BM361" t="s">
        <v>84</v>
      </c>
      <c r="BS361" t="s">
        <v>84</v>
      </c>
      <c r="BT361" t="s">
        <v>84</v>
      </c>
      <c r="BU361">
        <v>0</v>
      </c>
      <c r="BV361">
        <v>0</v>
      </c>
      <c r="BW361">
        <v>27483.333333333332</v>
      </c>
    </row>
    <row r="362" spans="1:75" x14ac:dyDescent="0.25">
      <c r="A362">
        <v>362</v>
      </c>
      <c r="B362" s="1">
        <v>45128.886111111111</v>
      </c>
      <c r="C362" t="s">
        <v>666</v>
      </c>
      <c r="D362" t="s">
        <v>506</v>
      </c>
      <c r="E362" t="s">
        <v>178</v>
      </c>
      <c r="F362">
        <v>1</v>
      </c>
      <c r="G362" t="s">
        <v>608</v>
      </c>
      <c r="H362" t="s">
        <v>648</v>
      </c>
      <c r="I362" t="s">
        <v>552</v>
      </c>
      <c r="J362" t="s">
        <v>610</v>
      </c>
      <c r="K362" t="s">
        <v>289</v>
      </c>
      <c r="L362" t="s">
        <v>98</v>
      </c>
      <c r="M362" t="s">
        <v>671</v>
      </c>
      <c r="N362" t="s">
        <v>672</v>
      </c>
      <c r="O362" t="s">
        <v>82</v>
      </c>
      <c r="P362">
        <v>28950</v>
      </c>
      <c r="Q362" t="s">
        <v>83</v>
      </c>
      <c r="R362">
        <v>27483.333330000001</v>
      </c>
      <c r="AE362" t="s">
        <v>84</v>
      </c>
      <c r="AG362" t="s">
        <v>84</v>
      </c>
      <c r="AH362" t="s">
        <v>84</v>
      </c>
      <c r="AJ362" t="s">
        <v>84</v>
      </c>
      <c r="AK362" t="s">
        <v>84</v>
      </c>
      <c r="AQ362" t="s">
        <v>84</v>
      </c>
      <c r="AS362">
        <v>28950</v>
      </c>
      <c r="AT362" t="s">
        <v>84</v>
      </c>
      <c r="AU362" t="s">
        <v>84</v>
      </c>
      <c r="AV362" t="s">
        <v>84</v>
      </c>
      <c r="AX362" t="s">
        <v>84</v>
      </c>
      <c r="BA362" t="s">
        <v>84</v>
      </c>
      <c r="BB362" t="s">
        <v>84</v>
      </c>
      <c r="BG362" t="s">
        <v>84</v>
      </c>
      <c r="BJ362" t="s">
        <v>84</v>
      </c>
      <c r="BK362" t="s">
        <v>84</v>
      </c>
      <c r="BM362" t="s">
        <v>84</v>
      </c>
      <c r="BS362" t="s">
        <v>84</v>
      </c>
      <c r="BT362" t="s">
        <v>84</v>
      </c>
      <c r="BU362">
        <v>0</v>
      </c>
      <c r="BV362">
        <v>0</v>
      </c>
      <c r="BW362">
        <v>27483.333333333332</v>
      </c>
    </row>
    <row r="363" spans="1:75" x14ac:dyDescent="0.25">
      <c r="A363">
        <v>362</v>
      </c>
      <c r="B363" s="1">
        <v>45128.886111111111</v>
      </c>
      <c r="C363" t="s">
        <v>666</v>
      </c>
      <c r="D363" t="s">
        <v>506</v>
      </c>
      <c r="E363" t="s">
        <v>178</v>
      </c>
      <c r="F363">
        <v>0</v>
      </c>
      <c r="G363" t="s">
        <v>608</v>
      </c>
      <c r="H363" t="s">
        <v>648</v>
      </c>
      <c r="I363" t="s">
        <v>552</v>
      </c>
      <c r="J363" t="s">
        <v>610</v>
      </c>
      <c r="K363" t="s">
        <v>84</v>
      </c>
      <c r="L363" t="s">
        <v>98</v>
      </c>
      <c r="M363" t="s">
        <v>673</v>
      </c>
      <c r="N363" t="s">
        <v>674</v>
      </c>
      <c r="O363" t="s">
        <v>82</v>
      </c>
      <c r="P363">
        <v>32950</v>
      </c>
      <c r="Q363" t="s">
        <v>83</v>
      </c>
      <c r="AE363" t="s">
        <v>84</v>
      </c>
      <c r="AG363" t="s">
        <v>84</v>
      </c>
      <c r="AH363" t="s">
        <v>84</v>
      </c>
      <c r="AJ363" t="s">
        <v>84</v>
      </c>
      <c r="AK363" t="s">
        <v>84</v>
      </c>
      <c r="AQ363" t="s">
        <v>84</v>
      </c>
      <c r="AT363" t="s">
        <v>84</v>
      </c>
      <c r="AU363" t="s">
        <v>84</v>
      </c>
      <c r="AV363" t="s">
        <v>84</v>
      </c>
      <c r="AX363" t="s">
        <v>84</v>
      </c>
      <c r="BA363" t="s">
        <v>84</v>
      </c>
      <c r="BB363" t="s">
        <v>84</v>
      </c>
      <c r="BG363" t="s">
        <v>84</v>
      </c>
      <c r="BJ363" t="s">
        <v>84</v>
      </c>
      <c r="BK363" t="s">
        <v>84</v>
      </c>
      <c r="BM363" t="s">
        <v>84</v>
      </c>
      <c r="BS363" t="s">
        <v>84</v>
      </c>
      <c r="BT363" t="s">
        <v>84</v>
      </c>
      <c r="BU363">
        <v>0</v>
      </c>
      <c r="BV363">
        <v>0</v>
      </c>
      <c r="BW363">
        <v>27483.333333333332</v>
      </c>
    </row>
    <row r="364" spans="1:75" x14ac:dyDescent="0.25">
      <c r="A364">
        <v>362</v>
      </c>
      <c r="B364" s="1">
        <v>45128.886111111111</v>
      </c>
      <c r="C364" t="s">
        <v>666</v>
      </c>
      <c r="D364" t="s">
        <v>506</v>
      </c>
      <c r="E364" t="s">
        <v>178</v>
      </c>
      <c r="F364">
        <v>0</v>
      </c>
      <c r="G364" t="s">
        <v>608</v>
      </c>
      <c r="H364" t="s">
        <v>648</v>
      </c>
      <c r="I364" t="s">
        <v>552</v>
      </c>
      <c r="J364" t="s">
        <v>610</v>
      </c>
      <c r="K364" t="s">
        <v>84</v>
      </c>
      <c r="L364" t="s">
        <v>87</v>
      </c>
      <c r="M364" t="s">
        <v>666</v>
      </c>
      <c r="N364" t="s">
        <v>675</v>
      </c>
      <c r="O364" t="s">
        <v>82</v>
      </c>
      <c r="P364">
        <v>96361.358330000003</v>
      </c>
      <c r="Q364" t="s">
        <v>83</v>
      </c>
      <c r="U364">
        <v>1</v>
      </c>
      <c r="AE364" t="s">
        <v>84</v>
      </c>
      <c r="AG364" t="s">
        <v>84</v>
      </c>
      <c r="AH364" t="s">
        <v>84</v>
      </c>
      <c r="AJ364" t="s">
        <v>84</v>
      </c>
      <c r="AK364" t="s">
        <v>84</v>
      </c>
      <c r="AQ364" t="s">
        <v>84</v>
      </c>
      <c r="AT364" t="s">
        <v>84</v>
      </c>
      <c r="AU364" t="s">
        <v>84</v>
      </c>
      <c r="AV364" t="s">
        <v>84</v>
      </c>
      <c r="AX364" t="s">
        <v>84</v>
      </c>
      <c r="BA364" t="s">
        <v>84</v>
      </c>
      <c r="BB364" t="s">
        <v>84</v>
      </c>
      <c r="BG364" t="s">
        <v>84</v>
      </c>
      <c r="BJ364" t="s">
        <v>84</v>
      </c>
      <c r="BK364" t="s">
        <v>84</v>
      </c>
      <c r="BM364" t="s">
        <v>84</v>
      </c>
      <c r="BS364" t="s">
        <v>84</v>
      </c>
      <c r="BT364" t="s">
        <v>84</v>
      </c>
      <c r="BU364">
        <v>0</v>
      </c>
      <c r="BV364">
        <v>0</v>
      </c>
      <c r="BW364">
        <v>112854.31111</v>
      </c>
    </row>
    <row r="365" spans="1:75" x14ac:dyDescent="0.25">
      <c r="A365">
        <v>362</v>
      </c>
      <c r="B365" s="1">
        <v>45128.886111111111</v>
      </c>
      <c r="C365" t="s">
        <v>666</v>
      </c>
      <c r="D365" t="s">
        <v>506</v>
      </c>
      <c r="E365" t="s">
        <v>178</v>
      </c>
      <c r="F365">
        <v>0</v>
      </c>
      <c r="G365" t="s">
        <v>608</v>
      </c>
      <c r="H365" t="s">
        <v>648</v>
      </c>
      <c r="I365" t="s">
        <v>552</v>
      </c>
      <c r="J365" t="s">
        <v>610</v>
      </c>
      <c r="K365" t="s">
        <v>84</v>
      </c>
      <c r="L365" t="s">
        <v>87</v>
      </c>
      <c r="M365" t="s">
        <v>676</v>
      </c>
      <c r="N365" t="s">
        <v>677</v>
      </c>
      <c r="O365" t="s">
        <v>82</v>
      </c>
      <c r="P365">
        <v>169632.4</v>
      </c>
      <c r="Q365" t="s">
        <v>83</v>
      </c>
      <c r="U365">
        <v>1</v>
      </c>
      <c r="AE365" t="s">
        <v>84</v>
      </c>
      <c r="AG365" t="s">
        <v>84</v>
      </c>
      <c r="AH365" t="s">
        <v>84</v>
      </c>
      <c r="AJ365" t="s">
        <v>84</v>
      </c>
      <c r="AK365" t="s">
        <v>84</v>
      </c>
      <c r="AQ365" t="s">
        <v>84</v>
      </c>
      <c r="AT365" t="s">
        <v>84</v>
      </c>
      <c r="AU365" t="s">
        <v>84</v>
      </c>
      <c r="AV365" t="s">
        <v>84</v>
      </c>
      <c r="AX365" t="s">
        <v>84</v>
      </c>
      <c r="BA365" t="s">
        <v>84</v>
      </c>
      <c r="BB365" t="s">
        <v>84</v>
      </c>
      <c r="BG365" t="s">
        <v>84</v>
      </c>
      <c r="BJ365" t="s">
        <v>84</v>
      </c>
      <c r="BK365" t="s">
        <v>84</v>
      </c>
      <c r="BM365" t="s">
        <v>84</v>
      </c>
      <c r="BS365" t="s">
        <v>84</v>
      </c>
      <c r="BT365" t="s">
        <v>84</v>
      </c>
      <c r="BU365">
        <v>0</v>
      </c>
      <c r="BV365">
        <v>0</v>
      </c>
      <c r="BW365">
        <v>112854.31111</v>
      </c>
    </row>
    <row r="366" spans="1:75" x14ac:dyDescent="0.25">
      <c r="A366">
        <v>362</v>
      </c>
      <c r="B366" s="1">
        <v>45128.886111111111</v>
      </c>
      <c r="C366" t="s">
        <v>666</v>
      </c>
      <c r="D366" t="s">
        <v>506</v>
      </c>
      <c r="E366" t="s">
        <v>178</v>
      </c>
      <c r="F366">
        <v>1</v>
      </c>
      <c r="G366" t="s">
        <v>608</v>
      </c>
      <c r="H366" t="s">
        <v>648</v>
      </c>
      <c r="I366" t="s">
        <v>552</v>
      </c>
      <c r="J366" t="s">
        <v>610</v>
      </c>
      <c r="K366" t="s">
        <v>163</v>
      </c>
      <c r="L366" t="s">
        <v>87</v>
      </c>
      <c r="M366" t="s">
        <v>666</v>
      </c>
      <c r="N366" t="s">
        <v>678</v>
      </c>
      <c r="O366" t="s">
        <v>82</v>
      </c>
      <c r="P366">
        <v>72569.175000000003</v>
      </c>
      <c r="Q366" t="s">
        <v>83</v>
      </c>
      <c r="R366">
        <v>112854.31110000001</v>
      </c>
      <c r="X366">
        <v>1</v>
      </c>
      <c r="AE366" t="s">
        <v>84</v>
      </c>
      <c r="AG366" t="s">
        <v>84</v>
      </c>
      <c r="AH366" t="s">
        <v>84</v>
      </c>
      <c r="AJ366" t="s">
        <v>84</v>
      </c>
      <c r="AK366" t="s">
        <v>84</v>
      </c>
      <c r="AL366">
        <v>16400</v>
      </c>
      <c r="AM366">
        <v>19200</v>
      </c>
      <c r="AN366">
        <v>8850</v>
      </c>
      <c r="AO366">
        <v>8488</v>
      </c>
      <c r="AQ366" t="s">
        <v>84</v>
      </c>
      <c r="AT366" t="s">
        <v>84</v>
      </c>
      <c r="AU366" t="s">
        <v>84</v>
      </c>
      <c r="AV366" t="s">
        <v>84</v>
      </c>
      <c r="AX366" t="s">
        <v>84</v>
      </c>
      <c r="BA366" t="s">
        <v>84</v>
      </c>
      <c r="BB366" t="s">
        <v>84</v>
      </c>
      <c r="BG366" t="s">
        <v>84</v>
      </c>
      <c r="BJ366" t="s">
        <v>84</v>
      </c>
      <c r="BK366" t="s">
        <v>84</v>
      </c>
      <c r="BM366" t="s">
        <v>84</v>
      </c>
      <c r="BS366" t="s">
        <v>84</v>
      </c>
      <c r="BT366" t="s">
        <v>84</v>
      </c>
      <c r="BU366">
        <v>0</v>
      </c>
      <c r="BV366">
        <v>0</v>
      </c>
      <c r="BW366">
        <v>112854.31111</v>
      </c>
    </row>
    <row r="367" spans="1:75" x14ac:dyDescent="0.25">
      <c r="A367">
        <v>362</v>
      </c>
      <c r="B367" s="1">
        <v>45128.886111111111</v>
      </c>
      <c r="C367" t="s">
        <v>666</v>
      </c>
      <c r="D367" t="s">
        <v>506</v>
      </c>
      <c r="E367" t="s">
        <v>178</v>
      </c>
      <c r="F367">
        <v>0</v>
      </c>
      <c r="G367" t="s">
        <v>608</v>
      </c>
      <c r="H367" t="s">
        <v>648</v>
      </c>
      <c r="I367" t="s">
        <v>552</v>
      </c>
      <c r="J367" t="s">
        <v>610</v>
      </c>
      <c r="K367" t="s">
        <v>84</v>
      </c>
      <c r="L367" t="s">
        <v>80</v>
      </c>
      <c r="M367" t="s">
        <v>666</v>
      </c>
      <c r="N367" t="s">
        <v>679</v>
      </c>
      <c r="O367" t="s">
        <v>82</v>
      </c>
      <c r="P367">
        <v>718279.31240000005</v>
      </c>
      <c r="Q367" t="s">
        <v>83</v>
      </c>
      <c r="AE367" t="s">
        <v>84</v>
      </c>
      <c r="AG367" t="s">
        <v>84</v>
      </c>
      <c r="AH367" t="s">
        <v>84</v>
      </c>
      <c r="AJ367" t="s">
        <v>84</v>
      </c>
      <c r="AK367" t="s">
        <v>84</v>
      </c>
      <c r="AQ367" t="s">
        <v>84</v>
      </c>
      <c r="AT367" t="s">
        <v>84</v>
      </c>
      <c r="AU367" t="s">
        <v>84</v>
      </c>
      <c r="AV367" t="s">
        <v>84</v>
      </c>
      <c r="AX367" t="s">
        <v>84</v>
      </c>
      <c r="BA367" t="s">
        <v>84</v>
      </c>
      <c r="BB367" t="s">
        <v>84</v>
      </c>
      <c r="BG367" t="s">
        <v>84</v>
      </c>
      <c r="BJ367" t="s">
        <v>84</v>
      </c>
      <c r="BK367" t="s">
        <v>84</v>
      </c>
      <c r="BM367" t="s">
        <v>84</v>
      </c>
      <c r="BS367" t="s">
        <v>84</v>
      </c>
      <c r="BT367" t="s">
        <v>84</v>
      </c>
      <c r="BU367">
        <v>0</v>
      </c>
      <c r="BV367">
        <v>0</v>
      </c>
      <c r="BW367">
        <v>815339.00746666675</v>
      </c>
    </row>
    <row r="368" spans="1:75" x14ac:dyDescent="0.25">
      <c r="A368">
        <v>362</v>
      </c>
      <c r="B368" s="1">
        <v>45128.886111111111</v>
      </c>
      <c r="C368" t="s">
        <v>666</v>
      </c>
      <c r="D368" t="s">
        <v>506</v>
      </c>
      <c r="E368" t="s">
        <v>178</v>
      </c>
      <c r="F368">
        <v>1</v>
      </c>
      <c r="G368" t="s">
        <v>608</v>
      </c>
      <c r="H368" t="s">
        <v>648</v>
      </c>
      <c r="I368" t="s">
        <v>552</v>
      </c>
      <c r="J368" t="s">
        <v>610</v>
      </c>
      <c r="K368" t="s">
        <v>680</v>
      </c>
      <c r="L368" t="s">
        <v>80</v>
      </c>
      <c r="M368" t="s">
        <v>681</v>
      </c>
      <c r="N368" t="s">
        <v>682</v>
      </c>
      <c r="O368" t="s">
        <v>82</v>
      </c>
      <c r="P368">
        <v>787930.41</v>
      </c>
      <c r="Q368" t="s">
        <v>83</v>
      </c>
      <c r="R368">
        <v>815339.00749999995</v>
      </c>
      <c r="T368">
        <v>1</v>
      </c>
      <c r="Z368">
        <v>36608</v>
      </c>
      <c r="AA368">
        <v>43400</v>
      </c>
      <c r="AE368" t="s">
        <v>84</v>
      </c>
      <c r="AG368" t="s">
        <v>84</v>
      </c>
      <c r="AH368" t="s">
        <v>84</v>
      </c>
      <c r="AI368">
        <v>270000</v>
      </c>
      <c r="AJ368" t="s">
        <v>84</v>
      </c>
      <c r="AK368" t="s">
        <v>84</v>
      </c>
      <c r="AL368">
        <v>0</v>
      </c>
      <c r="AN368">
        <v>0</v>
      </c>
      <c r="AP368">
        <v>26600</v>
      </c>
      <c r="AQ368" t="s">
        <v>84</v>
      </c>
      <c r="AR368">
        <v>2500</v>
      </c>
      <c r="AT368" t="s">
        <v>84</v>
      </c>
      <c r="AU368" t="s">
        <v>84</v>
      </c>
      <c r="AV368" t="s">
        <v>84</v>
      </c>
      <c r="AW368">
        <v>14600</v>
      </c>
      <c r="AX368" t="s">
        <v>84</v>
      </c>
      <c r="AY368">
        <v>500</v>
      </c>
      <c r="BA368" t="s">
        <v>84</v>
      </c>
      <c r="BB368" t="s">
        <v>84</v>
      </c>
      <c r="BC368">
        <v>11750</v>
      </c>
      <c r="BD368">
        <v>105426.75</v>
      </c>
      <c r="BG368" t="s">
        <v>84</v>
      </c>
      <c r="BH368">
        <v>1600</v>
      </c>
      <c r="BI368">
        <v>107393</v>
      </c>
      <c r="BJ368" t="s">
        <v>84</v>
      </c>
      <c r="BK368" t="s">
        <v>84</v>
      </c>
      <c r="BM368" t="s">
        <v>84</v>
      </c>
      <c r="BP368">
        <v>15050</v>
      </c>
      <c r="BQ368">
        <v>0</v>
      </c>
      <c r="BR368">
        <v>0</v>
      </c>
      <c r="BS368" t="s">
        <v>84</v>
      </c>
      <c r="BT368" t="s">
        <v>84</v>
      </c>
      <c r="BU368">
        <v>0</v>
      </c>
      <c r="BV368">
        <v>0</v>
      </c>
      <c r="BW368">
        <v>815339.00746666675</v>
      </c>
    </row>
    <row r="369" spans="1:75" x14ac:dyDescent="0.25">
      <c r="A369">
        <v>362</v>
      </c>
      <c r="B369" s="1">
        <v>45128.886111111111</v>
      </c>
      <c r="C369" t="s">
        <v>666</v>
      </c>
      <c r="D369" t="s">
        <v>506</v>
      </c>
      <c r="E369" t="s">
        <v>178</v>
      </c>
      <c r="F369">
        <v>0</v>
      </c>
      <c r="G369" t="s">
        <v>608</v>
      </c>
      <c r="H369" t="s">
        <v>648</v>
      </c>
      <c r="I369" t="s">
        <v>552</v>
      </c>
      <c r="J369" t="s">
        <v>610</v>
      </c>
      <c r="K369" t="s">
        <v>84</v>
      </c>
      <c r="L369" t="s">
        <v>80</v>
      </c>
      <c r="M369" t="s">
        <v>683</v>
      </c>
      <c r="N369" t="s">
        <v>684</v>
      </c>
      <c r="O369" t="s">
        <v>82</v>
      </c>
      <c r="P369">
        <v>939807.3</v>
      </c>
      <c r="Q369" t="s">
        <v>83</v>
      </c>
      <c r="AE369" t="s">
        <v>84</v>
      </c>
      <c r="AG369" t="s">
        <v>84</v>
      </c>
      <c r="AH369" t="s">
        <v>84</v>
      </c>
      <c r="AJ369" t="s">
        <v>84</v>
      </c>
      <c r="AK369" t="s">
        <v>84</v>
      </c>
      <c r="AQ369" t="s">
        <v>84</v>
      </c>
      <c r="AT369" t="s">
        <v>84</v>
      </c>
      <c r="AU369" t="s">
        <v>84</v>
      </c>
      <c r="AV369" t="s">
        <v>84</v>
      </c>
      <c r="AX369" t="s">
        <v>84</v>
      </c>
      <c r="BA369" t="s">
        <v>84</v>
      </c>
      <c r="BB369" t="s">
        <v>84</v>
      </c>
      <c r="BG369" t="s">
        <v>84</v>
      </c>
      <c r="BJ369" t="s">
        <v>84</v>
      </c>
      <c r="BK369" t="s">
        <v>84</v>
      </c>
      <c r="BM369" t="s">
        <v>84</v>
      </c>
      <c r="BS369" t="s">
        <v>84</v>
      </c>
      <c r="BT369" t="s">
        <v>84</v>
      </c>
      <c r="BU369">
        <v>0</v>
      </c>
      <c r="BV369">
        <v>0</v>
      </c>
      <c r="BW369">
        <v>815339.00746666675</v>
      </c>
    </row>
    <row r="370" spans="1:75" x14ac:dyDescent="0.25">
      <c r="A370">
        <v>363</v>
      </c>
      <c r="B370" s="1">
        <v>45128.886805555558</v>
      </c>
      <c r="C370" t="s">
        <v>685</v>
      </c>
      <c r="D370" t="s">
        <v>506</v>
      </c>
      <c r="E370" t="s">
        <v>178</v>
      </c>
      <c r="F370">
        <v>1</v>
      </c>
      <c r="G370" t="s">
        <v>608</v>
      </c>
      <c r="H370" t="s">
        <v>686</v>
      </c>
      <c r="I370" t="s">
        <v>552</v>
      </c>
      <c r="J370" t="s">
        <v>610</v>
      </c>
      <c r="K370" t="s">
        <v>140</v>
      </c>
      <c r="L370" t="s">
        <v>92</v>
      </c>
      <c r="M370" t="s">
        <v>140</v>
      </c>
      <c r="N370" t="s">
        <v>140</v>
      </c>
      <c r="O370" t="s">
        <v>82</v>
      </c>
      <c r="P370">
        <v>39180</v>
      </c>
      <c r="Q370" t="s">
        <v>83</v>
      </c>
      <c r="R370">
        <v>39333.333330000001</v>
      </c>
      <c r="S370">
        <v>1</v>
      </c>
      <c r="AB370">
        <v>39180</v>
      </c>
      <c r="AE370" t="s">
        <v>84</v>
      </c>
      <c r="AG370" t="s">
        <v>84</v>
      </c>
      <c r="AH370" t="s">
        <v>84</v>
      </c>
      <c r="AJ370" t="s">
        <v>84</v>
      </c>
      <c r="AK370" t="s">
        <v>84</v>
      </c>
      <c r="AQ370" t="s">
        <v>84</v>
      </c>
      <c r="AT370" t="s">
        <v>84</v>
      </c>
      <c r="AU370" t="s">
        <v>84</v>
      </c>
      <c r="AV370" t="s">
        <v>84</v>
      </c>
      <c r="AX370" t="s">
        <v>84</v>
      </c>
      <c r="BA370" t="s">
        <v>84</v>
      </c>
      <c r="BB370" t="s">
        <v>84</v>
      </c>
      <c r="BG370" t="s">
        <v>84</v>
      </c>
      <c r="BJ370" t="s">
        <v>84</v>
      </c>
      <c r="BK370" t="s">
        <v>84</v>
      </c>
      <c r="BM370" t="s">
        <v>84</v>
      </c>
      <c r="BS370" t="s">
        <v>84</v>
      </c>
      <c r="BT370" t="s">
        <v>84</v>
      </c>
      <c r="BU370">
        <v>39180</v>
      </c>
      <c r="BV370">
        <v>39180</v>
      </c>
      <c r="BW370">
        <v>39333.333333333336</v>
      </c>
    </row>
    <row r="371" spans="1:75" x14ac:dyDescent="0.25">
      <c r="A371">
        <v>363</v>
      </c>
      <c r="B371" s="1">
        <v>45128.886805555558</v>
      </c>
      <c r="C371" t="s">
        <v>685</v>
      </c>
      <c r="D371" t="s">
        <v>506</v>
      </c>
      <c r="E371" t="s">
        <v>178</v>
      </c>
      <c r="F371">
        <v>0</v>
      </c>
      <c r="G371" t="s">
        <v>608</v>
      </c>
      <c r="H371" t="s">
        <v>686</v>
      </c>
      <c r="I371" t="s">
        <v>552</v>
      </c>
      <c r="J371" t="s">
        <v>610</v>
      </c>
      <c r="K371" t="s">
        <v>84</v>
      </c>
      <c r="L371" t="s">
        <v>92</v>
      </c>
      <c r="M371" t="s">
        <v>687</v>
      </c>
      <c r="N371" t="s">
        <v>303</v>
      </c>
      <c r="O371" t="s">
        <v>82</v>
      </c>
      <c r="P371">
        <v>41010</v>
      </c>
      <c r="Q371" t="s">
        <v>83</v>
      </c>
      <c r="S371">
        <v>1</v>
      </c>
      <c r="T371">
        <v>1</v>
      </c>
      <c r="U371">
        <v>1</v>
      </c>
      <c r="V371">
        <v>1</v>
      </c>
      <c r="W371">
        <v>1</v>
      </c>
      <c r="X371">
        <v>1</v>
      </c>
      <c r="AE371" t="s">
        <v>84</v>
      </c>
      <c r="AG371" t="s">
        <v>84</v>
      </c>
      <c r="AH371" t="s">
        <v>84</v>
      </c>
      <c r="AJ371" t="s">
        <v>84</v>
      </c>
      <c r="AK371" t="s">
        <v>84</v>
      </c>
      <c r="AQ371" t="s">
        <v>84</v>
      </c>
      <c r="AT371" t="s">
        <v>84</v>
      </c>
      <c r="AU371" t="s">
        <v>84</v>
      </c>
      <c r="AV371" t="s">
        <v>84</v>
      </c>
      <c r="AX371" t="s">
        <v>84</v>
      </c>
      <c r="BA371" t="s">
        <v>84</v>
      </c>
      <c r="BB371" t="s">
        <v>84</v>
      </c>
      <c r="BG371" t="s">
        <v>84</v>
      </c>
      <c r="BJ371" t="s">
        <v>84</v>
      </c>
      <c r="BK371" t="s">
        <v>84</v>
      </c>
      <c r="BM371" t="s">
        <v>84</v>
      </c>
      <c r="BS371" t="s">
        <v>84</v>
      </c>
      <c r="BT371" t="s">
        <v>84</v>
      </c>
      <c r="BU371">
        <v>41010</v>
      </c>
      <c r="BV371">
        <v>0</v>
      </c>
      <c r="BW371">
        <v>39333.333333333336</v>
      </c>
    </row>
    <row r="372" spans="1:75" x14ac:dyDescent="0.25">
      <c r="A372">
        <v>363</v>
      </c>
      <c r="B372" s="1">
        <v>45128.886805555558</v>
      </c>
      <c r="C372" t="s">
        <v>685</v>
      </c>
      <c r="D372" t="s">
        <v>506</v>
      </c>
      <c r="E372" t="s">
        <v>178</v>
      </c>
      <c r="F372">
        <v>0</v>
      </c>
      <c r="G372" t="s">
        <v>608</v>
      </c>
      <c r="H372" t="s">
        <v>686</v>
      </c>
      <c r="I372" t="s">
        <v>552</v>
      </c>
      <c r="J372" t="s">
        <v>610</v>
      </c>
      <c r="K372" t="s">
        <v>84</v>
      </c>
      <c r="L372" t="s">
        <v>92</v>
      </c>
      <c r="M372" t="s">
        <v>688</v>
      </c>
      <c r="N372" t="s">
        <v>181</v>
      </c>
      <c r="O372" t="s">
        <v>82</v>
      </c>
      <c r="P372">
        <v>37810</v>
      </c>
      <c r="Q372" t="s">
        <v>83</v>
      </c>
      <c r="AE372" t="s">
        <v>84</v>
      </c>
      <c r="AG372" t="s">
        <v>84</v>
      </c>
      <c r="AH372" t="s">
        <v>84</v>
      </c>
      <c r="AJ372" t="s">
        <v>84</v>
      </c>
      <c r="AK372" t="s">
        <v>84</v>
      </c>
      <c r="AQ372" t="s">
        <v>84</v>
      </c>
      <c r="AT372" t="s">
        <v>84</v>
      </c>
      <c r="AU372" t="s">
        <v>84</v>
      </c>
      <c r="AV372" t="s">
        <v>84</v>
      </c>
      <c r="AX372" t="s">
        <v>84</v>
      </c>
      <c r="BA372" t="s">
        <v>84</v>
      </c>
      <c r="BB372" t="s">
        <v>84</v>
      </c>
      <c r="BG372" t="s">
        <v>84</v>
      </c>
      <c r="BJ372" t="s">
        <v>84</v>
      </c>
      <c r="BK372" t="s">
        <v>84</v>
      </c>
      <c r="BM372" t="s">
        <v>84</v>
      </c>
      <c r="BS372" t="s">
        <v>84</v>
      </c>
      <c r="BT372" t="s">
        <v>84</v>
      </c>
      <c r="BU372">
        <v>0</v>
      </c>
      <c r="BV372">
        <v>0</v>
      </c>
      <c r="BW372">
        <v>39333.333333333336</v>
      </c>
    </row>
    <row r="373" spans="1:75" x14ac:dyDescent="0.25">
      <c r="A373">
        <v>363</v>
      </c>
      <c r="B373" s="1">
        <v>45128.886805555558</v>
      </c>
      <c r="C373" t="s">
        <v>685</v>
      </c>
      <c r="D373" t="s">
        <v>506</v>
      </c>
      <c r="E373" t="s">
        <v>178</v>
      </c>
      <c r="F373">
        <v>0</v>
      </c>
      <c r="G373" t="s">
        <v>608</v>
      </c>
      <c r="H373" t="s">
        <v>686</v>
      </c>
      <c r="I373" t="s">
        <v>552</v>
      </c>
      <c r="J373" t="s">
        <v>610</v>
      </c>
      <c r="K373" t="s">
        <v>84</v>
      </c>
      <c r="L373" t="s">
        <v>98</v>
      </c>
      <c r="M373" t="s">
        <v>689</v>
      </c>
      <c r="N373" t="s">
        <v>690</v>
      </c>
      <c r="O373" t="s">
        <v>82</v>
      </c>
      <c r="P373">
        <v>21400</v>
      </c>
      <c r="Q373" t="s">
        <v>83</v>
      </c>
      <c r="W373">
        <v>1</v>
      </c>
      <c r="AE373" t="s">
        <v>84</v>
      </c>
      <c r="AG373" t="s">
        <v>84</v>
      </c>
      <c r="AH373" t="s">
        <v>84</v>
      </c>
      <c r="AJ373" t="s">
        <v>84</v>
      </c>
      <c r="AK373" t="s">
        <v>84</v>
      </c>
      <c r="AQ373" t="s">
        <v>84</v>
      </c>
      <c r="AT373" t="s">
        <v>84</v>
      </c>
      <c r="AU373" t="s">
        <v>84</v>
      </c>
      <c r="AV373" t="s">
        <v>84</v>
      </c>
      <c r="AX373" t="s">
        <v>84</v>
      </c>
      <c r="BA373" t="s">
        <v>84</v>
      </c>
      <c r="BB373" t="s">
        <v>84</v>
      </c>
      <c r="BG373" t="s">
        <v>84</v>
      </c>
      <c r="BJ373" t="s">
        <v>84</v>
      </c>
      <c r="BK373" t="s">
        <v>84</v>
      </c>
      <c r="BM373" t="s">
        <v>84</v>
      </c>
      <c r="BS373" t="s">
        <v>84</v>
      </c>
      <c r="BT373" t="s">
        <v>84</v>
      </c>
      <c r="BU373">
        <v>0</v>
      </c>
      <c r="BV373">
        <v>0</v>
      </c>
      <c r="BW373">
        <v>34116.666666666664</v>
      </c>
    </row>
    <row r="374" spans="1:75" x14ac:dyDescent="0.25">
      <c r="A374">
        <v>363</v>
      </c>
      <c r="B374" s="1">
        <v>45128.886805555558</v>
      </c>
      <c r="C374" t="s">
        <v>685</v>
      </c>
      <c r="D374" t="s">
        <v>506</v>
      </c>
      <c r="E374" t="s">
        <v>178</v>
      </c>
      <c r="F374">
        <v>0</v>
      </c>
      <c r="G374" t="s">
        <v>608</v>
      </c>
      <c r="H374" t="s">
        <v>686</v>
      </c>
      <c r="I374" t="s">
        <v>552</v>
      </c>
      <c r="J374" t="s">
        <v>610</v>
      </c>
      <c r="K374" t="s">
        <v>84</v>
      </c>
      <c r="L374" t="s">
        <v>98</v>
      </c>
      <c r="M374" t="s">
        <v>691</v>
      </c>
      <c r="N374" t="s">
        <v>692</v>
      </c>
      <c r="O374" t="s">
        <v>82</v>
      </c>
      <c r="P374">
        <v>30950</v>
      </c>
      <c r="Q374" t="s">
        <v>83</v>
      </c>
      <c r="U374">
        <v>1</v>
      </c>
      <c r="V374">
        <v>1</v>
      </c>
      <c r="AE374" t="s">
        <v>84</v>
      </c>
      <c r="AG374" t="s">
        <v>84</v>
      </c>
      <c r="AH374" t="s">
        <v>84</v>
      </c>
      <c r="AJ374" t="s">
        <v>84</v>
      </c>
      <c r="AK374" t="s">
        <v>84</v>
      </c>
      <c r="AQ374" t="s">
        <v>84</v>
      </c>
      <c r="AT374" t="s">
        <v>84</v>
      </c>
      <c r="AU374" t="s">
        <v>84</v>
      </c>
      <c r="AV374" t="s">
        <v>84</v>
      </c>
      <c r="AX374" t="s">
        <v>84</v>
      </c>
      <c r="BA374" t="s">
        <v>84</v>
      </c>
      <c r="BB374" t="s">
        <v>84</v>
      </c>
      <c r="BG374" t="s">
        <v>84</v>
      </c>
      <c r="BJ374" t="s">
        <v>84</v>
      </c>
      <c r="BK374" t="s">
        <v>84</v>
      </c>
      <c r="BM374" t="s">
        <v>84</v>
      </c>
      <c r="BS374" t="s">
        <v>84</v>
      </c>
      <c r="BT374" t="s">
        <v>84</v>
      </c>
      <c r="BU374">
        <v>0</v>
      </c>
      <c r="BV374">
        <v>0</v>
      </c>
      <c r="BW374">
        <v>34116.666666666664</v>
      </c>
    </row>
    <row r="375" spans="1:75" x14ac:dyDescent="0.25">
      <c r="A375">
        <v>363</v>
      </c>
      <c r="B375" s="1">
        <v>45128.886805555558</v>
      </c>
      <c r="C375" t="s">
        <v>685</v>
      </c>
      <c r="D375" t="s">
        <v>506</v>
      </c>
      <c r="E375" t="s">
        <v>178</v>
      </c>
      <c r="F375">
        <v>1</v>
      </c>
      <c r="G375" t="s">
        <v>608</v>
      </c>
      <c r="H375" t="s">
        <v>686</v>
      </c>
      <c r="I375" t="s">
        <v>552</v>
      </c>
      <c r="J375" t="s">
        <v>610</v>
      </c>
      <c r="K375" t="s">
        <v>693</v>
      </c>
      <c r="L375" t="s">
        <v>98</v>
      </c>
      <c r="M375" t="s">
        <v>694</v>
      </c>
      <c r="N375" t="s">
        <v>695</v>
      </c>
      <c r="O375" t="s">
        <v>82</v>
      </c>
      <c r="P375">
        <v>50000</v>
      </c>
      <c r="Q375" t="s">
        <v>83</v>
      </c>
      <c r="R375">
        <v>34116.666669999999</v>
      </c>
      <c r="W375">
        <v>1</v>
      </c>
      <c r="AE375" t="s">
        <v>84</v>
      </c>
      <c r="AG375" t="s">
        <v>84</v>
      </c>
      <c r="AH375" t="s">
        <v>84</v>
      </c>
      <c r="AJ375" t="s">
        <v>84</v>
      </c>
      <c r="AK375" t="s">
        <v>84</v>
      </c>
      <c r="AQ375" t="s">
        <v>84</v>
      </c>
      <c r="AS375">
        <v>50000</v>
      </c>
      <c r="AT375" t="s">
        <v>84</v>
      </c>
      <c r="AU375" t="s">
        <v>84</v>
      </c>
      <c r="AV375" t="s">
        <v>84</v>
      </c>
      <c r="AX375" t="s">
        <v>84</v>
      </c>
      <c r="BA375" t="s">
        <v>84</v>
      </c>
      <c r="BB375" t="s">
        <v>84</v>
      </c>
      <c r="BG375" t="s">
        <v>84</v>
      </c>
      <c r="BJ375" t="s">
        <v>84</v>
      </c>
      <c r="BK375" t="s">
        <v>84</v>
      </c>
      <c r="BM375" t="s">
        <v>84</v>
      </c>
      <c r="BS375" t="s">
        <v>84</v>
      </c>
      <c r="BT375" t="s">
        <v>84</v>
      </c>
      <c r="BU375">
        <v>0</v>
      </c>
      <c r="BV375">
        <v>0</v>
      </c>
      <c r="BW375">
        <v>34116.666666666664</v>
      </c>
    </row>
    <row r="376" spans="1:75" x14ac:dyDescent="0.25">
      <c r="A376">
        <v>363</v>
      </c>
      <c r="B376" s="1">
        <v>45128.886805555558</v>
      </c>
      <c r="C376" t="s">
        <v>685</v>
      </c>
      <c r="D376" t="s">
        <v>506</v>
      </c>
      <c r="E376" t="s">
        <v>178</v>
      </c>
      <c r="F376">
        <v>0</v>
      </c>
      <c r="G376" t="s">
        <v>608</v>
      </c>
      <c r="H376" t="s">
        <v>686</v>
      </c>
      <c r="I376" t="s">
        <v>552</v>
      </c>
      <c r="J376" t="s">
        <v>610</v>
      </c>
      <c r="K376" t="s">
        <v>84</v>
      </c>
      <c r="L376" t="s">
        <v>87</v>
      </c>
      <c r="M376" t="s">
        <v>685</v>
      </c>
      <c r="N376" t="s">
        <v>696</v>
      </c>
      <c r="O376" t="s">
        <v>82</v>
      </c>
      <c r="P376">
        <v>114637.3083</v>
      </c>
      <c r="Q376" t="s">
        <v>83</v>
      </c>
      <c r="AE376" t="s">
        <v>84</v>
      </c>
      <c r="AG376" t="s">
        <v>84</v>
      </c>
      <c r="AH376" t="s">
        <v>84</v>
      </c>
      <c r="AJ376" t="s">
        <v>84</v>
      </c>
      <c r="AK376" t="s">
        <v>84</v>
      </c>
      <c r="AQ376" t="s">
        <v>84</v>
      </c>
      <c r="AT376" t="s">
        <v>84</v>
      </c>
      <c r="AU376" t="s">
        <v>84</v>
      </c>
      <c r="AV376" t="s">
        <v>84</v>
      </c>
      <c r="AX376" t="s">
        <v>84</v>
      </c>
      <c r="BA376" t="s">
        <v>84</v>
      </c>
      <c r="BB376" t="s">
        <v>84</v>
      </c>
      <c r="BG376" t="s">
        <v>84</v>
      </c>
      <c r="BJ376" t="s">
        <v>84</v>
      </c>
      <c r="BK376" t="s">
        <v>84</v>
      </c>
      <c r="BM376" t="s">
        <v>84</v>
      </c>
      <c r="BS376" t="s">
        <v>84</v>
      </c>
      <c r="BT376" t="s">
        <v>84</v>
      </c>
      <c r="BU376">
        <v>0</v>
      </c>
      <c r="BV376">
        <v>0</v>
      </c>
      <c r="BW376">
        <v>100280.11387666667</v>
      </c>
    </row>
    <row r="377" spans="1:75" x14ac:dyDescent="0.25">
      <c r="A377">
        <v>363</v>
      </c>
      <c r="B377" s="1">
        <v>45128.886805555558</v>
      </c>
      <c r="C377" t="s">
        <v>685</v>
      </c>
      <c r="D377" t="s">
        <v>506</v>
      </c>
      <c r="E377" t="s">
        <v>178</v>
      </c>
      <c r="F377">
        <v>0</v>
      </c>
      <c r="G377" t="s">
        <v>608</v>
      </c>
      <c r="H377" t="s">
        <v>686</v>
      </c>
      <c r="I377" t="s">
        <v>552</v>
      </c>
      <c r="J377" t="s">
        <v>610</v>
      </c>
      <c r="K377" t="s">
        <v>84</v>
      </c>
      <c r="L377" t="s">
        <v>87</v>
      </c>
      <c r="M377" t="s">
        <v>697</v>
      </c>
      <c r="N377" t="s">
        <v>698</v>
      </c>
      <c r="O377" t="s">
        <v>82</v>
      </c>
      <c r="P377">
        <v>101759.7</v>
      </c>
      <c r="Q377" t="s">
        <v>83</v>
      </c>
      <c r="AE377" t="s">
        <v>84</v>
      </c>
      <c r="AG377" t="s">
        <v>84</v>
      </c>
      <c r="AH377" t="s">
        <v>84</v>
      </c>
      <c r="AJ377" t="s">
        <v>84</v>
      </c>
      <c r="AK377" t="s">
        <v>84</v>
      </c>
      <c r="AQ377" t="s">
        <v>84</v>
      </c>
      <c r="AT377" t="s">
        <v>84</v>
      </c>
      <c r="AU377" t="s">
        <v>84</v>
      </c>
      <c r="AV377" t="s">
        <v>84</v>
      </c>
      <c r="AX377" t="s">
        <v>84</v>
      </c>
      <c r="BA377" t="s">
        <v>84</v>
      </c>
      <c r="BB377" t="s">
        <v>84</v>
      </c>
      <c r="BG377" t="s">
        <v>84</v>
      </c>
      <c r="BJ377" t="s">
        <v>84</v>
      </c>
      <c r="BK377" t="s">
        <v>84</v>
      </c>
      <c r="BM377" t="s">
        <v>84</v>
      </c>
      <c r="BS377" t="s">
        <v>84</v>
      </c>
      <c r="BT377" t="s">
        <v>84</v>
      </c>
      <c r="BU377">
        <v>0</v>
      </c>
      <c r="BV377">
        <v>0</v>
      </c>
      <c r="BW377">
        <v>100280.11387666667</v>
      </c>
    </row>
    <row r="378" spans="1:75" x14ac:dyDescent="0.25">
      <c r="A378">
        <v>363</v>
      </c>
      <c r="B378" s="1">
        <v>45128.886805555558</v>
      </c>
      <c r="C378" t="s">
        <v>685</v>
      </c>
      <c r="D378" t="s">
        <v>506</v>
      </c>
      <c r="E378" t="s">
        <v>178</v>
      </c>
      <c r="F378">
        <v>1</v>
      </c>
      <c r="G378" t="s">
        <v>608</v>
      </c>
      <c r="H378" t="s">
        <v>686</v>
      </c>
      <c r="I378" t="s">
        <v>552</v>
      </c>
      <c r="J378" t="s">
        <v>610</v>
      </c>
      <c r="K378" t="s">
        <v>316</v>
      </c>
      <c r="L378" t="s">
        <v>87</v>
      </c>
      <c r="M378" t="s">
        <v>685</v>
      </c>
      <c r="N378" t="s">
        <v>699</v>
      </c>
      <c r="O378" t="s">
        <v>82</v>
      </c>
      <c r="P378">
        <v>84443.333329999994</v>
      </c>
      <c r="Q378" t="s">
        <v>83</v>
      </c>
      <c r="R378">
        <v>100280.1139</v>
      </c>
      <c r="AE378" t="s">
        <v>84</v>
      </c>
      <c r="AG378" t="s">
        <v>84</v>
      </c>
      <c r="AH378" t="s">
        <v>84</v>
      </c>
      <c r="AJ378" t="s">
        <v>84</v>
      </c>
      <c r="AK378" t="s">
        <v>84</v>
      </c>
      <c r="AL378">
        <v>24650</v>
      </c>
      <c r="AM378">
        <v>23550</v>
      </c>
      <c r="AN378">
        <v>6000</v>
      </c>
      <c r="AO378">
        <v>7400</v>
      </c>
      <c r="AQ378" t="s">
        <v>84</v>
      </c>
      <c r="AT378" t="s">
        <v>84</v>
      </c>
      <c r="AU378" t="s">
        <v>84</v>
      </c>
      <c r="AV378" t="s">
        <v>84</v>
      </c>
      <c r="AX378" t="s">
        <v>84</v>
      </c>
      <c r="BA378" t="s">
        <v>84</v>
      </c>
      <c r="BB378" t="s">
        <v>84</v>
      </c>
      <c r="BG378" t="s">
        <v>84</v>
      </c>
      <c r="BJ378" t="s">
        <v>84</v>
      </c>
      <c r="BK378" t="s">
        <v>84</v>
      </c>
      <c r="BM378" t="s">
        <v>84</v>
      </c>
      <c r="BS378" t="s">
        <v>84</v>
      </c>
      <c r="BT378" t="s">
        <v>84</v>
      </c>
      <c r="BU378">
        <v>0</v>
      </c>
      <c r="BV378">
        <v>0</v>
      </c>
      <c r="BW378">
        <v>100280.11387666667</v>
      </c>
    </row>
    <row r="379" spans="1:75" x14ac:dyDescent="0.25">
      <c r="A379">
        <v>363</v>
      </c>
      <c r="B379" s="1">
        <v>45128.886805555558</v>
      </c>
      <c r="C379" t="s">
        <v>685</v>
      </c>
      <c r="D379" t="s">
        <v>506</v>
      </c>
      <c r="E379" t="s">
        <v>178</v>
      </c>
      <c r="F379">
        <v>1</v>
      </c>
      <c r="G379" t="s">
        <v>608</v>
      </c>
      <c r="H379" t="s">
        <v>686</v>
      </c>
      <c r="I379" t="s">
        <v>552</v>
      </c>
      <c r="J379" t="s">
        <v>610</v>
      </c>
      <c r="K379" t="s">
        <v>700</v>
      </c>
      <c r="L379" t="s">
        <v>80</v>
      </c>
      <c r="M379" t="s">
        <v>685</v>
      </c>
      <c r="N379" t="s">
        <v>701</v>
      </c>
      <c r="O379" t="s">
        <v>82</v>
      </c>
      <c r="P379">
        <v>695741.97759999998</v>
      </c>
      <c r="Q379" t="s">
        <v>83</v>
      </c>
      <c r="R379">
        <v>747040.61529999995</v>
      </c>
      <c r="W379">
        <v>1</v>
      </c>
      <c r="Z379">
        <v>43579.25</v>
      </c>
      <c r="AA379">
        <v>13200</v>
      </c>
      <c r="AE379" t="s">
        <v>84</v>
      </c>
      <c r="AG379" t="s">
        <v>84</v>
      </c>
      <c r="AH379" t="s">
        <v>84</v>
      </c>
      <c r="AI379">
        <v>85000</v>
      </c>
      <c r="AJ379" t="s">
        <v>84</v>
      </c>
      <c r="AK379" t="s">
        <v>84</v>
      </c>
      <c r="AL379">
        <v>0</v>
      </c>
      <c r="AN379">
        <v>0</v>
      </c>
      <c r="AP379">
        <v>57650</v>
      </c>
      <c r="AQ379" t="s">
        <v>84</v>
      </c>
      <c r="AR379">
        <v>2800</v>
      </c>
      <c r="AT379" t="s">
        <v>84</v>
      </c>
      <c r="AU379" t="s">
        <v>84</v>
      </c>
      <c r="AV379" t="s">
        <v>84</v>
      </c>
      <c r="AW379">
        <v>38650</v>
      </c>
      <c r="AX379" t="s">
        <v>84</v>
      </c>
      <c r="AY379">
        <v>13600</v>
      </c>
      <c r="BA379" t="s">
        <v>84</v>
      </c>
      <c r="BB379" t="s">
        <v>84</v>
      </c>
      <c r="BC379">
        <v>22550</v>
      </c>
      <c r="BD379">
        <v>130058.5</v>
      </c>
      <c r="BG379" t="s">
        <v>84</v>
      </c>
      <c r="BH379">
        <v>7900</v>
      </c>
      <c r="BI379">
        <v>82180.67</v>
      </c>
      <c r="BJ379" t="s">
        <v>84</v>
      </c>
      <c r="BK379" t="s">
        <v>84</v>
      </c>
      <c r="BM379" t="s">
        <v>84</v>
      </c>
      <c r="BP379">
        <v>46380</v>
      </c>
      <c r="BQ379">
        <v>0</v>
      </c>
      <c r="BR379">
        <v>0</v>
      </c>
      <c r="BS379" t="s">
        <v>84</v>
      </c>
      <c r="BT379" t="s">
        <v>84</v>
      </c>
      <c r="BU379">
        <v>0</v>
      </c>
      <c r="BV379">
        <v>0</v>
      </c>
      <c r="BW379">
        <v>747040.61526666663</v>
      </c>
    </row>
    <row r="380" spans="1:75" x14ac:dyDescent="0.25">
      <c r="A380">
        <v>363</v>
      </c>
      <c r="B380" s="1">
        <v>45128.886805555558</v>
      </c>
      <c r="C380" t="s">
        <v>685</v>
      </c>
      <c r="D380" t="s">
        <v>506</v>
      </c>
      <c r="E380" t="s">
        <v>178</v>
      </c>
      <c r="F380">
        <v>0</v>
      </c>
      <c r="G380" t="s">
        <v>608</v>
      </c>
      <c r="H380" t="s">
        <v>686</v>
      </c>
      <c r="I380" t="s">
        <v>552</v>
      </c>
      <c r="J380" t="s">
        <v>610</v>
      </c>
      <c r="K380" t="s">
        <v>84</v>
      </c>
      <c r="L380" t="s">
        <v>80</v>
      </c>
      <c r="M380" t="s">
        <v>685</v>
      </c>
      <c r="N380" t="s">
        <v>702</v>
      </c>
      <c r="O380" t="s">
        <v>82</v>
      </c>
      <c r="P380">
        <v>873108.54399999999</v>
      </c>
      <c r="Q380" t="s">
        <v>83</v>
      </c>
      <c r="T380">
        <v>1</v>
      </c>
      <c r="AE380" t="s">
        <v>84</v>
      </c>
      <c r="AG380" t="s">
        <v>84</v>
      </c>
      <c r="AH380" t="s">
        <v>84</v>
      </c>
      <c r="AJ380" t="s">
        <v>84</v>
      </c>
      <c r="AK380" t="s">
        <v>84</v>
      </c>
      <c r="AQ380" t="s">
        <v>84</v>
      </c>
      <c r="AT380" t="s">
        <v>84</v>
      </c>
      <c r="AU380" t="s">
        <v>84</v>
      </c>
      <c r="AV380" t="s">
        <v>84</v>
      </c>
      <c r="AX380" t="s">
        <v>84</v>
      </c>
      <c r="BA380" t="s">
        <v>84</v>
      </c>
      <c r="BB380" t="s">
        <v>84</v>
      </c>
      <c r="BG380" t="s">
        <v>84</v>
      </c>
      <c r="BJ380" t="s">
        <v>84</v>
      </c>
      <c r="BK380" t="s">
        <v>84</v>
      </c>
      <c r="BM380" t="s">
        <v>84</v>
      </c>
      <c r="BS380" t="s">
        <v>84</v>
      </c>
      <c r="BT380" t="s">
        <v>84</v>
      </c>
      <c r="BU380">
        <v>0</v>
      </c>
      <c r="BV380">
        <v>0</v>
      </c>
      <c r="BW380">
        <v>747040.61526666663</v>
      </c>
    </row>
    <row r="381" spans="1:75" x14ac:dyDescent="0.25">
      <c r="A381">
        <v>363</v>
      </c>
      <c r="B381" s="1">
        <v>45128.886805555558</v>
      </c>
      <c r="C381" t="s">
        <v>685</v>
      </c>
      <c r="D381" t="s">
        <v>506</v>
      </c>
      <c r="E381" t="s">
        <v>178</v>
      </c>
      <c r="F381">
        <v>0</v>
      </c>
      <c r="G381" t="s">
        <v>608</v>
      </c>
      <c r="H381" t="s">
        <v>686</v>
      </c>
      <c r="I381" t="s">
        <v>552</v>
      </c>
      <c r="J381" t="s">
        <v>610</v>
      </c>
      <c r="K381" t="s">
        <v>84</v>
      </c>
      <c r="L381" t="s">
        <v>80</v>
      </c>
      <c r="M381" t="s">
        <v>685</v>
      </c>
      <c r="N381" t="s">
        <v>703</v>
      </c>
      <c r="O381" t="s">
        <v>82</v>
      </c>
      <c r="P381">
        <v>672271.32420000003</v>
      </c>
      <c r="Q381" t="s">
        <v>83</v>
      </c>
      <c r="S381">
        <v>1</v>
      </c>
      <c r="AE381" t="s">
        <v>84</v>
      </c>
      <c r="AG381" t="s">
        <v>84</v>
      </c>
      <c r="AH381" t="s">
        <v>84</v>
      </c>
      <c r="AJ381" t="s">
        <v>84</v>
      </c>
      <c r="AK381" t="s">
        <v>84</v>
      </c>
      <c r="AQ381" t="s">
        <v>84</v>
      </c>
      <c r="AT381" t="s">
        <v>84</v>
      </c>
      <c r="AU381" t="s">
        <v>84</v>
      </c>
      <c r="AV381" t="s">
        <v>84</v>
      </c>
      <c r="AX381" t="s">
        <v>84</v>
      </c>
      <c r="BA381" t="s">
        <v>84</v>
      </c>
      <c r="BB381" t="s">
        <v>84</v>
      </c>
      <c r="BG381" t="s">
        <v>84</v>
      </c>
      <c r="BJ381" t="s">
        <v>84</v>
      </c>
      <c r="BK381" t="s">
        <v>84</v>
      </c>
      <c r="BM381" t="s">
        <v>84</v>
      </c>
      <c r="BS381" t="s">
        <v>84</v>
      </c>
      <c r="BT381" t="s">
        <v>84</v>
      </c>
      <c r="BU381">
        <v>672271.32420000003</v>
      </c>
      <c r="BV381">
        <v>0</v>
      </c>
      <c r="BW381">
        <v>747040.61526666663</v>
      </c>
    </row>
    <row r="382" spans="1:75" x14ac:dyDescent="0.25">
      <c r="A382">
        <v>363</v>
      </c>
      <c r="B382" s="1">
        <v>45128.886805555558</v>
      </c>
      <c r="C382" t="s">
        <v>685</v>
      </c>
      <c r="D382" t="s">
        <v>506</v>
      </c>
      <c r="E382" t="s">
        <v>178</v>
      </c>
      <c r="F382">
        <v>1</v>
      </c>
      <c r="G382" t="s">
        <v>608</v>
      </c>
      <c r="H382" t="s">
        <v>686</v>
      </c>
      <c r="I382" t="s">
        <v>552</v>
      </c>
      <c r="J382" t="s">
        <v>610</v>
      </c>
      <c r="K382" t="s">
        <v>700</v>
      </c>
      <c r="L382" t="s">
        <v>106</v>
      </c>
      <c r="M382" t="s">
        <v>685</v>
      </c>
      <c r="N382" t="s">
        <v>704</v>
      </c>
      <c r="O382" t="s">
        <v>82</v>
      </c>
      <c r="P382">
        <v>13817.135</v>
      </c>
      <c r="Q382" t="s">
        <v>83</v>
      </c>
      <c r="R382">
        <v>10621.49583</v>
      </c>
      <c r="W382">
        <v>1</v>
      </c>
      <c r="AE382" t="s">
        <v>84</v>
      </c>
      <c r="AF382">
        <v>6750</v>
      </c>
      <c r="AG382" t="s">
        <v>84</v>
      </c>
      <c r="AH382" t="s">
        <v>84</v>
      </c>
      <c r="AJ382" t="s">
        <v>84</v>
      </c>
      <c r="AK382" t="s">
        <v>84</v>
      </c>
      <c r="AQ382" t="s">
        <v>84</v>
      </c>
      <c r="AT382" t="s">
        <v>84</v>
      </c>
      <c r="AU382" t="s">
        <v>84</v>
      </c>
      <c r="AV382" t="s">
        <v>84</v>
      </c>
      <c r="AX382" t="s">
        <v>84</v>
      </c>
      <c r="BA382" t="s">
        <v>84</v>
      </c>
      <c r="BB382" t="s">
        <v>84</v>
      </c>
      <c r="BE382">
        <v>2020</v>
      </c>
      <c r="BG382" t="s">
        <v>84</v>
      </c>
      <c r="BJ382" t="s">
        <v>84</v>
      </c>
      <c r="BK382" t="s">
        <v>84</v>
      </c>
      <c r="BM382" t="s">
        <v>84</v>
      </c>
      <c r="BS382" t="s">
        <v>84</v>
      </c>
      <c r="BT382" t="s">
        <v>84</v>
      </c>
      <c r="BU382">
        <v>0</v>
      </c>
      <c r="BV382">
        <v>0</v>
      </c>
      <c r="BW382">
        <v>10621.495833333334</v>
      </c>
    </row>
    <row r="383" spans="1:75" x14ac:dyDescent="0.25">
      <c r="A383">
        <v>363</v>
      </c>
      <c r="B383" s="1">
        <v>45128.886805555558</v>
      </c>
      <c r="C383" t="s">
        <v>685</v>
      </c>
      <c r="D383" t="s">
        <v>506</v>
      </c>
      <c r="E383" t="s">
        <v>178</v>
      </c>
      <c r="F383">
        <v>0</v>
      </c>
      <c r="G383" t="s">
        <v>608</v>
      </c>
      <c r="H383" t="s">
        <v>686</v>
      </c>
      <c r="I383" t="s">
        <v>552</v>
      </c>
      <c r="J383" t="s">
        <v>610</v>
      </c>
      <c r="K383" t="s">
        <v>84</v>
      </c>
      <c r="L383" t="s">
        <v>106</v>
      </c>
      <c r="M383" t="s">
        <v>685</v>
      </c>
      <c r="N383" t="s">
        <v>705</v>
      </c>
      <c r="O383" t="s">
        <v>82</v>
      </c>
      <c r="P383">
        <v>9098.5125000000007</v>
      </c>
      <c r="Q383" t="s">
        <v>83</v>
      </c>
      <c r="T383">
        <v>1</v>
      </c>
      <c r="AE383" t="s">
        <v>84</v>
      </c>
      <c r="AG383" t="s">
        <v>84</v>
      </c>
      <c r="AH383" t="s">
        <v>84</v>
      </c>
      <c r="AJ383" t="s">
        <v>84</v>
      </c>
      <c r="AK383" t="s">
        <v>84</v>
      </c>
      <c r="AQ383" t="s">
        <v>84</v>
      </c>
      <c r="AT383" t="s">
        <v>84</v>
      </c>
      <c r="AU383" t="s">
        <v>84</v>
      </c>
      <c r="AV383" t="s">
        <v>84</v>
      </c>
      <c r="AX383" t="s">
        <v>84</v>
      </c>
      <c r="BA383" t="s">
        <v>84</v>
      </c>
      <c r="BB383" t="s">
        <v>84</v>
      </c>
      <c r="BG383" t="s">
        <v>84</v>
      </c>
      <c r="BJ383" t="s">
        <v>84</v>
      </c>
      <c r="BK383" t="s">
        <v>84</v>
      </c>
      <c r="BM383" t="s">
        <v>84</v>
      </c>
      <c r="BS383" t="s">
        <v>84</v>
      </c>
      <c r="BT383" t="s">
        <v>84</v>
      </c>
      <c r="BU383">
        <v>0</v>
      </c>
      <c r="BV383">
        <v>0</v>
      </c>
      <c r="BW383">
        <v>10621.495833333334</v>
      </c>
    </row>
    <row r="384" spans="1:75" x14ac:dyDescent="0.25">
      <c r="A384">
        <v>363</v>
      </c>
      <c r="B384" s="1">
        <v>45128.886805555558</v>
      </c>
      <c r="C384" t="s">
        <v>685</v>
      </c>
      <c r="D384" t="s">
        <v>506</v>
      </c>
      <c r="E384" t="s">
        <v>178</v>
      </c>
      <c r="F384">
        <v>0</v>
      </c>
      <c r="G384" t="s">
        <v>608</v>
      </c>
      <c r="H384" t="s">
        <v>686</v>
      </c>
      <c r="I384" t="s">
        <v>552</v>
      </c>
      <c r="J384" t="s">
        <v>610</v>
      </c>
      <c r="K384" t="s">
        <v>84</v>
      </c>
      <c r="L384" t="s">
        <v>106</v>
      </c>
      <c r="M384" t="s">
        <v>685</v>
      </c>
      <c r="N384" t="s">
        <v>706</v>
      </c>
      <c r="O384" t="s">
        <v>82</v>
      </c>
      <c r="P384">
        <v>8948.84</v>
      </c>
      <c r="Q384" t="s">
        <v>83</v>
      </c>
      <c r="S384">
        <v>1</v>
      </c>
      <c r="AE384" t="s">
        <v>84</v>
      </c>
      <c r="AG384" t="s">
        <v>84</v>
      </c>
      <c r="AH384" t="s">
        <v>84</v>
      </c>
      <c r="AJ384" t="s">
        <v>84</v>
      </c>
      <c r="AK384" t="s">
        <v>84</v>
      </c>
      <c r="AQ384" t="s">
        <v>84</v>
      </c>
      <c r="AT384" t="s">
        <v>84</v>
      </c>
      <c r="AU384" t="s">
        <v>84</v>
      </c>
      <c r="AV384" t="s">
        <v>84</v>
      </c>
      <c r="AX384" t="s">
        <v>84</v>
      </c>
      <c r="BA384" t="s">
        <v>84</v>
      </c>
      <c r="BB384" t="s">
        <v>84</v>
      </c>
      <c r="BG384" t="s">
        <v>84</v>
      </c>
      <c r="BJ384" t="s">
        <v>84</v>
      </c>
      <c r="BK384" t="s">
        <v>84</v>
      </c>
      <c r="BM384" t="s">
        <v>84</v>
      </c>
      <c r="BS384" t="s">
        <v>84</v>
      </c>
      <c r="BT384" t="s">
        <v>84</v>
      </c>
      <c r="BU384">
        <v>8948.84</v>
      </c>
      <c r="BV384">
        <v>0</v>
      </c>
      <c r="BW384">
        <v>10621.495833333334</v>
      </c>
    </row>
    <row r="385" spans="1:75" x14ac:dyDescent="0.25">
      <c r="A385">
        <v>363</v>
      </c>
      <c r="B385" s="1">
        <v>45128.886805555558</v>
      </c>
      <c r="C385" t="s">
        <v>685</v>
      </c>
      <c r="D385" t="s">
        <v>506</v>
      </c>
      <c r="E385" t="s">
        <v>178</v>
      </c>
      <c r="F385">
        <v>1</v>
      </c>
      <c r="G385" t="s">
        <v>608</v>
      </c>
      <c r="H385" t="s">
        <v>686</v>
      </c>
      <c r="I385" t="s">
        <v>552</v>
      </c>
      <c r="J385" t="s">
        <v>610</v>
      </c>
      <c r="K385" t="s">
        <v>700</v>
      </c>
      <c r="L385" t="s">
        <v>110</v>
      </c>
      <c r="M385" t="s">
        <v>685</v>
      </c>
      <c r="N385" t="s">
        <v>707</v>
      </c>
      <c r="O385" t="s">
        <v>82</v>
      </c>
      <c r="P385">
        <v>9300</v>
      </c>
      <c r="Q385" t="s">
        <v>83</v>
      </c>
      <c r="R385">
        <v>11143.333329999999</v>
      </c>
      <c r="W385">
        <v>1</v>
      </c>
      <c r="Z385">
        <v>0</v>
      </c>
      <c r="AA385">
        <v>0</v>
      </c>
      <c r="AE385" t="s">
        <v>84</v>
      </c>
      <c r="AG385" t="s">
        <v>84</v>
      </c>
      <c r="AH385" t="s">
        <v>84</v>
      </c>
      <c r="AI385">
        <v>0</v>
      </c>
      <c r="AJ385" t="s">
        <v>84</v>
      </c>
      <c r="AK385" t="s">
        <v>84</v>
      </c>
      <c r="AL385">
        <v>0</v>
      </c>
      <c r="AN385">
        <v>0</v>
      </c>
      <c r="AP385">
        <v>0</v>
      </c>
      <c r="AQ385" t="s">
        <v>84</v>
      </c>
      <c r="AR385">
        <v>0</v>
      </c>
      <c r="AT385" t="s">
        <v>84</v>
      </c>
      <c r="AU385" t="s">
        <v>84</v>
      </c>
      <c r="AV385" t="s">
        <v>84</v>
      </c>
      <c r="AW385">
        <v>0</v>
      </c>
      <c r="AX385" t="s">
        <v>84</v>
      </c>
      <c r="AY385">
        <v>7500</v>
      </c>
      <c r="BA385" t="s">
        <v>84</v>
      </c>
      <c r="BB385" t="s">
        <v>84</v>
      </c>
      <c r="BC385">
        <v>0</v>
      </c>
      <c r="BD385">
        <v>0</v>
      </c>
      <c r="BG385" t="s">
        <v>84</v>
      </c>
      <c r="BH385">
        <v>0</v>
      </c>
      <c r="BI385">
        <v>0</v>
      </c>
      <c r="BJ385" t="s">
        <v>84</v>
      </c>
      <c r="BK385" t="s">
        <v>84</v>
      </c>
      <c r="BM385" t="s">
        <v>84</v>
      </c>
      <c r="BP385">
        <v>0</v>
      </c>
      <c r="BQ385">
        <v>0</v>
      </c>
      <c r="BR385">
        <v>0</v>
      </c>
      <c r="BS385" t="s">
        <v>84</v>
      </c>
      <c r="BT385" t="s">
        <v>84</v>
      </c>
      <c r="BU385">
        <v>0</v>
      </c>
      <c r="BV385">
        <v>0</v>
      </c>
      <c r="BW385">
        <v>11143.333333333334</v>
      </c>
    </row>
    <row r="386" spans="1:75" x14ac:dyDescent="0.25">
      <c r="A386">
        <v>363</v>
      </c>
      <c r="B386" s="1">
        <v>45128.886805555558</v>
      </c>
      <c r="C386" t="s">
        <v>685</v>
      </c>
      <c r="D386" t="s">
        <v>506</v>
      </c>
      <c r="E386" t="s">
        <v>178</v>
      </c>
      <c r="F386">
        <v>0</v>
      </c>
      <c r="G386" t="s">
        <v>608</v>
      </c>
      <c r="H386" t="s">
        <v>686</v>
      </c>
      <c r="I386" t="s">
        <v>552</v>
      </c>
      <c r="J386" t="s">
        <v>610</v>
      </c>
      <c r="K386" t="s">
        <v>84</v>
      </c>
      <c r="L386" t="s">
        <v>110</v>
      </c>
      <c r="M386" t="s">
        <v>685</v>
      </c>
      <c r="N386" t="s">
        <v>708</v>
      </c>
      <c r="O386" t="s">
        <v>82</v>
      </c>
      <c r="P386">
        <v>9250</v>
      </c>
      <c r="Q386" t="s">
        <v>83</v>
      </c>
      <c r="T386">
        <v>1</v>
      </c>
      <c r="AE386" t="s">
        <v>84</v>
      </c>
      <c r="AG386" t="s">
        <v>84</v>
      </c>
      <c r="AH386" t="s">
        <v>84</v>
      </c>
      <c r="AJ386" t="s">
        <v>84</v>
      </c>
      <c r="AK386" t="s">
        <v>84</v>
      </c>
      <c r="AQ386" t="s">
        <v>84</v>
      </c>
      <c r="AT386" t="s">
        <v>84</v>
      </c>
      <c r="AU386" t="s">
        <v>84</v>
      </c>
      <c r="AV386" t="s">
        <v>84</v>
      </c>
      <c r="AX386" t="s">
        <v>84</v>
      </c>
      <c r="BA386" t="s">
        <v>84</v>
      </c>
      <c r="BB386" t="s">
        <v>84</v>
      </c>
      <c r="BG386" t="s">
        <v>84</v>
      </c>
      <c r="BJ386" t="s">
        <v>84</v>
      </c>
      <c r="BK386" t="s">
        <v>84</v>
      </c>
      <c r="BM386" t="s">
        <v>84</v>
      </c>
      <c r="BS386" t="s">
        <v>84</v>
      </c>
      <c r="BT386" t="s">
        <v>84</v>
      </c>
      <c r="BU386">
        <v>0</v>
      </c>
      <c r="BV386">
        <v>0</v>
      </c>
      <c r="BW386">
        <v>11143.333333333334</v>
      </c>
    </row>
    <row r="387" spans="1:75" x14ac:dyDescent="0.25">
      <c r="A387">
        <v>363</v>
      </c>
      <c r="B387" s="1">
        <v>45128.886805555558</v>
      </c>
      <c r="C387" t="s">
        <v>685</v>
      </c>
      <c r="D387" t="s">
        <v>506</v>
      </c>
      <c r="E387" t="s">
        <v>178</v>
      </c>
      <c r="F387">
        <v>0</v>
      </c>
      <c r="G387" t="s">
        <v>608</v>
      </c>
      <c r="H387" t="s">
        <v>686</v>
      </c>
      <c r="I387" t="s">
        <v>552</v>
      </c>
      <c r="J387" t="s">
        <v>610</v>
      </c>
      <c r="K387" t="s">
        <v>84</v>
      </c>
      <c r="L387" t="s">
        <v>110</v>
      </c>
      <c r="M387" t="s">
        <v>685</v>
      </c>
      <c r="N387" t="s">
        <v>709</v>
      </c>
      <c r="O387" t="s">
        <v>82</v>
      </c>
      <c r="P387">
        <v>14880</v>
      </c>
      <c r="Q387" t="s">
        <v>83</v>
      </c>
      <c r="S387">
        <v>1</v>
      </c>
      <c r="AE387" t="s">
        <v>84</v>
      </c>
      <c r="AG387" t="s">
        <v>84</v>
      </c>
      <c r="AH387" t="s">
        <v>84</v>
      </c>
      <c r="AJ387" t="s">
        <v>84</v>
      </c>
      <c r="AK387" t="s">
        <v>84</v>
      </c>
      <c r="AQ387" t="s">
        <v>84</v>
      </c>
      <c r="AT387" t="s">
        <v>84</v>
      </c>
      <c r="AU387" t="s">
        <v>84</v>
      </c>
      <c r="AV387" t="s">
        <v>84</v>
      </c>
      <c r="AX387" t="s">
        <v>84</v>
      </c>
      <c r="BA387" t="s">
        <v>84</v>
      </c>
      <c r="BB387" t="s">
        <v>84</v>
      </c>
      <c r="BG387" t="s">
        <v>84</v>
      </c>
      <c r="BJ387" t="s">
        <v>84</v>
      </c>
      <c r="BK387" t="s">
        <v>84</v>
      </c>
      <c r="BM387" t="s">
        <v>84</v>
      </c>
      <c r="BS387" t="s">
        <v>84</v>
      </c>
      <c r="BT387" t="s">
        <v>84</v>
      </c>
      <c r="BU387">
        <v>14880</v>
      </c>
      <c r="BV387">
        <v>0</v>
      </c>
      <c r="BW387">
        <v>11143.333333333334</v>
      </c>
    </row>
    <row r="388" spans="1:75" x14ac:dyDescent="0.25">
      <c r="A388">
        <v>364</v>
      </c>
      <c r="B388" s="1">
        <v>45128.886805555558</v>
      </c>
      <c r="C388" t="s">
        <v>710</v>
      </c>
      <c r="D388" t="s">
        <v>506</v>
      </c>
      <c r="E388" t="s">
        <v>178</v>
      </c>
      <c r="F388">
        <v>1</v>
      </c>
      <c r="G388" t="s">
        <v>608</v>
      </c>
      <c r="H388" t="s">
        <v>686</v>
      </c>
      <c r="I388" t="s">
        <v>552</v>
      </c>
      <c r="J388" t="s">
        <v>610</v>
      </c>
      <c r="K388" t="s">
        <v>140</v>
      </c>
      <c r="L388" t="s">
        <v>92</v>
      </c>
      <c r="M388" t="s">
        <v>711</v>
      </c>
      <c r="N388" t="s">
        <v>140</v>
      </c>
      <c r="O388" t="s">
        <v>82</v>
      </c>
      <c r="P388">
        <v>28890</v>
      </c>
      <c r="Q388" t="s">
        <v>83</v>
      </c>
      <c r="R388">
        <v>37863.333330000001</v>
      </c>
      <c r="V388">
        <v>1</v>
      </c>
      <c r="AB388">
        <v>28890</v>
      </c>
      <c r="AE388" t="s">
        <v>84</v>
      </c>
      <c r="AG388" t="s">
        <v>84</v>
      </c>
      <c r="AH388" t="s">
        <v>84</v>
      </c>
      <c r="AJ388" t="s">
        <v>84</v>
      </c>
      <c r="AK388" t="s">
        <v>84</v>
      </c>
      <c r="AQ388" t="s">
        <v>84</v>
      </c>
      <c r="AT388" t="s">
        <v>84</v>
      </c>
      <c r="AU388" t="s">
        <v>84</v>
      </c>
      <c r="AV388" t="s">
        <v>84</v>
      </c>
      <c r="AX388" t="s">
        <v>84</v>
      </c>
      <c r="BA388" t="s">
        <v>84</v>
      </c>
      <c r="BB388" t="s">
        <v>84</v>
      </c>
      <c r="BG388" t="s">
        <v>84</v>
      </c>
      <c r="BJ388" t="s">
        <v>84</v>
      </c>
      <c r="BK388" t="s">
        <v>84</v>
      </c>
      <c r="BM388" t="s">
        <v>84</v>
      </c>
      <c r="BS388" t="s">
        <v>84</v>
      </c>
      <c r="BT388" t="s">
        <v>84</v>
      </c>
      <c r="BU388">
        <v>0</v>
      </c>
      <c r="BV388">
        <v>0</v>
      </c>
      <c r="BW388">
        <v>37863.333333333336</v>
      </c>
    </row>
    <row r="389" spans="1:75" x14ac:dyDescent="0.25">
      <c r="A389">
        <v>364</v>
      </c>
      <c r="B389" s="1">
        <v>45128.886805555558</v>
      </c>
      <c r="C389" t="s">
        <v>710</v>
      </c>
      <c r="D389" t="s">
        <v>506</v>
      </c>
      <c r="E389" t="s">
        <v>178</v>
      </c>
      <c r="F389">
        <v>0</v>
      </c>
      <c r="G389" t="s">
        <v>608</v>
      </c>
      <c r="H389" t="s">
        <v>686</v>
      </c>
      <c r="I389" t="s">
        <v>552</v>
      </c>
      <c r="J389" t="s">
        <v>610</v>
      </c>
      <c r="K389" t="s">
        <v>84</v>
      </c>
      <c r="L389" t="s">
        <v>92</v>
      </c>
      <c r="M389" t="s">
        <v>712</v>
      </c>
      <c r="N389" t="s">
        <v>713</v>
      </c>
      <c r="O389" t="s">
        <v>82</v>
      </c>
      <c r="P389">
        <v>43020</v>
      </c>
      <c r="Q389" t="s">
        <v>83</v>
      </c>
      <c r="U389">
        <v>1</v>
      </c>
      <c r="AE389" t="s">
        <v>84</v>
      </c>
      <c r="AG389" t="s">
        <v>84</v>
      </c>
      <c r="AH389" t="s">
        <v>84</v>
      </c>
      <c r="AJ389" t="s">
        <v>84</v>
      </c>
      <c r="AK389" t="s">
        <v>84</v>
      </c>
      <c r="AQ389" t="s">
        <v>84</v>
      </c>
      <c r="AT389" t="s">
        <v>84</v>
      </c>
      <c r="AU389" t="s">
        <v>84</v>
      </c>
      <c r="AV389" t="s">
        <v>84</v>
      </c>
      <c r="AX389" t="s">
        <v>84</v>
      </c>
      <c r="BA389" t="s">
        <v>84</v>
      </c>
      <c r="BB389" t="s">
        <v>84</v>
      </c>
      <c r="BG389" t="s">
        <v>84</v>
      </c>
      <c r="BJ389" t="s">
        <v>84</v>
      </c>
      <c r="BK389" t="s">
        <v>84</v>
      </c>
      <c r="BM389" t="s">
        <v>84</v>
      </c>
      <c r="BS389" t="s">
        <v>84</v>
      </c>
      <c r="BT389" t="s">
        <v>84</v>
      </c>
      <c r="BU389">
        <v>0</v>
      </c>
      <c r="BV389">
        <v>0</v>
      </c>
      <c r="BW389">
        <v>37863.333333333336</v>
      </c>
    </row>
    <row r="390" spans="1:75" x14ac:dyDescent="0.25">
      <c r="A390">
        <v>364</v>
      </c>
      <c r="B390" s="1">
        <v>45128.886805555558</v>
      </c>
      <c r="C390" t="s">
        <v>710</v>
      </c>
      <c r="D390" t="s">
        <v>506</v>
      </c>
      <c r="E390" t="s">
        <v>178</v>
      </c>
      <c r="F390">
        <v>0</v>
      </c>
      <c r="G390" t="s">
        <v>608</v>
      </c>
      <c r="H390" t="s">
        <v>686</v>
      </c>
      <c r="I390" t="s">
        <v>552</v>
      </c>
      <c r="J390" t="s">
        <v>610</v>
      </c>
      <c r="K390" t="s">
        <v>84</v>
      </c>
      <c r="L390" t="s">
        <v>92</v>
      </c>
      <c r="M390" t="s">
        <v>714</v>
      </c>
      <c r="N390" t="s">
        <v>221</v>
      </c>
      <c r="O390" t="s">
        <v>82</v>
      </c>
      <c r="P390">
        <v>41680</v>
      </c>
      <c r="Q390" t="s">
        <v>83</v>
      </c>
      <c r="AE390" t="s">
        <v>84</v>
      </c>
      <c r="AG390" t="s">
        <v>84</v>
      </c>
      <c r="AH390" t="s">
        <v>84</v>
      </c>
      <c r="AJ390" t="s">
        <v>84</v>
      </c>
      <c r="AK390" t="s">
        <v>84</v>
      </c>
      <c r="AQ390" t="s">
        <v>84</v>
      </c>
      <c r="AT390" t="s">
        <v>84</v>
      </c>
      <c r="AU390" t="s">
        <v>84</v>
      </c>
      <c r="AV390" t="s">
        <v>84</v>
      </c>
      <c r="AX390" t="s">
        <v>84</v>
      </c>
      <c r="BA390" t="s">
        <v>84</v>
      </c>
      <c r="BB390" t="s">
        <v>84</v>
      </c>
      <c r="BG390" t="s">
        <v>84</v>
      </c>
      <c r="BJ390" t="s">
        <v>84</v>
      </c>
      <c r="BK390" t="s">
        <v>84</v>
      </c>
      <c r="BM390" t="s">
        <v>84</v>
      </c>
      <c r="BS390" t="s">
        <v>84</v>
      </c>
      <c r="BT390" t="s">
        <v>84</v>
      </c>
      <c r="BU390">
        <v>0</v>
      </c>
      <c r="BV390">
        <v>0</v>
      </c>
      <c r="BW390">
        <v>37863.333333333336</v>
      </c>
    </row>
    <row r="391" spans="1:75" x14ac:dyDescent="0.25">
      <c r="A391">
        <v>364</v>
      </c>
      <c r="B391" s="1">
        <v>45128.886805555558</v>
      </c>
      <c r="C391" t="s">
        <v>710</v>
      </c>
      <c r="D391" t="s">
        <v>506</v>
      </c>
      <c r="E391" t="s">
        <v>178</v>
      </c>
      <c r="F391">
        <v>0</v>
      </c>
      <c r="G391" t="s">
        <v>608</v>
      </c>
      <c r="H391" t="s">
        <v>686</v>
      </c>
      <c r="I391" t="s">
        <v>552</v>
      </c>
      <c r="J391" t="s">
        <v>610</v>
      </c>
      <c r="K391" t="s">
        <v>84</v>
      </c>
      <c r="L391" t="s">
        <v>98</v>
      </c>
      <c r="M391" t="s">
        <v>715</v>
      </c>
      <c r="N391" t="s">
        <v>716</v>
      </c>
      <c r="O391" t="s">
        <v>82</v>
      </c>
      <c r="P391">
        <v>26750</v>
      </c>
      <c r="Q391" t="s">
        <v>83</v>
      </c>
      <c r="W391">
        <v>1</v>
      </c>
      <c r="AE391" t="s">
        <v>84</v>
      </c>
      <c r="AG391" t="s">
        <v>84</v>
      </c>
      <c r="AH391" t="s">
        <v>84</v>
      </c>
      <c r="AJ391" t="s">
        <v>84</v>
      </c>
      <c r="AK391" t="s">
        <v>84</v>
      </c>
      <c r="AQ391" t="s">
        <v>84</v>
      </c>
      <c r="AT391" t="s">
        <v>84</v>
      </c>
      <c r="AU391" t="s">
        <v>84</v>
      </c>
      <c r="AV391" t="s">
        <v>84</v>
      </c>
      <c r="AX391" t="s">
        <v>84</v>
      </c>
      <c r="BA391" t="s">
        <v>84</v>
      </c>
      <c r="BB391" t="s">
        <v>84</v>
      </c>
      <c r="BG391" t="s">
        <v>84</v>
      </c>
      <c r="BJ391" t="s">
        <v>84</v>
      </c>
      <c r="BK391" t="s">
        <v>84</v>
      </c>
      <c r="BM391" t="s">
        <v>84</v>
      </c>
      <c r="BS391" t="s">
        <v>84</v>
      </c>
      <c r="BT391" t="s">
        <v>84</v>
      </c>
      <c r="BU391">
        <v>0</v>
      </c>
      <c r="BV391">
        <v>0</v>
      </c>
      <c r="BW391">
        <v>31400</v>
      </c>
    </row>
    <row r="392" spans="1:75" x14ac:dyDescent="0.25">
      <c r="A392">
        <v>364</v>
      </c>
      <c r="B392" s="1">
        <v>45128.886805555558</v>
      </c>
      <c r="C392" t="s">
        <v>710</v>
      </c>
      <c r="D392" t="s">
        <v>506</v>
      </c>
      <c r="E392" t="s">
        <v>178</v>
      </c>
      <c r="F392">
        <v>1</v>
      </c>
      <c r="G392" t="s">
        <v>608</v>
      </c>
      <c r="H392" t="s">
        <v>686</v>
      </c>
      <c r="I392" t="s">
        <v>552</v>
      </c>
      <c r="J392" t="s">
        <v>610</v>
      </c>
      <c r="K392" t="s">
        <v>238</v>
      </c>
      <c r="L392" t="s">
        <v>98</v>
      </c>
      <c r="M392" t="s">
        <v>717</v>
      </c>
      <c r="N392" t="s">
        <v>718</v>
      </c>
      <c r="O392" t="s">
        <v>82</v>
      </c>
      <c r="P392">
        <v>36050</v>
      </c>
      <c r="Q392" t="s">
        <v>83</v>
      </c>
      <c r="R392">
        <v>31400</v>
      </c>
      <c r="AE392" t="s">
        <v>84</v>
      </c>
      <c r="AG392" t="s">
        <v>84</v>
      </c>
      <c r="AH392" t="s">
        <v>84</v>
      </c>
      <c r="AJ392" t="s">
        <v>84</v>
      </c>
      <c r="AK392" t="s">
        <v>84</v>
      </c>
      <c r="AQ392" t="s">
        <v>84</v>
      </c>
      <c r="AS392">
        <v>36050</v>
      </c>
      <c r="AT392" t="s">
        <v>84</v>
      </c>
      <c r="AU392" t="s">
        <v>84</v>
      </c>
      <c r="AV392" t="s">
        <v>84</v>
      </c>
      <c r="AX392" t="s">
        <v>84</v>
      </c>
      <c r="BA392" t="s">
        <v>84</v>
      </c>
      <c r="BB392" t="s">
        <v>84</v>
      </c>
      <c r="BG392" t="s">
        <v>84</v>
      </c>
      <c r="BJ392" t="s">
        <v>84</v>
      </c>
      <c r="BK392" t="s">
        <v>84</v>
      </c>
      <c r="BM392" t="s">
        <v>84</v>
      </c>
      <c r="BS392" t="s">
        <v>84</v>
      </c>
      <c r="BT392" t="s">
        <v>84</v>
      </c>
      <c r="BU392">
        <v>0</v>
      </c>
      <c r="BV392">
        <v>0</v>
      </c>
      <c r="BW392">
        <v>31400</v>
      </c>
    </row>
    <row r="393" spans="1:75" x14ac:dyDescent="0.25">
      <c r="A393">
        <v>364</v>
      </c>
      <c r="B393" s="1">
        <v>45128.886805555558</v>
      </c>
      <c r="C393" t="s">
        <v>710</v>
      </c>
      <c r="D393" t="s">
        <v>506</v>
      </c>
      <c r="E393" t="s">
        <v>178</v>
      </c>
      <c r="F393">
        <v>0</v>
      </c>
      <c r="G393" t="s">
        <v>608</v>
      </c>
      <c r="H393" t="s">
        <v>686</v>
      </c>
      <c r="I393" t="s">
        <v>552</v>
      </c>
      <c r="J393" t="s">
        <v>610</v>
      </c>
      <c r="K393" t="s">
        <v>84</v>
      </c>
      <c r="L393" t="s">
        <v>87</v>
      </c>
      <c r="M393" t="s">
        <v>719</v>
      </c>
      <c r="N393" t="s">
        <v>720</v>
      </c>
      <c r="O393" t="s">
        <v>82</v>
      </c>
      <c r="P393">
        <v>154630</v>
      </c>
      <c r="Q393" t="s">
        <v>83</v>
      </c>
      <c r="U393">
        <v>1</v>
      </c>
      <c r="X393">
        <v>1</v>
      </c>
      <c r="AE393" t="s">
        <v>84</v>
      </c>
      <c r="AG393" t="s">
        <v>84</v>
      </c>
      <c r="AH393" t="s">
        <v>84</v>
      </c>
      <c r="AJ393" t="s">
        <v>84</v>
      </c>
      <c r="AK393" t="s">
        <v>84</v>
      </c>
      <c r="AQ393" t="s">
        <v>84</v>
      </c>
      <c r="AT393" t="s">
        <v>84</v>
      </c>
      <c r="AU393" t="s">
        <v>84</v>
      </c>
      <c r="AV393" t="s">
        <v>84</v>
      </c>
      <c r="AX393" t="s">
        <v>84</v>
      </c>
      <c r="BA393" t="s">
        <v>84</v>
      </c>
      <c r="BB393" t="s">
        <v>84</v>
      </c>
      <c r="BG393" t="s">
        <v>84</v>
      </c>
      <c r="BJ393" t="s">
        <v>84</v>
      </c>
      <c r="BK393" t="s">
        <v>84</v>
      </c>
      <c r="BM393" t="s">
        <v>84</v>
      </c>
      <c r="BS393" t="s">
        <v>84</v>
      </c>
      <c r="BT393" t="s">
        <v>84</v>
      </c>
      <c r="BU393">
        <v>0</v>
      </c>
      <c r="BV393">
        <v>0</v>
      </c>
      <c r="BW393">
        <v>154258.96113333333</v>
      </c>
    </row>
    <row r="394" spans="1:75" x14ac:dyDescent="0.25">
      <c r="A394">
        <v>364</v>
      </c>
      <c r="B394" s="1">
        <v>45128.886805555558</v>
      </c>
      <c r="C394" t="s">
        <v>710</v>
      </c>
      <c r="D394" t="s">
        <v>506</v>
      </c>
      <c r="E394" t="s">
        <v>178</v>
      </c>
      <c r="F394">
        <v>1</v>
      </c>
      <c r="G394" t="s">
        <v>608</v>
      </c>
      <c r="H394" t="s">
        <v>686</v>
      </c>
      <c r="I394" t="s">
        <v>552</v>
      </c>
      <c r="J394" t="s">
        <v>610</v>
      </c>
      <c r="K394" t="s">
        <v>413</v>
      </c>
      <c r="L394" t="s">
        <v>87</v>
      </c>
      <c r="M394" t="s">
        <v>721</v>
      </c>
      <c r="N394" t="s">
        <v>722</v>
      </c>
      <c r="O394" t="s">
        <v>82</v>
      </c>
      <c r="P394">
        <v>135575.4167</v>
      </c>
      <c r="Q394" t="s">
        <v>83</v>
      </c>
      <c r="R394">
        <v>154258.96109999999</v>
      </c>
      <c r="AE394" t="s">
        <v>84</v>
      </c>
      <c r="AG394" t="s">
        <v>84</v>
      </c>
      <c r="AH394" t="s">
        <v>84</v>
      </c>
      <c r="AJ394" t="s">
        <v>84</v>
      </c>
      <c r="AK394" t="s">
        <v>84</v>
      </c>
      <c r="AL394">
        <v>38900</v>
      </c>
      <c r="AM394">
        <v>15100</v>
      </c>
      <c r="AN394">
        <v>30200</v>
      </c>
      <c r="AO394">
        <v>14700</v>
      </c>
      <c r="AQ394" t="s">
        <v>84</v>
      </c>
      <c r="AT394" t="s">
        <v>84</v>
      </c>
      <c r="AU394" t="s">
        <v>84</v>
      </c>
      <c r="AV394" t="s">
        <v>84</v>
      </c>
      <c r="AX394" t="s">
        <v>84</v>
      </c>
      <c r="BA394" t="s">
        <v>84</v>
      </c>
      <c r="BB394" t="s">
        <v>84</v>
      </c>
      <c r="BG394" t="s">
        <v>84</v>
      </c>
      <c r="BJ394" t="s">
        <v>84</v>
      </c>
      <c r="BK394" t="s">
        <v>84</v>
      </c>
      <c r="BM394" t="s">
        <v>84</v>
      </c>
      <c r="BS394" t="s">
        <v>84</v>
      </c>
      <c r="BT394" t="s">
        <v>84</v>
      </c>
      <c r="BU394">
        <v>0</v>
      </c>
      <c r="BV394">
        <v>0</v>
      </c>
      <c r="BW394">
        <v>154258.96113333333</v>
      </c>
    </row>
    <row r="395" spans="1:75" x14ac:dyDescent="0.25">
      <c r="A395">
        <v>364</v>
      </c>
      <c r="B395" s="1">
        <v>45128.886805555558</v>
      </c>
      <c r="C395" t="s">
        <v>710</v>
      </c>
      <c r="D395" t="s">
        <v>506</v>
      </c>
      <c r="E395" t="s">
        <v>178</v>
      </c>
      <c r="F395">
        <v>0</v>
      </c>
      <c r="G395" t="s">
        <v>608</v>
      </c>
      <c r="H395" t="s">
        <v>686</v>
      </c>
      <c r="I395" t="s">
        <v>552</v>
      </c>
      <c r="J395" t="s">
        <v>610</v>
      </c>
      <c r="K395" t="s">
        <v>84</v>
      </c>
      <c r="L395" t="s">
        <v>87</v>
      </c>
      <c r="M395" t="s">
        <v>710</v>
      </c>
      <c r="N395" t="s">
        <v>723</v>
      </c>
      <c r="O395" t="s">
        <v>82</v>
      </c>
      <c r="P395">
        <v>172571.46669999999</v>
      </c>
      <c r="Q395" t="s">
        <v>83</v>
      </c>
      <c r="W395">
        <v>1</v>
      </c>
      <c r="X395">
        <v>1</v>
      </c>
      <c r="AE395" t="s">
        <v>84</v>
      </c>
      <c r="AG395" t="s">
        <v>84</v>
      </c>
      <c r="AH395" t="s">
        <v>84</v>
      </c>
      <c r="AJ395" t="s">
        <v>84</v>
      </c>
      <c r="AK395" t="s">
        <v>84</v>
      </c>
      <c r="AQ395" t="s">
        <v>84</v>
      </c>
      <c r="AT395" t="s">
        <v>84</v>
      </c>
      <c r="AU395" t="s">
        <v>84</v>
      </c>
      <c r="AV395" t="s">
        <v>84</v>
      </c>
      <c r="AX395" t="s">
        <v>84</v>
      </c>
      <c r="BA395" t="s">
        <v>84</v>
      </c>
      <c r="BB395" t="s">
        <v>84</v>
      </c>
      <c r="BG395" t="s">
        <v>84</v>
      </c>
      <c r="BJ395" t="s">
        <v>84</v>
      </c>
      <c r="BK395" t="s">
        <v>84</v>
      </c>
      <c r="BM395" t="s">
        <v>84</v>
      </c>
      <c r="BS395" t="s">
        <v>84</v>
      </c>
      <c r="BT395" t="s">
        <v>84</v>
      </c>
      <c r="BU395">
        <v>0</v>
      </c>
      <c r="BV395">
        <v>0</v>
      </c>
      <c r="BW395">
        <v>154258.96113333333</v>
      </c>
    </row>
    <row r="396" spans="1:75" x14ac:dyDescent="0.25">
      <c r="A396">
        <v>364</v>
      </c>
      <c r="B396" s="1">
        <v>45128.886805555558</v>
      </c>
      <c r="C396" t="s">
        <v>710</v>
      </c>
      <c r="D396" t="s">
        <v>506</v>
      </c>
      <c r="E396" t="s">
        <v>178</v>
      </c>
      <c r="F396">
        <v>0</v>
      </c>
      <c r="G396" t="s">
        <v>608</v>
      </c>
      <c r="H396" t="s">
        <v>686</v>
      </c>
      <c r="I396" t="s">
        <v>552</v>
      </c>
      <c r="J396" t="s">
        <v>610</v>
      </c>
      <c r="K396" t="s">
        <v>84</v>
      </c>
      <c r="L396" t="s">
        <v>110</v>
      </c>
      <c r="M396" t="s">
        <v>724</v>
      </c>
      <c r="N396" t="s">
        <v>725</v>
      </c>
      <c r="O396" t="s">
        <v>82</v>
      </c>
      <c r="P396">
        <v>12750</v>
      </c>
      <c r="Q396" t="s">
        <v>83</v>
      </c>
      <c r="T396">
        <v>1</v>
      </c>
      <c r="X396">
        <v>1</v>
      </c>
      <c r="AE396" t="s">
        <v>84</v>
      </c>
      <c r="AG396" t="s">
        <v>84</v>
      </c>
      <c r="AH396" t="s">
        <v>84</v>
      </c>
      <c r="AJ396" t="s">
        <v>84</v>
      </c>
      <c r="AK396" t="s">
        <v>84</v>
      </c>
      <c r="AQ396" t="s">
        <v>84</v>
      </c>
      <c r="AT396" t="s">
        <v>84</v>
      </c>
      <c r="AU396" t="s">
        <v>84</v>
      </c>
      <c r="AV396" t="s">
        <v>84</v>
      </c>
      <c r="AX396" t="s">
        <v>84</v>
      </c>
      <c r="BA396" t="s">
        <v>84</v>
      </c>
      <c r="BB396" t="s">
        <v>84</v>
      </c>
      <c r="BG396" t="s">
        <v>84</v>
      </c>
      <c r="BJ396" t="s">
        <v>84</v>
      </c>
      <c r="BK396" t="s">
        <v>84</v>
      </c>
      <c r="BM396" t="s">
        <v>84</v>
      </c>
      <c r="BS396" t="s">
        <v>84</v>
      </c>
      <c r="BT396" t="s">
        <v>84</v>
      </c>
      <c r="BU396">
        <v>0</v>
      </c>
      <c r="BV396">
        <v>0</v>
      </c>
      <c r="BW396">
        <v>15299.666666666666</v>
      </c>
    </row>
    <row r="397" spans="1:75" x14ac:dyDescent="0.25">
      <c r="A397">
        <v>364</v>
      </c>
      <c r="B397" s="1">
        <v>45128.886805555558</v>
      </c>
      <c r="C397" t="s">
        <v>710</v>
      </c>
      <c r="D397" t="s">
        <v>506</v>
      </c>
      <c r="E397" t="s">
        <v>178</v>
      </c>
      <c r="F397">
        <v>1</v>
      </c>
      <c r="G397" t="s">
        <v>608</v>
      </c>
      <c r="H397" t="s">
        <v>686</v>
      </c>
      <c r="I397" t="s">
        <v>552</v>
      </c>
      <c r="J397" t="s">
        <v>610</v>
      </c>
      <c r="K397" t="s">
        <v>188</v>
      </c>
      <c r="L397" t="s">
        <v>110</v>
      </c>
      <c r="M397" t="s">
        <v>710</v>
      </c>
      <c r="N397" t="s">
        <v>726</v>
      </c>
      <c r="O397" t="s">
        <v>82</v>
      </c>
      <c r="P397">
        <v>14375</v>
      </c>
      <c r="Q397" t="s">
        <v>83</v>
      </c>
      <c r="R397">
        <v>15299.666670000001</v>
      </c>
      <c r="T397">
        <v>1</v>
      </c>
      <c r="X397">
        <v>1</v>
      </c>
      <c r="Z397">
        <v>0</v>
      </c>
      <c r="AA397">
        <v>0</v>
      </c>
      <c r="AE397" t="s">
        <v>84</v>
      </c>
      <c r="AG397" t="s">
        <v>84</v>
      </c>
      <c r="AH397" t="s">
        <v>84</v>
      </c>
      <c r="AI397">
        <v>0</v>
      </c>
      <c r="AJ397" t="s">
        <v>84</v>
      </c>
      <c r="AK397" t="s">
        <v>84</v>
      </c>
      <c r="AL397">
        <v>0</v>
      </c>
      <c r="AN397">
        <v>0</v>
      </c>
      <c r="AP397">
        <v>0</v>
      </c>
      <c r="AQ397" t="s">
        <v>84</v>
      </c>
      <c r="AR397">
        <v>0</v>
      </c>
      <c r="AT397" t="s">
        <v>84</v>
      </c>
      <c r="AU397" t="s">
        <v>84</v>
      </c>
      <c r="AV397" t="s">
        <v>84</v>
      </c>
      <c r="AW397">
        <v>0</v>
      </c>
      <c r="AX397" t="s">
        <v>84</v>
      </c>
      <c r="AY397">
        <v>11500</v>
      </c>
      <c r="BA397" t="s">
        <v>84</v>
      </c>
      <c r="BB397" t="s">
        <v>84</v>
      </c>
      <c r="BC397">
        <v>0</v>
      </c>
      <c r="BD397">
        <v>0</v>
      </c>
      <c r="BG397" t="s">
        <v>84</v>
      </c>
      <c r="BH397">
        <v>0</v>
      </c>
      <c r="BI397">
        <v>0</v>
      </c>
      <c r="BJ397" t="s">
        <v>84</v>
      </c>
      <c r="BK397" t="s">
        <v>84</v>
      </c>
      <c r="BM397" t="s">
        <v>84</v>
      </c>
      <c r="BP397">
        <v>0</v>
      </c>
      <c r="BQ397">
        <v>0</v>
      </c>
      <c r="BR397">
        <v>0</v>
      </c>
      <c r="BS397" t="s">
        <v>84</v>
      </c>
      <c r="BT397" t="s">
        <v>84</v>
      </c>
      <c r="BU397">
        <v>0</v>
      </c>
      <c r="BV397">
        <v>0</v>
      </c>
      <c r="BW397">
        <v>15299.666666666666</v>
      </c>
    </row>
    <row r="398" spans="1:75" x14ac:dyDescent="0.25">
      <c r="A398">
        <v>364</v>
      </c>
      <c r="B398" s="1">
        <v>45128.886805555558</v>
      </c>
      <c r="C398" t="s">
        <v>710</v>
      </c>
      <c r="D398" t="s">
        <v>506</v>
      </c>
      <c r="E398" t="s">
        <v>178</v>
      </c>
      <c r="F398">
        <v>0</v>
      </c>
      <c r="G398" t="s">
        <v>608</v>
      </c>
      <c r="H398" t="s">
        <v>686</v>
      </c>
      <c r="I398" t="s">
        <v>552</v>
      </c>
      <c r="J398" t="s">
        <v>610</v>
      </c>
      <c r="K398" t="s">
        <v>84</v>
      </c>
      <c r="L398" t="s">
        <v>110</v>
      </c>
      <c r="M398" t="s">
        <v>710</v>
      </c>
      <c r="N398" t="s">
        <v>84</v>
      </c>
      <c r="O398" t="s">
        <v>82</v>
      </c>
      <c r="P398">
        <v>18774</v>
      </c>
      <c r="Q398" t="s">
        <v>83</v>
      </c>
      <c r="W398">
        <v>1</v>
      </c>
      <c r="AE398" t="s">
        <v>84</v>
      </c>
      <c r="AG398" t="s">
        <v>84</v>
      </c>
      <c r="AH398" t="s">
        <v>84</v>
      </c>
      <c r="AJ398" t="s">
        <v>84</v>
      </c>
      <c r="AK398" t="s">
        <v>84</v>
      </c>
      <c r="AQ398" t="s">
        <v>84</v>
      </c>
      <c r="AT398" t="s">
        <v>84</v>
      </c>
      <c r="AU398" t="s">
        <v>84</v>
      </c>
      <c r="AV398" t="s">
        <v>84</v>
      </c>
      <c r="AX398" t="s">
        <v>84</v>
      </c>
      <c r="BA398" t="s">
        <v>84</v>
      </c>
      <c r="BB398" t="s">
        <v>84</v>
      </c>
      <c r="BG398" t="s">
        <v>84</v>
      </c>
      <c r="BJ398" t="s">
        <v>84</v>
      </c>
      <c r="BK398" t="s">
        <v>84</v>
      </c>
      <c r="BM398" t="s">
        <v>84</v>
      </c>
      <c r="BS398" t="s">
        <v>84</v>
      </c>
      <c r="BT398" t="s">
        <v>84</v>
      </c>
      <c r="BU398">
        <v>0</v>
      </c>
      <c r="BV398">
        <v>0</v>
      </c>
      <c r="BW398">
        <v>15299.666666666666</v>
      </c>
    </row>
    <row r="399" spans="1:75" x14ac:dyDescent="0.25">
      <c r="A399">
        <v>364</v>
      </c>
      <c r="B399" s="1">
        <v>45128.886805555558</v>
      </c>
      <c r="C399" t="s">
        <v>710</v>
      </c>
      <c r="D399" t="s">
        <v>506</v>
      </c>
      <c r="E399" t="s">
        <v>178</v>
      </c>
      <c r="F399">
        <v>0</v>
      </c>
      <c r="G399" t="s">
        <v>608</v>
      </c>
      <c r="H399" t="s">
        <v>686</v>
      </c>
      <c r="I399" t="s">
        <v>552</v>
      </c>
      <c r="J399" t="s">
        <v>610</v>
      </c>
      <c r="K399" t="s">
        <v>84</v>
      </c>
      <c r="L399" t="s">
        <v>106</v>
      </c>
      <c r="M399" t="s">
        <v>724</v>
      </c>
      <c r="N399" t="s">
        <v>727</v>
      </c>
      <c r="O399" t="s">
        <v>82</v>
      </c>
      <c r="P399">
        <v>10839.44</v>
      </c>
      <c r="Q399" t="s">
        <v>83</v>
      </c>
      <c r="T399">
        <v>1</v>
      </c>
      <c r="X399">
        <v>1</v>
      </c>
      <c r="AE399" t="s">
        <v>84</v>
      </c>
      <c r="AG399" t="s">
        <v>84</v>
      </c>
      <c r="AH399" t="s">
        <v>84</v>
      </c>
      <c r="AJ399" t="s">
        <v>84</v>
      </c>
      <c r="AK399" t="s">
        <v>84</v>
      </c>
      <c r="AQ399" t="s">
        <v>84</v>
      </c>
      <c r="AT399" t="s">
        <v>84</v>
      </c>
      <c r="AU399" t="s">
        <v>84</v>
      </c>
      <c r="AV399" t="s">
        <v>84</v>
      </c>
      <c r="AX399" t="s">
        <v>84</v>
      </c>
      <c r="BA399" t="s">
        <v>84</v>
      </c>
      <c r="BB399" t="s">
        <v>84</v>
      </c>
      <c r="BG399" t="s">
        <v>84</v>
      </c>
      <c r="BJ399" t="s">
        <v>84</v>
      </c>
      <c r="BK399" t="s">
        <v>84</v>
      </c>
      <c r="BM399" t="s">
        <v>84</v>
      </c>
      <c r="BS399" t="s">
        <v>84</v>
      </c>
      <c r="BT399" t="s">
        <v>84</v>
      </c>
      <c r="BU399">
        <v>0</v>
      </c>
      <c r="BV399">
        <v>0</v>
      </c>
      <c r="BW399">
        <v>10064.819166666666</v>
      </c>
    </row>
    <row r="400" spans="1:75" x14ac:dyDescent="0.25">
      <c r="A400">
        <v>364</v>
      </c>
      <c r="B400" s="1">
        <v>45128.886805555558</v>
      </c>
      <c r="C400" t="s">
        <v>710</v>
      </c>
      <c r="D400" t="s">
        <v>506</v>
      </c>
      <c r="E400" t="s">
        <v>178</v>
      </c>
      <c r="F400">
        <v>1</v>
      </c>
      <c r="G400" t="s">
        <v>608</v>
      </c>
      <c r="H400" t="s">
        <v>686</v>
      </c>
      <c r="I400" t="s">
        <v>552</v>
      </c>
      <c r="J400" t="s">
        <v>610</v>
      </c>
      <c r="K400" t="s">
        <v>188</v>
      </c>
      <c r="L400" t="s">
        <v>106</v>
      </c>
      <c r="M400" t="s">
        <v>710</v>
      </c>
      <c r="N400" t="s">
        <v>728</v>
      </c>
      <c r="O400" t="s">
        <v>82</v>
      </c>
      <c r="P400">
        <v>10926.092500000001</v>
      </c>
      <c r="Q400" t="s">
        <v>83</v>
      </c>
      <c r="R400">
        <v>10064.819170000001</v>
      </c>
      <c r="T400">
        <v>1</v>
      </c>
      <c r="X400">
        <v>1</v>
      </c>
      <c r="AE400" t="s">
        <v>84</v>
      </c>
      <c r="AF400">
        <v>4900</v>
      </c>
      <c r="AG400" t="s">
        <v>84</v>
      </c>
      <c r="AH400" t="s">
        <v>84</v>
      </c>
      <c r="AJ400" t="s">
        <v>84</v>
      </c>
      <c r="AK400" t="s">
        <v>84</v>
      </c>
      <c r="AQ400" t="s">
        <v>84</v>
      </c>
      <c r="AT400" t="s">
        <v>84</v>
      </c>
      <c r="AU400" t="s">
        <v>84</v>
      </c>
      <c r="AV400" t="s">
        <v>84</v>
      </c>
      <c r="AX400" t="s">
        <v>84</v>
      </c>
      <c r="BA400" t="s">
        <v>84</v>
      </c>
      <c r="BB400" t="s">
        <v>84</v>
      </c>
      <c r="BE400">
        <v>2035</v>
      </c>
      <c r="BG400" t="s">
        <v>84</v>
      </c>
      <c r="BJ400" t="s">
        <v>84</v>
      </c>
      <c r="BK400" t="s">
        <v>84</v>
      </c>
      <c r="BM400" t="s">
        <v>84</v>
      </c>
      <c r="BS400" t="s">
        <v>84</v>
      </c>
      <c r="BT400" t="s">
        <v>84</v>
      </c>
      <c r="BU400">
        <v>0</v>
      </c>
      <c r="BV400">
        <v>0</v>
      </c>
      <c r="BW400">
        <v>10064.819166666666</v>
      </c>
    </row>
    <row r="401" spans="1:75" x14ac:dyDescent="0.25">
      <c r="A401">
        <v>364</v>
      </c>
      <c r="B401" s="1">
        <v>45128.886805555558</v>
      </c>
      <c r="C401" t="s">
        <v>710</v>
      </c>
      <c r="D401" t="s">
        <v>506</v>
      </c>
      <c r="E401" t="s">
        <v>178</v>
      </c>
      <c r="F401">
        <v>0</v>
      </c>
      <c r="G401" t="s">
        <v>608</v>
      </c>
      <c r="H401" t="s">
        <v>686</v>
      </c>
      <c r="I401" t="s">
        <v>552</v>
      </c>
      <c r="J401" t="s">
        <v>610</v>
      </c>
      <c r="K401" t="s">
        <v>84</v>
      </c>
      <c r="L401" t="s">
        <v>106</v>
      </c>
      <c r="M401" t="s">
        <v>710</v>
      </c>
      <c r="N401" t="s">
        <v>729</v>
      </c>
      <c r="O401" t="s">
        <v>82</v>
      </c>
      <c r="P401">
        <v>8428.9249999999993</v>
      </c>
      <c r="Q401" t="s">
        <v>83</v>
      </c>
      <c r="W401">
        <v>1</v>
      </c>
      <c r="AE401" t="s">
        <v>84</v>
      </c>
      <c r="AG401" t="s">
        <v>84</v>
      </c>
      <c r="AH401" t="s">
        <v>84</v>
      </c>
      <c r="AJ401" t="s">
        <v>84</v>
      </c>
      <c r="AK401" t="s">
        <v>84</v>
      </c>
      <c r="AQ401" t="s">
        <v>84</v>
      </c>
      <c r="AT401" t="s">
        <v>84</v>
      </c>
      <c r="AU401" t="s">
        <v>84</v>
      </c>
      <c r="AV401" t="s">
        <v>84</v>
      </c>
      <c r="AX401" t="s">
        <v>84</v>
      </c>
      <c r="BA401" t="s">
        <v>84</v>
      </c>
      <c r="BB401" t="s">
        <v>84</v>
      </c>
      <c r="BG401" t="s">
        <v>84</v>
      </c>
      <c r="BJ401" t="s">
        <v>84</v>
      </c>
      <c r="BK401" t="s">
        <v>84</v>
      </c>
      <c r="BM401" t="s">
        <v>84</v>
      </c>
      <c r="BS401" t="s">
        <v>84</v>
      </c>
      <c r="BT401" t="s">
        <v>84</v>
      </c>
      <c r="BU401">
        <v>0</v>
      </c>
      <c r="BV401">
        <v>0</v>
      </c>
      <c r="BW401">
        <v>10064.819166666666</v>
      </c>
    </row>
    <row r="402" spans="1:75" x14ac:dyDescent="0.25">
      <c r="A402">
        <v>364</v>
      </c>
      <c r="B402" s="1">
        <v>45128.886805555558</v>
      </c>
      <c r="C402" t="s">
        <v>710</v>
      </c>
      <c r="D402" t="s">
        <v>506</v>
      </c>
      <c r="E402" t="s">
        <v>178</v>
      </c>
      <c r="F402">
        <v>0</v>
      </c>
      <c r="G402" t="s">
        <v>608</v>
      </c>
      <c r="H402" t="s">
        <v>686</v>
      </c>
      <c r="I402" t="s">
        <v>552</v>
      </c>
      <c r="J402" t="s">
        <v>610</v>
      </c>
      <c r="K402" t="s">
        <v>84</v>
      </c>
      <c r="L402" t="s">
        <v>80</v>
      </c>
      <c r="M402" t="s">
        <v>724</v>
      </c>
      <c r="N402" t="s">
        <v>730</v>
      </c>
      <c r="O402" t="s">
        <v>82</v>
      </c>
      <c r="P402">
        <v>654508.57499999995</v>
      </c>
      <c r="Q402" t="s">
        <v>83</v>
      </c>
      <c r="T402">
        <v>1</v>
      </c>
      <c r="X402">
        <v>1</v>
      </c>
      <c r="AE402" t="s">
        <v>84</v>
      </c>
      <c r="AG402" t="s">
        <v>84</v>
      </c>
      <c r="AH402" t="s">
        <v>84</v>
      </c>
      <c r="AJ402" t="s">
        <v>84</v>
      </c>
      <c r="AK402" t="s">
        <v>84</v>
      </c>
      <c r="AQ402" t="s">
        <v>84</v>
      </c>
      <c r="AT402" t="s">
        <v>84</v>
      </c>
      <c r="AU402" t="s">
        <v>84</v>
      </c>
      <c r="AV402" t="s">
        <v>84</v>
      </c>
      <c r="AX402" t="s">
        <v>84</v>
      </c>
      <c r="BA402" t="s">
        <v>84</v>
      </c>
      <c r="BB402" t="s">
        <v>84</v>
      </c>
      <c r="BG402" t="s">
        <v>84</v>
      </c>
      <c r="BJ402" t="s">
        <v>84</v>
      </c>
      <c r="BK402" t="s">
        <v>84</v>
      </c>
      <c r="BM402" t="s">
        <v>84</v>
      </c>
      <c r="BS402" t="s">
        <v>84</v>
      </c>
      <c r="BT402" t="s">
        <v>84</v>
      </c>
      <c r="BU402">
        <v>0</v>
      </c>
      <c r="BV402">
        <v>0</v>
      </c>
      <c r="BW402">
        <v>706387.15280000004</v>
      </c>
    </row>
    <row r="403" spans="1:75" x14ac:dyDescent="0.25">
      <c r="A403">
        <v>364</v>
      </c>
      <c r="B403" s="1">
        <v>45128.886805555558</v>
      </c>
      <c r="C403" t="s">
        <v>710</v>
      </c>
      <c r="D403" t="s">
        <v>506</v>
      </c>
      <c r="E403" t="s">
        <v>178</v>
      </c>
      <c r="F403">
        <v>1</v>
      </c>
      <c r="G403" t="s">
        <v>608</v>
      </c>
      <c r="H403" t="s">
        <v>686</v>
      </c>
      <c r="I403" t="s">
        <v>552</v>
      </c>
      <c r="J403" t="s">
        <v>610</v>
      </c>
      <c r="K403" t="s">
        <v>188</v>
      </c>
      <c r="L403" t="s">
        <v>80</v>
      </c>
      <c r="M403" t="s">
        <v>710</v>
      </c>
      <c r="N403" t="s">
        <v>731</v>
      </c>
      <c r="O403" t="s">
        <v>82</v>
      </c>
      <c r="P403">
        <v>831998.99340000004</v>
      </c>
      <c r="Q403" t="s">
        <v>83</v>
      </c>
      <c r="R403">
        <v>706387.15280000004</v>
      </c>
      <c r="T403">
        <v>1</v>
      </c>
      <c r="X403">
        <v>1</v>
      </c>
      <c r="Z403">
        <v>33390.5</v>
      </c>
      <c r="AA403">
        <v>125100</v>
      </c>
      <c r="AE403" t="s">
        <v>84</v>
      </c>
      <c r="AG403" t="s">
        <v>84</v>
      </c>
      <c r="AH403" t="s">
        <v>84</v>
      </c>
      <c r="AI403">
        <v>10000</v>
      </c>
      <c r="AJ403" t="s">
        <v>84</v>
      </c>
      <c r="AK403" t="s">
        <v>84</v>
      </c>
      <c r="AL403">
        <v>0</v>
      </c>
      <c r="AN403">
        <v>0</v>
      </c>
      <c r="AP403">
        <v>123900</v>
      </c>
      <c r="AQ403" t="s">
        <v>84</v>
      </c>
      <c r="AR403">
        <v>2400</v>
      </c>
      <c r="AT403" t="s">
        <v>84</v>
      </c>
      <c r="AU403" t="s">
        <v>84</v>
      </c>
      <c r="AV403" t="s">
        <v>84</v>
      </c>
      <c r="AW403">
        <v>18596</v>
      </c>
      <c r="AX403" t="s">
        <v>84</v>
      </c>
      <c r="AY403">
        <v>6800</v>
      </c>
      <c r="BA403" t="s">
        <v>84</v>
      </c>
      <c r="BB403" t="s">
        <v>84</v>
      </c>
      <c r="BC403">
        <v>15400</v>
      </c>
      <c r="BD403">
        <v>127162.75</v>
      </c>
      <c r="BG403" t="s">
        <v>84</v>
      </c>
      <c r="BH403">
        <v>13700</v>
      </c>
      <c r="BI403">
        <v>151361.21</v>
      </c>
      <c r="BJ403" t="s">
        <v>84</v>
      </c>
      <c r="BK403" t="s">
        <v>84</v>
      </c>
      <c r="BM403" t="s">
        <v>84</v>
      </c>
      <c r="BP403">
        <v>17150</v>
      </c>
      <c r="BQ403">
        <v>0</v>
      </c>
      <c r="BR403">
        <v>0</v>
      </c>
      <c r="BS403" t="s">
        <v>84</v>
      </c>
      <c r="BT403" t="s">
        <v>84</v>
      </c>
      <c r="BU403">
        <v>0</v>
      </c>
      <c r="BV403">
        <v>0</v>
      </c>
      <c r="BW403">
        <v>706387.15280000004</v>
      </c>
    </row>
    <row r="404" spans="1:75" x14ac:dyDescent="0.25">
      <c r="A404">
        <v>364</v>
      </c>
      <c r="B404" s="1">
        <v>45128.886805555558</v>
      </c>
      <c r="C404" t="s">
        <v>710</v>
      </c>
      <c r="D404" t="s">
        <v>506</v>
      </c>
      <c r="E404" t="s">
        <v>178</v>
      </c>
      <c r="F404">
        <v>0</v>
      </c>
      <c r="G404" t="s">
        <v>608</v>
      </c>
      <c r="H404" t="s">
        <v>686</v>
      </c>
      <c r="I404" t="s">
        <v>552</v>
      </c>
      <c r="J404" t="s">
        <v>610</v>
      </c>
      <c r="K404" t="s">
        <v>84</v>
      </c>
      <c r="L404" t="s">
        <v>80</v>
      </c>
      <c r="M404" t="s">
        <v>710</v>
      </c>
      <c r="N404" t="s">
        <v>732</v>
      </c>
      <c r="O404" t="s">
        <v>82</v>
      </c>
      <c r="P404">
        <v>632653.89</v>
      </c>
      <c r="Q404" t="s">
        <v>83</v>
      </c>
      <c r="W404">
        <v>1</v>
      </c>
      <c r="AE404" t="s">
        <v>84</v>
      </c>
      <c r="AG404" t="s">
        <v>84</v>
      </c>
      <c r="AH404" t="s">
        <v>84</v>
      </c>
      <c r="AJ404" t="s">
        <v>84</v>
      </c>
      <c r="AK404" t="s">
        <v>84</v>
      </c>
      <c r="AQ404" t="s">
        <v>84</v>
      </c>
      <c r="AT404" t="s">
        <v>84</v>
      </c>
      <c r="AU404" t="s">
        <v>84</v>
      </c>
      <c r="AV404" t="s">
        <v>84</v>
      </c>
      <c r="AX404" t="s">
        <v>84</v>
      </c>
      <c r="BA404" t="s">
        <v>84</v>
      </c>
      <c r="BB404" t="s">
        <v>84</v>
      </c>
      <c r="BG404" t="s">
        <v>84</v>
      </c>
      <c r="BJ404" t="s">
        <v>84</v>
      </c>
      <c r="BK404" t="s">
        <v>84</v>
      </c>
      <c r="BM404" t="s">
        <v>84</v>
      </c>
      <c r="BS404" t="s">
        <v>84</v>
      </c>
      <c r="BT404" t="s">
        <v>84</v>
      </c>
      <c r="BU404">
        <v>0</v>
      </c>
      <c r="BV404">
        <v>0</v>
      </c>
      <c r="BW404">
        <v>706387.15280000004</v>
      </c>
    </row>
    <row r="405" spans="1:75" x14ac:dyDescent="0.25">
      <c r="A405">
        <v>367</v>
      </c>
      <c r="B405" s="1">
        <v>45128.88958333333</v>
      </c>
      <c r="C405" t="s">
        <v>733</v>
      </c>
      <c r="D405" t="s">
        <v>734</v>
      </c>
      <c r="E405" t="s">
        <v>178</v>
      </c>
      <c r="F405">
        <v>0</v>
      </c>
      <c r="G405" t="s">
        <v>735</v>
      </c>
      <c r="H405" t="s">
        <v>736</v>
      </c>
      <c r="I405" t="s">
        <v>179</v>
      </c>
      <c r="J405" t="s">
        <v>737</v>
      </c>
      <c r="K405" t="s">
        <v>84</v>
      </c>
      <c r="L405" t="s">
        <v>92</v>
      </c>
      <c r="M405" t="s">
        <v>738</v>
      </c>
      <c r="N405" t="s">
        <v>181</v>
      </c>
      <c r="O405" t="s">
        <v>82</v>
      </c>
      <c r="P405">
        <v>26570</v>
      </c>
      <c r="Q405" t="s">
        <v>83</v>
      </c>
      <c r="AE405" t="s">
        <v>84</v>
      </c>
      <c r="AG405" t="s">
        <v>84</v>
      </c>
      <c r="AH405" t="s">
        <v>84</v>
      </c>
      <c r="AJ405" t="s">
        <v>84</v>
      </c>
      <c r="AK405" t="s">
        <v>84</v>
      </c>
      <c r="AQ405" t="s">
        <v>84</v>
      </c>
      <c r="AT405" t="s">
        <v>84</v>
      </c>
      <c r="AU405" t="s">
        <v>84</v>
      </c>
      <c r="AV405" t="s">
        <v>84</v>
      </c>
      <c r="AX405" t="s">
        <v>84</v>
      </c>
      <c r="BA405" t="s">
        <v>84</v>
      </c>
      <c r="BB405" t="s">
        <v>84</v>
      </c>
      <c r="BG405" t="s">
        <v>84</v>
      </c>
      <c r="BJ405" t="s">
        <v>84</v>
      </c>
      <c r="BK405" t="s">
        <v>84</v>
      </c>
      <c r="BM405" t="s">
        <v>84</v>
      </c>
      <c r="BS405" t="s">
        <v>84</v>
      </c>
      <c r="BT405" t="s">
        <v>84</v>
      </c>
      <c r="BU405">
        <v>0</v>
      </c>
      <c r="BV405">
        <v>0</v>
      </c>
      <c r="BW405">
        <v>46565</v>
      </c>
    </row>
    <row r="406" spans="1:75" x14ac:dyDescent="0.25">
      <c r="A406">
        <v>367</v>
      </c>
      <c r="B406" s="1">
        <v>45128.88958333333</v>
      </c>
      <c r="C406" t="s">
        <v>733</v>
      </c>
      <c r="D406" t="s">
        <v>734</v>
      </c>
      <c r="E406" t="s">
        <v>178</v>
      </c>
      <c r="F406">
        <v>1</v>
      </c>
      <c r="G406" t="s">
        <v>735</v>
      </c>
      <c r="H406" t="s">
        <v>736</v>
      </c>
      <c r="I406" t="s">
        <v>179</v>
      </c>
      <c r="J406" t="s">
        <v>737</v>
      </c>
      <c r="K406" t="s">
        <v>221</v>
      </c>
      <c r="L406" t="s">
        <v>92</v>
      </c>
      <c r="M406" t="s">
        <v>739</v>
      </c>
      <c r="N406" t="s">
        <v>221</v>
      </c>
      <c r="O406" t="s">
        <v>82</v>
      </c>
      <c r="P406">
        <v>66560</v>
      </c>
      <c r="Q406" t="s">
        <v>83</v>
      </c>
      <c r="R406">
        <v>46565</v>
      </c>
      <c r="AB406">
        <v>66560</v>
      </c>
      <c r="AE406" t="s">
        <v>84</v>
      </c>
      <c r="AG406" t="s">
        <v>84</v>
      </c>
      <c r="AH406" t="s">
        <v>84</v>
      </c>
      <c r="AJ406" t="s">
        <v>84</v>
      </c>
      <c r="AK406" t="s">
        <v>84</v>
      </c>
      <c r="AQ406" t="s">
        <v>84</v>
      </c>
      <c r="AT406" t="s">
        <v>84</v>
      </c>
      <c r="AU406" t="s">
        <v>84</v>
      </c>
      <c r="AV406" t="s">
        <v>84</v>
      </c>
      <c r="AX406" t="s">
        <v>84</v>
      </c>
      <c r="BA406" t="s">
        <v>84</v>
      </c>
      <c r="BB406" t="s">
        <v>84</v>
      </c>
      <c r="BG406" t="s">
        <v>84</v>
      </c>
      <c r="BJ406" t="s">
        <v>84</v>
      </c>
      <c r="BK406" t="s">
        <v>84</v>
      </c>
      <c r="BM406" t="s">
        <v>84</v>
      </c>
      <c r="BS406" t="s">
        <v>84</v>
      </c>
      <c r="BT406" t="s">
        <v>84</v>
      </c>
      <c r="BU406">
        <v>0</v>
      </c>
      <c r="BV406">
        <v>0</v>
      </c>
      <c r="BW406">
        <v>46565</v>
      </c>
    </row>
    <row r="407" spans="1:75" x14ac:dyDescent="0.25">
      <c r="A407">
        <v>367</v>
      </c>
      <c r="B407" s="1">
        <v>45128.88958333333</v>
      </c>
      <c r="C407" t="s">
        <v>733</v>
      </c>
      <c r="D407" t="s">
        <v>734</v>
      </c>
      <c r="E407" t="s">
        <v>178</v>
      </c>
      <c r="F407">
        <v>1</v>
      </c>
      <c r="G407" t="s">
        <v>735</v>
      </c>
      <c r="H407" t="s">
        <v>736</v>
      </c>
      <c r="I407" t="s">
        <v>179</v>
      </c>
      <c r="J407" t="s">
        <v>737</v>
      </c>
      <c r="K407" t="s">
        <v>700</v>
      </c>
      <c r="L407" t="s">
        <v>114</v>
      </c>
      <c r="M407" t="s">
        <v>733</v>
      </c>
      <c r="N407" t="s">
        <v>740</v>
      </c>
      <c r="O407" t="s">
        <v>82</v>
      </c>
      <c r="P407">
        <v>42850</v>
      </c>
      <c r="Q407" t="s">
        <v>83</v>
      </c>
      <c r="R407">
        <v>31316.666669999999</v>
      </c>
      <c r="W407">
        <v>1</v>
      </c>
      <c r="AE407" t="s">
        <v>84</v>
      </c>
      <c r="AG407" t="s">
        <v>84</v>
      </c>
      <c r="AH407" t="s">
        <v>84</v>
      </c>
      <c r="AJ407" t="s">
        <v>84</v>
      </c>
      <c r="AK407" t="s">
        <v>84</v>
      </c>
      <c r="AQ407" t="s">
        <v>84</v>
      </c>
      <c r="AT407" t="s">
        <v>84</v>
      </c>
      <c r="AU407" t="s">
        <v>84</v>
      </c>
      <c r="AV407" t="s">
        <v>84</v>
      </c>
      <c r="AX407" t="s">
        <v>84</v>
      </c>
      <c r="BA407" t="s">
        <v>84</v>
      </c>
      <c r="BB407" t="s">
        <v>84</v>
      </c>
      <c r="BG407" t="s">
        <v>84</v>
      </c>
      <c r="BJ407" t="s">
        <v>84</v>
      </c>
      <c r="BK407" t="s">
        <v>84</v>
      </c>
      <c r="BM407" t="s">
        <v>84</v>
      </c>
      <c r="BN407">
        <v>42850</v>
      </c>
      <c r="BS407" t="s">
        <v>84</v>
      </c>
      <c r="BT407" t="s">
        <v>84</v>
      </c>
      <c r="BU407">
        <v>0</v>
      </c>
      <c r="BV407">
        <v>0</v>
      </c>
      <c r="BW407">
        <v>31316.666666666664</v>
      </c>
    </row>
    <row r="408" spans="1:75" x14ac:dyDescent="0.25">
      <c r="A408">
        <v>367</v>
      </c>
      <c r="B408" s="1">
        <v>45128.88958333333</v>
      </c>
      <c r="C408" t="s">
        <v>733</v>
      </c>
      <c r="D408" t="s">
        <v>734</v>
      </c>
      <c r="E408" t="s">
        <v>178</v>
      </c>
      <c r="F408">
        <v>0</v>
      </c>
      <c r="G408" t="s">
        <v>735</v>
      </c>
      <c r="H408" t="s">
        <v>736</v>
      </c>
      <c r="I408" t="s">
        <v>179</v>
      </c>
      <c r="J408" t="s">
        <v>737</v>
      </c>
      <c r="K408" t="s">
        <v>84</v>
      </c>
      <c r="L408" t="s">
        <v>114</v>
      </c>
      <c r="M408" t="s">
        <v>741</v>
      </c>
      <c r="N408" t="s">
        <v>742</v>
      </c>
      <c r="O408" t="s">
        <v>82</v>
      </c>
      <c r="P408">
        <v>23200</v>
      </c>
      <c r="Q408" t="s">
        <v>83</v>
      </c>
      <c r="S408">
        <v>1</v>
      </c>
      <c r="AE408" t="s">
        <v>84</v>
      </c>
      <c r="AG408" t="s">
        <v>84</v>
      </c>
      <c r="AH408" t="s">
        <v>84</v>
      </c>
      <c r="AJ408" t="s">
        <v>84</v>
      </c>
      <c r="AK408" t="s">
        <v>84</v>
      </c>
      <c r="AQ408" t="s">
        <v>84</v>
      </c>
      <c r="AT408" t="s">
        <v>84</v>
      </c>
      <c r="AU408" t="s">
        <v>84</v>
      </c>
      <c r="AV408" t="s">
        <v>84</v>
      </c>
      <c r="AX408" t="s">
        <v>84</v>
      </c>
      <c r="BA408" t="s">
        <v>84</v>
      </c>
      <c r="BB408" t="s">
        <v>84</v>
      </c>
      <c r="BG408" t="s">
        <v>84</v>
      </c>
      <c r="BJ408" t="s">
        <v>84</v>
      </c>
      <c r="BK408" t="s">
        <v>84</v>
      </c>
      <c r="BM408" t="s">
        <v>84</v>
      </c>
      <c r="BS408" t="s">
        <v>84</v>
      </c>
      <c r="BT408" t="s">
        <v>84</v>
      </c>
      <c r="BU408">
        <v>23200</v>
      </c>
      <c r="BV408">
        <v>0</v>
      </c>
      <c r="BW408">
        <v>31316.666666666664</v>
      </c>
    </row>
    <row r="409" spans="1:75" x14ac:dyDescent="0.25">
      <c r="A409">
        <v>367</v>
      </c>
      <c r="B409" s="1">
        <v>45128.88958333333</v>
      </c>
      <c r="C409" t="s">
        <v>733</v>
      </c>
      <c r="D409" t="s">
        <v>734</v>
      </c>
      <c r="E409" t="s">
        <v>178</v>
      </c>
      <c r="F409">
        <v>0</v>
      </c>
      <c r="G409" t="s">
        <v>735</v>
      </c>
      <c r="H409" t="s">
        <v>736</v>
      </c>
      <c r="I409" t="s">
        <v>179</v>
      </c>
      <c r="J409" t="s">
        <v>737</v>
      </c>
      <c r="K409" t="s">
        <v>84</v>
      </c>
      <c r="L409" t="s">
        <v>114</v>
      </c>
      <c r="M409" t="s">
        <v>733</v>
      </c>
      <c r="N409" t="s">
        <v>743</v>
      </c>
      <c r="O409" t="s">
        <v>82</v>
      </c>
      <c r="P409">
        <v>27900</v>
      </c>
      <c r="Q409" t="s">
        <v>83</v>
      </c>
      <c r="T409">
        <v>1</v>
      </c>
      <c r="X409">
        <v>1</v>
      </c>
      <c r="AE409" t="s">
        <v>84</v>
      </c>
      <c r="AG409" t="s">
        <v>84</v>
      </c>
      <c r="AH409" t="s">
        <v>84</v>
      </c>
      <c r="AJ409" t="s">
        <v>84</v>
      </c>
      <c r="AK409" t="s">
        <v>84</v>
      </c>
      <c r="AQ409" t="s">
        <v>84</v>
      </c>
      <c r="AT409" t="s">
        <v>84</v>
      </c>
      <c r="AU409" t="s">
        <v>84</v>
      </c>
      <c r="AV409" t="s">
        <v>84</v>
      </c>
      <c r="AX409" t="s">
        <v>84</v>
      </c>
      <c r="BA409" t="s">
        <v>84</v>
      </c>
      <c r="BB409" t="s">
        <v>84</v>
      </c>
      <c r="BG409" t="s">
        <v>84</v>
      </c>
      <c r="BJ409" t="s">
        <v>84</v>
      </c>
      <c r="BK409" t="s">
        <v>84</v>
      </c>
      <c r="BM409" t="s">
        <v>84</v>
      </c>
      <c r="BS409" t="s">
        <v>84</v>
      </c>
      <c r="BT409" t="s">
        <v>84</v>
      </c>
      <c r="BU409">
        <v>0</v>
      </c>
      <c r="BV409">
        <v>0</v>
      </c>
      <c r="BW409">
        <v>31316.666666666664</v>
      </c>
    </row>
    <row r="410" spans="1:75" x14ac:dyDescent="0.25">
      <c r="A410">
        <v>367</v>
      </c>
      <c r="B410" s="1">
        <v>45128.88958333333</v>
      </c>
      <c r="C410" t="s">
        <v>733</v>
      </c>
      <c r="D410" t="s">
        <v>734</v>
      </c>
      <c r="E410" t="s">
        <v>178</v>
      </c>
      <c r="F410">
        <v>1</v>
      </c>
      <c r="G410" t="s">
        <v>735</v>
      </c>
      <c r="H410" t="s">
        <v>736</v>
      </c>
      <c r="I410" t="s">
        <v>179</v>
      </c>
      <c r="J410" t="s">
        <v>737</v>
      </c>
      <c r="K410" t="s">
        <v>700</v>
      </c>
      <c r="L410" t="s">
        <v>121</v>
      </c>
      <c r="M410" t="s">
        <v>733</v>
      </c>
      <c r="N410" t="s">
        <v>744</v>
      </c>
      <c r="O410" t="s">
        <v>82</v>
      </c>
      <c r="P410">
        <v>193795.97099999999</v>
      </c>
      <c r="Q410" t="s">
        <v>83</v>
      </c>
      <c r="R410">
        <v>182920.4215</v>
      </c>
      <c r="W410">
        <v>1</v>
      </c>
      <c r="AA410">
        <v>0</v>
      </c>
      <c r="AD410">
        <v>19980</v>
      </c>
      <c r="AE410" t="s">
        <v>84</v>
      </c>
      <c r="AG410" t="s">
        <v>84</v>
      </c>
      <c r="AH410" t="s">
        <v>84</v>
      </c>
      <c r="AJ410" t="s">
        <v>84</v>
      </c>
      <c r="AK410" t="s">
        <v>84</v>
      </c>
      <c r="AP410">
        <v>1532</v>
      </c>
      <c r="AQ410" t="s">
        <v>84</v>
      </c>
      <c r="AR410">
        <v>12093</v>
      </c>
      <c r="AT410" t="s">
        <v>84</v>
      </c>
      <c r="AU410" t="s">
        <v>84</v>
      </c>
      <c r="AV410" t="s">
        <v>84</v>
      </c>
      <c r="AX410" t="s">
        <v>84</v>
      </c>
      <c r="AY410">
        <v>0</v>
      </c>
      <c r="BA410" t="s">
        <v>84</v>
      </c>
      <c r="BB410" t="s">
        <v>84</v>
      </c>
      <c r="BC410">
        <v>19515</v>
      </c>
      <c r="BF410">
        <v>10081</v>
      </c>
      <c r="BG410" t="s">
        <v>84</v>
      </c>
      <c r="BH410">
        <v>24840</v>
      </c>
      <c r="BI410">
        <v>36593</v>
      </c>
      <c r="BJ410" t="s">
        <v>84</v>
      </c>
      <c r="BK410" t="s">
        <v>84</v>
      </c>
      <c r="BL410">
        <v>18310</v>
      </c>
      <c r="BM410" t="s">
        <v>84</v>
      </c>
      <c r="BO410">
        <v>2824</v>
      </c>
      <c r="BQ410">
        <v>602</v>
      </c>
      <c r="BR410">
        <v>0</v>
      </c>
      <c r="BS410" t="s">
        <v>84</v>
      </c>
      <c r="BT410" t="s">
        <v>84</v>
      </c>
      <c r="BU410">
        <v>0</v>
      </c>
      <c r="BV410">
        <v>0</v>
      </c>
      <c r="BW410">
        <v>182920.4215</v>
      </c>
    </row>
    <row r="411" spans="1:75" x14ac:dyDescent="0.25">
      <c r="A411">
        <v>367</v>
      </c>
      <c r="B411" s="1">
        <v>45128.88958333333</v>
      </c>
      <c r="C411" t="s">
        <v>733</v>
      </c>
      <c r="D411" t="s">
        <v>734</v>
      </c>
      <c r="E411" t="s">
        <v>178</v>
      </c>
      <c r="F411">
        <v>0</v>
      </c>
      <c r="G411" t="s">
        <v>735</v>
      </c>
      <c r="H411" t="s">
        <v>736</v>
      </c>
      <c r="I411" t="s">
        <v>179</v>
      </c>
      <c r="J411" t="s">
        <v>737</v>
      </c>
      <c r="K411" t="s">
        <v>84</v>
      </c>
      <c r="L411" t="s">
        <v>121</v>
      </c>
      <c r="M411" t="s">
        <v>741</v>
      </c>
      <c r="N411" t="s">
        <v>745</v>
      </c>
      <c r="O411" t="s">
        <v>82</v>
      </c>
      <c r="P411">
        <v>170725.97829999999</v>
      </c>
      <c r="Q411" t="s">
        <v>83</v>
      </c>
      <c r="S411">
        <v>1</v>
      </c>
      <c r="AE411" t="s">
        <v>84</v>
      </c>
      <c r="AG411" t="s">
        <v>84</v>
      </c>
      <c r="AH411" t="s">
        <v>84</v>
      </c>
      <c r="AJ411" t="s">
        <v>84</v>
      </c>
      <c r="AK411" t="s">
        <v>84</v>
      </c>
      <c r="AQ411" t="s">
        <v>84</v>
      </c>
      <c r="AT411" t="s">
        <v>84</v>
      </c>
      <c r="AU411" t="s">
        <v>84</v>
      </c>
      <c r="AV411" t="s">
        <v>84</v>
      </c>
      <c r="AX411" t="s">
        <v>84</v>
      </c>
      <c r="BA411" t="s">
        <v>84</v>
      </c>
      <c r="BB411" t="s">
        <v>84</v>
      </c>
      <c r="BG411" t="s">
        <v>84</v>
      </c>
      <c r="BJ411" t="s">
        <v>84</v>
      </c>
      <c r="BK411" t="s">
        <v>84</v>
      </c>
      <c r="BM411" t="s">
        <v>84</v>
      </c>
      <c r="BS411" t="s">
        <v>84</v>
      </c>
      <c r="BT411" t="s">
        <v>84</v>
      </c>
      <c r="BU411">
        <v>170725.97829999999</v>
      </c>
      <c r="BV411">
        <v>0</v>
      </c>
      <c r="BW411">
        <v>182920.4215</v>
      </c>
    </row>
    <row r="412" spans="1:75" x14ac:dyDescent="0.25">
      <c r="A412">
        <v>367</v>
      </c>
      <c r="B412" s="1">
        <v>45128.88958333333</v>
      </c>
      <c r="C412" t="s">
        <v>733</v>
      </c>
      <c r="D412" t="s">
        <v>734</v>
      </c>
      <c r="E412" t="s">
        <v>178</v>
      </c>
      <c r="F412">
        <v>0</v>
      </c>
      <c r="G412" t="s">
        <v>735</v>
      </c>
      <c r="H412" t="s">
        <v>736</v>
      </c>
      <c r="I412" t="s">
        <v>179</v>
      </c>
      <c r="J412" t="s">
        <v>737</v>
      </c>
      <c r="K412" t="s">
        <v>84</v>
      </c>
      <c r="L412" t="s">
        <v>121</v>
      </c>
      <c r="M412" t="s">
        <v>733</v>
      </c>
      <c r="N412" t="s">
        <v>746</v>
      </c>
      <c r="O412" t="s">
        <v>82</v>
      </c>
      <c r="P412">
        <v>184239.31520000001</v>
      </c>
      <c r="Q412" t="s">
        <v>83</v>
      </c>
      <c r="T412">
        <v>1</v>
      </c>
      <c r="X412">
        <v>1</v>
      </c>
      <c r="AE412" t="s">
        <v>84</v>
      </c>
      <c r="AG412" t="s">
        <v>84</v>
      </c>
      <c r="AH412" t="s">
        <v>84</v>
      </c>
      <c r="AJ412" t="s">
        <v>84</v>
      </c>
      <c r="AK412" t="s">
        <v>84</v>
      </c>
      <c r="AQ412" t="s">
        <v>84</v>
      </c>
      <c r="AT412" t="s">
        <v>84</v>
      </c>
      <c r="AU412" t="s">
        <v>84</v>
      </c>
      <c r="AV412" t="s">
        <v>84</v>
      </c>
      <c r="AX412" t="s">
        <v>84</v>
      </c>
      <c r="BA412" t="s">
        <v>84</v>
      </c>
      <c r="BB412" t="s">
        <v>84</v>
      </c>
      <c r="BG412" t="s">
        <v>84</v>
      </c>
      <c r="BJ412" t="s">
        <v>84</v>
      </c>
      <c r="BK412" t="s">
        <v>84</v>
      </c>
      <c r="BM412" t="s">
        <v>84</v>
      </c>
      <c r="BS412" t="s">
        <v>84</v>
      </c>
      <c r="BT412" t="s">
        <v>84</v>
      </c>
      <c r="BU412">
        <v>0</v>
      </c>
      <c r="BV412">
        <v>0</v>
      </c>
      <c r="BW412">
        <v>182920.4215</v>
      </c>
    </row>
    <row r="413" spans="1:75" x14ac:dyDescent="0.25">
      <c r="A413">
        <v>367</v>
      </c>
      <c r="B413" s="1">
        <v>45128.88958333333</v>
      </c>
      <c r="C413" t="s">
        <v>733</v>
      </c>
      <c r="D413" t="s">
        <v>734</v>
      </c>
      <c r="E413" t="s">
        <v>178</v>
      </c>
      <c r="F413">
        <v>0</v>
      </c>
      <c r="G413" t="s">
        <v>735</v>
      </c>
      <c r="H413" t="s">
        <v>736</v>
      </c>
      <c r="I413" t="s">
        <v>179</v>
      </c>
      <c r="J413" t="s">
        <v>737</v>
      </c>
      <c r="K413" t="s">
        <v>84</v>
      </c>
      <c r="L413" t="s">
        <v>151</v>
      </c>
      <c r="M413" t="s">
        <v>747</v>
      </c>
      <c r="N413" t="s">
        <v>748</v>
      </c>
      <c r="O413" t="s">
        <v>82</v>
      </c>
      <c r="P413">
        <v>108745</v>
      </c>
      <c r="Q413" t="s">
        <v>83</v>
      </c>
      <c r="AE413" t="s">
        <v>84</v>
      </c>
      <c r="AG413" t="s">
        <v>84</v>
      </c>
      <c r="AH413" t="s">
        <v>84</v>
      </c>
      <c r="AJ413" t="s">
        <v>84</v>
      </c>
      <c r="AK413" t="s">
        <v>84</v>
      </c>
      <c r="AQ413" t="s">
        <v>84</v>
      </c>
      <c r="AT413" t="s">
        <v>84</v>
      </c>
      <c r="AU413" t="s">
        <v>84</v>
      </c>
      <c r="AV413" t="s">
        <v>84</v>
      </c>
      <c r="AX413" t="s">
        <v>84</v>
      </c>
      <c r="BA413" t="s">
        <v>84</v>
      </c>
      <c r="BB413" t="s">
        <v>84</v>
      </c>
      <c r="BG413" t="s">
        <v>84</v>
      </c>
      <c r="BJ413" t="s">
        <v>84</v>
      </c>
      <c r="BK413" t="s">
        <v>84</v>
      </c>
      <c r="BM413" t="s">
        <v>84</v>
      </c>
      <c r="BS413" t="s">
        <v>84</v>
      </c>
      <c r="BT413" t="s">
        <v>84</v>
      </c>
      <c r="BU413">
        <v>0</v>
      </c>
      <c r="BV413">
        <v>0</v>
      </c>
      <c r="BW413">
        <v>98085</v>
      </c>
    </row>
    <row r="414" spans="1:75" x14ac:dyDescent="0.25">
      <c r="A414">
        <v>367</v>
      </c>
      <c r="B414" s="1">
        <v>45128.88958333333</v>
      </c>
      <c r="C414" t="s">
        <v>733</v>
      </c>
      <c r="D414" t="s">
        <v>734</v>
      </c>
      <c r="E414" t="s">
        <v>178</v>
      </c>
      <c r="F414">
        <v>1</v>
      </c>
      <c r="G414" t="s">
        <v>735</v>
      </c>
      <c r="H414" t="s">
        <v>736</v>
      </c>
      <c r="I414" t="s">
        <v>179</v>
      </c>
      <c r="J414" t="s">
        <v>737</v>
      </c>
      <c r="K414" t="s">
        <v>229</v>
      </c>
      <c r="L414" t="s">
        <v>151</v>
      </c>
      <c r="M414" t="s">
        <v>749</v>
      </c>
      <c r="N414" t="s">
        <v>750</v>
      </c>
      <c r="O414" t="s">
        <v>82</v>
      </c>
      <c r="P414">
        <v>87425</v>
      </c>
      <c r="Q414" t="s">
        <v>83</v>
      </c>
      <c r="R414">
        <v>98085</v>
      </c>
      <c r="Y414">
        <v>52400</v>
      </c>
      <c r="AE414" t="s">
        <v>84</v>
      </c>
      <c r="AG414" t="s">
        <v>84</v>
      </c>
      <c r="AH414" t="s">
        <v>84</v>
      </c>
      <c r="AJ414" t="s">
        <v>84</v>
      </c>
      <c r="AK414" t="s">
        <v>84</v>
      </c>
      <c r="AQ414" t="s">
        <v>84</v>
      </c>
      <c r="AR414">
        <v>7500</v>
      </c>
      <c r="AS414">
        <v>2250</v>
      </c>
      <c r="AT414" t="s">
        <v>84</v>
      </c>
      <c r="AU414" t="s">
        <v>84</v>
      </c>
      <c r="AV414" t="s">
        <v>84</v>
      </c>
      <c r="AX414" t="s">
        <v>84</v>
      </c>
      <c r="AY414">
        <v>2100</v>
      </c>
      <c r="BA414" t="s">
        <v>84</v>
      </c>
      <c r="BB414" t="s">
        <v>84</v>
      </c>
      <c r="BF414">
        <v>3000</v>
      </c>
      <c r="BG414" t="s">
        <v>84</v>
      </c>
      <c r="BJ414" t="s">
        <v>84</v>
      </c>
      <c r="BK414" t="s">
        <v>84</v>
      </c>
      <c r="BM414" t="s">
        <v>84</v>
      </c>
      <c r="BS414" t="s">
        <v>84</v>
      </c>
      <c r="BT414" t="s">
        <v>84</v>
      </c>
      <c r="BU414">
        <v>0</v>
      </c>
      <c r="BV414">
        <v>0</v>
      </c>
      <c r="BW414">
        <v>98085</v>
      </c>
    </row>
    <row r="415" spans="1:75" x14ac:dyDescent="0.25">
      <c r="A415">
        <v>367</v>
      </c>
      <c r="B415" s="1">
        <v>45128.88958333333</v>
      </c>
      <c r="C415" t="s">
        <v>733</v>
      </c>
      <c r="D415" t="s">
        <v>734</v>
      </c>
      <c r="E415" t="s">
        <v>178</v>
      </c>
      <c r="F415">
        <v>1</v>
      </c>
      <c r="G415" t="s">
        <v>735</v>
      </c>
      <c r="H415" t="s">
        <v>736</v>
      </c>
      <c r="I415" t="s">
        <v>179</v>
      </c>
      <c r="J415" t="s">
        <v>737</v>
      </c>
      <c r="K415" t="s">
        <v>203</v>
      </c>
      <c r="L415" t="s">
        <v>98</v>
      </c>
      <c r="M415" t="s">
        <v>751</v>
      </c>
      <c r="N415" t="s">
        <v>752</v>
      </c>
      <c r="O415" t="s">
        <v>82</v>
      </c>
      <c r="P415">
        <v>51900</v>
      </c>
      <c r="Q415" t="s">
        <v>83</v>
      </c>
      <c r="R415">
        <v>44125</v>
      </c>
      <c r="U415">
        <v>1</v>
      </c>
      <c r="AE415" t="s">
        <v>84</v>
      </c>
      <c r="AG415" t="s">
        <v>84</v>
      </c>
      <c r="AH415" t="s">
        <v>84</v>
      </c>
      <c r="AJ415" t="s">
        <v>84</v>
      </c>
      <c r="AK415" t="s">
        <v>84</v>
      </c>
      <c r="AQ415" t="s">
        <v>84</v>
      </c>
      <c r="AS415">
        <v>51900</v>
      </c>
      <c r="AT415" t="s">
        <v>84</v>
      </c>
      <c r="AU415" t="s">
        <v>84</v>
      </c>
      <c r="AV415" t="s">
        <v>84</v>
      </c>
      <c r="AX415" t="s">
        <v>84</v>
      </c>
      <c r="BA415" t="s">
        <v>84</v>
      </c>
      <c r="BB415" t="s">
        <v>84</v>
      </c>
      <c r="BG415" t="s">
        <v>84</v>
      </c>
      <c r="BJ415" t="s">
        <v>84</v>
      </c>
      <c r="BK415" t="s">
        <v>84</v>
      </c>
      <c r="BM415" t="s">
        <v>84</v>
      </c>
      <c r="BS415" t="s">
        <v>84</v>
      </c>
      <c r="BT415" t="s">
        <v>84</v>
      </c>
      <c r="BU415">
        <v>0</v>
      </c>
      <c r="BV415">
        <v>0</v>
      </c>
      <c r="BW415">
        <v>44125</v>
      </c>
    </row>
    <row r="416" spans="1:75" x14ac:dyDescent="0.25">
      <c r="A416">
        <v>367</v>
      </c>
      <c r="B416" s="1">
        <v>45128.88958333333</v>
      </c>
      <c r="C416" t="s">
        <v>733</v>
      </c>
      <c r="D416" t="s">
        <v>734</v>
      </c>
      <c r="E416" t="s">
        <v>178</v>
      </c>
      <c r="F416">
        <v>0</v>
      </c>
      <c r="G416" t="s">
        <v>735</v>
      </c>
      <c r="H416" t="s">
        <v>736</v>
      </c>
      <c r="I416" t="s">
        <v>179</v>
      </c>
      <c r="J416" t="s">
        <v>737</v>
      </c>
      <c r="K416" t="s">
        <v>84</v>
      </c>
      <c r="L416" t="s">
        <v>98</v>
      </c>
      <c r="M416" t="s">
        <v>753</v>
      </c>
      <c r="N416" t="s">
        <v>754</v>
      </c>
      <c r="O416" t="s">
        <v>82</v>
      </c>
      <c r="P416">
        <v>36350</v>
      </c>
      <c r="Q416" t="s">
        <v>83</v>
      </c>
      <c r="AE416" t="s">
        <v>84</v>
      </c>
      <c r="AG416" t="s">
        <v>84</v>
      </c>
      <c r="AH416" t="s">
        <v>84</v>
      </c>
      <c r="AJ416" t="s">
        <v>84</v>
      </c>
      <c r="AK416" t="s">
        <v>84</v>
      </c>
      <c r="AQ416" t="s">
        <v>84</v>
      </c>
      <c r="AT416" t="s">
        <v>84</v>
      </c>
      <c r="AU416" t="s">
        <v>84</v>
      </c>
      <c r="AV416" t="s">
        <v>84</v>
      </c>
      <c r="AX416" t="s">
        <v>84</v>
      </c>
      <c r="BA416" t="s">
        <v>84</v>
      </c>
      <c r="BB416" t="s">
        <v>84</v>
      </c>
      <c r="BG416" t="s">
        <v>84</v>
      </c>
      <c r="BJ416" t="s">
        <v>84</v>
      </c>
      <c r="BK416" t="s">
        <v>84</v>
      </c>
      <c r="BM416" t="s">
        <v>84</v>
      </c>
      <c r="BS416" t="s">
        <v>84</v>
      </c>
      <c r="BT416" t="s">
        <v>84</v>
      </c>
      <c r="BU416">
        <v>0</v>
      </c>
      <c r="BV416">
        <v>0</v>
      </c>
      <c r="BW416">
        <v>44125</v>
      </c>
    </row>
    <row r="417" spans="1:75" x14ac:dyDescent="0.25">
      <c r="A417">
        <v>367</v>
      </c>
      <c r="B417" s="1">
        <v>45128.88958333333</v>
      </c>
      <c r="C417" t="s">
        <v>733</v>
      </c>
      <c r="D417" t="s">
        <v>734</v>
      </c>
      <c r="E417" t="s">
        <v>178</v>
      </c>
      <c r="F417">
        <v>0</v>
      </c>
      <c r="G417" t="s">
        <v>735</v>
      </c>
      <c r="H417" t="s">
        <v>736</v>
      </c>
      <c r="I417" t="s">
        <v>179</v>
      </c>
      <c r="J417" t="s">
        <v>737</v>
      </c>
      <c r="K417" t="s">
        <v>84</v>
      </c>
      <c r="L417" t="s">
        <v>87</v>
      </c>
      <c r="M417" t="s">
        <v>733</v>
      </c>
      <c r="N417" t="s">
        <v>755</v>
      </c>
      <c r="O417" t="s">
        <v>82</v>
      </c>
      <c r="P417">
        <v>125431.25</v>
      </c>
      <c r="Q417" t="s">
        <v>83</v>
      </c>
      <c r="AE417" t="s">
        <v>84</v>
      </c>
      <c r="AG417" t="s">
        <v>84</v>
      </c>
      <c r="AH417" t="s">
        <v>84</v>
      </c>
      <c r="AJ417" t="s">
        <v>84</v>
      </c>
      <c r="AK417" t="s">
        <v>84</v>
      </c>
      <c r="AQ417" t="s">
        <v>84</v>
      </c>
      <c r="AT417" t="s">
        <v>84</v>
      </c>
      <c r="AU417" t="s">
        <v>84</v>
      </c>
      <c r="AV417" t="s">
        <v>84</v>
      </c>
      <c r="AX417" t="s">
        <v>84</v>
      </c>
      <c r="BA417" t="s">
        <v>84</v>
      </c>
      <c r="BB417" t="s">
        <v>84</v>
      </c>
      <c r="BG417" t="s">
        <v>84</v>
      </c>
      <c r="BJ417" t="s">
        <v>84</v>
      </c>
      <c r="BK417" t="s">
        <v>84</v>
      </c>
      <c r="BM417" t="s">
        <v>84</v>
      </c>
      <c r="BS417" t="s">
        <v>84</v>
      </c>
      <c r="BT417" t="s">
        <v>84</v>
      </c>
      <c r="BU417">
        <v>0</v>
      </c>
      <c r="BV417">
        <v>0</v>
      </c>
      <c r="BW417">
        <v>97059.569433333338</v>
      </c>
    </row>
    <row r="418" spans="1:75" x14ac:dyDescent="0.25">
      <c r="A418">
        <v>367</v>
      </c>
      <c r="B418" s="1">
        <v>45128.88958333333</v>
      </c>
      <c r="C418" t="s">
        <v>733</v>
      </c>
      <c r="D418" t="s">
        <v>734</v>
      </c>
      <c r="E418" t="s">
        <v>178</v>
      </c>
      <c r="F418">
        <v>0</v>
      </c>
      <c r="G418" t="s">
        <v>735</v>
      </c>
      <c r="H418" t="s">
        <v>736</v>
      </c>
      <c r="I418" t="s">
        <v>179</v>
      </c>
      <c r="J418" t="s">
        <v>737</v>
      </c>
      <c r="K418" t="s">
        <v>84</v>
      </c>
      <c r="L418" t="s">
        <v>87</v>
      </c>
      <c r="M418" t="s">
        <v>733</v>
      </c>
      <c r="N418" t="s">
        <v>756</v>
      </c>
      <c r="O418" t="s">
        <v>82</v>
      </c>
      <c r="P418">
        <v>65076.2</v>
      </c>
      <c r="Q418" t="s">
        <v>83</v>
      </c>
      <c r="AE418" t="s">
        <v>84</v>
      </c>
      <c r="AG418" t="s">
        <v>84</v>
      </c>
      <c r="AH418" t="s">
        <v>84</v>
      </c>
      <c r="AJ418" t="s">
        <v>84</v>
      </c>
      <c r="AK418" t="s">
        <v>84</v>
      </c>
      <c r="AQ418" t="s">
        <v>84</v>
      </c>
      <c r="AT418" t="s">
        <v>84</v>
      </c>
      <c r="AU418" t="s">
        <v>84</v>
      </c>
      <c r="AV418" t="s">
        <v>84</v>
      </c>
      <c r="AX418" t="s">
        <v>84</v>
      </c>
      <c r="BA418" t="s">
        <v>84</v>
      </c>
      <c r="BB418" t="s">
        <v>84</v>
      </c>
      <c r="BG418" t="s">
        <v>84</v>
      </c>
      <c r="BJ418" t="s">
        <v>84</v>
      </c>
      <c r="BK418" t="s">
        <v>84</v>
      </c>
      <c r="BM418" t="s">
        <v>84</v>
      </c>
      <c r="BS418" t="s">
        <v>84</v>
      </c>
      <c r="BT418" t="s">
        <v>84</v>
      </c>
      <c r="BU418">
        <v>0</v>
      </c>
      <c r="BV418">
        <v>0</v>
      </c>
      <c r="BW418">
        <v>97059.569433333338</v>
      </c>
    </row>
    <row r="419" spans="1:75" x14ac:dyDescent="0.25">
      <c r="A419">
        <v>367</v>
      </c>
      <c r="B419" s="1">
        <v>45128.88958333333</v>
      </c>
      <c r="C419" t="s">
        <v>733</v>
      </c>
      <c r="D419" t="s">
        <v>734</v>
      </c>
      <c r="E419" t="s">
        <v>178</v>
      </c>
      <c r="F419">
        <v>1</v>
      </c>
      <c r="G419" t="s">
        <v>735</v>
      </c>
      <c r="H419" t="s">
        <v>736</v>
      </c>
      <c r="I419" t="s">
        <v>179</v>
      </c>
      <c r="J419" t="s">
        <v>737</v>
      </c>
      <c r="K419" t="s">
        <v>413</v>
      </c>
      <c r="L419" t="s">
        <v>87</v>
      </c>
      <c r="M419" t="s">
        <v>757</v>
      </c>
      <c r="N419" t="s">
        <v>758</v>
      </c>
      <c r="O419" t="s">
        <v>82</v>
      </c>
      <c r="P419">
        <v>100671.2583</v>
      </c>
      <c r="Q419" t="s">
        <v>83</v>
      </c>
      <c r="R419">
        <v>97059.569440000007</v>
      </c>
      <c r="AE419" t="s">
        <v>84</v>
      </c>
      <c r="AG419" t="s">
        <v>84</v>
      </c>
      <c r="AH419" t="s">
        <v>84</v>
      </c>
      <c r="AJ419" t="s">
        <v>84</v>
      </c>
      <c r="AK419" t="s">
        <v>84</v>
      </c>
      <c r="AL419">
        <v>30800</v>
      </c>
      <c r="AM419">
        <v>24800</v>
      </c>
      <c r="AN419">
        <v>11400</v>
      </c>
      <c r="AO419">
        <v>6438</v>
      </c>
      <c r="AQ419" t="s">
        <v>84</v>
      </c>
      <c r="AT419" t="s">
        <v>84</v>
      </c>
      <c r="AU419" t="s">
        <v>84</v>
      </c>
      <c r="AV419" t="s">
        <v>84</v>
      </c>
      <c r="AX419" t="s">
        <v>84</v>
      </c>
      <c r="BA419" t="s">
        <v>84</v>
      </c>
      <c r="BB419" t="s">
        <v>84</v>
      </c>
      <c r="BG419" t="s">
        <v>84</v>
      </c>
      <c r="BJ419" t="s">
        <v>84</v>
      </c>
      <c r="BK419" t="s">
        <v>84</v>
      </c>
      <c r="BM419" t="s">
        <v>84</v>
      </c>
      <c r="BS419" t="s">
        <v>84</v>
      </c>
      <c r="BT419" t="s">
        <v>84</v>
      </c>
      <c r="BU419">
        <v>0</v>
      </c>
      <c r="BV419">
        <v>0</v>
      </c>
      <c r="BW419">
        <v>97059.569433333338</v>
      </c>
    </row>
    <row r="420" spans="1:75" x14ac:dyDescent="0.25">
      <c r="A420">
        <v>367</v>
      </c>
      <c r="B420" s="1">
        <v>45128.88958333333</v>
      </c>
      <c r="C420" t="s">
        <v>733</v>
      </c>
      <c r="D420" t="s">
        <v>734</v>
      </c>
      <c r="E420" t="s">
        <v>178</v>
      </c>
      <c r="F420">
        <v>0</v>
      </c>
      <c r="G420" t="s">
        <v>735</v>
      </c>
      <c r="H420" t="s">
        <v>736</v>
      </c>
      <c r="I420" t="s">
        <v>179</v>
      </c>
      <c r="J420" t="s">
        <v>737</v>
      </c>
      <c r="K420" t="s">
        <v>84</v>
      </c>
      <c r="L420" t="s">
        <v>110</v>
      </c>
      <c r="M420" t="s">
        <v>733</v>
      </c>
      <c r="N420" t="s">
        <v>759</v>
      </c>
      <c r="O420" t="s">
        <v>82</v>
      </c>
      <c r="P420">
        <v>11532</v>
      </c>
      <c r="Q420" t="s">
        <v>83</v>
      </c>
      <c r="T420">
        <v>1</v>
      </c>
      <c r="X420">
        <v>1</v>
      </c>
      <c r="AE420" t="s">
        <v>84</v>
      </c>
      <c r="AG420" t="s">
        <v>84</v>
      </c>
      <c r="AH420" t="s">
        <v>84</v>
      </c>
      <c r="AJ420" t="s">
        <v>84</v>
      </c>
      <c r="AK420" t="s">
        <v>84</v>
      </c>
      <c r="AQ420" t="s">
        <v>84</v>
      </c>
      <c r="AT420" t="s">
        <v>84</v>
      </c>
      <c r="AU420" t="s">
        <v>84</v>
      </c>
      <c r="AV420" t="s">
        <v>84</v>
      </c>
      <c r="AX420" t="s">
        <v>84</v>
      </c>
      <c r="BA420" t="s">
        <v>84</v>
      </c>
      <c r="BB420" t="s">
        <v>84</v>
      </c>
      <c r="BG420" t="s">
        <v>84</v>
      </c>
      <c r="BJ420" t="s">
        <v>84</v>
      </c>
      <c r="BK420" t="s">
        <v>84</v>
      </c>
      <c r="BM420" t="s">
        <v>84</v>
      </c>
      <c r="BS420" t="s">
        <v>84</v>
      </c>
      <c r="BT420" t="s">
        <v>84</v>
      </c>
      <c r="BU420">
        <v>0</v>
      </c>
      <c r="BV420">
        <v>0</v>
      </c>
      <c r="BW420">
        <v>10374.666666666666</v>
      </c>
    </row>
    <row r="421" spans="1:75" x14ac:dyDescent="0.25">
      <c r="A421">
        <v>367</v>
      </c>
      <c r="B421" s="1">
        <v>45128.88958333333</v>
      </c>
      <c r="C421" t="s">
        <v>733</v>
      </c>
      <c r="D421" t="s">
        <v>734</v>
      </c>
      <c r="E421" t="s">
        <v>178</v>
      </c>
      <c r="F421">
        <v>1</v>
      </c>
      <c r="G421" t="s">
        <v>735</v>
      </c>
      <c r="H421" t="s">
        <v>736</v>
      </c>
      <c r="I421" t="s">
        <v>179</v>
      </c>
      <c r="J421" t="s">
        <v>737</v>
      </c>
      <c r="K421" t="s">
        <v>79</v>
      </c>
      <c r="L421" t="s">
        <v>110</v>
      </c>
      <c r="M421" t="s">
        <v>733</v>
      </c>
      <c r="N421" t="s">
        <v>760</v>
      </c>
      <c r="O421" t="s">
        <v>82</v>
      </c>
      <c r="P421">
        <v>12032</v>
      </c>
      <c r="Q421" t="s">
        <v>83</v>
      </c>
      <c r="R421">
        <v>10374.666670000001</v>
      </c>
      <c r="T421">
        <v>1</v>
      </c>
      <c r="Z421">
        <v>0</v>
      </c>
      <c r="AA421">
        <v>0</v>
      </c>
      <c r="AE421" t="s">
        <v>84</v>
      </c>
      <c r="AG421" t="s">
        <v>84</v>
      </c>
      <c r="AH421" t="s">
        <v>84</v>
      </c>
      <c r="AI421">
        <v>0</v>
      </c>
      <c r="AJ421" t="s">
        <v>84</v>
      </c>
      <c r="AK421" t="s">
        <v>84</v>
      </c>
      <c r="AL421">
        <v>0</v>
      </c>
      <c r="AN421">
        <v>0</v>
      </c>
      <c r="AP421">
        <v>0</v>
      </c>
      <c r="AQ421" t="s">
        <v>84</v>
      </c>
      <c r="AR421">
        <v>0</v>
      </c>
      <c r="AT421" t="s">
        <v>84</v>
      </c>
      <c r="AU421" t="s">
        <v>84</v>
      </c>
      <c r="AV421" t="s">
        <v>84</v>
      </c>
      <c r="AW421">
        <v>0</v>
      </c>
      <c r="AX421" t="s">
        <v>84</v>
      </c>
      <c r="AY421">
        <v>9400</v>
      </c>
      <c r="BA421" t="s">
        <v>84</v>
      </c>
      <c r="BB421" t="s">
        <v>84</v>
      </c>
      <c r="BC421">
        <v>0</v>
      </c>
      <c r="BD421">
        <v>0</v>
      </c>
      <c r="BG421" t="s">
        <v>84</v>
      </c>
      <c r="BH421">
        <v>0</v>
      </c>
      <c r="BI421">
        <v>0</v>
      </c>
      <c r="BJ421" t="s">
        <v>84</v>
      </c>
      <c r="BK421" t="s">
        <v>84</v>
      </c>
      <c r="BM421" t="s">
        <v>84</v>
      </c>
      <c r="BP421">
        <v>0</v>
      </c>
      <c r="BQ421">
        <v>0</v>
      </c>
      <c r="BR421">
        <v>0</v>
      </c>
      <c r="BS421" t="s">
        <v>84</v>
      </c>
      <c r="BT421" t="s">
        <v>84</v>
      </c>
      <c r="BU421">
        <v>0</v>
      </c>
      <c r="BV421">
        <v>0</v>
      </c>
      <c r="BW421">
        <v>10374.666666666666</v>
      </c>
    </row>
    <row r="422" spans="1:75" x14ac:dyDescent="0.25">
      <c r="A422">
        <v>367</v>
      </c>
      <c r="B422" s="1">
        <v>45128.88958333333</v>
      </c>
      <c r="C422" t="s">
        <v>733</v>
      </c>
      <c r="D422" t="s">
        <v>734</v>
      </c>
      <c r="E422" t="s">
        <v>178</v>
      </c>
      <c r="F422">
        <v>0</v>
      </c>
      <c r="G422" t="s">
        <v>735</v>
      </c>
      <c r="H422" t="s">
        <v>736</v>
      </c>
      <c r="I422" t="s">
        <v>179</v>
      </c>
      <c r="J422" t="s">
        <v>737</v>
      </c>
      <c r="K422" t="s">
        <v>84</v>
      </c>
      <c r="L422" t="s">
        <v>110</v>
      </c>
      <c r="M422" t="s">
        <v>733</v>
      </c>
      <c r="N422" t="s">
        <v>761</v>
      </c>
      <c r="O422" t="s">
        <v>82</v>
      </c>
      <c r="P422">
        <v>7560</v>
      </c>
      <c r="Q422" t="s">
        <v>83</v>
      </c>
      <c r="AE422" t="s">
        <v>84</v>
      </c>
      <c r="AG422" t="s">
        <v>84</v>
      </c>
      <c r="AH422" t="s">
        <v>84</v>
      </c>
      <c r="AJ422" t="s">
        <v>84</v>
      </c>
      <c r="AK422" t="s">
        <v>84</v>
      </c>
      <c r="AQ422" t="s">
        <v>84</v>
      </c>
      <c r="AT422" t="s">
        <v>84</v>
      </c>
      <c r="AU422" t="s">
        <v>84</v>
      </c>
      <c r="AV422" t="s">
        <v>84</v>
      </c>
      <c r="AX422" t="s">
        <v>84</v>
      </c>
      <c r="BA422" t="s">
        <v>84</v>
      </c>
      <c r="BB422" t="s">
        <v>84</v>
      </c>
      <c r="BG422" t="s">
        <v>84</v>
      </c>
      <c r="BJ422" t="s">
        <v>84</v>
      </c>
      <c r="BK422" t="s">
        <v>84</v>
      </c>
      <c r="BM422" t="s">
        <v>84</v>
      </c>
      <c r="BS422" t="s">
        <v>84</v>
      </c>
      <c r="BT422" t="s">
        <v>84</v>
      </c>
      <c r="BU422">
        <v>0</v>
      </c>
      <c r="BV422">
        <v>0</v>
      </c>
      <c r="BW422">
        <v>10374.666666666666</v>
      </c>
    </row>
    <row r="423" spans="1:75" x14ac:dyDescent="0.25">
      <c r="A423">
        <v>367</v>
      </c>
      <c r="B423" s="1">
        <v>45128.88958333333</v>
      </c>
      <c r="C423" t="s">
        <v>733</v>
      </c>
      <c r="D423" t="s">
        <v>734</v>
      </c>
      <c r="E423" t="s">
        <v>178</v>
      </c>
      <c r="F423">
        <v>0</v>
      </c>
      <c r="G423" t="s">
        <v>735</v>
      </c>
      <c r="H423" t="s">
        <v>736</v>
      </c>
      <c r="I423" t="s">
        <v>179</v>
      </c>
      <c r="J423" t="s">
        <v>737</v>
      </c>
      <c r="K423" t="s">
        <v>84</v>
      </c>
      <c r="L423" t="s">
        <v>106</v>
      </c>
      <c r="M423" t="s">
        <v>733</v>
      </c>
      <c r="N423" t="s">
        <v>762</v>
      </c>
      <c r="O423" t="s">
        <v>82</v>
      </c>
      <c r="P423">
        <v>5340.9449999999997</v>
      </c>
      <c r="Q423" t="s">
        <v>83</v>
      </c>
      <c r="T423">
        <v>1</v>
      </c>
      <c r="X423">
        <v>1</v>
      </c>
      <c r="AE423" t="s">
        <v>84</v>
      </c>
      <c r="AG423" t="s">
        <v>84</v>
      </c>
      <c r="AH423" t="s">
        <v>84</v>
      </c>
      <c r="AJ423" t="s">
        <v>84</v>
      </c>
      <c r="AK423" t="s">
        <v>84</v>
      </c>
      <c r="AQ423" t="s">
        <v>84</v>
      </c>
      <c r="AT423" t="s">
        <v>84</v>
      </c>
      <c r="AU423" t="s">
        <v>84</v>
      </c>
      <c r="AV423" t="s">
        <v>84</v>
      </c>
      <c r="AX423" t="s">
        <v>84</v>
      </c>
      <c r="BA423" t="s">
        <v>84</v>
      </c>
      <c r="BB423" t="s">
        <v>84</v>
      </c>
      <c r="BG423" t="s">
        <v>84</v>
      </c>
      <c r="BJ423" t="s">
        <v>84</v>
      </c>
      <c r="BK423" t="s">
        <v>84</v>
      </c>
      <c r="BM423" t="s">
        <v>84</v>
      </c>
      <c r="BS423" t="s">
        <v>84</v>
      </c>
      <c r="BT423" t="s">
        <v>84</v>
      </c>
      <c r="BU423">
        <v>0</v>
      </c>
      <c r="BV423">
        <v>0</v>
      </c>
      <c r="BW423">
        <v>7102.8791666666666</v>
      </c>
    </row>
    <row r="424" spans="1:75" x14ac:dyDescent="0.25">
      <c r="A424">
        <v>367</v>
      </c>
      <c r="B424" s="1">
        <v>45128.88958333333</v>
      </c>
      <c r="C424" t="s">
        <v>733</v>
      </c>
      <c r="D424" t="s">
        <v>734</v>
      </c>
      <c r="E424" t="s">
        <v>178</v>
      </c>
      <c r="F424">
        <v>1</v>
      </c>
      <c r="G424" t="s">
        <v>735</v>
      </c>
      <c r="H424" t="s">
        <v>736</v>
      </c>
      <c r="I424" t="s">
        <v>179</v>
      </c>
      <c r="J424" t="s">
        <v>737</v>
      </c>
      <c r="K424" t="s">
        <v>79</v>
      </c>
      <c r="L424" t="s">
        <v>106</v>
      </c>
      <c r="M424" t="s">
        <v>733</v>
      </c>
      <c r="N424" t="s">
        <v>763</v>
      </c>
      <c r="O424" t="s">
        <v>82</v>
      </c>
      <c r="P424">
        <v>10996.99</v>
      </c>
      <c r="Q424" t="s">
        <v>83</v>
      </c>
      <c r="R424">
        <v>7102.8791670000001</v>
      </c>
      <c r="T424">
        <v>1</v>
      </c>
      <c r="AE424" t="s">
        <v>84</v>
      </c>
      <c r="AF424">
        <v>5750</v>
      </c>
      <c r="AG424" t="s">
        <v>84</v>
      </c>
      <c r="AH424" t="s">
        <v>84</v>
      </c>
      <c r="AJ424" t="s">
        <v>84</v>
      </c>
      <c r="AK424" t="s">
        <v>84</v>
      </c>
      <c r="AQ424" t="s">
        <v>84</v>
      </c>
      <c r="AT424" t="s">
        <v>84</v>
      </c>
      <c r="AU424" t="s">
        <v>84</v>
      </c>
      <c r="AV424" t="s">
        <v>84</v>
      </c>
      <c r="AX424" t="s">
        <v>84</v>
      </c>
      <c r="BA424" t="s">
        <v>84</v>
      </c>
      <c r="BB424" t="s">
        <v>84</v>
      </c>
      <c r="BE424">
        <v>1230</v>
      </c>
      <c r="BG424" t="s">
        <v>84</v>
      </c>
      <c r="BJ424" t="s">
        <v>84</v>
      </c>
      <c r="BK424" t="s">
        <v>84</v>
      </c>
      <c r="BM424" t="s">
        <v>84</v>
      </c>
      <c r="BS424" t="s">
        <v>84</v>
      </c>
      <c r="BT424" t="s">
        <v>84</v>
      </c>
      <c r="BU424">
        <v>0</v>
      </c>
      <c r="BV424">
        <v>0</v>
      </c>
      <c r="BW424">
        <v>7102.8791666666666</v>
      </c>
    </row>
    <row r="425" spans="1:75" x14ac:dyDescent="0.25">
      <c r="A425">
        <v>367</v>
      </c>
      <c r="B425" s="1">
        <v>45128.88958333333</v>
      </c>
      <c r="C425" t="s">
        <v>733</v>
      </c>
      <c r="D425" t="s">
        <v>734</v>
      </c>
      <c r="E425" t="s">
        <v>178</v>
      </c>
      <c r="F425">
        <v>0</v>
      </c>
      <c r="G425" t="s">
        <v>735</v>
      </c>
      <c r="H425" t="s">
        <v>736</v>
      </c>
      <c r="I425" t="s">
        <v>179</v>
      </c>
      <c r="J425" t="s">
        <v>737</v>
      </c>
      <c r="K425" t="s">
        <v>84</v>
      </c>
      <c r="L425" t="s">
        <v>106</v>
      </c>
      <c r="M425" t="s">
        <v>733</v>
      </c>
      <c r="N425" t="s">
        <v>764</v>
      </c>
      <c r="O425" t="s">
        <v>82</v>
      </c>
      <c r="P425">
        <v>4970.7025000000003</v>
      </c>
      <c r="Q425" t="s">
        <v>83</v>
      </c>
      <c r="AE425" t="s">
        <v>84</v>
      </c>
      <c r="AG425" t="s">
        <v>84</v>
      </c>
      <c r="AH425" t="s">
        <v>84</v>
      </c>
      <c r="AJ425" t="s">
        <v>84</v>
      </c>
      <c r="AK425" t="s">
        <v>84</v>
      </c>
      <c r="AQ425" t="s">
        <v>84</v>
      </c>
      <c r="AT425" t="s">
        <v>84</v>
      </c>
      <c r="AU425" t="s">
        <v>84</v>
      </c>
      <c r="AV425" t="s">
        <v>84</v>
      </c>
      <c r="AX425" t="s">
        <v>84</v>
      </c>
      <c r="BA425" t="s">
        <v>84</v>
      </c>
      <c r="BB425" t="s">
        <v>84</v>
      </c>
      <c r="BG425" t="s">
        <v>84</v>
      </c>
      <c r="BJ425" t="s">
        <v>84</v>
      </c>
      <c r="BK425" t="s">
        <v>84</v>
      </c>
      <c r="BM425" t="s">
        <v>84</v>
      </c>
      <c r="BS425" t="s">
        <v>84</v>
      </c>
      <c r="BT425" t="s">
        <v>84</v>
      </c>
      <c r="BU425">
        <v>0</v>
      </c>
      <c r="BV425">
        <v>0</v>
      </c>
      <c r="BW425">
        <v>7102.8791666666666</v>
      </c>
    </row>
    <row r="426" spans="1:75" x14ac:dyDescent="0.25">
      <c r="A426">
        <v>367</v>
      </c>
      <c r="B426" s="1">
        <v>45128.88958333333</v>
      </c>
      <c r="C426" t="s">
        <v>733</v>
      </c>
      <c r="D426" t="s">
        <v>734</v>
      </c>
      <c r="E426" t="s">
        <v>178</v>
      </c>
      <c r="F426">
        <v>0</v>
      </c>
      <c r="G426" t="s">
        <v>735</v>
      </c>
      <c r="H426" t="s">
        <v>736</v>
      </c>
      <c r="I426" t="s">
        <v>179</v>
      </c>
      <c r="J426" t="s">
        <v>737</v>
      </c>
      <c r="K426" t="s">
        <v>84</v>
      </c>
      <c r="L426" t="s">
        <v>80</v>
      </c>
      <c r="M426" t="s">
        <v>733</v>
      </c>
      <c r="N426" t="s">
        <v>765</v>
      </c>
      <c r="O426" t="s">
        <v>82</v>
      </c>
      <c r="P426">
        <v>804761.98400000005</v>
      </c>
      <c r="Q426" t="s">
        <v>83</v>
      </c>
      <c r="T426">
        <v>1</v>
      </c>
      <c r="X426">
        <v>1</v>
      </c>
      <c r="AE426" t="s">
        <v>84</v>
      </c>
      <c r="AG426" t="s">
        <v>84</v>
      </c>
      <c r="AH426" t="s">
        <v>84</v>
      </c>
      <c r="AJ426" t="s">
        <v>84</v>
      </c>
      <c r="AK426" t="s">
        <v>84</v>
      </c>
      <c r="AQ426" t="s">
        <v>84</v>
      </c>
      <c r="AT426" t="s">
        <v>84</v>
      </c>
      <c r="AU426" t="s">
        <v>84</v>
      </c>
      <c r="AV426" t="s">
        <v>84</v>
      </c>
      <c r="AX426" t="s">
        <v>84</v>
      </c>
      <c r="BA426" t="s">
        <v>84</v>
      </c>
      <c r="BB426" t="s">
        <v>84</v>
      </c>
      <c r="BG426" t="s">
        <v>84</v>
      </c>
      <c r="BJ426" t="s">
        <v>84</v>
      </c>
      <c r="BK426" t="s">
        <v>84</v>
      </c>
      <c r="BM426" t="s">
        <v>84</v>
      </c>
      <c r="BS426" t="s">
        <v>84</v>
      </c>
      <c r="BT426" t="s">
        <v>84</v>
      </c>
      <c r="BU426">
        <v>0</v>
      </c>
      <c r="BV426">
        <v>0</v>
      </c>
      <c r="BW426">
        <v>823789.01633333333</v>
      </c>
    </row>
    <row r="427" spans="1:75" x14ac:dyDescent="0.25">
      <c r="A427">
        <v>367</v>
      </c>
      <c r="B427" s="1">
        <v>45128.88958333333</v>
      </c>
      <c r="C427" t="s">
        <v>733</v>
      </c>
      <c r="D427" t="s">
        <v>734</v>
      </c>
      <c r="E427" t="s">
        <v>178</v>
      </c>
      <c r="F427">
        <v>1</v>
      </c>
      <c r="G427" t="s">
        <v>735</v>
      </c>
      <c r="H427" t="s">
        <v>736</v>
      </c>
      <c r="I427" t="s">
        <v>179</v>
      </c>
      <c r="J427" t="s">
        <v>737</v>
      </c>
      <c r="K427" t="s">
        <v>79</v>
      </c>
      <c r="L427" t="s">
        <v>80</v>
      </c>
      <c r="M427" t="s">
        <v>733</v>
      </c>
      <c r="N427" t="s">
        <v>766</v>
      </c>
      <c r="O427" t="s">
        <v>82</v>
      </c>
      <c r="P427">
        <v>881024.64</v>
      </c>
      <c r="Q427" t="s">
        <v>83</v>
      </c>
      <c r="R427">
        <v>823789.01630000002</v>
      </c>
      <c r="T427">
        <v>1</v>
      </c>
      <c r="Z427">
        <v>11511.5</v>
      </c>
      <c r="AA427">
        <v>59800</v>
      </c>
      <c r="AE427" t="s">
        <v>84</v>
      </c>
      <c r="AG427" t="s">
        <v>84</v>
      </c>
      <c r="AH427" t="s">
        <v>84</v>
      </c>
      <c r="AI427">
        <v>195000</v>
      </c>
      <c r="AJ427" t="s">
        <v>84</v>
      </c>
      <c r="AK427" t="s">
        <v>84</v>
      </c>
      <c r="AL427">
        <v>0</v>
      </c>
      <c r="AN427">
        <v>0</v>
      </c>
      <c r="AP427">
        <v>42900</v>
      </c>
      <c r="AQ427" t="s">
        <v>84</v>
      </c>
      <c r="AR427">
        <v>2400</v>
      </c>
      <c r="AT427" t="s">
        <v>84</v>
      </c>
      <c r="AU427" t="s">
        <v>84</v>
      </c>
      <c r="AV427" t="s">
        <v>84</v>
      </c>
      <c r="AW427">
        <v>27890</v>
      </c>
      <c r="AX427" t="s">
        <v>84</v>
      </c>
      <c r="AY427">
        <v>14000</v>
      </c>
      <c r="BA427" t="s">
        <v>84</v>
      </c>
      <c r="BB427" t="s">
        <v>84</v>
      </c>
      <c r="BC427">
        <v>33300</v>
      </c>
      <c r="BD427">
        <v>134420</v>
      </c>
      <c r="BG427" t="s">
        <v>84</v>
      </c>
      <c r="BH427">
        <v>33600</v>
      </c>
      <c r="BI427">
        <v>110539</v>
      </c>
      <c r="BJ427" t="s">
        <v>84</v>
      </c>
      <c r="BK427" t="s">
        <v>84</v>
      </c>
      <c r="BM427" t="s">
        <v>84</v>
      </c>
      <c r="BP427">
        <v>22940</v>
      </c>
      <c r="BQ427">
        <v>0</v>
      </c>
      <c r="BR427">
        <v>0</v>
      </c>
      <c r="BS427" t="s">
        <v>84</v>
      </c>
      <c r="BT427" t="s">
        <v>84</v>
      </c>
      <c r="BU427">
        <v>0</v>
      </c>
      <c r="BV427">
        <v>0</v>
      </c>
      <c r="BW427">
        <v>823789.01633333333</v>
      </c>
    </row>
    <row r="428" spans="1:75" x14ac:dyDescent="0.25">
      <c r="A428">
        <v>367</v>
      </c>
      <c r="B428" s="1">
        <v>45128.88958333333</v>
      </c>
      <c r="C428" t="s">
        <v>733</v>
      </c>
      <c r="D428" t="s">
        <v>734</v>
      </c>
      <c r="E428" t="s">
        <v>178</v>
      </c>
      <c r="F428">
        <v>0</v>
      </c>
      <c r="G428" t="s">
        <v>735</v>
      </c>
      <c r="H428" t="s">
        <v>736</v>
      </c>
      <c r="I428" t="s">
        <v>179</v>
      </c>
      <c r="J428" t="s">
        <v>737</v>
      </c>
      <c r="K428" t="s">
        <v>84</v>
      </c>
      <c r="L428" t="s">
        <v>80</v>
      </c>
      <c r="M428" t="s">
        <v>733</v>
      </c>
      <c r="N428" t="s">
        <v>767</v>
      </c>
      <c r="O428" t="s">
        <v>82</v>
      </c>
      <c r="P428">
        <v>785580.42500000005</v>
      </c>
      <c r="Q428" t="s">
        <v>83</v>
      </c>
      <c r="AE428" t="s">
        <v>84</v>
      </c>
      <c r="AG428" t="s">
        <v>84</v>
      </c>
      <c r="AH428" t="s">
        <v>84</v>
      </c>
      <c r="AJ428" t="s">
        <v>84</v>
      </c>
      <c r="AK428" t="s">
        <v>84</v>
      </c>
      <c r="AQ428" t="s">
        <v>84</v>
      </c>
      <c r="AT428" t="s">
        <v>84</v>
      </c>
      <c r="AU428" t="s">
        <v>84</v>
      </c>
      <c r="AV428" t="s">
        <v>84</v>
      </c>
      <c r="AX428" t="s">
        <v>84</v>
      </c>
      <c r="BA428" t="s">
        <v>84</v>
      </c>
      <c r="BB428" t="s">
        <v>84</v>
      </c>
      <c r="BG428" t="s">
        <v>84</v>
      </c>
      <c r="BJ428" t="s">
        <v>84</v>
      </c>
      <c r="BK428" t="s">
        <v>84</v>
      </c>
      <c r="BM428" t="s">
        <v>84</v>
      </c>
      <c r="BS428" t="s">
        <v>84</v>
      </c>
      <c r="BT428" t="s">
        <v>84</v>
      </c>
      <c r="BU428">
        <v>0</v>
      </c>
      <c r="BV428">
        <v>0</v>
      </c>
      <c r="BW428">
        <v>823789.01633333333</v>
      </c>
    </row>
    <row r="429" spans="1:75" x14ac:dyDescent="0.25">
      <c r="A429">
        <v>369</v>
      </c>
      <c r="B429" s="1">
        <v>45128.890277777777</v>
      </c>
      <c r="C429" t="s">
        <v>768</v>
      </c>
      <c r="D429" t="s">
        <v>734</v>
      </c>
      <c r="E429" t="s">
        <v>178</v>
      </c>
      <c r="F429">
        <v>0</v>
      </c>
      <c r="G429" t="s">
        <v>735</v>
      </c>
      <c r="H429" t="s">
        <v>736</v>
      </c>
      <c r="I429" t="s">
        <v>179</v>
      </c>
      <c r="J429" t="s">
        <v>737</v>
      </c>
      <c r="K429" t="s">
        <v>84</v>
      </c>
      <c r="L429" t="s">
        <v>92</v>
      </c>
      <c r="M429" t="s">
        <v>221</v>
      </c>
      <c r="N429" t="s">
        <v>221</v>
      </c>
      <c r="O429" t="s">
        <v>82</v>
      </c>
      <c r="P429">
        <v>32510</v>
      </c>
      <c r="Q429" t="s">
        <v>83</v>
      </c>
      <c r="U429">
        <v>1</v>
      </c>
      <c r="W429">
        <v>1</v>
      </c>
      <c r="AE429" t="s">
        <v>84</v>
      </c>
      <c r="AG429" t="s">
        <v>84</v>
      </c>
      <c r="AH429" t="s">
        <v>84</v>
      </c>
      <c r="AJ429" t="s">
        <v>84</v>
      </c>
      <c r="AK429" t="s">
        <v>84</v>
      </c>
      <c r="AQ429" t="s">
        <v>84</v>
      </c>
      <c r="AT429" t="s">
        <v>84</v>
      </c>
      <c r="AU429" t="s">
        <v>84</v>
      </c>
      <c r="AV429" t="s">
        <v>84</v>
      </c>
      <c r="AX429" t="s">
        <v>84</v>
      </c>
      <c r="BA429" t="s">
        <v>84</v>
      </c>
      <c r="BB429" t="s">
        <v>84</v>
      </c>
      <c r="BG429" t="s">
        <v>84</v>
      </c>
      <c r="BJ429" t="s">
        <v>84</v>
      </c>
      <c r="BK429" t="s">
        <v>84</v>
      </c>
      <c r="BM429" t="s">
        <v>84</v>
      </c>
      <c r="BS429" t="s">
        <v>84</v>
      </c>
      <c r="BT429" t="s">
        <v>84</v>
      </c>
      <c r="BU429">
        <v>0</v>
      </c>
      <c r="BV429">
        <v>0</v>
      </c>
      <c r="BW429">
        <v>26410</v>
      </c>
    </row>
    <row r="430" spans="1:75" x14ac:dyDescent="0.25">
      <c r="A430">
        <v>369</v>
      </c>
      <c r="B430" s="1">
        <v>45128.890277777777</v>
      </c>
      <c r="C430" t="s">
        <v>768</v>
      </c>
      <c r="D430" t="s">
        <v>734</v>
      </c>
      <c r="E430" t="s">
        <v>178</v>
      </c>
      <c r="F430">
        <v>1</v>
      </c>
      <c r="G430" t="s">
        <v>735</v>
      </c>
      <c r="H430" t="s">
        <v>736</v>
      </c>
      <c r="I430" t="s">
        <v>179</v>
      </c>
      <c r="J430" t="s">
        <v>737</v>
      </c>
      <c r="K430" t="s">
        <v>141</v>
      </c>
      <c r="L430" t="s">
        <v>92</v>
      </c>
      <c r="M430" t="s">
        <v>769</v>
      </c>
      <c r="N430" t="s">
        <v>770</v>
      </c>
      <c r="O430" t="s">
        <v>82</v>
      </c>
      <c r="P430">
        <v>20310</v>
      </c>
      <c r="Q430" t="s">
        <v>83</v>
      </c>
      <c r="R430">
        <v>26410</v>
      </c>
      <c r="U430">
        <v>1</v>
      </c>
      <c r="X430">
        <v>1</v>
      </c>
      <c r="AB430">
        <v>20310</v>
      </c>
      <c r="AE430" t="s">
        <v>84</v>
      </c>
      <c r="AG430" t="s">
        <v>84</v>
      </c>
      <c r="AH430" t="s">
        <v>84</v>
      </c>
      <c r="AJ430" t="s">
        <v>84</v>
      </c>
      <c r="AK430" t="s">
        <v>84</v>
      </c>
      <c r="AQ430" t="s">
        <v>84</v>
      </c>
      <c r="AT430" t="s">
        <v>84</v>
      </c>
      <c r="AU430" t="s">
        <v>84</v>
      </c>
      <c r="AV430" t="s">
        <v>84</v>
      </c>
      <c r="AX430" t="s">
        <v>84</v>
      </c>
      <c r="BA430" t="s">
        <v>84</v>
      </c>
      <c r="BB430" t="s">
        <v>84</v>
      </c>
      <c r="BG430" t="s">
        <v>84</v>
      </c>
      <c r="BJ430" t="s">
        <v>84</v>
      </c>
      <c r="BK430" t="s">
        <v>84</v>
      </c>
      <c r="BM430" t="s">
        <v>84</v>
      </c>
      <c r="BS430" t="s">
        <v>84</v>
      </c>
      <c r="BT430" t="s">
        <v>84</v>
      </c>
      <c r="BU430">
        <v>0</v>
      </c>
      <c r="BV430">
        <v>0</v>
      </c>
      <c r="BW430">
        <v>26410</v>
      </c>
    </row>
    <row r="431" spans="1:75" x14ac:dyDescent="0.25">
      <c r="A431">
        <v>369</v>
      </c>
      <c r="B431" s="1">
        <v>45128.890277777777</v>
      </c>
      <c r="C431" t="s">
        <v>768</v>
      </c>
      <c r="D431" t="s">
        <v>734</v>
      </c>
      <c r="E431" t="s">
        <v>178</v>
      </c>
      <c r="F431">
        <v>0</v>
      </c>
      <c r="G431" t="s">
        <v>735</v>
      </c>
      <c r="H431" t="s">
        <v>736</v>
      </c>
      <c r="I431" t="s">
        <v>179</v>
      </c>
      <c r="J431" t="s">
        <v>737</v>
      </c>
      <c r="K431" t="s">
        <v>84</v>
      </c>
      <c r="L431" t="s">
        <v>185</v>
      </c>
      <c r="M431" t="s">
        <v>768</v>
      </c>
      <c r="N431" t="s">
        <v>771</v>
      </c>
      <c r="O431" t="s">
        <v>82</v>
      </c>
      <c r="P431">
        <v>17960.7</v>
      </c>
      <c r="Q431" t="s">
        <v>83</v>
      </c>
      <c r="AE431" t="s">
        <v>84</v>
      </c>
      <c r="AG431" t="s">
        <v>84</v>
      </c>
      <c r="AH431" t="s">
        <v>84</v>
      </c>
      <c r="AJ431" t="s">
        <v>84</v>
      </c>
      <c r="AK431" t="s">
        <v>84</v>
      </c>
      <c r="AQ431" t="s">
        <v>84</v>
      </c>
      <c r="AT431" t="s">
        <v>84</v>
      </c>
      <c r="AU431" t="s">
        <v>84</v>
      </c>
      <c r="AV431" t="s">
        <v>84</v>
      </c>
      <c r="AX431" t="s">
        <v>84</v>
      </c>
      <c r="BA431" t="s">
        <v>84</v>
      </c>
      <c r="BB431" t="s">
        <v>84</v>
      </c>
      <c r="BG431" t="s">
        <v>84</v>
      </c>
      <c r="BJ431" t="s">
        <v>84</v>
      </c>
      <c r="BK431" t="s">
        <v>84</v>
      </c>
      <c r="BM431" t="s">
        <v>84</v>
      </c>
      <c r="BS431" t="s">
        <v>84</v>
      </c>
      <c r="BT431" t="s">
        <v>84</v>
      </c>
      <c r="BU431">
        <v>0</v>
      </c>
      <c r="BV431">
        <v>0</v>
      </c>
      <c r="BW431">
        <v>19142.325000000001</v>
      </c>
    </row>
    <row r="432" spans="1:75" x14ac:dyDescent="0.25">
      <c r="A432">
        <v>369</v>
      </c>
      <c r="B432" s="1">
        <v>45128.890277777777</v>
      </c>
      <c r="C432" t="s">
        <v>768</v>
      </c>
      <c r="D432" t="s">
        <v>734</v>
      </c>
      <c r="E432" t="s">
        <v>178</v>
      </c>
      <c r="F432">
        <v>1</v>
      </c>
      <c r="G432" t="s">
        <v>735</v>
      </c>
      <c r="H432" t="s">
        <v>736</v>
      </c>
      <c r="I432" t="s">
        <v>179</v>
      </c>
      <c r="J432" t="s">
        <v>737</v>
      </c>
      <c r="K432" t="s">
        <v>79</v>
      </c>
      <c r="L432" t="s">
        <v>185</v>
      </c>
      <c r="M432" t="s">
        <v>772</v>
      </c>
      <c r="N432" t="s">
        <v>773</v>
      </c>
      <c r="O432" t="s">
        <v>82</v>
      </c>
      <c r="P432">
        <v>20323.95</v>
      </c>
      <c r="Q432" t="s">
        <v>83</v>
      </c>
      <c r="R432">
        <v>19142.325000000001</v>
      </c>
      <c r="T432">
        <v>1</v>
      </c>
      <c r="AC432">
        <v>12900</v>
      </c>
      <c r="AE432" t="s">
        <v>84</v>
      </c>
      <c r="AG432" t="s">
        <v>84</v>
      </c>
      <c r="AH432" t="s">
        <v>84</v>
      </c>
      <c r="AJ432" t="s">
        <v>84</v>
      </c>
      <c r="AK432" t="s">
        <v>84</v>
      </c>
      <c r="AQ432" t="s">
        <v>84</v>
      </c>
      <c r="AT432" t="s">
        <v>84</v>
      </c>
      <c r="AU432" t="s">
        <v>84</v>
      </c>
      <c r="AV432" t="s">
        <v>84</v>
      </c>
      <c r="AX432" t="s">
        <v>84</v>
      </c>
      <c r="BA432" t="s">
        <v>84</v>
      </c>
      <c r="BB432" t="s">
        <v>84</v>
      </c>
      <c r="BG432" t="s">
        <v>84</v>
      </c>
      <c r="BJ432" t="s">
        <v>84</v>
      </c>
      <c r="BK432" t="s">
        <v>84</v>
      </c>
      <c r="BM432" t="s">
        <v>84</v>
      </c>
      <c r="BS432" t="s">
        <v>84</v>
      </c>
      <c r="BT432" t="s">
        <v>84</v>
      </c>
      <c r="BU432">
        <v>0</v>
      </c>
      <c r="BV432">
        <v>0</v>
      </c>
      <c r="BW432">
        <v>19142.325000000001</v>
      </c>
    </row>
    <row r="433" spans="1:75" x14ac:dyDescent="0.25">
      <c r="A433">
        <v>369</v>
      </c>
      <c r="B433" s="1">
        <v>45128.890277777777</v>
      </c>
      <c r="C433" t="s">
        <v>768</v>
      </c>
      <c r="D433" t="s">
        <v>734</v>
      </c>
      <c r="E433" t="s">
        <v>178</v>
      </c>
      <c r="F433">
        <v>1</v>
      </c>
      <c r="G433" t="s">
        <v>735</v>
      </c>
      <c r="H433" t="s">
        <v>736</v>
      </c>
      <c r="I433" t="s">
        <v>179</v>
      </c>
      <c r="J433" t="s">
        <v>737</v>
      </c>
      <c r="K433" t="s">
        <v>700</v>
      </c>
      <c r="L433" t="s">
        <v>121</v>
      </c>
      <c r="M433" t="s">
        <v>768</v>
      </c>
      <c r="N433" t="s">
        <v>774</v>
      </c>
      <c r="O433" t="s">
        <v>82</v>
      </c>
      <c r="P433">
        <v>145024.3322</v>
      </c>
      <c r="Q433" t="s">
        <v>83</v>
      </c>
      <c r="R433">
        <v>151042.9981</v>
      </c>
      <c r="W433">
        <v>1</v>
      </c>
      <c r="AA433">
        <v>0</v>
      </c>
      <c r="AD433">
        <v>6920</v>
      </c>
      <c r="AE433" t="s">
        <v>84</v>
      </c>
      <c r="AG433" t="s">
        <v>84</v>
      </c>
      <c r="AH433" t="s">
        <v>84</v>
      </c>
      <c r="AJ433" t="s">
        <v>84</v>
      </c>
      <c r="AK433" t="s">
        <v>84</v>
      </c>
      <c r="AP433">
        <v>2571</v>
      </c>
      <c r="AQ433" t="s">
        <v>84</v>
      </c>
      <c r="AR433">
        <v>12737</v>
      </c>
      <c r="AT433" t="s">
        <v>84</v>
      </c>
      <c r="AU433" t="s">
        <v>84</v>
      </c>
      <c r="AV433" t="s">
        <v>84</v>
      </c>
      <c r="AX433" t="s">
        <v>84</v>
      </c>
      <c r="AY433">
        <v>0</v>
      </c>
      <c r="BA433" t="s">
        <v>84</v>
      </c>
      <c r="BB433" t="s">
        <v>84</v>
      </c>
      <c r="BC433">
        <v>15885</v>
      </c>
      <c r="BF433">
        <v>9134</v>
      </c>
      <c r="BG433" t="s">
        <v>84</v>
      </c>
      <c r="BH433">
        <v>12400</v>
      </c>
      <c r="BI433">
        <v>24334</v>
      </c>
      <c r="BJ433" t="s">
        <v>84</v>
      </c>
      <c r="BK433" t="s">
        <v>84</v>
      </c>
      <c r="BL433">
        <v>4566</v>
      </c>
      <c r="BM433" t="s">
        <v>84</v>
      </c>
      <c r="BO433">
        <v>9816</v>
      </c>
      <c r="BQ433">
        <v>4820</v>
      </c>
      <c r="BR433">
        <v>3340</v>
      </c>
      <c r="BS433" t="s">
        <v>84</v>
      </c>
      <c r="BT433" t="s">
        <v>84</v>
      </c>
      <c r="BU433">
        <v>0</v>
      </c>
      <c r="BV433">
        <v>0</v>
      </c>
      <c r="BW433">
        <v>151042.9981</v>
      </c>
    </row>
    <row r="434" spans="1:75" x14ac:dyDescent="0.25">
      <c r="A434">
        <v>369</v>
      </c>
      <c r="B434" s="1">
        <v>45128.890277777777</v>
      </c>
      <c r="C434" t="s">
        <v>768</v>
      </c>
      <c r="D434" t="s">
        <v>734</v>
      </c>
      <c r="E434" t="s">
        <v>178</v>
      </c>
      <c r="F434">
        <v>0</v>
      </c>
      <c r="G434" t="s">
        <v>735</v>
      </c>
      <c r="H434" t="s">
        <v>736</v>
      </c>
      <c r="I434" t="s">
        <v>179</v>
      </c>
      <c r="J434" t="s">
        <v>737</v>
      </c>
      <c r="K434" t="s">
        <v>84</v>
      </c>
      <c r="L434" t="s">
        <v>121</v>
      </c>
      <c r="M434" t="s">
        <v>775</v>
      </c>
      <c r="N434" t="s">
        <v>776</v>
      </c>
      <c r="O434" t="s">
        <v>82</v>
      </c>
      <c r="P434">
        <v>157061.66399999999</v>
      </c>
      <c r="Q434" t="s">
        <v>83</v>
      </c>
      <c r="S434">
        <v>1</v>
      </c>
      <c r="AE434" t="s">
        <v>84</v>
      </c>
      <c r="AG434" t="s">
        <v>84</v>
      </c>
      <c r="AH434" t="s">
        <v>84</v>
      </c>
      <c r="AJ434" t="s">
        <v>84</v>
      </c>
      <c r="AK434" t="s">
        <v>84</v>
      </c>
      <c r="AQ434" t="s">
        <v>84</v>
      </c>
      <c r="AT434" t="s">
        <v>84</v>
      </c>
      <c r="AU434" t="s">
        <v>84</v>
      </c>
      <c r="AV434" t="s">
        <v>84</v>
      </c>
      <c r="AX434" t="s">
        <v>84</v>
      </c>
      <c r="BA434" t="s">
        <v>84</v>
      </c>
      <c r="BB434" t="s">
        <v>84</v>
      </c>
      <c r="BG434" t="s">
        <v>84</v>
      </c>
      <c r="BJ434" t="s">
        <v>84</v>
      </c>
      <c r="BK434" t="s">
        <v>84</v>
      </c>
      <c r="BM434" t="s">
        <v>84</v>
      </c>
      <c r="BS434" t="s">
        <v>84</v>
      </c>
      <c r="BT434" t="s">
        <v>84</v>
      </c>
      <c r="BU434">
        <v>157061.66399999999</v>
      </c>
      <c r="BV434">
        <v>0</v>
      </c>
      <c r="BW434">
        <v>151042.9981</v>
      </c>
    </row>
    <row r="435" spans="1:75" x14ac:dyDescent="0.25">
      <c r="A435">
        <v>369</v>
      </c>
      <c r="B435" s="1">
        <v>45128.890277777777</v>
      </c>
      <c r="C435" t="s">
        <v>768</v>
      </c>
      <c r="D435" t="s">
        <v>734</v>
      </c>
      <c r="E435" t="s">
        <v>178</v>
      </c>
      <c r="F435">
        <v>1</v>
      </c>
      <c r="G435" t="s">
        <v>735</v>
      </c>
      <c r="H435" t="s">
        <v>736</v>
      </c>
      <c r="I435" t="s">
        <v>179</v>
      </c>
      <c r="J435" t="s">
        <v>737</v>
      </c>
      <c r="K435" t="s">
        <v>441</v>
      </c>
      <c r="L435" t="s">
        <v>151</v>
      </c>
      <c r="M435" t="s">
        <v>768</v>
      </c>
      <c r="N435" t="s">
        <v>777</v>
      </c>
      <c r="O435" t="s">
        <v>82</v>
      </c>
      <c r="P435">
        <v>87009</v>
      </c>
      <c r="Q435" t="s">
        <v>83</v>
      </c>
      <c r="R435">
        <v>127887.5</v>
      </c>
      <c r="Y435">
        <v>42250</v>
      </c>
      <c r="AE435" t="s">
        <v>84</v>
      </c>
      <c r="AG435" t="s">
        <v>84</v>
      </c>
      <c r="AH435" t="s">
        <v>84</v>
      </c>
      <c r="AJ435" t="s">
        <v>84</v>
      </c>
      <c r="AK435" t="s">
        <v>84</v>
      </c>
      <c r="AQ435" t="s">
        <v>84</v>
      </c>
      <c r="AR435">
        <v>3150</v>
      </c>
      <c r="AS435">
        <v>10500</v>
      </c>
      <c r="AT435" t="s">
        <v>84</v>
      </c>
      <c r="AU435" t="s">
        <v>84</v>
      </c>
      <c r="AV435" t="s">
        <v>84</v>
      </c>
      <c r="AX435" t="s">
        <v>84</v>
      </c>
      <c r="AY435">
        <v>800</v>
      </c>
      <c r="BA435" t="s">
        <v>84</v>
      </c>
      <c r="BB435" t="s">
        <v>84</v>
      </c>
      <c r="BF435">
        <v>10230</v>
      </c>
      <c r="BG435" t="s">
        <v>84</v>
      </c>
      <c r="BJ435" t="s">
        <v>84</v>
      </c>
      <c r="BK435" t="s">
        <v>84</v>
      </c>
      <c r="BM435" t="s">
        <v>84</v>
      </c>
      <c r="BS435" t="s">
        <v>84</v>
      </c>
      <c r="BT435" t="s">
        <v>84</v>
      </c>
      <c r="BU435">
        <v>0</v>
      </c>
      <c r="BV435">
        <v>0</v>
      </c>
      <c r="BW435">
        <v>127887.5</v>
      </c>
    </row>
    <row r="436" spans="1:75" x14ac:dyDescent="0.25">
      <c r="A436">
        <v>369</v>
      </c>
      <c r="B436" s="1">
        <v>45128.890277777777</v>
      </c>
      <c r="C436" t="s">
        <v>768</v>
      </c>
      <c r="D436" t="s">
        <v>734</v>
      </c>
      <c r="E436" t="s">
        <v>178</v>
      </c>
      <c r="F436">
        <v>0</v>
      </c>
      <c r="G436" t="s">
        <v>735</v>
      </c>
      <c r="H436" t="s">
        <v>736</v>
      </c>
      <c r="I436" t="s">
        <v>179</v>
      </c>
      <c r="J436" t="s">
        <v>737</v>
      </c>
      <c r="K436" t="s">
        <v>84</v>
      </c>
      <c r="L436" t="s">
        <v>151</v>
      </c>
      <c r="M436" t="s">
        <v>778</v>
      </c>
      <c r="N436" t="s">
        <v>779</v>
      </c>
      <c r="O436" t="s">
        <v>82</v>
      </c>
      <c r="P436">
        <v>168766</v>
      </c>
      <c r="Q436" t="s">
        <v>83</v>
      </c>
      <c r="AE436" t="s">
        <v>84</v>
      </c>
      <c r="AG436" t="s">
        <v>84</v>
      </c>
      <c r="AH436" t="s">
        <v>84</v>
      </c>
      <c r="AJ436" t="s">
        <v>84</v>
      </c>
      <c r="AK436" t="s">
        <v>84</v>
      </c>
      <c r="AQ436" t="s">
        <v>84</v>
      </c>
      <c r="AT436" t="s">
        <v>84</v>
      </c>
      <c r="AU436" t="s">
        <v>84</v>
      </c>
      <c r="AV436" t="s">
        <v>84</v>
      </c>
      <c r="AX436" t="s">
        <v>84</v>
      </c>
      <c r="BA436" t="s">
        <v>84</v>
      </c>
      <c r="BB436" t="s">
        <v>84</v>
      </c>
      <c r="BG436" t="s">
        <v>84</v>
      </c>
      <c r="BJ436" t="s">
        <v>84</v>
      </c>
      <c r="BK436" t="s">
        <v>84</v>
      </c>
      <c r="BM436" t="s">
        <v>84</v>
      </c>
      <c r="BS436" t="s">
        <v>84</v>
      </c>
      <c r="BT436" t="s">
        <v>84</v>
      </c>
      <c r="BU436">
        <v>0</v>
      </c>
      <c r="BV436">
        <v>0</v>
      </c>
      <c r="BW436">
        <v>127887.5</v>
      </c>
    </row>
    <row r="437" spans="1:75" x14ac:dyDescent="0.25">
      <c r="A437">
        <v>369</v>
      </c>
      <c r="B437" s="1">
        <v>45128.890277777777</v>
      </c>
      <c r="C437" t="s">
        <v>768</v>
      </c>
      <c r="D437" t="s">
        <v>734</v>
      </c>
      <c r="E437" t="s">
        <v>178</v>
      </c>
      <c r="F437">
        <v>0</v>
      </c>
      <c r="G437" t="s">
        <v>735</v>
      </c>
      <c r="H437" t="s">
        <v>736</v>
      </c>
      <c r="I437" t="s">
        <v>179</v>
      </c>
      <c r="J437" t="s">
        <v>737</v>
      </c>
      <c r="K437" t="s">
        <v>84</v>
      </c>
      <c r="L437" t="s">
        <v>98</v>
      </c>
      <c r="M437" t="s">
        <v>780</v>
      </c>
      <c r="N437" t="s">
        <v>781</v>
      </c>
      <c r="O437" t="s">
        <v>82</v>
      </c>
      <c r="P437">
        <v>34500</v>
      </c>
      <c r="Q437" t="s">
        <v>83</v>
      </c>
      <c r="U437">
        <v>1</v>
      </c>
      <c r="V437">
        <v>1</v>
      </c>
      <c r="AE437" t="s">
        <v>84</v>
      </c>
      <c r="AG437" t="s">
        <v>84</v>
      </c>
      <c r="AH437" t="s">
        <v>84</v>
      </c>
      <c r="AJ437" t="s">
        <v>84</v>
      </c>
      <c r="AK437" t="s">
        <v>84</v>
      </c>
      <c r="AQ437" t="s">
        <v>84</v>
      </c>
      <c r="AT437" t="s">
        <v>84</v>
      </c>
      <c r="AU437" t="s">
        <v>84</v>
      </c>
      <c r="AV437" t="s">
        <v>84</v>
      </c>
      <c r="AX437" t="s">
        <v>84</v>
      </c>
      <c r="BA437" t="s">
        <v>84</v>
      </c>
      <c r="BB437" t="s">
        <v>84</v>
      </c>
      <c r="BG437" t="s">
        <v>84</v>
      </c>
      <c r="BJ437" t="s">
        <v>84</v>
      </c>
      <c r="BK437" t="s">
        <v>84</v>
      </c>
      <c r="BM437" t="s">
        <v>84</v>
      </c>
      <c r="BS437" t="s">
        <v>84</v>
      </c>
      <c r="BT437" t="s">
        <v>84</v>
      </c>
      <c r="BU437">
        <v>0</v>
      </c>
      <c r="BV437">
        <v>0</v>
      </c>
      <c r="BW437">
        <v>39187.5</v>
      </c>
    </row>
    <row r="438" spans="1:75" x14ac:dyDescent="0.25">
      <c r="A438">
        <v>369</v>
      </c>
      <c r="B438" s="1">
        <v>45128.890277777777</v>
      </c>
      <c r="C438" t="s">
        <v>768</v>
      </c>
      <c r="D438" t="s">
        <v>734</v>
      </c>
      <c r="E438" t="s">
        <v>178</v>
      </c>
      <c r="F438">
        <v>1</v>
      </c>
      <c r="G438" t="s">
        <v>735</v>
      </c>
      <c r="H438" t="s">
        <v>736</v>
      </c>
      <c r="I438" t="s">
        <v>179</v>
      </c>
      <c r="J438" t="s">
        <v>737</v>
      </c>
      <c r="K438" t="s">
        <v>158</v>
      </c>
      <c r="L438" t="s">
        <v>98</v>
      </c>
      <c r="M438" t="s">
        <v>782</v>
      </c>
      <c r="N438" t="s">
        <v>783</v>
      </c>
      <c r="O438" t="s">
        <v>82</v>
      </c>
      <c r="P438">
        <v>35150</v>
      </c>
      <c r="Q438" t="s">
        <v>83</v>
      </c>
      <c r="R438">
        <v>39187.5</v>
      </c>
      <c r="U438">
        <v>1</v>
      </c>
      <c r="W438">
        <v>1</v>
      </c>
      <c r="AE438" t="s">
        <v>84</v>
      </c>
      <c r="AG438" t="s">
        <v>84</v>
      </c>
      <c r="AH438" t="s">
        <v>84</v>
      </c>
      <c r="AJ438" t="s">
        <v>84</v>
      </c>
      <c r="AK438" t="s">
        <v>84</v>
      </c>
      <c r="AQ438" t="s">
        <v>84</v>
      </c>
      <c r="AS438">
        <v>35150</v>
      </c>
      <c r="AT438" t="s">
        <v>84</v>
      </c>
      <c r="AU438" t="s">
        <v>84</v>
      </c>
      <c r="AV438" t="s">
        <v>84</v>
      </c>
      <c r="AX438" t="s">
        <v>84</v>
      </c>
      <c r="BA438" t="s">
        <v>84</v>
      </c>
      <c r="BB438" t="s">
        <v>84</v>
      </c>
      <c r="BG438" t="s">
        <v>84</v>
      </c>
      <c r="BJ438" t="s">
        <v>84</v>
      </c>
      <c r="BK438" t="s">
        <v>84</v>
      </c>
      <c r="BM438" t="s">
        <v>84</v>
      </c>
      <c r="BS438" t="s">
        <v>84</v>
      </c>
      <c r="BT438" t="s">
        <v>84</v>
      </c>
      <c r="BU438">
        <v>0</v>
      </c>
      <c r="BV438">
        <v>0</v>
      </c>
      <c r="BW438">
        <v>39187.5</v>
      </c>
    </row>
    <row r="439" spans="1:75" x14ac:dyDescent="0.25">
      <c r="A439">
        <v>369</v>
      </c>
      <c r="B439" s="1">
        <v>45128.890277777777</v>
      </c>
      <c r="C439" t="s">
        <v>768</v>
      </c>
      <c r="D439" t="s">
        <v>734</v>
      </c>
      <c r="E439" t="s">
        <v>178</v>
      </c>
      <c r="F439">
        <v>0</v>
      </c>
      <c r="G439" t="s">
        <v>735</v>
      </c>
      <c r="H439" t="s">
        <v>736</v>
      </c>
      <c r="I439" t="s">
        <v>179</v>
      </c>
      <c r="J439" t="s">
        <v>737</v>
      </c>
      <c r="K439" t="s">
        <v>84</v>
      </c>
      <c r="L439" t="s">
        <v>98</v>
      </c>
      <c r="M439" t="s">
        <v>784</v>
      </c>
      <c r="N439" t="s">
        <v>785</v>
      </c>
      <c r="O439" t="s">
        <v>82</v>
      </c>
      <c r="P439">
        <v>43550</v>
      </c>
      <c r="Q439" t="s">
        <v>83</v>
      </c>
      <c r="AE439" t="s">
        <v>84</v>
      </c>
      <c r="AG439" t="s">
        <v>84</v>
      </c>
      <c r="AH439" t="s">
        <v>84</v>
      </c>
      <c r="AJ439" t="s">
        <v>84</v>
      </c>
      <c r="AK439" t="s">
        <v>84</v>
      </c>
      <c r="AQ439" t="s">
        <v>84</v>
      </c>
      <c r="AT439" t="s">
        <v>84</v>
      </c>
      <c r="AU439" t="s">
        <v>84</v>
      </c>
      <c r="AV439" t="s">
        <v>84</v>
      </c>
      <c r="AX439" t="s">
        <v>84</v>
      </c>
      <c r="BA439" t="s">
        <v>84</v>
      </c>
      <c r="BB439" t="s">
        <v>84</v>
      </c>
      <c r="BG439" t="s">
        <v>84</v>
      </c>
      <c r="BJ439" t="s">
        <v>84</v>
      </c>
      <c r="BK439" t="s">
        <v>84</v>
      </c>
      <c r="BM439" t="s">
        <v>84</v>
      </c>
      <c r="BS439" t="s">
        <v>84</v>
      </c>
      <c r="BT439" t="s">
        <v>84</v>
      </c>
      <c r="BU439">
        <v>0</v>
      </c>
      <c r="BV439">
        <v>0</v>
      </c>
      <c r="BW439">
        <v>39187.5</v>
      </c>
    </row>
    <row r="440" spans="1:75" x14ac:dyDescent="0.25">
      <c r="A440">
        <v>369</v>
      </c>
      <c r="B440" s="1">
        <v>45128.890277777777</v>
      </c>
      <c r="C440" t="s">
        <v>768</v>
      </c>
      <c r="D440" t="s">
        <v>734</v>
      </c>
      <c r="E440" t="s">
        <v>178</v>
      </c>
      <c r="F440">
        <v>0</v>
      </c>
      <c r="G440" t="s">
        <v>735</v>
      </c>
      <c r="H440" t="s">
        <v>736</v>
      </c>
      <c r="I440" t="s">
        <v>179</v>
      </c>
      <c r="J440" t="s">
        <v>737</v>
      </c>
      <c r="K440" t="s">
        <v>84</v>
      </c>
      <c r="L440" t="s">
        <v>98</v>
      </c>
      <c r="M440" t="s">
        <v>784</v>
      </c>
      <c r="N440" t="s">
        <v>785</v>
      </c>
      <c r="O440" t="s">
        <v>82</v>
      </c>
      <c r="P440">
        <v>43550</v>
      </c>
      <c r="Q440" t="s">
        <v>83</v>
      </c>
      <c r="AE440" t="s">
        <v>84</v>
      </c>
      <c r="AG440" t="s">
        <v>84</v>
      </c>
      <c r="AH440" t="s">
        <v>84</v>
      </c>
      <c r="AJ440" t="s">
        <v>84</v>
      </c>
      <c r="AK440" t="s">
        <v>84</v>
      </c>
      <c r="AQ440" t="s">
        <v>84</v>
      </c>
      <c r="AT440" t="s">
        <v>84</v>
      </c>
      <c r="AU440" t="s">
        <v>84</v>
      </c>
      <c r="AV440" t="s">
        <v>84</v>
      </c>
      <c r="AX440" t="s">
        <v>84</v>
      </c>
      <c r="BA440" t="s">
        <v>84</v>
      </c>
      <c r="BB440" t="s">
        <v>84</v>
      </c>
      <c r="BG440" t="s">
        <v>84</v>
      </c>
      <c r="BJ440" t="s">
        <v>84</v>
      </c>
      <c r="BK440" t="s">
        <v>84</v>
      </c>
      <c r="BM440" t="s">
        <v>84</v>
      </c>
      <c r="BS440" t="s">
        <v>84</v>
      </c>
      <c r="BT440" t="s">
        <v>84</v>
      </c>
      <c r="BU440">
        <v>0</v>
      </c>
      <c r="BV440">
        <v>0</v>
      </c>
      <c r="BW440">
        <v>39187.5</v>
      </c>
    </row>
    <row r="441" spans="1:75" x14ac:dyDescent="0.25">
      <c r="A441">
        <v>369</v>
      </c>
      <c r="B441" s="1">
        <v>45128.890277777777</v>
      </c>
      <c r="C441" t="s">
        <v>768</v>
      </c>
      <c r="D441" t="s">
        <v>734</v>
      </c>
      <c r="E441" t="s">
        <v>178</v>
      </c>
      <c r="F441">
        <v>1</v>
      </c>
      <c r="G441" t="s">
        <v>735</v>
      </c>
      <c r="H441" t="s">
        <v>736</v>
      </c>
      <c r="I441" t="s">
        <v>179</v>
      </c>
      <c r="J441" t="s">
        <v>737</v>
      </c>
      <c r="K441" t="s">
        <v>163</v>
      </c>
      <c r="L441" t="s">
        <v>87</v>
      </c>
      <c r="M441" t="s">
        <v>768</v>
      </c>
      <c r="N441" t="s">
        <v>786</v>
      </c>
      <c r="O441" t="s">
        <v>82</v>
      </c>
      <c r="P441">
        <v>131994.79999999999</v>
      </c>
      <c r="Q441" t="s">
        <v>83</v>
      </c>
      <c r="R441">
        <v>92026.783330000006</v>
      </c>
      <c r="X441">
        <v>1</v>
      </c>
      <c r="AE441" t="s">
        <v>84</v>
      </c>
      <c r="AG441" t="s">
        <v>84</v>
      </c>
      <c r="AH441" t="s">
        <v>84</v>
      </c>
      <c r="AJ441" t="s">
        <v>84</v>
      </c>
      <c r="AK441" t="s">
        <v>84</v>
      </c>
      <c r="AL441">
        <v>23600</v>
      </c>
      <c r="AM441">
        <v>29800</v>
      </c>
      <c r="AN441">
        <v>36500</v>
      </c>
      <c r="AO441">
        <v>6388</v>
      </c>
      <c r="AQ441" t="s">
        <v>84</v>
      </c>
      <c r="AT441" t="s">
        <v>84</v>
      </c>
      <c r="AU441" t="s">
        <v>84</v>
      </c>
      <c r="AV441" t="s">
        <v>84</v>
      </c>
      <c r="AX441" t="s">
        <v>84</v>
      </c>
      <c r="BA441" t="s">
        <v>84</v>
      </c>
      <c r="BB441" t="s">
        <v>84</v>
      </c>
      <c r="BG441" t="s">
        <v>84</v>
      </c>
      <c r="BJ441" t="s">
        <v>84</v>
      </c>
      <c r="BK441" t="s">
        <v>84</v>
      </c>
      <c r="BM441" t="s">
        <v>84</v>
      </c>
      <c r="BS441" t="s">
        <v>84</v>
      </c>
      <c r="BT441" t="s">
        <v>84</v>
      </c>
      <c r="BU441">
        <v>0</v>
      </c>
      <c r="BV441">
        <v>0</v>
      </c>
      <c r="BW441">
        <v>92026.783334999986</v>
      </c>
    </row>
    <row r="442" spans="1:75" x14ac:dyDescent="0.25">
      <c r="A442">
        <v>369</v>
      </c>
      <c r="B442" s="1">
        <v>45128.890277777777</v>
      </c>
      <c r="C442" t="s">
        <v>768</v>
      </c>
      <c r="D442" t="s">
        <v>734</v>
      </c>
      <c r="E442" t="s">
        <v>178</v>
      </c>
      <c r="F442">
        <v>0</v>
      </c>
      <c r="G442" t="s">
        <v>735</v>
      </c>
      <c r="H442" t="s">
        <v>736</v>
      </c>
      <c r="I442" t="s">
        <v>179</v>
      </c>
      <c r="J442" t="s">
        <v>737</v>
      </c>
      <c r="K442" t="s">
        <v>84</v>
      </c>
      <c r="L442" t="s">
        <v>87</v>
      </c>
      <c r="M442" t="s">
        <v>772</v>
      </c>
      <c r="N442" t="s">
        <v>787</v>
      </c>
      <c r="O442" t="s">
        <v>82</v>
      </c>
      <c r="P442">
        <v>52058.766669999997</v>
      </c>
      <c r="Q442" t="s">
        <v>83</v>
      </c>
      <c r="W442">
        <v>1</v>
      </c>
      <c r="X442">
        <v>1</v>
      </c>
      <c r="AE442" t="s">
        <v>84</v>
      </c>
      <c r="AG442" t="s">
        <v>84</v>
      </c>
      <c r="AH442" t="s">
        <v>84</v>
      </c>
      <c r="AJ442" t="s">
        <v>84</v>
      </c>
      <c r="AK442" t="s">
        <v>84</v>
      </c>
      <c r="AQ442" t="s">
        <v>84</v>
      </c>
      <c r="AT442" t="s">
        <v>84</v>
      </c>
      <c r="AU442" t="s">
        <v>84</v>
      </c>
      <c r="AV442" t="s">
        <v>84</v>
      </c>
      <c r="AX442" t="s">
        <v>84</v>
      </c>
      <c r="BA442" t="s">
        <v>84</v>
      </c>
      <c r="BB442" t="s">
        <v>84</v>
      </c>
      <c r="BG442" t="s">
        <v>84</v>
      </c>
      <c r="BJ442" t="s">
        <v>84</v>
      </c>
      <c r="BK442" t="s">
        <v>84</v>
      </c>
      <c r="BM442" t="s">
        <v>84</v>
      </c>
      <c r="BS442" t="s">
        <v>84</v>
      </c>
      <c r="BT442" t="s">
        <v>84</v>
      </c>
      <c r="BU442">
        <v>0</v>
      </c>
      <c r="BV442">
        <v>0</v>
      </c>
      <c r="BW442">
        <v>92026.783334999986</v>
      </c>
    </row>
    <row r="443" spans="1:75" x14ac:dyDescent="0.25">
      <c r="A443">
        <v>369</v>
      </c>
      <c r="B443" s="1">
        <v>45128.890277777777</v>
      </c>
      <c r="C443" t="s">
        <v>768</v>
      </c>
      <c r="D443" t="s">
        <v>734</v>
      </c>
      <c r="E443" t="s">
        <v>178</v>
      </c>
      <c r="F443">
        <v>0</v>
      </c>
      <c r="G443" t="s">
        <v>735</v>
      </c>
      <c r="H443" t="s">
        <v>736</v>
      </c>
      <c r="I443" t="s">
        <v>179</v>
      </c>
      <c r="J443" t="s">
        <v>737</v>
      </c>
      <c r="K443" t="s">
        <v>84</v>
      </c>
      <c r="L443" t="s">
        <v>80</v>
      </c>
      <c r="M443" t="s">
        <v>768</v>
      </c>
      <c r="N443" t="s">
        <v>788</v>
      </c>
      <c r="O443" t="s">
        <v>82</v>
      </c>
      <c r="P443">
        <v>814542.45</v>
      </c>
      <c r="Q443" t="s">
        <v>83</v>
      </c>
      <c r="AE443" t="s">
        <v>84</v>
      </c>
      <c r="AG443" t="s">
        <v>84</v>
      </c>
      <c r="AH443" t="s">
        <v>84</v>
      </c>
      <c r="AJ443" t="s">
        <v>84</v>
      </c>
      <c r="AK443" t="s">
        <v>84</v>
      </c>
      <c r="AQ443" t="s">
        <v>84</v>
      </c>
      <c r="AT443" t="s">
        <v>84</v>
      </c>
      <c r="AU443" t="s">
        <v>84</v>
      </c>
      <c r="AV443" t="s">
        <v>84</v>
      </c>
      <c r="AX443" t="s">
        <v>84</v>
      </c>
      <c r="BA443" t="s">
        <v>84</v>
      </c>
      <c r="BB443" t="s">
        <v>84</v>
      </c>
      <c r="BG443" t="s">
        <v>84</v>
      </c>
      <c r="BJ443" t="s">
        <v>84</v>
      </c>
      <c r="BK443" t="s">
        <v>84</v>
      </c>
      <c r="BM443" t="s">
        <v>84</v>
      </c>
      <c r="BS443" t="s">
        <v>84</v>
      </c>
      <c r="BT443" t="s">
        <v>84</v>
      </c>
      <c r="BU443">
        <v>0</v>
      </c>
      <c r="BV443">
        <v>0</v>
      </c>
      <c r="BW443">
        <v>865895.91999999993</v>
      </c>
    </row>
    <row r="444" spans="1:75" x14ac:dyDescent="0.25">
      <c r="A444">
        <v>369</v>
      </c>
      <c r="B444" s="1">
        <v>45128.890277777777</v>
      </c>
      <c r="C444" t="s">
        <v>768</v>
      </c>
      <c r="D444" t="s">
        <v>734</v>
      </c>
      <c r="E444" t="s">
        <v>178</v>
      </c>
      <c r="F444">
        <v>1</v>
      </c>
      <c r="G444" t="s">
        <v>735</v>
      </c>
      <c r="H444" t="s">
        <v>736</v>
      </c>
      <c r="I444" t="s">
        <v>179</v>
      </c>
      <c r="J444" t="s">
        <v>737</v>
      </c>
      <c r="K444" t="s">
        <v>79</v>
      </c>
      <c r="L444" t="s">
        <v>80</v>
      </c>
      <c r="M444" t="s">
        <v>772</v>
      </c>
      <c r="N444" t="s">
        <v>789</v>
      </c>
      <c r="O444" t="s">
        <v>82</v>
      </c>
      <c r="P444">
        <v>917249.39</v>
      </c>
      <c r="Q444" t="s">
        <v>83</v>
      </c>
      <c r="R444">
        <v>865895.92</v>
      </c>
      <c r="T444">
        <v>1</v>
      </c>
      <c r="Z444">
        <v>46260.5</v>
      </c>
      <c r="AA444">
        <v>136300</v>
      </c>
      <c r="AE444" t="s">
        <v>84</v>
      </c>
      <c r="AG444" t="s">
        <v>84</v>
      </c>
      <c r="AH444" t="s">
        <v>84</v>
      </c>
      <c r="AI444">
        <v>160000</v>
      </c>
      <c r="AJ444" t="s">
        <v>84</v>
      </c>
      <c r="AK444" t="s">
        <v>84</v>
      </c>
      <c r="AL444">
        <v>0</v>
      </c>
      <c r="AN444">
        <v>0</v>
      </c>
      <c r="AP444">
        <v>43900</v>
      </c>
      <c r="AQ444" t="s">
        <v>84</v>
      </c>
      <c r="AR444">
        <v>3600</v>
      </c>
      <c r="AT444" t="s">
        <v>84</v>
      </c>
      <c r="AU444" t="s">
        <v>84</v>
      </c>
      <c r="AV444" t="s">
        <v>84</v>
      </c>
      <c r="AW444">
        <v>29222</v>
      </c>
      <c r="AX444" t="s">
        <v>84</v>
      </c>
      <c r="AY444">
        <v>10400</v>
      </c>
      <c r="BA444" t="s">
        <v>84</v>
      </c>
      <c r="BB444" t="s">
        <v>84</v>
      </c>
      <c r="BC444">
        <v>28550</v>
      </c>
      <c r="BD444">
        <v>109252</v>
      </c>
      <c r="BG444" t="s">
        <v>84</v>
      </c>
      <c r="BH444">
        <v>6000</v>
      </c>
      <c r="BI444">
        <v>148612.75</v>
      </c>
      <c r="BJ444" t="s">
        <v>84</v>
      </c>
      <c r="BK444" t="s">
        <v>84</v>
      </c>
      <c r="BM444" t="s">
        <v>84</v>
      </c>
      <c r="BP444">
        <v>17620</v>
      </c>
      <c r="BQ444">
        <v>0</v>
      </c>
      <c r="BR444">
        <v>0</v>
      </c>
      <c r="BS444" t="s">
        <v>84</v>
      </c>
      <c r="BT444" t="s">
        <v>84</v>
      </c>
      <c r="BU444">
        <v>0</v>
      </c>
      <c r="BV444">
        <v>0</v>
      </c>
      <c r="BW444">
        <v>865895.91999999993</v>
      </c>
    </row>
    <row r="445" spans="1:75" x14ac:dyDescent="0.25">
      <c r="A445">
        <v>369</v>
      </c>
      <c r="B445" s="1">
        <v>45128.890277777777</v>
      </c>
      <c r="C445" t="s">
        <v>768</v>
      </c>
      <c r="D445" t="s">
        <v>734</v>
      </c>
      <c r="E445" t="s">
        <v>178</v>
      </c>
      <c r="F445">
        <v>0</v>
      </c>
      <c r="G445" t="s">
        <v>735</v>
      </c>
      <c r="H445" t="s">
        <v>736</v>
      </c>
      <c r="I445" t="s">
        <v>179</v>
      </c>
      <c r="J445" t="s">
        <v>737</v>
      </c>
      <c r="K445" t="s">
        <v>84</v>
      </c>
      <c r="L445" t="s">
        <v>106</v>
      </c>
      <c r="M445" t="s">
        <v>768</v>
      </c>
      <c r="N445" t="s">
        <v>790</v>
      </c>
      <c r="O445" t="s">
        <v>82</v>
      </c>
      <c r="P445">
        <v>9334.8374999999996</v>
      </c>
      <c r="Q445" t="s">
        <v>83</v>
      </c>
      <c r="AE445" t="s">
        <v>84</v>
      </c>
      <c r="AG445" t="s">
        <v>84</v>
      </c>
      <c r="AH445" t="s">
        <v>84</v>
      </c>
      <c r="AJ445" t="s">
        <v>84</v>
      </c>
      <c r="AK445" t="s">
        <v>84</v>
      </c>
      <c r="AQ445" t="s">
        <v>84</v>
      </c>
      <c r="AT445" t="s">
        <v>84</v>
      </c>
      <c r="AU445" t="s">
        <v>84</v>
      </c>
      <c r="AV445" t="s">
        <v>84</v>
      </c>
      <c r="AX445" t="s">
        <v>84</v>
      </c>
      <c r="BA445" t="s">
        <v>84</v>
      </c>
      <c r="BB445" t="s">
        <v>84</v>
      </c>
      <c r="BG445" t="s">
        <v>84</v>
      </c>
      <c r="BJ445" t="s">
        <v>84</v>
      </c>
      <c r="BK445" t="s">
        <v>84</v>
      </c>
      <c r="BM445" t="s">
        <v>84</v>
      </c>
      <c r="BS445" t="s">
        <v>84</v>
      </c>
      <c r="BT445" t="s">
        <v>84</v>
      </c>
      <c r="BU445">
        <v>0</v>
      </c>
      <c r="BV445">
        <v>0</v>
      </c>
      <c r="BW445">
        <v>8224.11</v>
      </c>
    </row>
    <row r="446" spans="1:75" x14ac:dyDescent="0.25">
      <c r="A446">
        <v>369</v>
      </c>
      <c r="B446" s="1">
        <v>45128.890277777777</v>
      </c>
      <c r="C446" t="s">
        <v>768</v>
      </c>
      <c r="D446" t="s">
        <v>734</v>
      </c>
      <c r="E446" t="s">
        <v>178</v>
      </c>
      <c r="F446">
        <v>1</v>
      </c>
      <c r="G446" t="s">
        <v>735</v>
      </c>
      <c r="H446" t="s">
        <v>736</v>
      </c>
      <c r="I446" t="s">
        <v>179</v>
      </c>
      <c r="J446" t="s">
        <v>737</v>
      </c>
      <c r="K446" t="s">
        <v>79</v>
      </c>
      <c r="L446" t="s">
        <v>106</v>
      </c>
      <c r="M446" t="s">
        <v>772</v>
      </c>
      <c r="N446" t="s">
        <v>791</v>
      </c>
      <c r="O446" t="s">
        <v>82</v>
      </c>
      <c r="P446">
        <v>7113.3824999999997</v>
      </c>
      <c r="Q446" t="s">
        <v>83</v>
      </c>
      <c r="R446">
        <v>8224.11</v>
      </c>
      <c r="T446">
        <v>1</v>
      </c>
      <c r="AE446" t="s">
        <v>84</v>
      </c>
      <c r="AF446">
        <v>3400</v>
      </c>
      <c r="AG446" t="s">
        <v>84</v>
      </c>
      <c r="AH446" t="s">
        <v>84</v>
      </c>
      <c r="AJ446" t="s">
        <v>84</v>
      </c>
      <c r="AK446" t="s">
        <v>84</v>
      </c>
      <c r="AQ446" t="s">
        <v>84</v>
      </c>
      <c r="AT446" t="s">
        <v>84</v>
      </c>
      <c r="AU446" t="s">
        <v>84</v>
      </c>
      <c r="AV446" t="s">
        <v>84</v>
      </c>
      <c r="AX446" t="s">
        <v>84</v>
      </c>
      <c r="BA446" t="s">
        <v>84</v>
      </c>
      <c r="BB446" t="s">
        <v>84</v>
      </c>
      <c r="BE446">
        <v>1115</v>
      </c>
      <c r="BG446" t="s">
        <v>84</v>
      </c>
      <c r="BJ446" t="s">
        <v>84</v>
      </c>
      <c r="BK446" t="s">
        <v>84</v>
      </c>
      <c r="BM446" t="s">
        <v>84</v>
      </c>
      <c r="BS446" t="s">
        <v>84</v>
      </c>
      <c r="BT446" t="s">
        <v>84</v>
      </c>
      <c r="BU446">
        <v>0</v>
      </c>
      <c r="BV446">
        <v>0</v>
      </c>
      <c r="BW446">
        <v>8224.11</v>
      </c>
    </row>
    <row r="447" spans="1:75" x14ac:dyDescent="0.25">
      <c r="A447">
        <v>369</v>
      </c>
      <c r="B447" s="1">
        <v>45128.890277777777</v>
      </c>
      <c r="C447" t="s">
        <v>768</v>
      </c>
      <c r="D447" t="s">
        <v>734</v>
      </c>
      <c r="E447" t="s">
        <v>178</v>
      </c>
      <c r="F447">
        <v>0</v>
      </c>
      <c r="G447" t="s">
        <v>735</v>
      </c>
      <c r="H447" t="s">
        <v>736</v>
      </c>
      <c r="I447" t="s">
        <v>179</v>
      </c>
      <c r="J447" t="s">
        <v>737</v>
      </c>
      <c r="K447" t="s">
        <v>84</v>
      </c>
      <c r="L447" t="s">
        <v>110</v>
      </c>
      <c r="M447" t="s">
        <v>768</v>
      </c>
      <c r="N447" t="s">
        <v>792</v>
      </c>
      <c r="O447" t="s">
        <v>82</v>
      </c>
      <c r="P447">
        <v>13335</v>
      </c>
      <c r="Q447" t="s">
        <v>83</v>
      </c>
      <c r="AE447" t="s">
        <v>84</v>
      </c>
      <c r="AG447" t="s">
        <v>84</v>
      </c>
      <c r="AH447" t="s">
        <v>84</v>
      </c>
      <c r="AJ447" t="s">
        <v>84</v>
      </c>
      <c r="AK447" t="s">
        <v>84</v>
      </c>
      <c r="AQ447" t="s">
        <v>84</v>
      </c>
      <c r="AT447" t="s">
        <v>84</v>
      </c>
      <c r="AU447" t="s">
        <v>84</v>
      </c>
      <c r="AV447" t="s">
        <v>84</v>
      </c>
      <c r="AX447" t="s">
        <v>84</v>
      </c>
      <c r="BA447" t="s">
        <v>84</v>
      </c>
      <c r="BB447" t="s">
        <v>84</v>
      </c>
      <c r="BG447" t="s">
        <v>84</v>
      </c>
      <c r="BJ447" t="s">
        <v>84</v>
      </c>
      <c r="BK447" t="s">
        <v>84</v>
      </c>
      <c r="BM447" t="s">
        <v>84</v>
      </c>
      <c r="BS447" t="s">
        <v>84</v>
      </c>
      <c r="BT447" t="s">
        <v>84</v>
      </c>
      <c r="BU447">
        <v>0</v>
      </c>
      <c r="BV447">
        <v>0</v>
      </c>
      <c r="BW447">
        <v>17917.5</v>
      </c>
    </row>
    <row r="448" spans="1:75" x14ac:dyDescent="0.25">
      <c r="A448">
        <v>369</v>
      </c>
      <c r="B448" s="1">
        <v>45128.890277777777</v>
      </c>
      <c r="C448" t="s">
        <v>768</v>
      </c>
      <c r="D448" t="s">
        <v>734</v>
      </c>
      <c r="E448" t="s">
        <v>178</v>
      </c>
      <c r="F448">
        <v>1</v>
      </c>
      <c r="G448" t="s">
        <v>735</v>
      </c>
      <c r="H448" t="s">
        <v>736</v>
      </c>
      <c r="I448" t="s">
        <v>179</v>
      </c>
      <c r="J448" t="s">
        <v>737</v>
      </c>
      <c r="K448" t="s">
        <v>79</v>
      </c>
      <c r="L448" t="s">
        <v>110</v>
      </c>
      <c r="M448" t="s">
        <v>772</v>
      </c>
      <c r="N448" t="s">
        <v>793</v>
      </c>
      <c r="O448" t="s">
        <v>82</v>
      </c>
      <c r="P448">
        <v>22500</v>
      </c>
      <c r="Q448" t="s">
        <v>83</v>
      </c>
      <c r="R448">
        <v>17917.5</v>
      </c>
      <c r="T448">
        <v>1</v>
      </c>
      <c r="Z448">
        <v>0</v>
      </c>
      <c r="AA448">
        <v>0</v>
      </c>
      <c r="AE448" t="s">
        <v>84</v>
      </c>
      <c r="AG448" t="s">
        <v>84</v>
      </c>
      <c r="AH448" t="s">
        <v>84</v>
      </c>
      <c r="AI448">
        <v>0</v>
      </c>
      <c r="AJ448" t="s">
        <v>84</v>
      </c>
      <c r="AK448" t="s">
        <v>84</v>
      </c>
      <c r="AL448">
        <v>0</v>
      </c>
      <c r="AN448">
        <v>0</v>
      </c>
      <c r="AP448">
        <v>0</v>
      </c>
      <c r="AQ448" t="s">
        <v>84</v>
      </c>
      <c r="AR448">
        <v>0</v>
      </c>
      <c r="AT448" t="s">
        <v>84</v>
      </c>
      <c r="AU448" t="s">
        <v>84</v>
      </c>
      <c r="AV448" t="s">
        <v>84</v>
      </c>
      <c r="AW448">
        <v>0</v>
      </c>
      <c r="AX448" t="s">
        <v>84</v>
      </c>
      <c r="AY448">
        <v>18000</v>
      </c>
      <c r="BA448" t="s">
        <v>84</v>
      </c>
      <c r="BB448" t="s">
        <v>84</v>
      </c>
      <c r="BC448">
        <v>0</v>
      </c>
      <c r="BD448">
        <v>0</v>
      </c>
      <c r="BG448" t="s">
        <v>84</v>
      </c>
      <c r="BH448">
        <v>0</v>
      </c>
      <c r="BI448">
        <v>0</v>
      </c>
      <c r="BJ448" t="s">
        <v>84</v>
      </c>
      <c r="BK448" t="s">
        <v>84</v>
      </c>
      <c r="BM448" t="s">
        <v>84</v>
      </c>
      <c r="BP448">
        <v>0</v>
      </c>
      <c r="BQ448">
        <v>0</v>
      </c>
      <c r="BR448">
        <v>0</v>
      </c>
      <c r="BS448" t="s">
        <v>84</v>
      </c>
      <c r="BT448" t="s">
        <v>84</v>
      </c>
      <c r="BU448">
        <v>0</v>
      </c>
      <c r="BV448">
        <v>0</v>
      </c>
      <c r="BW448">
        <v>17917.5</v>
      </c>
    </row>
    <row r="449" spans="1:75" x14ac:dyDescent="0.25">
      <c r="A449">
        <v>369</v>
      </c>
      <c r="B449" s="1">
        <v>45128.890277777777</v>
      </c>
      <c r="C449" t="s">
        <v>768</v>
      </c>
      <c r="D449" t="s">
        <v>734</v>
      </c>
      <c r="E449" t="s">
        <v>178</v>
      </c>
      <c r="F449">
        <v>1</v>
      </c>
      <c r="G449" t="s">
        <v>735</v>
      </c>
      <c r="H449" t="s">
        <v>736</v>
      </c>
      <c r="I449" t="s">
        <v>179</v>
      </c>
      <c r="J449" t="s">
        <v>737</v>
      </c>
      <c r="K449" t="s">
        <v>700</v>
      </c>
      <c r="L449" t="s">
        <v>114</v>
      </c>
      <c r="M449" t="s">
        <v>768</v>
      </c>
      <c r="N449" t="s">
        <v>794</v>
      </c>
      <c r="O449" t="s">
        <v>82</v>
      </c>
      <c r="P449">
        <v>46350</v>
      </c>
      <c r="Q449" t="s">
        <v>83</v>
      </c>
      <c r="R449">
        <v>46475</v>
      </c>
      <c r="W449">
        <v>1</v>
      </c>
      <c r="AE449" t="s">
        <v>84</v>
      </c>
      <c r="AG449" t="s">
        <v>84</v>
      </c>
      <c r="AH449" t="s">
        <v>84</v>
      </c>
      <c r="AJ449" t="s">
        <v>84</v>
      </c>
      <c r="AK449" t="s">
        <v>84</v>
      </c>
      <c r="AQ449" t="s">
        <v>84</v>
      </c>
      <c r="AT449" t="s">
        <v>84</v>
      </c>
      <c r="AU449" t="s">
        <v>84</v>
      </c>
      <c r="AV449" t="s">
        <v>84</v>
      </c>
      <c r="AX449" t="s">
        <v>84</v>
      </c>
      <c r="BA449" t="s">
        <v>84</v>
      </c>
      <c r="BB449" t="s">
        <v>84</v>
      </c>
      <c r="BG449" t="s">
        <v>84</v>
      </c>
      <c r="BJ449" t="s">
        <v>84</v>
      </c>
      <c r="BK449" t="s">
        <v>84</v>
      </c>
      <c r="BM449" t="s">
        <v>84</v>
      </c>
      <c r="BN449">
        <v>46350</v>
      </c>
      <c r="BS449" t="s">
        <v>84</v>
      </c>
      <c r="BT449" t="s">
        <v>84</v>
      </c>
      <c r="BU449">
        <v>0</v>
      </c>
      <c r="BV449">
        <v>0</v>
      </c>
      <c r="BW449">
        <v>46475</v>
      </c>
    </row>
    <row r="450" spans="1:75" x14ac:dyDescent="0.25">
      <c r="A450">
        <v>369</v>
      </c>
      <c r="B450" s="1">
        <v>45128.890277777777</v>
      </c>
      <c r="C450" t="s">
        <v>768</v>
      </c>
      <c r="D450" t="s">
        <v>734</v>
      </c>
      <c r="E450" t="s">
        <v>178</v>
      </c>
      <c r="F450">
        <v>0</v>
      </c>
      <c r="G450" t="s">
        <v>735</v>
      </c>
      <c r="H450" t="s">
        <v>736</v>
      </c>
      <c r="I450" t="s">
        <v>179</v>
      </c>
      <c r="J450" t="s">
        <v>737</v>
      </c>
      <c r="K450" t="s">
        <v>84</v>
      </c>
      <c r="L450" t="s">
        <v>114</v>
      </c>
      <c r="M450" t="s">
        <v>775</v>
      </c>
      <c r="N450" t="s">
        <v>795</v>
      </c>
      <c r="O450" t="s">
        <v>82</v>
      </c>
      <c r="P450">
        <v>46600</v>
      </c>
      <c r="Q450" t="s">
        <v>83</v>
      </c>
      <c r="S450">
        <v>1</v>
      </c>
      <c r="AE450" t="s">
        <v>84</v>
      </c>
      <c r="AG450" t="s">
        <v>84</v>
      </c>
      <c r="AH450" t="s">
        <v>84</v>
      </c>
      <c r="AJ450" t="s">
        <v>84</v>
      </c>
      <c r="AK450" t="s">
        <v>84</v>
      </c>
      <c r="AQ450" t="s">
        <v>84</v>
      </c>
      <c r="AT450" t="s">
        <v>84</v>
      </c>
      <c r="AU450" t="s">
        <v>84</v>
      </c>
      <c r="AV450" t="s">
        <v>84</v>
      </c>
      <c r="AX450" t="s">
        <v>84</v>
      </c>
      <c r="BA450" t="s">
        <v>84</v>
      </c>
      <c r="BB450" t="s">
        <v>84</v>
      </c>
      <c r="BG450" t="s">
        <v>84</v>
      </c>
      <c r="BJ450" t="s">
        <v>84</v>
      </c>
      <c r="BK450" t="s">
        <v>84</v>
      </c>
      <c r="BM450" t="s">
        <v>84</v>
      </c>
      <c r="BS450" t="s">
        <v>84</v>
      </c>
      <c r="BT450" t="s">
        <v>84</v>
      </c>
      <c r="BU450">
        <v>46600</v>
      </c>
      <c r="BV450">
        <v>0</v>
      </c>
      <c r="BW450">
        <v>46475</v>
      </c>
    </row>
    <row r="451" spans="1:75" x14ac:dyDescent="0.25">
      <c r="A451">
        <v>373</v>
      </c>
      <c r="B451" s="1">
        <v>45128.893055555556</v>
      </c>
      <c r="C451" t="s">
        <v>796</v>
      </c>
      <c r="D451" t="s">
        <v>734</v>
      </c>
      <c r="E451" t="s">
        <v>178</v>
      </c>
      <c r="F451">
        <v>0</v>
      </c>
      <c r="G451" t="s">
        <v>797</v>
      </c>
      <c r="H451" t="s">
        <v>798</v>
      </c>
      <c r="I451" t="s">
        <v>260</v>
      </c>
      <c r="J451" t="s">
        <v>799</v>
      </c>
      <c r="K451" t="s">
        <v>84</v>
      </c>
      <c r="L451" t="s">
        <v>92</v>
      </c>
      <c r="M451" t="s">
        <v>800</v>
      </c>
      <c r="N451" t="s">
        <v>801</v>
      </c>
      <c r="O451" t="s">
        <v>82</v>
      </c>
      <c r="P451">
        <v>27510</v>
      </c>
      <c r="Q451" t="s">
        <v>83</v>
      </c>
      <c r="AE451" t="s">
        <v>84</v>
      </c>
      <c r="AG451" t="s">
        <v>84</v>
      </c>
      <c r="AH451" t="s">
        <v>84</v>
      </c>
      <c r="AJ451" t="s">
        <v>84</v>
      </c>
      <c r="AK451" t="s">
        <v>84</v>
      </c>
      <c r="AQ451" t="s">
        <v>84</v>
      </c>
      <c r="AT451" t="s">
        <v>84</v>
      </c>
      <c r="AU451" t="s">
        <v>84</v>
      </c>
      <c r="AV451" t="s">
        <v>84</v>
      </c>
      <c r="AX451" t="s">
        <v>84</v>
      </c>
      <c r="BA451" t="s">
        <v>84</v>
      </c>
      <c r="BB451" t="s">
        <v>84</v>
      </c>
      <c r="BG451" t="s">
        <v>84</v>
      </c>
      <c r="BJ451" t="s">
        <v>84</v>
      </c>
      <c r="BK451" t="s">
        <v>84</v>
      </c>
      <c r="BM451" t="s">
        <v>84</v>
      </c>
      <c r="BS451" t="s">
        <v>84</v>
      </c>
      <c r="BT451" t="s">
        <v>84</v>
      </c>
      <c r="BU451">
        <v>0</v>
      </c>
      <c r="BV451">
        <v>0</v>
      </c>
      <c r="BW451">
        <v>28400</v>
      </c>
    </row>
    <row r="452" spans="1:75" x14ac:dyDescent="0.25">
      <c r="A452">
        <v>373</v>
      </c>
      <c r="B452" s="1">
        <v>45128.893055555556</v>
      </c>
      <c r="C452" t="s">
        <v>796</v>
      </c>
      <c r="D452" t="s">
        <v>734</v>
      </c>
      <c r="E452" t="s">
        <v>178</v>
      </c>
      <c r="F452">
        <v>1</v>
      </c>
      <c r="G452" t="s">
        <v>797</v>
      </c>
      <c r="H452" t="s">
        <v>798</v>
      </c>
      <c r="I452" t="s">
        <v>260</v>
      </c>
      <c r="J452" t="s">
        <v>799</v>
      </c>
      <c r="K452" t="s">
        <v>181</v>
      </c>
      <c r="L452" t="s">
        <v>92</v>
      </c>
      <c r="M452" t="s">
        <v>181</v>
      </c>
      <c r="N452" t="s">
        <v>181</v>
      </c>
      <c r="O452" t="s">
        <v>82</v>
      </c>
      <c r="P452">
        <v>29290</v>
      </c>
      <c r="Q452" t="s">
        <v>83</v>
      </c>
      <c r="R452">
        <v>28400</v>
      </c>
      <c r="AB452">
        <v>29290</v>
      </c>
      <c r="AE452" t="s">
        <v>84</v>
      </c>
      <c r="AG452" t="s">
        <v>84</v>
      </c>
      <c r="AH452" t="s">
        <v>84</v>
      </c>
      <c r="AJ452" t="s">
        <v>84</v>
      </c>
      <c r="AK452" t="s">
        <v>84</v>
      </c>
      <c r="AQ452" t="s">
        <v>84</v>
      </c>
      <c r="AT452" t="s">
        <v>84</v>
      </c>
      <c r="AU452" t="s">
        <v>84</v>
      </c>
      <c r="AV452" t="s">
        <v>84</v>
      </c>
      <c r="AX452" t="s">
        <v>84</v>
      </c>
      <c r="BA452" t="s">
        <v>84</v>
      </c>
      <c r="BB452" t="s">
        <v>84</v>
      </c>
      <c r="BG452" t="s">
        <v>84</v>
      </c>
      <c r="BJ452" t="s">
        <v>84</v>
      </c>
      <c r="BK452" t="s">
        <v>84</v>
      </c>
      <c r="BM452" t="s">
        <v>84</v>
      </c>
      <c r="BS452" t="s">
        <v>84</v>
      </c>
      <c r="BT452" t="s">
        <v>84</v>
      </c>
      <c r="BU452">
        <v>0</v>
      </c>
      <c r="BV452">
        <v>0</v>
      </c>
      <c r="BW452">
        <v>28400</v>
      </c>
    </row>
    <row r="453" spans="1:75" x14ac:dyDescent="0.25">
      <c r="A453">
        <v>373</v>
      </c>
      <c r="B453" s="1">
        <v>45128.893055555556</v>
      </c>
      <c r="C453" t="s">
        <v>796</v>
      </c>
      <c r="D453" t="s">
        <v>734</v>
      </c>
      <c r="E453" t="s">
        <v>178</v>
      </c>
      <c r="F453">
        <v>0</v>
      </c>
      <c r="G453" t="s">
        <v>797</v>
      </c>
      <c r="H453" t="s">
        <v>798</v>
      </c>
      <c r="I453" t="s">
        <v>260</v>
      </c>
      <c r="J453" t="s">
        <v>799</v>
      </c>
      <c r="K453" t="s">
        <v>84</v>
      </c>
      <c r="L453" t="s">
        <v>151</v>
      </c>
      <c r="M453" t="s">
        <v>802</v>
      </c>
      <c r="N453" t="s">
        <v>803</v>
      </c>
      <c r="O453" t="s">
        <v>82</v>
      </c>
      <c r="P453">
        <v>118137.5</v>
      </c>
      <c r="Q453" t="s">
        <v>83</v>
      </c>
      <c r="W453">
        <v>1</v>
      </c>
      <c r="AE453" t="s">
        <v>84</v>
      </c>
      <c r="AG453" t="s">
        <v>84</v>
      </c>
      <c r="AH453" t="s">
        <v>84</v>
      </c>
      <c r="AJ453" t="s">
        <v>84</v>
      </c>
      <c r="AK453" t="s">
        <v>84</v>
      </c>
      <c r="AQ453" t="s">
        <v>84</v>
      </c>
      <c r="AT453" t="s">
        <v>84</v>
      </c>
      <c r="AU453" t="s">
        <v>84</v>
      </c>
      <c r="AV453" t="s">
        <v>84</v>
      </c>
      <c r="AX453" t="s">
        <v>84</v>
      </c>
      <c r="BA453" t="s">
        <v>84</v>
      </c>
      <c r="BB453" t="s">
        <v>84</v>
      </c>
      <c r="BG453" t="s">
        <v>84</v>
      </c>
      <c r="BJ453" t="s">
        <v>84</v>
      </c>
      <c r="BK453" t="s">
        <v>84</v>
      </c>
      <c r="BM453" t="s">
        <v>84</v>
      </c>
      <c r="BS453" t="s">
        <v>84</v>
      </c>
      <c r="BT453" t="s">
        <v>84</v>
      </c>
      <c r="BU453">
        <v>0</v>
      </c>
      <c r="BV453">
        <v>0</v>
      </c>
      <c r="BW453">
        <v>98628.833333333328</v>
      </c>
    </row>
    <row r="454" spans="1:75" x14ac:dyDescent="0.25">
      <c r="A454">
        <v>373</v>
      </c>
      <c r="B454" s="1">
        <v>45128.893055555556</v>
      </c>
      <c r="C454" t="s">
        <v>796</v>
      </c>
      <c r="D454" t="s">
        <v>734</v>
      </c>
      <c r="E454" t="s">
        <v>178</v>
      </c>
      <c r="F454">
        <v>0</v>
      </c>
      <c r="G454" t="s">
        <v>797</v>
      </c>
      <c r="H454" t="s">
        <v>798</v>
      </c>
      <c r="I454" t="s">
        <v>260</v>
      </c>
      <c r="J454" t="s">
        <v>799</v>
      </c>
      <c r="K454" t="s">
        <v>84</v>
      </c>
      <c r="L454" t="s">
        <v>151</v>
      </c>
      <c r="M454" t="s">
        <v>796</v>
      </c>
      <c r="N454" t="s">
        <v>804</v>
      </c>
      <c r="O454" t="s">
        <v>82</v>
      </c>
      <c r="P454">
        <v>75952.5</v>
      </c>
      <c r="Q454" t="s">
        <v>83</v>
      </c>
      <c r="AE454" t="s">
        <v>84</v>
      </c>
      <c r="AG454" t="s">
        <v>84</v>
      </c>
      <c r="AH454" t="s">
        <v>84</v>
      </c>
      <c r="AJ454" t="s">
        <v>84</v>
      </c>
      <c r="AK454" t="s">
        <v>84</v>
      </c>
      <c r="AQ454" t="s">
        <v>84</v>
      </c>
      <c r="AT454" t="s">
        <v>84</v>
      </c>
      <c r="AU454" t="s">
        <v>84</v>
      </c>
      <c r="AV454" t="s">
        <v>84</v>
      </c>
      <c r="AX454" t="s">
        <v>84</v>
      </c>
      <c r="BA454" t="s">
        <v>84</v>
      </c>
      <c r="BB454" t="s">
        <v>84</v>
      </c>
      <c r="BG454" t="s">
        <v>84</v>
      </c>
      <c r="BJ454" t="s">
        <v>84</v>
      </c>
      <c r="BK454" t="s">
        <v>84</v>
      </c>
      <c r="BM454" t="s">
        <v>84</v>
      </c>
      <c r="BS454" t="s">
        <v>84</v>
      </c>
      <c r="BT454" t="s">
        <v>84</v>
      </c>
      <c r="BU454">
        <v>0</v>
      </c>
      <c r="BV454">
        <v>0</v>
      </c>
      <c r="BW454">
        <v>98628.833333333328</v>
      </c>
    </row>
    <row r="455" spans="1:75" x14ac:dyDescent="0.25">
      <c r="A455">
        <v>373</v>
      </c>
      <c r="B455" s="1">
        <v>45128.893055555556</v>
      </c>
      <c r="C455" t="s">
        <v>796</v>
      </c>
      <c r="D455" t="s">
        <v>734</v>
      </c>
      <c r="E455" t="s">
        <v>178</v>
      </c>
      <c r="F455">
        <v>1</v>
      </c>
      <c r="G455" t="s">
        <v>797</v>
      </c>
      <c r="H455" t="s">
        <v>798</v>
      </c>
      <c r="I455" t="s">
        <v>260</v>
      </c>
      <c r="J455" t="s">
        <v>799</v>
      </c>
      <c r="K455" t="s">
        <v>805</v>
      </c>
      <c r="L455" t="s">
        <v>151</v>
      </c>
      <c r="M455" t="s">
        <v>806</v>
      </c>
      <c r="N455" t="s">
        <v>807</v>
      </c>
      <c r="O455" t="s">
        <v>82</v>
      </c>
      <c r="P455">
        <v>101796.5</v>
      </c>
      <c r="Q455" t="s">
        <v>83</v>
      </c>
      <c r="R455">
        <v>98628.833329999994</v>
      </c>
      <c r="Y455">
        <v>65975</v>
      </c>
      <c r="AE455" t="s">
        <v>84</v>
      </c>
      <c r="AG455" t="s">
        <v>84</v>
      </c>
      <c r="AH455" t="s">
        <v>84</v>
      </c>
      <c r="AJ455" t="s">
        <v>84</v>
      </c>
      <c r="AK455" t="s">
        <v>84</v>
      </c>
      <c r="AQ455" t="s">
        <v>84</v>
      </c>
      <c r="AR455">
        <v>1200</v>
      </c>
      <c r="AS455">
        <v>6750</v>
      </c>
      <c r="AT455" t="s">
        <v>84</v>
      </c>
      <c r="AU455" t="s">
        <v>84</v>
      </c>
      <c r="AV455" t="s">
        <v>84</v>
      </c>
      <c r="AX455" t="s">
        <v>84</v>
      </c>
      <c r="AY455">
        <v>0</v>
      </c>
      <c r="BA455" t="s">
        <v>84</v>
      </c>
      <c r="BB455" t="s">
        <v>84</v>
      </c>
      <c r="BF455">
        <v>4380</v>
      </c>
      <c r="BG455" t="s">
        <v>84</v>
      </c>
      <c r="BJ455" t="s">
        <v>84</v>
      </c>
      <c r="BK455" t="s">
        <v>84</v>
      </c>
      <c r="BM455" t="s">
        <v>84</v>
      </c>
      <c r="BS455" t="s">
        <v>84</v>
      </c>
      <c r="BT455" t="s">
        <v>84</v>
      </c>
      <c r="BU455">
        <v>0</v>
      </c>
      <c r="BV455">
        <v>0</v>
      </c>
      <c r="BW455">
        <v>98628.833333333328</v>
      </c>
    </row>
    <row r="456" spans="1:75" x14ac:dyDescent="0.25">
      <c r="A456">
        <v>373</v>
      </c>
      <c r="B456" s="1">
        <v>45128.893055555556</v>
      </c>
      <c r="C456" t="s">
        <v>796</v>
      </c>
      <c r="D456" t="s">
        <v>734</v>
      </c>
      <c r="E456" t="s">
        <v>178</v>
      </c>
      <c r="F456">
        <v>0</v>
      </c>
      <c r="G456" t="s">
        <v>797</v>
      </c>
      <c r="H456" t="s">
        <v>798</v>
      </c>
      <c r="I456" t="s">
        <v>260</v>
      </c>
      <c r="J456" t="s">
        <v>799</v>
      </c>
      <c r="K456" t="s">
        <v>84</v>
      </c>
      <c r="L456" t="s">
        <v>98</v>
      </c>
      <c r="M456" t="s">
        <v>808</v>
      </c>
      <c r="N456" t="s">
        <v>809</v>
      </c>
      <c r="O456" t="s">
        <v>82</v>
      </c>
      <c r="P456">
        <v>31800</v>
      </c>
      <c r="Q456" t="s">
        <v>83</v>
      </c>
      <c r="AE456" t="s">
        <v>84</v>
      </c>
      <c r="AG456" t="s">
        <v>84</v>
      </c>
      <c r="AH456" t="s">
        <v>84</v>
      </c>
      <c r="AJ456" t="s">
        <v>84</v>
      </c>
      <c r="AK456" t="s">
        <v>84</v>
      </c>
      <c r="AQ456" t="s">
        <v>84</v>
      </c>
      <c r="AT456" t="s">
        <v>84</v>
      </c>
      <c r="AU456" t="s">
        <v>84</v>
      </c>
      <c r="AV456" t="s">
        <v>84</v>
      </c>
      <c r="AX456" t="s">
        <v>84</v>
      </c>
      <c r="BA456" t="s">
        <v>84</v>
      </c>
      <c r="BB456" t="s">
        <v>84</v>
      </c>
      <c r="BG456" t="s">
        <v>84</v>
      </c>
      <c r="BJ456" t="s">
        <v>84</v>
      </c>
      <c r="BK456" t="s">
        <v>84</v>
      </c>
      <c r="BM456" t="s">
        <v>84</v>
      </c>
      <c r="BS456" t="s">
        <v>84</v>
      </c>
      <c r="BT456" t="s">
        <v>84</v>
      </c>
      <c r="BU456">
        <v>0</v>
      </c>
      <c r="BV456">
        <v>0</v>
      </c>
      <c r="BW456">
        <v>38150</v>
      </c>
    </row>
    <row r="457" spans="1:75" x14ac:dyDescent="0.25">
      <c r="A457">
        <v>373</v>
      </c>
      <c r="B457" s="1">
        <v>45128.893055555556</v>
      </c>
      <c r="C457" t="s">
        <v>796</v>
      </c>
      <c r="D457" t="s">
        <v>734</v>
      </c>
      <c r="E457" t="s">
        <v>178</v>
      </c>
      <c r="F457">
        <v>0</v>
      </c>
      <c r="G457" t="s">
        <v>797</v>
      </c>
      <c r="H457" t="s">
        <v>798</v>
      </c>
      <c r="I457" t="s">
        <v>260</v>
      </c>
      <c r="J457" t="s">
        <v>799</v>
      </c>
      <c r="K457" t="s">
        <v>84</v>
      </c>
      <c r="L457" t="s">
        <v>98</v>
      </c>
      <c r="M457" t="s">
        <v>810</v>
      </c>
      <c r="N457" t="s">
        <v>811</v>
      </c>
      <c r="O457" t="s">
        <v>82</v>
      </c>
      <c r="P457">
        <v>17250</v>
      </c>
      <c r="Q457" t="s">
        <v>83</v>
      </c>
      <c r="W457">
        <v>1</v>
      </c>
      <c r="AE457" t="s">
        <v>84</v>
      </c>
      <c r="AG457" t="s">
        <v>84</v>
      </c>
      <c r="AH457" t="s">
        <v>84</v>
      </c>
      <c r="AJ457" t="s">
        <v>84</v>
      </c>
      <c r="AK457" t="s">
        <v>84</v>
      </c>
      <c r="AQ457" t="s">
        <v>84</v>
      </c>
      <c r="AT457" t="s">
        <v>84</v>
      </c>
      <c r="AU457" t="s">
        <v>84</v>
      </c>
      <c r="AV457" t="s">
        <v>84</v>
      </c>
      <c r="AX457" t="s">
        <v>84</v>
      </c>
      <c r="BA457" t="s">
        <v>84</v>
      </c>
      <c r="BB457" t="s">
        <v>84</v>
      </c>
      <c r="BG457" t="s">
        <v>84</v>
      </c>
      <c r="BJ457" t="s">
        <v>84</v>
      </c>
      <c r="BK457" t="s">
        <v>84</v>
      </c>
      <c r="BM457" t="s">
        <v>84</v>
      </c>
      <c r="BS457" t="s">
        <v>84</v>
      </c>
      <c r="BT457" t="s">
        <v>84</v>
      </c>
      <c r="BU457">
        <v>0</v>
      </c>
      <c r="BV457">
        <v>0</v>
      </c>
      <c r="BW457">
        <v>38150</v>
      </c>
    </row>
    <row r="458" spans="1:75" x14ac:dyDescent="0.25">
      <c r="A458">
        <v>373</v>
      </c>
      <c r="B458" s="1">
        <v>45128.893055555556</v>
      </c>
      <c r="C458" t="s">
        <v>796</v>
      </c>
      <c r="D458" t="s">
        <v>734</v>
      </c>
      <c r="E458" t="s">
        <v>178</v>
      </c>
      <c r="F458">
        <v>1</v>
      </c>
      <c r="G458" t="s">
        <v>797</v>
      </c>
      <c r="H458" t="s">
        <v>798</v>
      </c>
      <c r="I458" t="s">
        <v>260</v>
      </c>
      <c r="J458" t="s">
        <v>799</v>
      </c>
      <c r="K458" t="s">
        <v>103</v>
      </c>
      <c r="L458" t="s">
        <v>98</v>
      </c>
      <c r="M458" t="s">
        <v>812</v>
      </c>
      <c r="N458" t="s">
        <v>813</v>
      </c>
      <c r="O458" t="s">
        <v>82</v>
      </c>
      <c r="P458">
        <v>65400</v>
      </c>
      <c r="Q458" t="s">
        <v>83</v>
      </c>
      <c r="R458">
        <v>38150</v>
      </c>
      <c r="V458">
        <v>1</v>
      </c>
      <c r="X458">
        <v>1</v>
      </c>
      <c r="AE458" t="s">
        <v>84</v>
      </c>
      <c r="AG458" t="s">
        <v>84</v>
      </c>
      <c r="AH458" t="s">
        <v>84</v>
      </c>
      <c r="AJ458" t="s">
        <v>84</v>
      </c>
      <c r="AK458" t="s">
        <v>84</v>
      </c>
      <c r="AQ458" t="s">
        <v>84</v>
      </c>
      <c r="AS458">
        <v>65400</v>
      </c>
      <c r="AT458" t="s">
        <v>84</v>
      </c>
      <c r="AU458" t="s">
        <v>84</v>
      </c>
      <c r="AV458" t="s">
        <v>84</v>
      </c>
      <c r="AX458" t="s">
        <v>84</v>
      </c>
      <c r="BA458" t="s">
        <v>84</v>
      </c>
      <c r="BB458" t="s">
        <v>84</v>
      </c>
      <c r="BG458" t="s">
        <v>84</v>
      </c>
      <c r="BJ458" t="s">
        <v>84</v>
      </c>
      <c r="BK458" t="s">
        <v>84</v>
      </c>
      <c r="BM458" t="s">
        <v>84</v>
      </c>
      <c r="BS458" t="s">
        <v>84</v>
      </c>
      <c r="BT458" t="s">
        <v>84</v>
      </c>
      <c r="BU458">
        <v>0</v>
      </c>
      <c r="BV458">
        <v>0</v>
      </c>
      <c r="BW458">
        <v>38150</v>
      </c>
    </row>
    <row r="459" spans="1:75" x14ac:dyDescent="0.25">
      <c r="A459">
        <v>373</v>
      </c>
      <c r="B459" s="1">
        <v>45128.893055555556</v>
      </c>
      <c r="C459" t="s">
        <v>796</v>
      </c>
      <c r="D459" t="s">
        <v>734</v>
      </c>
      <c r="E459" t="s">
        <v>178</v>
      </c>
      <c r="F459">
        <v>0</v>
      </c>
      <c r="G459" t="s">
        <v>797</v>
      </c>
      <c r="H459" t="s">
        <v>798</v>
      </c>
      <c r="I459" t="s">
        <v>260</v>
      </c>
      <c r="J459" t="s">
        <v>799</v>
      </c>
      <c r="K459" t="s">
        <v>84</v>
      </c>
      <c r="L459" t="s">
        <v>87</v>
      </c>
      <c r="M459" t="s">
        <v>796</v>
      </c>
      <c r="N459" t="s">
        <v>814</v>
      </c>
      <c r="O459" t="s">
        <v>82</v>
      </c>
      <c r="P459">
        <v>160661.6667</v>
      </c>
      <c r="Q459" t="s">
        <v>83</v>
      </c>
      <c r="V459">
        <v>1</v>
      </c>
      <c r="AE459" t="s">
        <v>84</v>
      </c>
      <c r="AG459" t="s">
        <v>84</v>
      </c>
      <c r="AH459" t="s">
        <v>84</v>
      </c>
      <c r="AJ459" t="s">
        <v>84</v>
      </c>
      <c r="AK459" t="s">
        <v>84</v>
      </c>
      <c r="AQ459" t="s">
        <v>84</v>
      </c>
      <c r="AT459" t="s">
        <v>84</v>
      </c>
      <c r="AU459" t="s">
        <v>84</v>
      </c>
      <c r="AV459" t="s">
        <v>84</v>
      </c>
      <c r="AX459" t="s">
        <v>84</v>
      </c>
      <c r="BA459" t="s">
        <v>84</v>
      </c>
      <c r="BB459" t="s">
        <v>84</v>
      </c>
      <c r="BG459" t="s">
        <v>84</v>
      </c>
      <c r="BJ459" t="s">
        <v>84</v>
      </c>
      <c r="BK459" t="s">
        <v>84</v>
      </c>
      <c r="BM459" t="s">
        <v>84</v>
      </c>
      <c r="BS459" t="s">
        <v>84</v>
      </c>
      <c r="BT459" t="s">
        <v>84</v>
      </c>
      <c r="BU459">
        <v>0</v>
      </c>
      <c r="BV459">
        <v>0</v>
      </c>
      <c r="BW459">
        <v>127133.82501</v>
      </c>
    </row>
    <row r="460" spans="1:75" x14ac:dyDescent="0.25">
      <c r="A460">
        <v>373</v>
      </c>
      <c r="B460" s="1">
        <v>45128.893055555556</v>
      </c>
      <c r="C460" t="s">
        <v>796</v>
      </c>
      <c r="D460" t="s">
        <v>734</v>
      </c>
      <c r="E460" t="s">
        <v>178</v>
      </c>
      <c r="F460">
        <v>0</v>
      </c>
      <c r="G460" t="s">
        <v>797</v>
      </c>
      <c r="H460" t="s">
        <v>798</v>
      </c>
      <c r="I460" t="s">
        <v>260</v>
      </c>
      <c r="J460" t="s">
        <v>799</v>
      </c>
      <c r="K460" t="s">
        <v>84</v>
      </c>
      <c r="L460" t="s">
        <v>87</v>
      </c>
      <c r="M460" t="s">
        <v>796</v>
      </c>
      <c r="N460" t="s">
        <v>815</v>
      </c>
      <c r="O460" t="s">
        <v>82</v>
      </c>
      <c r="P460">
        <v>124164.6</v>
      </c>
      <c r="Q460" t="s">
        <v>83</v>
      </c>
      <c r="X460">
        <v>1</v>
      </c>
      <c r="AE460" t="s">
        <v>84</v>
      </c>
      <c r="AG460" t="s">
        <v>84</v>
      </c>
      <c r="AH460" t="s">
        <v>84</v>
      </c>
      <c r="AJ460" t="s">
        <v>84</v>
      </c>
      <c r="AK460" t="s">
        <v>84</v>
      </c>
      <c r="AQ460" t="s">
        <v>84</v>
      </c>
      <c r="AT460" t="s">
        <v>84</v>
      </c>
      <c r="AU460" t="s">
        <v>84</v>
      </c>
      <c r="AV460" t="s">
        <v>84</v>
      </c>
      <c r="AX460" t="s">
        <v>84</v>
      </c>
      <c r="BA460" t="s">
        <v>84</v>
      </c>
      <c r="BB460" t="s">
        <v>84</v>
      </c>
      <c r="BG460" t="s">
        <v>84</v>
      </c>
      <c r="BJ460" t="s">
        <v>84</v>
      </c>
      <c r="BK460" t="s">
        <v>84</v>
      </c>
      <c r="BM460" t="s">
        <v>84</v>
      </c>
      <c r="BS460" t="s">
        <v>84</v>
      </c>
      <c r="BT460" t="s">
        <v>84</v>
      </c>
      <c r="BU460">
        <v>0</v>
      </c>
      <c r="BV460">
        <v>0</v>
      </c>
      <c r="BW460">
        <v>127133.82501</v>
      </c>
    </row>
    <row r="461" spans="1:75" x14ac:dyDescent="0.25">
      <c r="A461">
        <v>373</v>
      </c>
      <c r="B461" s="1">
        <v>45128.893055555556</v>
      </c>
      <c r="C461" t="s">
        <v>796</v>
      </c>
      <c r="D461" t="s">
        <v>734</v>
      </c>
      <c r="E461" t="s">
        <v>178</v>
      </c>
      <c r="F461">
        <v>1</v>
      </c>
      <c r="G461" t="s">
        <v>797</v>
      </c>
      <c r="H461" t="s">
        <v>798</v>
      </c>
      <c r="I461" t="s">
        <v>260</v>
      </c>
      <c r="J461" t="s">
        <v>799</v>
      </c>
      <c r="K461" t="s">
        <v>316</v>
      </c>
      <c r="L461" t="s">
        <v>87</v>
      </c>
      <c r="M461" t="s">
        <v>796</v>
      </c>
      <c r="N461" t="s">
        <v>816</v>
      </c>
      <c r="O461" t="s">
        <v>82</v>
      </c>
      <c r="P461">
        <v>96575.208329999994</v>
      </c>
      <c r="Q461" t="s">
        <v>83</v>
      </c>
      <c r="R461">
        <v>127133.825</v>
      </c>
      <c r="AE461" t="s">
        <v>84</v>
      </c>
      <c r="AG461" t="s">
        <v>84</v>
      </c>
      <c r="AH461" t="s">
        <v>84</v>
      </c>
      <c r="AJ461" t="s">
        <v>84</v>
      </c>
      <c r="AK461" t="s">
        <v>84</v>
      </c>
      <c r="AL461">
        <v>15900</v>
      </c>
      <c r="AM461">
        <v>12300</v>
      </c>
      <c r="AN461">
        <v>32400</v>
      </c>
      <c r="AO461">
        <v>9850</v>
      </c>
      <c r="AQ461" t="s">
        <v>84</v>
      </c>
      <c r="AT461" t="s">
        <v>84</v>
      </c>
      <c r="AU461" t="s">
        <v>84</v>
      </c>
      <c r="AV461" t="s">
        <v>84</v>
      </c>
      <c r="AX461" t="s">
        <v>84</v>
      </c>
      <c r="BA461" t="s">
        <v>84</v>
      </c>
      <c r="BB461" t="s">
        <v>84</v>
      </c>
      <c r="BG461" t="s">
        <v>84</v>
      </c>
      <c r="BJ461" t="s">
        <v>84</v>
      </c>
      <c r="BK461" t="s">
        <v>84</v>
      </c>
      <c r="BM461" t="s">
        <v>84</v>
      </c>
      <c r="BS461" t="s">
        <v>84</v>
      </c>
      <c r="BT461" t="s">
        <v>84</v>
      </c>
      <c r="BU461">
        <v>0</v>
      </c>
      <c r="BV461">
        <v>0</v>
      </c>
      <c r="BW461">
        <v>127133.82501</v>
      </c>
    </row>
    <row r="462" spans="1:75" x14ac:dyDescent="0.25">
      <c r="A462">
        <v>373</v>
      </c>
      <c r="B462" s="1">
        <v>45128.893055555556</v>
      </c>
      <c r="C462" t="s">
        <v>796</v>
      </c>
      <c r="D462" t="s">
        <v>734</v>
      </c>
      <c r="E462" t="s">
        <v>178</v>
      </c>
      <c r="F462">
        <v>0</v>
      </c>
      <c r="G462" t="s">
        <v>797</v>
      </c>
      <c r="H462" t="s">
        <v>798</v>
      </c>
      <c r="I462" t="s">
        <v>260</v>
      </c>
      <c r="J462" t="s">
        <v>799</v>
      </c>
      <c r="K462" t="s">
        <v>84</v>
      </c>
      <c r="L462" t="s">
        <v>110</v>
      </c>
      <c r="M462" t="s">
        <v>796</v>
      </c>
      <c r="N462" t="s">
        <v>817</v>
      </c>
      <c r="O462" t="s">
        <v>82</v>
      </c>
      <c r="P462">
        <v>16380</v>
      </c>
      <c r="Q462" t="s">
        <v>83</v>
      </c>
      <c r="T462">
        <v>1</v>
      </c>
      <c r="AE462" t="s">
        <v>84</v>
      </c>
      <c r="AG462" t="s">
        <v>84</v>
      </c>
      <c r="AH462" t="s">
        <v>84</v>
      </c>
      <c r="AJ462" t="s">
        <v>84</v>
      </c>
      <c r="AK462" t="s">
        <v>84</v>
      </c>
      <c r="AQ462" t="s">
        <v>84</v>
      </c>
      <c r="AT462" t="s">
        <v>84</v>
      </c>
      <c r="AU462" t="s">
        <v>84</v>
      </c>
      <c r="AV462" t="s">
        <v>84</v>
      </c>
      <c r="AX462" t="s">
        <v>84</v>
      </c>
      <c r="BA462" t="s">
        <v>84</v>
      </c>
      <c r="BB462" t="s">
        <v>84</v>
      </c>
      <c r="BG462" t="s">
        <v>84</v>
      </c>
      <c r="BJ462" t="s">
        <v>84</v>
      </c>
      <c r="BK462" t="s">
        <v>84</v>
      </c>
      <c r="BM462" t="s">
        <v>84</v>
      </c>
      <c r="BS462" t="s">
        <v>84</v>
      </c>
      <c r="BT462" t="s">
        <v>84</v>
      </c>
      <c r="BU462">
        <v>0</v>
      </c>
      <c r="BV462">
        <v>0</v>
      </c>
      <c r="BW462">
        <v>12223</v>
      </c>
    </row>
    <row r="463" spans="1:75" x14ac:dyDescent="0.25">
      <c r="A463">
        <v>373</v>
      </c>
      <c r="B463" s="1">
        <v>45128.893055555556</v>
      </c>
      <c r="C463" t="s">
        <v>796</v>
      </c>
      <c r="D463" t="s">
        <v>734</v>
      </c>
      <c r="E463" t="s">
        <v>178</v>
      </c>
      <c r="F463">
        <v>1</v>
      </c>
      <c r="G463" t="s">
        <v>797</v>
      </c>
      <c r="H463" t="s">
        <v>798</v>
      </c>
      <c r="I463" t="s">
        <v>260</v>
      </c>
      <c r="J463" t="s">
        <v>799</v>
      </c>
      <c r="K463" t="s">
        <v>680</v>
      </c>
      <c r="L463" t="s">
        <v>110</v>
      </c>
      <c r="M463" t="s">
        <v>796</v>
      </c>
      <c r="N463" t="s">
        <v>818</v>
      </c>
      <c r="O463" t="s">
        <v>82</v>
      </c>
      <c r="P463">
        <v>9625</v>
      </c>
      <c r="Q463" t="s">
        <v>83</v>
      </c>
      <c r="R463">
        <v>12223</v>
      </c>
      <c r="Z463">
        <v>0</v>
      </c>
      <c r="AA463">
        <v>0</v>
      </c>
      <c r="AE463" t="s">
        <v>84</v>
      </c>
      <c r="AG463" t="s">
        <v>84</v>
      </c>
      <c r="AH463" t="s">
        <v>84</v>
      </c>
      <c r="AI463">
        <v>0</v>
      </c>
      <c r="AJ463" t="s">
        <v>84</v>
      </c>
      <c r="AK463" t="s">
        <v>84</v>
      </c>
      <c r="AL463">
        <v>0</v>
      </c>
      <c r="AN463">
        <v>0</v>
      </c>
      <c r="AP463">
        <v>0</v>
      </c>
      <c r="AQ463" t="s">
        <v>84</v>
      </c>
      <c r="AR463">
        <v>0</v>
      </c>
      <c r="AT463" t="s">
        <v>84</v>
      </c>
      <c r="AU463" t="s">
        <v>84</v>
      </c>
      <c r="AV463" t="s">
        <v>84</v>
      </c>
      <c r="AW463">
        <v>0</v>
      </c>
      <c r="AX463" t="s">
        <v>84</v>
      </c>
      <c r="AY463">
        <v>7700</v>
      </c>
      <c r="BA463" t="s">
        <v>84</v>
      </c>
      <c r="BB463" t="s">
        <v>84</v>
      </c>
      <c r="BC463">
        <v>0</v>
      </c>
      <c r="BD463">
        <v>0</v>
      </c>
      <c r="BG463" t="s">
        <v>84</v>
      </c>
      <c r="BH463">
        <v>0</v>
      </c>
      <c r="BI463">
        <v>0</v>
      </c>
      <c r="BJ463" t="s">
        <v>84</v>
      </c>
      <c r="BK463" t="s">
        <v>84</v>
      </c>
      <c r="BM463" t="s">
        <v>84</v>
      </c>
      <c r="BP463">
        <v>0</v>
      </c>
      <c r="BQ463">
        <v>0</v>
      </c>
      <c r="BR463">
        <v>0</v>
      </c>
      <c r="BS463" t="s">
        <v>84</v>
      </c>
      <c r="BT463" t="s">
        <v>84</v>
      </c>
      <c r="BU463">
        <v>0</v>
      </c>
      <c r="BV463">
        <v>0</v>
      </c>
      <c r="BW463">
        <v>12223</v>
      </c>
    </row>
    <row r="464" spans="1:75" x14ac:dyDescent="0.25">
      <c r="A464">
        <v>373</v>
      </c>
      <c r="B464" s="1">
        <v>45128.893055555556</v>
      </c>
      <c r="C464" t="s">
        <v>796</v>
      </c>
      <c r="D464" t="s">
        <v>734</v>
      </c>
      <c r="E464" t="s">
        <v>178</v>
      </c>
      <c r="F464">
        <v>0</v>
      </c>
      <c r="G464" t="s">
        <v>797</v>
      </c>
      <c r="H464" t="s">
        <v>798</v>
      </c>
      <c r="I464" t="s">
        <v>260</v>
      </c>
      <c r="J464" t="s">
        <v>799</v>
      </c>
      <c r="K464" t="s">
        <v>84</v>
      </c>
      <c r="L464" t="s">
        <v>110</v>
      </c>
      <c r="M464" t="s">
        <v>796</v>
      </c>
      <c r="N464" t="s">
        <v>819</v>
      </c>
      <c r="O464" t="s">
        <v>82</v>
      </c>
      <c r="P464">
        <v>10664</v>
      </c>
      <c r="Q464" t="s">
        <v>83</v>
      </c>
      <c r="AE464" t="s">
        <v>84</v>
      </c>
      <c r="AG464" t="s">
        <v>84</v>
      </c>
      <c r="AH464" t="s">
        <v>84</v>
      </c>
      <c r="AJ464" t="s">
        <v>84</v>
      </c>
      <c r="AK464" t="s">
        <v>84</v>
      </c>
      <c r="AQ464" t="s">
        <v>84</v>
      </c>
      <c r="AT464" t="s">
        <v>84</v>
      </c>
      <c r="AU464" t="s">
        <v>84</v>
      </c>
      <c r="AV464" t="s">
        <v>84</v>
      </c>
      <c r="AX464" t="s">
        <v>84</v>
      </c>
      <c r="BA464" t="s">
        <v>84</v>
      </c>
      <c r="BB464" t="s">
        <v>84</v>
      </c>
      <c r="BG464" t="s">
        <v>84</v>
      </c>
      <c r="BJ464" t="s">
        <v>84</v>
      </c>
      <c r="BK464" t="s">
        <v>84</v>
      </c>
      <c r="BM464" t="s">
        <v>84</v>
      </c>
      <c r="BS464" t="s">
        <v>84</v>
      </c>
      <c r="BT464" t="s">
        <v>84</v>
      </c>
      <c r="BU464">
        <v>0</v>
      </c>
      <c r="BV464">
        <v>0</v>
      </c>
      <c r="BW464">
        <v>12223</v>
      </c>
    </row>
    <row r="465" spans="1:75" x14ac:dyDescent="0.25">
      <c r="A465">
        <v>373</v>
      </c>
      <c r="B465" s="1">
        <v>45128.893055555556</v>
      </c>
      <c r="C465" t="s">
        <v>796</v>
      </c>
      <c r="D465" t="s">
        <v>734</v>
      </c>
      <c r="E465" t="s">
        <v>178</v>
      </c>
      <c r="F465">
        <v>0</v>
      </c>
      <c r="G465" t="s">
        <v>797</v>
      </c>
      <c r="H465" t="s">
        <v>798</v>
      </c>
      <c r="I465" t="s">
        <v>260</v>
      </c>
      <c r="J465" t="s">
        <v>799</v>
      </c>
      <c r="K465" t="s">
        <v>84</v>
      </c>
      <c r="L465" t="s">
        <v>106</v>
      </c>
      <c r="M465" t="s">
        <v>796</v>
      </c>
      <c r="N465" t="s">
        <v>820</v>
      </c>
      <c r="O465" t="s">
        <v>82</v>
      </c>
      <c r="P465">
        <v>12036.82</v>
      </c>
      <c r="Q465" t="s">
        <v>83</v>
      </c>
      <c r="T465">
        <v>1</v>
      </c>
      <c r="AE465" t="s">
        <v>84</v>
      </c>
      <c r="AG465" t="s">
        <v>84</v>
      </c>
      <c r="AH465" t="s">
        <v>84</v>
      </c>
      <c r="AJ465" t="s">
        <v>84</v>
      </c>
      <c r="AK465" t="s">
        <v>84</v>
      </c>
      <c r="AQ465" t="s">
        <v>84</v>
      </c>
      <c r="AT465" t="s">
        <v>84</v>
      </c>
      <c r="AU465" t="s">
        <v>84</v>
      </c>
      <c r="AV465" t="s">
        <v>84</v>
      </c>
      <c r="AX465" t="s">
        <v>84</v>
      </c>
      <c r="BA465" t="s">
        <v>84</v>
      </c>
      <c r="BB465" t="s">
        <v>84</v>
      </c>
      <c r="BG465" t="s">
        <v>84</v>
      </c>
      <c r="BJ465" t="s">
        <v>84</v>
      </c>
      <c r="BK465" t="s">
        <v>84</v>
      </c>
      <c r="BM465" t="s">
        <v>84</v>
      </c>
      <c r="BS465" t="s">
        <v>84</v>
      </c>
      <c r="BT465" t="s">
        <v>84</v>
      </c>
      <c r="BU465">
        <v>0</v>
      </c>
      <c r="BV465">
        <v>0</v>
      </c>
      <c r="BW465">
        <v>11025.874166666666</v>
      </c>
    </row>
    <row r="466" spans="1:75" x14ac:dyDescent="0.25">
      <c r="A466">
        <v>373</v>
      </c>
      <c r="B466" s="1">
        <v>45128.893055555556</v>
      </c>
      <c r="C466" t="s">
        <v>796</v>
      </c>
      <c r="D466" t="s">
        <v>734</v>
      </c>
      <c r="E466" t="s">
        <v>178</v>
      </c>
      <c r="F466">
        <v>1</v>
      </c>
      <c r="G466" t="s">
        <v>797</v>
      </c>
      <c r="H466" t="s">
        <v>798</v>
      </c>
      <c r="I466" t="s">
        <v>260</v>
      </c>
      <c r="J466" t="s">
        <v>799</v>
      </c>
      <c r="K466" t="s">
        <v>680</v>
      </c>
      <c r="L466" t="s">
        <v>106</v>
      </c>
      <c r="M466" t="s">
        <v>796</v>
      </c>
      <c r="N466" t="s">
        <v>821</v>
      </c>
      <c r="O466" t="s">
        <v>82</v>
      </c>
      <c r="P466">
        <v>11824.127500000001</v>
      </c>
      <c r="Q466" t="s">
        <v>83</v>
      </c>
      <c r="R466">
        <v>11025.874169999999</v>
      </c>
      <c r="AE466" t="s">
        <v>84</v>
      </c>
      <c r="AF466">
        <v>5400</v>
      </c>
      <c r="AG466" t="s">
        <v>84</v>
      </c>
      <c r="AH466" t="s">
        <v>84</v>
      </c>
      <c r="AJ466" t="s">
        <v>84</v>
      </c>
      <c r="AK466" t="s">
        <v>84</v>
      </c>
      <c r="AQ466" t="s">
        <v>84</v>
      </c>
      <c r="AT466" t="s">
        <v>84</v>
      </c>
      <c r="AU466" t="s">
        <v>84</v>
      </c>
      <c r="AV466" t="s">
        <v>84</v>
      </c>
      <c r="AX466" t="s">
        <v>84</v>
      </c>
      <c r="BA466" t="s">
        <v>84</v>
      </c>
      <c r="BB466" t="s">
        <v>84</v>
      </c>
      <c r="BE466">
        <v>2105</v>
      </c>
      <c r="BG466" t="s">
        <v>84</v>
      </c>
      <c r="BJ466" t="s">
        <v>84</v>
      </c>
      <c r="BK466" t="s">
        <v>84</v>
      </c>
      <c r="BM466" t="s">
        <v>84</v>
      </c>
      <c r="BS466" t="s">
        <v>84</v>
      </c>
      <c r="BT466" t="s">
        <v>84</v>
      </c>
      <c r="BU466">
        <v>0</v>
      </c>
      <c r="BV466">
        <v>0</v>
      </c>
      <c r="BW466">
        <v>11025.874166666666</v>
      </c>
    </row>
    <row r="467" spans="1:75" x14ac:dyDescent="0.25">
      <c r="A467">
        <v>373</v>
      </c>
      <c r="B467" s="1">
        <v>45128.893055555556</v>
      </c>
      <c r="C467" t="s">
        <v>796</v>
      </c>
      <c r="D467" t="s">
        <v>734</v>
      </c>
      <c r="E467" t="s">
        <v>178</v>
      </c>
      <c r="F467">
        <v>0</v>
      </c>
      <c r="G467" t="s">
        <v>797</v>
      </c>
      <c r="H467" t="s">
        <v>798</v>
      </c>
      <c r="I467" t="s">
        <v>260</v>
      </c>
      <c r="J467" t="s">
        <v>799</v>
      </c>
      <c r="K467" t="s">
        <v>84</v>
      </c>
      <c r="L467" t="s">
        <v>106</v>
      </c>
      <c r="M467" t="s">
        <v>796</v>
      </c>
      <c r="N467" t="s">
        <v>822</v>
      </c>
      <c r="O467" t="s">
        <v>82</v>
      </c>
      <c r="P467">
        <v>9216.6749999999993</v>
      </c>
      <c r="Q467" t="s">
        <v>83</v>
      </c>
      <c r="AE467" t="s">
        <v>84</v>
      </c>
      <c r="AG467" t="s">
        <v>84</v>
      </c>
      <c r="AH467" t="s">
        <v>84</v>
      </c>
      <c r="AJ467" t="s">
        <v>84</v>
      </c>
      <c r="AK467" t="s">
        <v>84</v>
      </c>
      <c r="AQ467" t="s">
        <v>84</v>
      </c>
      <c r="AT467" t="s">
        <v>84</v>
      </c>
      <c r="AU467" t="s">
        <v>84</v>
      </c>
      <c r="AV467" t="s">
        <v>84</v>
      </c>
      <c r="AX467" t="s">
        <v>84</v>
      </c>
      <c r="BA467" t="s">
        <v>84</v>
      </c>
      <c r="BB467" t="s">
        <v>84</v>
      </c>
      <c r="BG467" t="s">
        <v>84</v>
      </c>
      <c r="BJ467" t="s">
        <v>84</v>
      </c>
      <c r="BK467" t="s">
        <v>84</v>
      </c>
      <c r="BM467" t="s">
        <v>84</v>
      </c>
      <c r="BS467" t="s">
        <v>84</v>
      </c>
      <c r="BT467" t="s">
        <v>84</v>
      </c>
      <c r="BU467">
        <v>0</v>
      </c>
      <c r="BV467">
        <v>0</v>
      </c>
      <c r="BW467">
        <v>11025.874166666666</v>
      </c>
    </row>
    <row r="468" spans="1:75" x14ac:dyDescent="0.25">
      <c r="A468">
        <v>373</v>
      </c>
      <c r="B468" s="1">
        <v>45128.893055555556</v>
      </c>
      <c r="C468" t="s">
        <v>796</v>
      </c>
      <c r="D468" t="s">
        <v>734</v>
      </c>
      <c r="E468" t="s">
        <v>178</v>
      </c>
      <c r="F468">
        <v>0</v>
      </c>
      <c r="G468" t="s">
        <v>797</v>
      </c>
      <c r="H468" t="s">
        <v>798</v>
      </c>
      <c r="I468" t="s">
        <v>260</v>
      </c>
      <c r="J468" t="s">
        <v>799</v>
      </c>
      <c r="K468" t="s">
        <v>84</v>
      </c>
      <c r="L468" t="s">
        <v>80</v>
      </c>
      <c r="M468" t="s">
        <v>796</v>
      </c>
      <c r="N468" t="s">
        <v>823</v>
      </c>
      <c r="O468" t="s">
        <v>82</v>
      </c>
      <c r="P468">
        <v>727670.19180000003</v>
      </c>
      <c r="Q468" t="s">
        <v>83</v>
      </c>
      <c r="T468">
        <v>1</v>
      </c>
      <c r="AE468" t="s">
        <v>84</v>
      </c>
      <c r="AG468" t="s">
        <v>84</v>
      </c>
      <c r="AH468" t="s">
        <v>84</v>
      </c>
      <c r="AJ468" t="s">
        <v>84</v>
      </c>
      <c r="AK468" t="s">
        <v>84</v>
      </c>
      <c r="AQ468" t="s">
        <v>84</v>
      </c>
      <c r="AT468" t="s">
        <v>84</v>
      </c>
      <c r="AU468" t="s">
        <v>84</v>
      </c>
      <c r="AV468" t="s">
        <v>84</v>
      </c>
      <c r="AX468" t="s">
        <v>84</v>
      </c>
      <c r="BA468" t="s">
        <v>84</v>
      </c>
      <c r="BB468" t="s">
        <v>84</v>
      </c>
      <c r="BG468" t="s">
        <v>84</v>
      </c>
      <c r="BJ468" t="s">
        <v>84</v>
      </c>
      <c r="BK468" t="s">
        <v>84</v>
      </c>
      <c r="BM468" t="s">
        <v>84</v>
      </c>
      <c r="BS468" t="s">
        <v>84</v>
      </c>
      <c r="BT468" t="s">
        <v>84</v>
      </c>
      <c r="BU468">
        <v>0</v>
      </c>
      <c r="BV468">
        <v>0</v>
      </c>
      <c r="BW468">
        <v>723920.4031</v>
      </c>
    </row>
    <row r="469" spans="1:75" x14ac:dyDescent="0.25">
      <c r="A469">
        <v>373</v>
      </c>
      <c r="B469" s="1">
        <v>45128.893055555556</v>
      </c>
      <c r="C469" t="s">
        <v>796</v>
      </c>
      <c r="D469" t="s">
        <v>734</v>
      </c>
      <c r="E469" t="s">
        <v>178</v>
      </c>
      <c r="F469">
        <v>1</v>
      </c>
      <c r="G469" t="s">
        <v>797</v>
      </c>
      <c r="H469" t="s">
        <v>798</v>
      </c>
      <c r="I469" t="s">
        <v>260</v>
      </c>
      <c r="J469" t="s">
        <v>799</v>
      </c>
      <c r="K469" t="s">
        <v>680</v>
      </c>
      <c r="L469" t="s">
        <v>80</v>
      </c>
      <c r="M469" t="s">
        <v>796</v>
      </c>
      <c r="N469" t="s">
        <v>824</v>
      </c>
      <c r="O469" t="s">
        <v>82</v>
      </c>
      <c r="P469">
        <v>798377.58</v>
      </c>
      <c r="Q469" t="s">
        <v>83</v>
      </c>
      <c r="R469">
        <v>723920.4031</v>
      </c>
      <c r="Z469">
        <v>8008</v>
      </c>
      <c r="AA469">
        <v>34750</v>
      </c>
      <c r="AE469" t="s">
        <v>84</v>
      </c>
      <c r="AG469" t="s">
        <v>84</v>
      </c>
      <c r="AH469" t="s">
        <v>84</v>
      </c>
      <c r="AI469">
        <v>125000</v>
      </c>
      <c r="AJ469" t="s">
        <v>84</v>
      </c>
      <c r="AK469" t="s">
        <v>84</v>
      </c>
      <c r="AL469">
        <v>0</v>
      </c>
      <c r="AN469">
        <v>0</v>
      </c>
      <c r="AP469">
        <v>71300</v>
      </c>
      <c r="AQ469" t="s">
        <v>84</v>
      </c>
      <c r="AR469">
        <v>3000</v>
      </c>
      <c r="AT469" t="s">
        <v>84</v>
      </c>
      <c r="AU469" t="s">
        <v>84</v>
      </c>
      <c r="AV469" t="s">
        <v>84</v>
      </c>
      <c r="AW469">
        <v>30869</v>
      </c>
      <c r="AX469" t="s">
        <v>84</v>
      </c>
      <c r="AY469">
        <v>23000</v>
      </c>
      <c r="BA469" t="s">
        <v>84</v>
      </c>
      <c r="BB469" t="s">
        <v>84</v>
      </c>
      <c r="BC469">
        <v>10400</v>
      </c>
      <c r="BD469">
        <v>154511.5</v>
      </c>
      <c r="BG469" t="s">
        <v>84</v>
      </c>
      <c r="BH469">
        <v>21600</v>
      </c>
      <c r="BI469">
        <v>120334.5</v>
      </c>
      <c r="BJ469" t="s">
        <v>84</v>
      </c>
      <c r="BK469" t="s">
        <v>84</v>
      </c>
      <c r="BM469" t="s">
        <v>84</v>
      </c>
      <c r="BP469">
        <v>30860</v>
      </c>
      <c r="BQ469">
        <v>0</v>
      </c>
      <c r="BR469">
        <v>0</v>
      </c>
      <c r="BS469" t="s">
        <v>84</v>
      </c>
      <c r="BT469" t="s">
        <v>84</v>
      </c>
      <c r="BU469">
        <v>0</v>
      </c>
      <c r="BV469">
        <v>0</v>
      </c>
      <c r="BW469">
        <v>723920.4031</v>
      </c>
    </row>
    <row r="470" spans="1:75" x14ac:dyDescent="0.25">
      <c r="A470">
        <v>373</v>
      </c>
      <c r="B470" s="1">
        <v>45128.893055555556</v>
      </c>
      <c r="C470" t="s">
        <v>796</v>
      </c>
      <c r="D470" t="s">
        <v>734</v>
      </c>
      <c r="E470" t="s">
        <v>178</v>
      </c>
      <c r="F470">
        <v>0</v>
      </c>
      <c r="G470" t="s">
        <v>797</v>
      </c>
      <c r="H470" t="s">
        <v>798</v>
      </c>
      <c r="I470" t="s">
        <v>260</v>
      </c>
      <c r="J470" t="s">
        <v>799</v>
      </c>
      <c r="K470" t="s">
        <v>84</v>
      </c>
      <c r="L470" t="s">
        <v>80</v>
      </c>
      <c r="M470" t="s">
        <v>796</v>
      </c>
      <c r="N470" t="s">
        <v>825</v>
      </c>
      <c r="O470" t="s">
        <v>82</v>
      </c>
      <c r="P470">
        <v>645713.4375</v>
      </c>
      <c r="Q470" t="s">
        <v>83</v>
      </c>
      <c r="AE470" t="s">
        <v>84</v>
      </c>
      <c r="AG470" t="s">
        <v>84</v>
      </c>
      <c r="AH470" t="s">
        <v>84</v>
      </c>
      <c r="AJ470" t="s">
        <v>84</v>
      </c>
      <c r="AK470" t="s">
        <v>84</v>
      </c>
      <c r="AQ470" t="s">
        <v>84</v>
      </c>
      <c r="AT470" t="s">
        <v>84</v>
      </c>
      <c r="AU470" t="s">
        <v>84</v>
      </c>
      <c r="AV470" t="s">
        <v>84</v>
      </c>
      <c r="AX470" t="s">
        <v>84</v>
      </c>
      <c r="BA470" t="s">
        <v>84</v>
      </c>
      <c r="BB470" t="s">
        <v>84</v>
      </c>
      <c r="BG470" t="s">
        <v>84</v>
      </c>
      <c r="BJ470" t="s">
        <v>84</v>
      </c>
      <c r="BK470" t="s">
        <v>84</v>
      </c>
      <c r="BM470" t="s">
        <v>84</v>
      </c>
      <c r="BS470" t="s">
        <v>84</v>
      </c>
      <c r="BT470" t="s">
        <v>84</v>
      </c>
      <c r="BU470">
        <v>0</v>
      </c>
      <c r="BV470">
        <v>0</v>
      </c>
      <c r="BW470">
        <v>723920.4031</v>
      </c>
    </row>
    <row r="471" spans="1:75" x14ac:dyDescent="0.25">
      <c r="A471">
        <v>375</v>
      </c>
      <c r="B471" s="1">
        <v>45128.893750000003</v>
      </c>
      <c r="C471" t="s">
        <v>826</v>
      </c>
      <c r="D471" t="s">
        <v>734</v>
      </c>
      <c r="E471" t="s">
        <v>178</v>
      </c>
      <c r="F471">
        <v>0</v>
      </c>
      <c r="G471" t="s">
        <v>797</v>
      </c>
      <c r="H471" t="s">
        <v>827</v>
      </c>
      <c r="I471" t="s">
        <v>260</v>
      </c>
      <c r="J471" t="s">
        <v>828</v>
      </c>
      <c r="K471" t="s">
        <v>84</v>
      </c>
      <c r="L471" t="s">
        <v>92</v>
      </c>
      <c r="M471" t="s">
        <v>543</v>
      </c>
      <c r="N471" t="s">
        <v>543</v>
      </c>
      <c r="O471" t="s">
        <v>82</v>
      </c>
      <c r="P471">
        <v>44140</v>
      </c>
      <c r="Q471" t="s">
        <v>83</v>
      </c>
      <c r="T471">
        <v>1</v>
      </c>
      <c r="U471">
        <v>1</v>
      </c>
      <c r="V471">
        <v>1</v>
      </c>
      <c r="W471">
        <v>1</v>
      </c>
      <c r="AE471" t="s">
        <v>84</v>
      </c>
      <c r="AG471" t="s">
        <v>84</v>
      </c>
      <c r="AH471" t="s">
        <v>84</v>
      </c>
      <c r="AJ471" t="s">
        <v>84</v>
      </c>
      <c r="AK471" t="s">
        <v>84</v>
      </c>
      <c r="AQ471" t="s">
        <v>84</v>
      </c>
      <c r="AT471" t="s">
        <v>84</v>
      </c>
      <c r="AU471" t="s">
        <v>84</v>
      </c>
      <c r="AV471" t="s">
        <v>84</v>
      </c>
      <c r="AX471" t="s">
        <v>84</v>
      </c>
      <c r="BA471" t="s">
        <v>84</v>
      </c>
      <c r="BB471" t="s">
        <v>84</v>
      </c>
      <c r="BG471" t="s">
        <v>84</v>
      </c>
      <c r="BJ471" t="s">
        <v>84</v>
      </c>
      <c r="BK471" t="s">
        <v>84</v>
      </c>
      <c r="BM471" t="s">
        <v>84</v>
      </c>
      <c r="BS471" t="s">
        <v>84</v>
      </c>
      <c r="BT471" t="s">
        <v>84</v>
      </c>
      <c r="BU471">
        <v>0</v>
      </c>
      <c r="BV471">
        <v>0</v>
      </c>
      <c r="BW471">
        <v>33080</v>
      </c>
    </row>
    <row r="472" spans="1:75" x14ac:dyDescent="0.25">
      <c r="A472">
        <v>375</v>
      </c>
      <c r="B472" s="1">
        <v>45128.893750000003</v>
      </c>
      <c r="C472" t="s">
        <v>826</v>
      </c>
      <c r="D472" t="s">
        <v>734</v>
      </c>
      <c r="E472" t="s">
        <v>178</v>
      </c>
      <c r="F472">
        <v>1</v>
      </c>
      <c r="G472" t="s">
        <v>797</v>
      </c>
      <c r="H472" t="s">
        <v>827</v>
      </c>
      <c r="I472" t="s">
        <v>260</v>
      </c>
      <c r="J472" t="s">
        <v>828</v>
      </c>
      <c r="K472" t="s">
        <v>301</v>
      </c>
      <c r="L472" t="s">
        <v>92</v>
      </c>
      <c r="M472" t="s">
        <v>829</v>
      </c>
      <c r="N472" t="s">
        <v>303</v>
      </c>
      <c r="O472" t="s">
        <v>82</v>
      </c>
      <c r="P472">
        <v>36360</v>
      </c>
      <c r="Q472" t="s">
        <v>83</v>
      </c>
      <c r="R472">
        <v>33080</v>
      </c>
      <c r="AB472">
        <v>36360</v>
      </c>
      <c r="AE472" t="s">
        <v>84</v>
      </c>
      <c r="AG472" t="s">
        <v>84</v>
      </c>
      <c r="AH472" t="s">
        <v>84</v>
      </c>
      <c r="AJ472" t="s">
        <v>84</v>
      </c>
      <c r="AK472" t="s">
        <v>84</v>
      </c>
      <c r="AQ472" t="s">
        <v>84</v>
      </c>
      <c r="AT472" t="s">
        <v>84</v>
      </c>
      <c r="AU472" t="s">
        <v>84</v>
      </c>
      <c r="AV472" t="s">
        <v>84</v>
      </c>
      <c r="AX472" t="s">
        <v>84</v>
      </c>
      <c r="BA472" t="s">
        <v>84</v>
      </c>
      <c r="BB472" t="s">
        <v>84</v>
      </c>
      <c r="BG472" t="s">
        <v>84</v>
      </c>
      <c r="BJ472" t="s">
        <v>84</v>
      </c>
      <c r="BK472" t="s">
        <v>84</v>
      </c>
      <c r="BM472" t="s">
        <v>84</v>
      </c>
      <c r="BS472" t="s">
        <v>84</v>
      </c>
      <c r="BT472" t="s">
        <v>84</v>
      </c>
      <c r="BU472">
        <v>0</v>
      </c>
      <c r="BV472">
        <v>0</v>
      </c>
      <c r="BW472">
        <v>33080</v>
      </c>
    </row>
    <row r="473" spans="1:75" x14ac:dyDescent="0.25">
      <c r="A473">
        <v>375</v>
      </c>
      <c r="B473" s="1">
        <v>45128.893750000003</v>
      </c>
      <c r="C473" t="s">
        <v>826</v>
      </c>
      <c r="D473" t="s">
        <v>734</v>
      </c>
      <c r="E473" t="s">
        <v>178</v>
      </c>
      <c r="F473">
        <v>0</v>
      </c>
      <c r="G473" t="s">
        <v>797</v>
      </c>
      <c r="H473" t="s">
        <v>827</v>
      </c>
      <c r="I473" t="s">
        <v>260</v>
      </c>
      <c r="J473" t="s">
        <v>828</v>
      </c>
      <c r="K473" t="s">
        <v>84</v>
      </c>
      <c r="L473" t="s">
        <v>92</v>
      </c>
      <c r="M473" t="s">
        <v>830</v>
      </c>
      <c r="N473" t="s">
        <v>140</v>
      </c>
      <c r="O473" t="s">
        <v>82</v>
      </c>
      <c r="P473">
        <v>18740</v>
      </c>
      <c r="Q473" t="s">
        <v>83</v>
      </c>
      <c r="S473">
        <v>1</v>
      </c>
      <c r="T473">
        <v>1</v>
      </c>
      <c r="V473">
        <v>1</v>
      </c>
      <c r="AE473" t="s">
        <v>84</v>
      </c>
      <c r="AG473" t="s">
        <v>84</v>
      </c>
      <c r="AH473" t="s">
        <v>84</v>
      </c>
      <c r="AJ473" t="s">
        <v>84</v>
      </c>
      <c r="AK473" t="s">
        <v>84</v>
      </c>
      <c r="AQ473" t="s">
        <v>84</v>
      </c>
      <c r="AT473" t="s">
        <v>84</v>
      </c>
      <c r="AU473" t="s">
        <v>84</v>
      </c>
      <c r="AV473" t="s">
        <v>84</v>
      </c>
      <c r="AX473" t="s">
        <v>84</v>
      </c>
      <c r="BA473" t="s">
        <v>84</v>
      </c>
      <c r="BB473" t="s">
        <v>84</v>
      </c>
      <c r="BG473" t="s">
        <v>84</v>
      </c>
      <c r="BJ473" t="s">
        <v>84</v>
      </c>
      <c r="BK473" t="s">
        <v>84</v>
      </c>
      <c r="BM473" t="s">
        <v>84</v>
      </c>
      <c r="BS473" t="s">
        <v>84</v>
      </c>
      <c r="BT473" t="s">
        <v>84</v>
      </c>
      <c r="BU473">
        <v>18740</v>
      </c>
      <c r="BV473">
        <v>0</v>
      </c>
      <c r="BW473">
        <v>33080</v>
      </c>
    </row>
    <row r="474" spans="1:75" x14ac:dyDescent="0.25">
      <c r="A474">
        <v>375</v>
      </c>
      <c r="B474" s="1">
        <v>45128.893750000003</v>
      </c>
      <c r="C474" t="s">
        <v>826</v>
      </c>
      <c r="D474" t="s">
        <v>734</v>
      </c>
      <c r="E474" t="s">
        <v>178</v>
      </c>
      <c r="F474">
        <v>0</v>
      </c>
      <c r="G474" t="s">
        <v>797</v>
      </c>
      <c r="H474" t="s">
        <v>827</v>
      </c>
      <c r="I474" t="s">
        <v>260</v>
      </c>
      <c r="J474" t="s">
        <v>828</v>
      </c>
      <c r="K474" t="s">
        <v>84</v>
      </c>
      <c r="L474" t="s">
        <v>80</v>
      </c>
      <c r="M474" t="s">
        <v>826</v>
      </c>
      <c r="N474" t="s">
        <v>831</v>
      </c>
      <c r="O474" t="s">
        <v>82</v>
      </c>
      <c r="P474">
        <v>923882.24</v>
      </c>
      <c r="Q474" t="s">
        <v>83</v>
      </c>
      <c r="T474">
        <v>1</v>
      </c>
      <c r="X474">
        <v>1</v>
      </c>
      <c r="AE474" t="s">
        <v>84</v>
      </c>
      <c r="AG474" t="s">
        <v>84</v>
      </c>
      <c r="AH474" t="s">
        <v>84</v>
      </c>
      <c r="AJ474" t="s">
        <v>84</v>
      </c>
      <c r="AK474" t="s">
        <v>84</v>
      </c>
      <c r="AQ474" t="s">
        <v>84</v>
      </c>
      <c r="AT474" t="s">
        <v>84</v>
      </c>
      <c r="AU474" t="s">
        <v>84</v>
      </c>
      <c r="AV474" t="s">
        <v>84</v>
      </c>
      <c r="AX474" t="s">
        <v>84</v>
      </c>
      <c r="BA474" t="s">
        <v>84</v>
      </c>
      <c r="BB474" t="s">
        <v>84</v>
      </c>
      <c r="BG474" t="s">
        <v>84</v>
      </c>
      <c r="BJ474" t="s">
        <v>84</v>
      </c>
      <c r="BK474" t="s">
        <v>84</v>
      </c>
      <c r="BM474" t="s">
        <v>84</v>
      </c>
      <c r="BS474" t="s">
        <v>84</v>
      </c>
      <c r="BT474" t="s">
        <v>84</v>
      </c>
      <c r="BU474">
        <v>0</v>
      </c>
      <c r="BV474">
        <v>0</v>
      </c>
      <c r="BW474">
        <v>884250.9711666666</v>
      </c>
    </row>
    <row r="475" spans="1:75" x14ac:dyDescent="0.25">
      <c r="A475">
        <v>375</v>
      </c>
      <c r="B475" s="1">
        <v>45128.893750000003</v>
      </c>
      <c r="C475" t="s">
        <v>826</v>
      </c>
      <c r="D475" t="s">
        <v>734</v>
      </c>
      <c r="E475" t="s">
        <v>178</v>
      </c>
      <c r="F475">
        <v>1</v>
      </c>
      <c r="G475" t="s">
        <v>797</v>
      </c>
      <c r="H475" t="s">
        <v>827</v>
      </c>
      <c r="I475" t="s">
        <v>260</v>
      </c>
      <c r="J475" t="s">
        <v>828</v>
      </c>
      <c r="K475" t="s">
        <v>680</v>
      </c>
      <c r="L475" t="s">
        <v>80</v>
      </c>
      <c r="M475" t="s">
        <v>826</v>
      </c>
      <c r="N475" t="s">
        <v>832</v>
      </c>
      <c r="O475" t="s">
        <v>82</v>
      </c>
      <c r="P475">
        <v>955820.34</v>
      </c>
      <c r="Q475" t="s">
        <v>83</v>
      </c>
      <c r="R475">
        <v>884250.97120000003</v>
      </c>
      <c r="Z475">
        <v>18018</v>
      </c>
      <c r="AA475">
        <v>72500</v>
      </c>
      <c r="AE475" t="s">
        <v>84</v>
      </c>
      <c r="AG475" t="s">
        <v>84</v>
      </c>
      <c r="AH475" t="s">
        <v>84</v>
      </c>
      <c r="AI475">
        <v>125000</v>
      </c>
      <c r="AJ475" t="s">
        <v>84</v>
      </c>
      <c r="AK475" t="s">
        <v>84</v>
      </c>
      <c r="AL475">
        <v>0</v>
      </c>
      <c r="AN475">
        <v>0</v>
      </c>
      <c r="AP475">
        <v>59500</v>
      </c>
      <c r="AQ475" t="s">
        <v>84</v>
      </c>
      <c r="AR475">
        <v>2400</v>
      </c>
      <c r="AT475" t="s">
        <v>84</v>
      </c>
      <c r="AU475" t="s">
        <v>84</v>
      </c>
      <c r="AV475" t="s">
        <v>84</v>
      </c>
      <c r="AW475">
        <v>33475</v>
      </c>
      <c r="AX475" t="s">
        <v>84</v>
      </c>
      <c r="AY475">
        <v>11500</v>
      </c>
      <c r="BA475" t="s">
        <v>84</v>
      </c>
      <c r="BB475" t="s">
        <v>84</v>
      </c>
      <c r="BC475">
        <v>19900</v>
      </c>
      <c r="BD475">
        <v>131810.25</v>
      </c>
      <c r="BG475" t="s">
        <v>84</v>
      </c>
      <c r="BH475">
        <v>16200</v>
      </c>
      <c r="BI475">
        <v>190082.75</v>
      </c>
      <c r="BJ475" t="s">
        <v>84</v>
      </c>
      <c r="BK475" t="s">
        <v>84</v>
      </c>
      <c r="BM475" t="s">
        <v>84</v>
      </c>
      <c r="BP475">
        <v>60560</v>
      </c>
      <c r="BQ475">
        <v>0</v>
      </c>
      <c r="BR475">
        <v>0</v>
      </c>
      <c r="BS475" t="s">
        <v>84</v>
      </c>
      <c r="BT475" t="s">
        <v>84</v>
      </c>
      <c r="BU475">
        <v>0</v>
      </c>
      <c r="BV475">
        <v>0</v>
      </c>
      <c r="BW475">
        <v>884250.9711666666</v>
      </c>
    </row>
    <row r="476" spans="1:75" x14ac:dyDescent="0.25">
      <c r="A476">
        <v>375</v>
      </c>
      <c r="B476" s="1">
        <v>45128.893750000003</v>
      </c>
      <c r="C476" t="s">
        <v>826</v>
      </c>
      <c r="D476" t="s">
        <v>734</v>
      </c>
      <c r="E476" t="s">
        <v>178</v>
      </c>
      <c r="F476">
        <v>0</v>
      </c>
      <c r="G476" t="s">
        <v>797</v>
      </c>
      <c r="H476" t="s">
        <v>827</v>
      </c>
      <c r="I476" t="s">
        <v>260</v>
      </c>
      <c r="J476" t="s">
        <v>828</v>
      </c>
      <c r="K476" t="s">
        <v>84</v>
      </c>
      <c r="L476" t="s">
        <v>80</v>
      </c>
      <c r="M476" t="s">
        <v>826</v>
      </c>
      <c r="N476" t="s">
        <v>833</v>
      </c>
      <c r="O476" t="s">
        <v>82</v>
      </c>
      <c r="P476">
        <v>773050.33349999995</v>
      </c>
      <c r="Q476" t="s">
        <v>83</v>
      </c>
      <c r="AE476" t="s">
        <v>84</v>
      </c>
      <c r="AG476" t="s">
        <v>84</v>
      </c>
      <c r="AH476" t="s">
        <v>84</v>
      </c>
      <c r="AJ476" t="s">
        <v>84</v>
      </c>
      <c r="AK476" t="s">
        <v>84</v>
      </c>
      <c r="AQ476" t="s">
        <v>84</v>
      </c>
      <c r="AT476" t="s">
        <v>84</v>
      </c>
      <c r="AU476" t="s">
        <v>84</v>
      </c>
      <c r="AV476" t="s">
        <v>84</v>
      </c>
      <c r="AX476" t="s">
        <v>84</v>
      </c>
      <c r="BA476" t="s">
        <v>84</v>
      </c>
      <c r="BB476" t="s">
        <v>84</v>
      </c>
      <c r="BG476" t="s">
        <v>84</v>
      </c>
      <c r="BJ476" t="s">
        <v>84</v>
      </c>
      <c r="BK476" t="s">
        <v>84</v>
      </c>
      <c r="BM476" t="s">
        <v>84</v>
      </c>
      <c r="BS476" t="s">
        <v>84</v>
      </c>
      <c r="BT476" t="s">
        <v>84</v>
      </c>
      <c r="BU476">
        <v>0</v>
      </c>
      <c r="BV476">
        <v>0</v>
      </c>
      <c r="BW476">
        <v>884250.9711666666</v>
      </c>
    </row>
    <row r="477" spans="1:75" x14ac:dyDescent="0.25">
      <c r="A477">
        <v>375</v>
      </c>
      <c r="B477" s="1">
        <v>45128.893750000003</v>
      </c>
      <c r="C477" t="s">
        <v>826</v>
      </c>
      <c r="D477" t="s">
        <v>734</v>
      </c>
      <c r="E477" t="s">
        <v>178</v>
      </c>
      <c r="F477">
        <v>0</v>
      </c>
      <c r="G477" t="s">
        <v>797</v>
      </c>
      <c r="H477" t="s">
        <v>827</v>
      </c>
      <c r="I477" t="s">
        <v>260</v>
      </c>
      <c r="J477" t="s">
        <v>828</v>
      </c>
      <c r="K477" t="s">
        <v>84</v>
      </c>
      <c r="L477" t="s">
        <v>106</v>
      </c>
      <c r="M477" t="s">
        <v>826</v>
      </c>
      <c r="N477" t="s">
        <v>834</v>
      </c>
      <c r="O477" t="s">
        <v>82</v>
      </c>
      <c r="P477">
        <v>8578.5974999999999</v>
      </c>
      <c r="Q477" t="s">
        <v>83</v>
      </c>
      <c r="T477">
        <v>1</v>
      </c>
      <c r="X477">
        <v>1</v>
      </c>
      <c r="AE477" t="s">
        <v>84</v>
      </c>
      <c r="AG477" t="s">
        <v>84</v>
      </c>
      <c r="AH477" t="s">
        <v>84</v>
      </c>
      <c r="AJ477" t="s">
        <v>84</v>
      </c>
      <c r="AK477" t="s">
        <v>84</v>
      </c>
      <c r="AQ477" t="s">
        <v>84</v>
      </c>
      <c r="AT477" t="s">
        <v>84</v>
      </c>
      <c r="AU477" t="s">
        <v>84</v>
      </c>
      <c r="AV477" t="s">
        <v>84</v>
      </c>
      <c r="AX477" t="s">
        <v>84</v>
      </c>
      <c r="BA477" t="s">
        <v>84</v>
      </c>
      <c r="BB477" t="s">
        <v>84</v>
      </c>
      <c r="BG477" t="s">
        <v>84</v>
      </c>
      <c r="BJ477" t="s">
        <v>84</v>
      </c>
      <c r="BK477" t="s">
        <v>84</v>
      </c>
      <c r="BM477" t="s">
        <v>84</v>
      </c>
      <c r="BS477" t="s">
        <v>84</v>
      </c>
      <c r="BT477" t="s">
        <v>84</v>
      </c>
      <c r="BU477">
        <v>0</v>
      </c>
      <c r="BV477">
        <v>0</v>
      </c>
      <c r="BW477">
        <v>6467.4274999999998</v>
      </c>
    </row>
    <row r="478" spans="1:75" x14ac:dyDescent="0.25">
      <c r="A478">
        <v>375</v>
      </c>
      <c r="B478" s="1">
        <v>45128.893750000003</v>
      </c>
      <c r="C478" t="s">
        <v>826</v>
      </c>
      <c r="D478" t="s">
        <v>734</v>
      </c>
      <c r="E478" t="s">
        <v>178</v>
      </c>
      <c r="F478">
        <v>1</v>
      </c>
      <c r="G478" t="s">
        <v>797</v>
      </c>
      <c r="H478" t="s">
        <v>827</v>
      </c>
      <c r="I478" t="s">
        <v>260</v>
      </c>
      <c r="J478" t="s">
        <v>828</v>
      </c>
      <c r="K478" t="s">
        <v>680</v>
      </c>
      <c r="L478" t="s">
        <v>106</v>
      </c>
      <c r="M478" t="s">
        <v>826</v>
      </c>
      <c r="N478" t="s">
        <v>835</v>
      </c>
      <c r="O478" t="s">
        <v>82</v>
      </c>
      <c r="P478">
        <v>8255.6200000000008</v>
      </c>
      <c r="Q478" t="s">
        <v>83</v>
      </c>
      <c r="R478">
        <v>6467.4274999999998</v>
      </c>
      <c r="AE478" t="s">
        <v>84</v>
      </c>
      <c r="AF478">
        <v>3550</v>
      </c>
      <c r="AG478" t="s">
        <v>84</v>
      </c>
      <c r="AH478" t="s">
        <v>84</v>
      </c>
      <c r="AJ478" t="s">
        <v>84</v>
      </c>
      <c r="AK478" t="s">
        <v>84</v>
      </c>
      <c r="AQ478" t="s">
        <v>84</v>
      </c>
      <c r="AT478" t="s">
        <v>84</v>
      </c>
      <c r="AU478" t="s">
        <v>84</v>
      </c>
      <c r="AV478" t="s">
        <v>84</v>
      </c>
      <c r="AX478" t="s">
        <v>84</v>
      </c>
      <c r="BA478" t="s">
        <v>84</v>
      </c>
      <c r="BB478" t="s">
        <v>84</v>
      </c>
      <c r="BE478">
        <v>1690</v>
      </c>
      <c r="BG478" t="s">
        <v>84</v>
      </c>
      <c r="BJ478" t="s">
        <v>84</v>
      </c>
      <c r="BK478" t="s">
        <v>84</v>
      </c>
      <c r="BM478" t="s">
        <v>84</v>
      </c>
      <c r="BS478" t="s">
        <v>84</v>
      </c>
      <c r="BT478" t="s">
        <v>84</v>
      </c>
      <c r="BU478">
        <v>0</v>
      </c>
      <c r="BV478">
        <v>0</v>
      </c>
      <c r="BW478">
        <v>6467.4274999999998</v>
      </c>
    </row>
    <row r="479" spans="1:75" x14ac:dyDescent="0.25">
      <c r="A479">
        <v>375</v>
      </c>
      <c r="B479" s="1">
        <v>45128.893750000003</v>
      </c>
      <c r="C479" t="s">
        <v>826</v>
      </c>
      <c r="D479" t="s">
        <v>734</v>
      </c>
      <c r="E479" t="s">
        <v>178</v>
      </c>
      <c r="F479">
        <v>0</v>
      </c>
      <c r="G479" t="s">
        <v>797</v>
      </c>
      <c r="H479" t="s">
        <v>827</v>
      </c>
      <c r="I479" t="s">
        <v>260</v>
      </c>
      <c r="J479" t="s">
        <v>828</v>
      </c>
      <c r="K479" t="s">
        <v>84</v>
      </c>
      <c r="L479" t="s">
        <v>106</v>
      </c>
      <c r="M479" t="s">
        <v>826</v>
      </c>
      <c r="N479" t="s">
        <v>836</v>
      </c>
      <c r="O479" t="s">
        <v>82</v>
      </c>
      <c r="P479">
        <v>2568.0650000000001</v>
      </c>
      <c r="Q479" t="s">
        <v>83</v>
      </c>
      <c r="AE479" t="s">
        <v>84</v>
      </c>
      <c r="AG479" t="s">
        <v>84</v>
      </c>
      <c r="AH479" t="s">
        <v>84</v>
      </c>
      <c r="AJ479" t="s">
        <v>84</v>
      </c>
      <c r="AK479" t="s">
        <v>84</v>
      </c>
      <c r="AQ479" t="s">
        <v>84</v>
      </c>
      <c r="AT479" t="s">
        <v>84</v>
      </c>
      <c r="AU479" t="s">
        <v>84</v>
      </c>
      <c r="AV479" t="s">
        <v>84</v>
      </c>
      <c r="AX479" t="s">
        <v>84</v>
      </c>
      <c r="BA479" t="s">
        <v>84</v>
      </c>
      <c r="BB479" t="s">
        <v>84</v>
      </c>
      <c r="BG479" t="s">
        <v>84</v>
      </c>
      <c r="BJ479" t="s">
        <v>84</v>
      </c>
      <c r="BK479" t="s">
        <v>84</v>
      </c>
      <c r="BM479" t="s">
        <v>84</v>
      </c>
      <c r="BS479" t="s">
        <v>84</v>
      </c>
      <c r="BT479" t="s">
        <v>84</v>
      </c>
      <c r="BU479">
        <v>0</v>
      </c>
      <c r="BV479">
        <v>0</v>
      </c>
      <c r="BW479">
        <v>6467.4274999999998</v>
      </c>
    </row>
    <row r="480" spans="1:75" x14ac:dyDescent="0.25">
      <c r="A480">
        <v>375</v>
      </c>
      <c r="B480" s="1">
        <v>45128.893750000003</v>
      </c>
      <c r="C480" t="s">
        <v>826</v>
      </c>
      <c r="D480" t="s">
        <v>734</v>
      </c>
      <c r="E480" t="s">
        <v>178</v>
      </c>
      <c r="F480">
        <v>0</v>
      </c>
      <c r="G480" t="s">
        <v>797</v>
      </c>
      <c r="H480" t="s">
        <v>827</v>
      </c>
      <c r="I480" t="s">
        <v>260</v>
      </c>
      <c r="J480" t="s">
        <v>828</v>
      </c>
      <c r="K480" t="s">
        <v>84</v>
      </c>
      <c r="L480" t="s">
        <v>110</v>
      </c>
      <c r="M480" t="s">
        <v>826</v>
      </c>
      <c r="N480" t="s">
        <v>837</v>
      </c>
      <c r="O480" t="s">
        <v>82</v>
      </c>
      <c r="P480">
        <v>9198</v>
      </c>
      <c r="Q480" t="s">
        <v>83</v>
      </c>
      <c r="T480">
        <v>1</v>
      </c>
      <c r="X480">
        <v>1</v>
      </c>
      <c r="AE480" t="s">
        <v>84</v>
      </c>
      <c r="AG480" t="s">
        <v>84</v>
      </c>
      <c r="AH480" t="s">
        <v>84</v>
      </c>
      <c r="AJ480" t="s">
        <v>84</v>
      </c>
      <c r="AK480" t="s">
        <v>84</v>
      </c>
      <c r="AQ480" t="s">
        <v>84</v>
      </c>
      <c r="AT480" t="s">
        <v>84</v>
      </c>
      <c r="AU480" t="s">
        <v>84</v>
      </c>
      <c r="AV480" t="s">
        <v>84</v>
      </c>
      <c r="AX480" t="s">
        <v>84</v>
      </c>
      <c r="BA480" t="s">
        <v>84</v>
      </c>
      <c r="BB480" t="s">
        <v>84</v>
      </c>
      <c r="BG480" t="s">
        <v>84</v>
      </c>
      <c r="BJ480" t="s">
        <v>84</v>
      </c>
      <c r="BK480" t="s">
        <v>84</v>
      </c>
      <c r="BM480" t="s">
        <v>84</v>
      </c>
      <c r="BS480" t="s">
        <v>84</v>
      </c>
      <c r="BT480" t="s">
        <v>84</v>
      </c>
      <c r="BU480">
        <v>0</v>
      </c>
      <c r="BV480">
        <v>0</v>
      </c>
      <c r="BW480">
        <v>9930</v>
      </c>
    </row>
    <row r="481" spans="1:75" x14ac:dyDescent="0.25">
      <c r="A481">
        <v>375</v>
      </c>
      <c r="B481" s="1">
        <v>45128.893750000003</v>
      </c>
      <c r="C481" t="s">
        <v>826</v>
      </c>
      <c r="D481" t="s">
        <v>734</v>
      </c>
      <c r="E481" t="s">
        <v>178</v>
      </c>
      <c r="F481">
        <v>1</v>
      </c>
      <c r="G481" t="s">
        <v>797</v>
      </c>
      <c r="H481" t="s">
        <v>827</v>
      </c>
      <c r="I481" t="s">
        <v>260</v>
      </c>
      <c r="J481" t="s">
        <v>828</v>
      </c>
      <c r="K481" t="s">
        <v>680</v>
      </c>
      <c r="L481" t="s">
        <v>110</v>
      </c>
      <c r="M481" t="s">
        <v>826</v>
      </c>
      <c r="N481" t="s">
        <v>838</v>
      </c>
      <c r="O481" t="s">
        <v>82</v>
      </c>
      <c r="P481">
        <v>11592</v>
      </c>
      <c r="Q481" t="s">
        <v>83</v>
      </c>
      <c r="R481">
        <v>9930</v>
      </c>
      <c r="Z481">
        <v>0</v>
      </c>
      <c r="AA481">
        <v>0</v>
      </c>
      <c r="AE481" t="s">
        <v>84</v>
      </c>
      <c r="AG481" t="s">
        <v>84</v>
      </c>
      <c r="AH481" t="s">
        <v>84</v>
      </c>
      <c r="AI481">
        <v>0</v>
      </c>
      <c r="AJ481" t="s">
        <v>84</v>
      </c>
      <c r="AK481" t="s">
        <v>84</v>
      </c>
      <c r="AL481">
        <v>0</v>
      </c>
      <c r="AN481">
        <v>0</v>
      </c>
      <c r="AP481">
        <v>0</v>
      </c>
      <c r="AQ481" t="s">
        <v>84</v>
      </c>
      <c r="AR481">
        <v>0</v>
      </c>
      <c r="AT481" t="s">
        <v>84</v>
      </c>
      <c r="AU481" t="s">
        <v>84</v>
      </c>
      <c r="AV481" t="s">
        <v>84</v>
      </c>
      <c r="AW481">
        <v>0</v>
      </c>
      <c r="AX481" t="s">
        <v>84</v>
      </c>
      <c r="AY481">
        <v>9200</v>
      </c>
      <c r="BA481" t="s">
        <v>84</v>
      </c>
      <c r="BB481" t="s">
        <v>84</v>
      </c>
      <c r="BC481">
        <v>0</v>
      </c>
      <c r="BD481">
        <v>0</v>
      </c>
      <c r="BG481" t="s">
        <v>84</v>
      </c>
      <c r="BH481">
        <v>0</v>
      </c>
      <c r="BI481">
        <v>0</v>
      </c>
      <c r="BJ481" t="s">
        <v>84</v>
      </c>
      <c r="BK481" t="s">
        <v>84</v>
      </c>
      <c r="BM481" t="s">
        <v>84</v>
      </c>
      <c r="BP481">
        <v>0</v>
      </c>
      <c r="BQ481">
        <v>0</v>
      </c>
      <c r="BR481">
        <v>0</v>
      </c>
      <c r="BS481" t="s">
        <v>84</v>
      </c>
      <c r="BT481" t="s">
        <v>84</v>
      </c>
      <c r="BU481">
        <v>0</v>
      </c>
      <c r="BV481">
        <v>0</v>
      </c>
      <c r="BW481">
        <v>9930</v>
      </c>
    </row>
    <row r="482" spans="1:75" x14ac:dyDescent="0.25">
      <c r="A482">
        <v>375</v>
      </c>
      <c r="B482" s="1">
        <v>45128.893750000003</v>
      </c>
      <c r="C482" t="s">
        <v>826</v>
      </c>
      <c r="D482" t="s">
        <v>734</v>
      </c>
      <c r="E482" t="s">
        <v>178</v>
      </c>
      <c r="F482">
        <v>0</v>
      </c>
      <c r="G482" t="s">
        <v>797</v>
      </c>
      <c r="H482" t="s">
        <v>827</v>
      </c>
      <c r="I482" t="s">
        <v>260</v>
      </c>
      <c r="J482" t="s">
        <v>828</v>
      </c>
      <c r="K482" t="s">
        <v>84</v>
      </c>
      <c r="L482" t="s">
        <v>110</v>
      </c>
      <c r="M482" t="s">
        <v>826</v>
      </c>
      <c r="N482" t="s">
        <v>839</v>
      </c>
      <c r="O482" t="s">
        <v>82</v>
      </c>
      <c r="P482">
        <v>9000</v>
      </c>
      <c r="Q482" t="s">
        <v>83</v>
      </c>
      <c r="AE482" t="s">
        <v>84</v>
      </c>
      <c r="AG482" t="s">
        <v>84</v>
      </c>
      <c r="AH482" t="s">
        <v>84</v>
      </c>
      <c r="AJ482" t="s">
        <v>84</v>
      </c>
      <c r="AK482" t="s">
        <v>84</v>
      </c>
      <c r="AQ482" t="s">
        <v>84</v>
      </c>
      <c r="AT482" t="s">
        <v>84</v>
      </c>
      <c r="AU482" t="s">
        <v>84</v>
      </c>
      <c r="AV482" t="s">
        <v>84</v>
      </c>
      <c r="AX482" t="s">
        <v>84</v>
      </c>
      <c r="BA482" t="s">
        <v>84</v>
      </c>
      <c r="BB482" t="s">
        <v>84</v>
      </c>
      <c r="BG482" t="s">
        <v>84</v>
      </c>
      <c r="BJ482" t="s">
        <v>84</v>
      </c>
      <c r="BK482" t="s">
        <v>84</v>
      </c>
      <c r="BM482" t="s">
        <v>84</v>
      </c>
      <c r="BS482" t="s">
        <v>84</v>
      </c>
      <c r="BT482" t="s">
        <v>84</v>
      </c>
      <c r="BU482">
        <v>0</v>
      </c>
      <c r="BV482">
        <v>0</v>
      </c>
      <c r="BW482">
        <v>9930</v>
      </c>
    </row>
    <row r="483" spans="1:75" x14ac:dyDescent="0.25">
      <c r="A483">
        <v>375</v>
      </c>
      <c r="B483" s="1">
        <v>45128.893750000003</v>
      </c>
      <c r="C483" t="s">
        <v>826</v>
      </c>
      <c r="D483" t="s">
        <v>734</v>
      </c>
      <c r="E483" t="s">
        <v>178</v>
      </c>
      <c r="F483">
        <v>1</v>
      </c>
      <c r="G483" t="s">
        <v>797</v>
      </c>
      <c r="H483" t="s">
        <v>827</v>
      </c>
      <c r="I483" t="s">
        <v>260</v>
      </c>
      <c r="J483" t="s">
        <v>828</v>
      </c>
      <c r="K483" t="s">
        <v>316</v>
      </c>
      <c r="L483" t="s">
        <v>87</v>
      </c>
      <c r="M483" t="s">
        <v>840</v>
      </c>
      <c r="N483" t="s">
        <v>841</v>
      </c>
      <c r="O483" t="s">
        <v>82</v>
      </c>
      <c r="P483">
        <v>120548.3417</v>
      </c>
      <c r="Q483" t="s">
        <v>83</v>
      </c>
      <c r="R483">
        <v>135828.56390000001</v>
      </c>
      <c r="V483">
        <v>1</v>
      </c>
      <c r="AE483" t="s">
        <v>84</v>
      </c>
      <c r="AG483" t="s">
        <v>84</v>
      </c>
      <c r="AH483" t="s">
        <v>84</v>
      </c>
      <c r="AJ483" t="s">
        <v>84</v>
      </c>
      <c r="AK483" t="s">
        <v>84</v>
      </c>
      <c r="AL483">
        <v>14300</v>
      </c>
      <c r="AM483">
        <v>34400</v>
      </c>
      <c r="AN483">
        <v>33900</v>
      </c>
      <c r="AO483">
        <v>5338</v>
      </c>
      <c r="AQ483" t="s">
        <v>84</v>
      </c>
      <c r="AT483" t="s">
        <v>84</v>
      </c>
      <c r="AU483" t="s">
        <v>84</v>
      </c>
      <c r="AV483" t="s">
        <v>84</v>
      </c>
      <c r="AX483" t="s">
        <v>84</v>
      </c>
      <c r="BA483" t="s">
        <v>84</v>
      </c>
      <c r="BB483" t="s">
        <v>84</v>
      </c>
      <c r="BG483" t="s">
        <v>84</v>
      </c>
      <c r="BJ483" t="s">
        <v>84</v>
      </c>
      <c r="BK483" t="s">
        <v>84</v>
      </c>
      <c r="BM483" t="s">
        <v>84</v>
      </c>
      <c r="BS483" t="s">
        <v>84</v>
      </c>
      <c r="BT483" t="s">
        <v>84</v>
      </c>
      <c r="BU483">
        <v>0</v>
      </c>
      <c r="BV483">
        <v>0</v>
      </c>
      <c r="BW483">
        <v>135828.56390000001</v>
      </c>
    </row>
    <row r="484" spans="1:75" x14ac:dyDescent="0.25">
      <c r="A484">
        <v>375</v>
      </c>
      <c r="B484" s="1">
        <v>45128.893750000003</v>
      </c>
      <c r="C484" t="s">
        <v>826</v>
      </c>
      <c r="D484" t="s">
        <v>734</v>
      </c>
      <c r="E484" t="s">
        <v>178</v>
      </c>
      <c r="F484">
        <v>0</v>
      </c>
      <c r="G484" t="s">
        <v>797</v>
      </c>
      <c r="H484" t="s">
        <v>827</v>
      </c>
      <c r="I484" t="s">
        <v>260</v>
      </c>
      <c r="J484" t="s">
        <v>828</v>
      </c>
      <c r="K484" t="s">
        <v>84</v>
      </c>
      <c r="L484" t="s">
        <v>87</v>
      </c>
      <c r="M484" t="s">
        <v>826</v>
      </c>
      <c r="N484" t="s">
        <v>842</v>
      </c>
      <c r="O484" t="s">
        <v>82</v>
      </c>
      <c r="P484">
        <v>124425.0583</v>
      </c>
      <c r="Q484" t="s">
        <v>83</v>
      </c>
      <c r="W484">
        <v>1</v>
      </c>
      <c r="X484">
        <v>1</v>
      </c>
      <c r="AE484" t="s">
        <v>84</v>
      </c>
      <c r="AG484" t="s">
        <v>84</v>
      </c>
      <c r="AH484" t="s">
        <v>84</v>
      </c>
      <c r="AJ484" t="s">
        <v>84</v>
      </c>
      <c r="AK484" t="s">
        <v>84</v>
      </c>
      <c r="AQ484" t="s">
        <v>84</v>
      </c>
      <c r="AT484" t="s">
        <v>84</v>
      </c>
      <c r="AU484" t="s">
        <v>84</v>
      </c>
      <c r="AV484" t="s">
        <v>84</v>
      </c>
      <c r="AX484" t="s">
        <v>84</v>
      </c>
      <c r="BA484" t="s">
        <v>84</v>
      </c>
      <c r="BB484" t="s">
        <v>84</v>
      </c>
      <c r="BG484" t="s">
        <v>84</v>
      </c>
      <c r="BJ484" t="s">
        <v>84</v>
      </c>
      <c r="BK484" t="s">
        <v>84</v>
      </c>
      <c r="BM484" t="s">
        <v>84</v>
      </c>
      <c r="BS484" t="s">
        <v>84</v>
      </c>
      <c r="BT484" t="s">
        <v>84</v>
      </c>
      <c r="BU484">
        <v>0</v>
      </c>
      <c r="BV484">
        <v>0</v>
      </c>
      <c r="BW484">
        <v>135828.56390000001</v>
      </c>
    </row>
    <row r="485" spans="1:75" x14ac:dyDescent="0.25">
      <c r="A485">
        <v>375</v>
      </c>
      <c r="B485" s="1">
        <v>45128.893750000003</v>
      </c>
      <c r="C485" t="s">
        <v>826</v>
      </c>
      <c r="D485" t="s">
        <v>734</v>
      </c>
      <c r="E485" t="s">
        <v>178</v>
      </c>
      <c r="F485">
        <v>0</v>
      </c>
      <c r="G485" t="s">
        <v>797</v>
      </c>
      <c r="H485" t="s">
        <v>827</v>
      </c>
      <c r="I485" t="s">
        <v>260</v>
      </c>
      <c r="J485" t="s">
        <v>828</v>
      </c>
      <c r="K485" t="s">
        <v>84</v>
      </c>
      <c r="L485" t="s">
        <v>87</v>
      </c>
      <c r="M485" t="s">
        <v>843</v>
      </c>
      <c r="N485" t="s">
        <v>844</v>
      </c>
      <c r="O485" t="s">
        <v>82</v>
      </c>
      <c r="P485">
        <v>162512.2917</v>
      </c>
      <c r="Q485" t="s">
        <v>83</v>
      </c>
      <c r="X485">
        <v>1</v>
      </c>
      <c r="AE485" t="s">
        <v>84</v>
      </c>
      <c r="AG485" t="s">
        <v>84</v>
      </c>
      <c r="AH485" t="s">
        <v>84</v>
      </c>
      <c r="AJ485" t="s">
        <v>84</v>
      </c>
      <c r="AK485" t="s">
        <v>84</v>
      </c>
      <c r="AQ485" t="s">
        <v>84</v>
      </c>
      <c r="AT485" t="s">
        <v>84</v>
      </c>
      <c r="AU485" t="s">
        <v>84</v>
      </c>
      <c r="AV485" t="s">
        <v>84</v>
      </c>
      <c r="AX485" t="s">
        <v>84</v>
      </c>
      <c r="BA485" t="s">
        <v>84</v>
      </c>
      <c r="BB485" t="s">
        <v>84</v>
      </c>
      <c r="BG485" t="s">
        <v>84</v>
      </c>
      <c r="BJ485" t="s">
        <v>84</v>
      </c>
      <c r="BK485" t="s">
        <v>84</v>
      </c>
      <c r="BM485" t="s">
        <v>84</v>
      </c>
      <c r="BS485" t="s">
        <v>84</v>
      </c>
      <c r="BT485" t="s">
        <v>84</v>
      </c>
      <c r="BU485">
        <v>0</v>
      </c>
      <c r="BV485">
        <v>0</v>
      </c>
      <c r="BW485">
        <v>135828.56390000001</v>
      </c>
    </row>
    <row r="486" spans="1:75" x14ac:dyDescent="0.25">
      <c r="A486">
        <v>375</v>
      </c>
      <c r="B486" s="1">
        <v>45128.893750000003</v>
      </c>
      <c r="C486" t="s">
        <v>826</v>
      </c>
      <c r="D486" t="s">
        <v>734</v>
      </c>
      <c r="E486" t="s">
        <v>178</v>
      </c>
      <c r="F486">
        <v>1</v>
      </c>
      <c r="G486" t="s">
        <v>797</v>
      </c>
      <c r="H486" t="s">
        <v>827</v>
      </c>
      <c r="I486" t="s">
        <v>260</v>
      </c>
      <c r="J486" t="s">
        <v>828</v>
      </c>
      <c r="K486" t="s">
        <v>158</v>
      </c>
      <c r="L486" t="s">
        <v>98</v>
      </c>
      <c r="M486" t="s">
        <v>845</v>
      </c>
      <c r="N486" t="s">
        <v>846</v>
      </c>
      <c r="O486" t="s">
        <v>82</v>
      </c>
      <c r="P486">
        <v>22550</v>
      </c>
      <c r="Q486" t="s">
        <v>83</v>
      </c>
      <c r="R486">
        <v>21600</v>
      </c>
      <c r="W486">
        <v>1</v>
      </c>
      <c r="AE486" t="s">
        <v>84</v>
      </c>
      <c r="AG486" t="s">
        <v>84</v>
      </c>
      <c r="AH486" t="s">
        <v>84</v>
      </c>
      <c r="AJ486" t="s">
        <v>84</v>
      </c>
      <c r="AK486" t="s">
        <v>84</v>
      </c>
      <c r="AQ486" t="s">
        <v>84</v>
      </c>
      <c r="AS486">
        <v>22550</v>
      </c>
      <c r="AT486" t="s">
        <v>84</v>
      </c>
      <c r="AU486" t="s">
        <v>84</v>
      </c>
      <c r="AV486" t="s">
        <v>84</v>
      </c>
      <c r="AX486" t="s">
        <v>84</v>
      </c>
      <c r="BA486" t="s">
        <v>84</v>
      </c>
      <c r="BB486" t="s">
        <v>84</v>
      </c>
      <c r="BG486" t="s">
        <v>84</v>
      </c>
      <c r="BJ486" t="s">
        <v>84</v>
      </c>
      <c r="BK486" t="s">
        <v>84</v>
      </c>
      <c r="BM486" t="s">
        <v>84</v>
      </c>
      <c r="BS486" t="s">
        <v>84</v>
      </c>
      <c r="BT486" t="s">
        <v>84</v>
      </c>
      <c r="BU486">
        <v>0</v>
      </c>
      <c r="BV486">
        <v>0</v>
      </c>
      <c r="BW486">
        <v>21600</v>
      </c>
    </row>
    <row r="487" spans="1:75" x14ac:dyDescent="0.25">
      <c r="A487">
        <v>375</v>
      </c>
      <c r="B487" s="1">
        <v>45128.893750000003</v>
      </c>
      <c r="C487" t="s">
        <v>826</v>
      </c>
      <c r="D487" t="s">
        <v>734</v>
      </c>
      <c r="E487" t="s">
        <v>178</v>
      </c>
      <c r="F487">
        <v>0</v>
      </c>
      <c r="G487" t="s">
        <v>797</v>
      </c>
      <c r="H487" t="s">
        <v>827</v>
      </c>
      <c r="I487" t="s">
        <v>260</v>
      </c>
      <c r="J487" t="s">
        <v>828</v>
      </c>
      <c r="K487" t="s">
        <v>84</v>
      </c>
      <c r="L487" t="s">
        <v>98</v>
      </c>
      <c r="M487" t="s">
        <v>847</v>
      </c>
      <c r="N487" t="s">
        <v>848</v>
      </c>
      <c r="O487" t="s">
        <v>82</v>
      </c>
      <c r="P487">
        <v>20650</v>
      </c>
      <c r="Q487" t="s">
        <v>83</v>
      </c>
      <c r="AE487" t="s">
        <v>84</v>
      </c>
      <c r="AG487" t="s">
        <v>84</v>
      </c>
      <c r="AH487" t="s">
        <v>84</v>
      </c>
      <c r="AJ487" t="s">
        <v>84</v>
      </c>
      <c r="AK487" t="s">
        <v>84</v>
      </c>
      <c r="AQ487" t="s">
        <v>84</v>
      </c>
      <c r="AT487" t="s">
        <v>84</v>
      </c>
      <c r="AU487" t="s">
        <v>84</v>
      </c>
      <c r="AV487" t="s">
        <v>84</v>
      </c>
      <c r="AX487" t="s">
        <v>84</v>
      </c>
      <c r="BA487" t="s">
        <v>84</v>
      </c>
      <c r="BB487" t="s">
        <v>84</v>
      </c>
      <c r="BG487" t="s">
        <v>84</v>
      </c>
      <c r="BJ487" t="s">
        <v>84</v>
      </c>
      <c r="BK487" t="s">
        <v>84</v>
      </c>
      <c r="BM487" t="s">
        <v>84</v>
      </c>
      <c r="BS487" t="s">
        <v>84</v>
      </c>
      <c r="BT487" t="s">
        <v>84</v>
      </c>
      <c r="BU487">
        <v>0</v>
      </c>
      <c r="BV487">
        <v>0</v>
      </c>
      <c r="BW487">
        <v>21600</v>
      </c>
    </row>
    <row r="488" spans="1:75" x14ac:dyDescent="0.25">
      <c r="A488">
        <v>375</v>
      </c>
      <c r="B488" s="1">
        <v>45128.893750000003</v>
      </c>
      <c r="C488" t="s">
        <v>826</v>
      </c>
      <c r="D488" t="s">
        <v>734</v>
      </c>
      <c r="E488" t="s">
        <v>178</v>
      </c>
      <c r="F488">
        <v>1</v>
      </c>
      <c r="G488" t="s">
        <v>797</v>
      </c>
      <c r="H488" t="s">
        <v>827</v>
      </c>
      <c r="I488" t="s">
        <v>260</v>
      </c>
      <c r="J488" t="s">
        <v>828</v>
      </c>
      <c r="K488" t="s">
        <v>267</v>
      </c>
      <c r="L488" t="s">
        <v>121</v>
      </c>
      <c r="M488" t="s">
        <v>849</v>
      </c>
      <c r="N488" t="s">
        <v>850</v>
      </c>
      <c r="O488" t="s">
        <v>82</v>
      </c>
      <c r="P488">
        <v>187823.6317</v>
      </c>
      <c r="Q488" t="s">
        <v>83</v>
      </c>
      <c r="R488">
        <v>151739.2697</v>
      </c>
      <c r="S488">
        <v>1</v>
      </c>
      <c r="AA488">
        <v>0</v>
      </c>
      <c r="AD488">
        <v>15569</v>
      </c>
      <c r="AE488" t="s">
        <v>84</v>
      </c>
      <c r="AG488" t="s">
        <v>84</v>
      </c>
      <c r="AH488" t="s">
        <v>84</v>
      </c>
      <c r="AJ488" t="s">
        <v>84</v>
      </c>
      <c r="AK488" t="s">
        <v>84</v>
      </c>
      <c r="AP488">
        <v>7932</v>
      </c>
      <c r="AQ488" t="s">
        <v>84</v>
      </c>
      <c r="AR488">
        <v>9440</v>
      </c>
      <c r="AT488" t="s">
        <v>84</v>
      </c>
      <c r="AU488" t="s">
        <v>84</v>
      </c>
      <c r="AV488" t="s">
        <v>84</v>
      </c>
      <c r="AX488" t="s">
        <v>84</v>
      </c>
      <c r="AY488">
        <v>0</v>
      </c>
      <c r="BA488" t="s">
        <v>84</v>
      </c>
      <c r="BB488" t="s">
        <v>84</v>
      </c>
      <c r="BC488">
        <v>16272</v>
      </c>
      <c r="BF488">
        <v>9792</v>
      </c>
      <c r="BG488" t="s">
        <v>84</v>
      </c>
      <c r="BH488">
        <v>7113</v>
      </c>
      <c r="BI488">
        <v>42236</v>
      </c>
      <c r="BJ488" t="s">
        <v>84</v>
      </c>
      <c r="BK488" t="s">
        <v>84</v>
      </c>
      <c r="BL488">
        <v>18800</v>
      </c>
      <c r="BM488" t="s">
        <v>84</v>
      </c>
      <c r="BO488">
        <v>548</v>
      </c>
      <c r="BQ488">
        <v>3748</v>
      </c>
      <c r="BR488">
        <v>7020</v>
      </c>
      <c r="BS488" t="s">
        <v>84</v>
      </c>
      <c r="BT488" t="s">
        <v>84</v>
      </c>
      <c r="BU488">
        <v>187823.6317</v>
      </c>
      <c r="BV488">
        <v>187823.6317</v>
      </c>
      <c r="BW488">
        <v>151739.2697</v>
      </c>
    </row>
    <row r="489" spans="1:75" x14ac:dyDescent="0.25">
      <c r="A489">
        <v>375</v>
      </c>
      <c r="B489" s="1">
        <v>45128.893750000003</v>
      </c>
      <c r="C489" t="s">
        <v>826</v>
      </c>
      <c r="D489" t="s">
        <v>734</v>
      </c>
      <c r="E489" t="s">
        <v>178</v>
      </c>
      <c r="F489">
        <v>0</v>
      </c>
      <c r="G489" t="s">
        <v>797</v>
      </c>
      <c r="H489" t="s">
        <v>827</v>
      </c>
      <c r="I489" t="s">
        <v>260</v>
      </c>
      <c r="J489" t="s">
        <v>828</v>
      </c>
      <c r="K489" t="s">
        <v>84</v>
      </c>
      <c r="L489" t="s">
        <v>121</v>
      </c>
      <c r="M489" t="s">
        <v>826</v>
      </c>
      <c r="N489" t="s">
        <v>851</v>
      </c>
      <c r="O489" t="s">
        <v>82</v>
      </c>
      <c r="P489">
        <v>115654.9077</v>
      </c>
      <c r="Q489" t="s">
        <v>83</v>
      </c>
      <c r="W489">
        <v>1</v>
      </c>
      <c r="AE489" t="s">
        <v>84</v>
      </c>
      <c r="AG489" t="s">
        <v>84</v>
      </c>
      <c r="AH489" t="s">
        <v>84</v>
      </c>
      <c r="AJ489" t="s">
        <v>84</v>
      </c>
      <c r="AK489" t="s">
        <v>84</v>
      </c>
      <c r="AQ489" t="s">
        <v>84</v>
      </c>
      <c r="AT489" t="s">
        <v>84</v>
      </c>
      <c r="AU489" t="s">
        <v>84</v>
      </c>
      <c r="AV489" t="s">
        <v>84</v>
      </c>
      <c r="AX489" t="s">
        <v>84</v>
      </c>
      <c r="BA489" t="s">
        <v>84</v>
      </c>
      <c r="BB489" t="s">
        <v>84</v>
      </c>
      <c r="BG489" t="s">
        <v>84</v>
      </c>
      <c r="BJ489" t="s">
        <v>84</v>
      </c>
      <c r="BK489" t="s">
        <v>84</v>
      </c>
      <c r="BM489" t="s">
        <v>84</v>
      </c>
      <c r="BS489" t="s">
        <v>84</v>
      </c>
      <c r="BT489" t="s">
        <v>84</v>
      </c>
      <c r="BU489">
        <v>0</v>
      </c>
      <c r="BV489">
        <v>0</v>
      </c>
      <c r="BW489">
        <v>151739.2697</v>
      </c>
    </row>
    <row r="490" spans="1:75" x14ac:dyDescent="0.25">
      <c r="A490">
        <v>375</v>
      </c>
      <c r="B490" s="1">
        <v>45128.893750000003</v>
      </c>
      <c r="C490" t="s">
        <v>826</v>
      </c>
      <c r="D490" t="s">
        <v>734</v>
      </c>
      <c r="E490" t="s">
        <v>178</v>
      </c>
      <c r="F490">
        <v>1</v>
      </c>
      <c r="G490" t="s">
        <v>797</v>
      </c>
      <c r="H490" t="s">
        <v>827</v>
      </c>
      <c r="I490" t="s">
        <v>260</v>
      </c>
      <c r="J490" t="s">
        <v>828</v>
      </c>
      <c r="K490" t="s">
        <v>267</v>
      </c>
      <c r="L490" t="s">
        <v>114</v>
      </c>
      <c r="M490" t="s">
        <v>849</v>
      </c>
      <c r="N490" t="s">
        <v>852</v>
      </c>
      <c r="O490" t="s">
        <v>82</v>
      </c>
      <c r="P490">
        <v>12500</v>
      </c>
      <c r="Q490" t="s">
        <v>83</v>
      </c>
      <c r="R490">
        <v>26250</v>
      </c>
      <c r="S490">
        <v>1</v>
      </c>
      <c r="AE490" t="s">
        <v>84</v>
      </c>
      <c r="AG490" t="s">
        <v>84</v>
      </c>
      <c r="AH490" t="s">
        <v>84</v>
      </c>
      <c r="AJ490" t="s">
        <v>84</v>
      </c>
      <c r="AK490" t="s">
        <v>84</v>
      </c>
      <c r="AQ490" t="s">
        <v>84</v>
      </c>
      <c r="AT490" t="s">
        <v>84</v>
      </c>
      <c r="AU490" t="s">
        <v>84</v>
      </c>
      <c r="AV490" t="s">
        <v>84</v>
      </c>
      <c r="AX490" t="s">
        <v>84</v>
      </c>
      <c r="BA490" t="s">
        <v>84</v>
      </c>
      <c r="BB490" t="s">
        <v>84</v>
      </c>
      <c r="BG490" t="s">
        <v>84</v>
      </c>
      <c r="BJ490" t="s">
        <v>84</v>
      </c>
      <c r="BK490" t="s">
        <v>84</v>
      </c>
      <c r="BM490" t="s">
        <v>84</v>
      </c>
      <c r="BN490">
        <v>12500</v>
      </c>
      <c r="BS490" t="s">
        <v>84</v>
      </c>
      <c r="BT490" t="s">
        <v>84</v>
      </c>
      <c r="BU490">
        <v>12500</v>
      </c>
      <c r="BV490">
        <v>12500</v>
      </c>
      <c r="BW490">
        <v>26250</v>
      </c>
    </row>
    <row r="491" spans="1:75" x14ac:dyDescent="0.25">
      <c r="A491">
        <v>375</v>
      </c>
      <c r="B491" s="1">
        <v>45128.893750000003</v>
      </c>
      <c r="C491" t="s">
        <v>826</v>
      </c>
      <c r="D491" t="s">
        <v>734</v>
      </c>
      <c r="E491" t="s">
        <v>178</v>
      </c>
      <c r="F491">
        <v>0</v>
      </c>
      <c r="G491" t="s">
        <v>797</v>
      </c>
      <c r="H491" t="s">
        <v>827</v>
      </c>
      <c r="I491" t="s">
        <v>260</v>
      </c>
      <c r="J491" t="s">
        <v>828</v>
      </c>
      <c r="K491" t="s">
        <v>84</v>
      </c>
      <c r="L491" t="s">
        <v>114</v>
      </c>
      <c r="M491" t="s">
        <v>826</v>
      </c>
      <c r="N491" t="s">
        <v>853</v>
      </c>
      <c r="O491" t="s">
        <v>82</v>
      </c>
      <c r="P491">
        <v>40000</v>
      </c>
      <c r="Q491" t="s">
        <v>83</v>
      </c>
      <c r="W491">
        <v>1</v>
      </c>
      <c r="AE491" t="s">
        <v>84</v>
      </c>
      <c r="AG491" t="s">
        <v>84</v>
      </c>
      <c r="AH491" t="s">
        <v>84</v>
      </c>
      <c r="AJ491" t="s">
        <v>84</v>
      </c>
      <c r="AK491" t="s">
        <v>84</v>
      </c>
      <c r="AQ491" t="s">
        <v>84</v>
      </c>
      <c r="AT491" t="s">
        <v>84</v>
      </c>
      <c r="AU491" t="s">
        <v>84</v>
      </c>
      <c r="AV491" t="s">
        <v>84</v>
      </c>
      <c r="AX491" t="s">
        <v>84</v>
      </c>
      <c r="BA491" t="s">
        <v>84</v>
      </c>
      <c r="BB491" t="s">
        <v>84</v>
      </c>
      <c r="BG491" t="s">
        <v>84</v>
      </c>
      <c r="BJ491" t="s">
        <v>84</v>
      </c>
      <c r="BK491" t="s">
        <v>84</v>
      </c>
      <c r="BM491" t="s">
        <v>84</v>
      </c>
      <c r="BS491" t="s">
        <v>84</v>
      </c>
      <c r="BT491" t="s">
        <v>84</v>
      </c>
      <c r="BU491">
        <v>0</v>
      </c>
      <c r="BV491">
        <v>0</v>
      </c>
      <c r="BW491">
        <v>26250</v>
      </c>
    </row>
    <row r="492" spans="1:75" x14ac:dyDescent="0.25">
      <c r="A492">
        <v>378</v>
      </c>
      <c r="B492" s="1">
        <v>45128.895138888889</v>
      </c>
      <c r="C492" t="s">
        <v>854</v>
      </c>
      <c r="D492" t="s">
        <v>734</v>
      </c>
      <c r="E492" t="s">
        <v>74</v>
      </c>
      <c r="F492">
        <v>0</v>
      </c>
      <c r="G492" t="s">
        <v>855</v>
      </c>
      <c r="H492" t="s">
        <v>856</v>
      </c>
      <c r="I492" t="s">
        <v>179</v>
      </c>
      <c r="J492" t="s">
        <v>857</v>
      </c>
      <c r="K492" t="s">
        <v>84</v>
      </c>
      <c r="L492" t="s">
        <v>92</v>
      </c>
      <c r="M492" t="s">
        <v>858</v>
      </c>
      <c r="N492" t="s">
        <v>303</v>
      </c>
      <c r="O492" t="s">
        <v>82</v>
      </c>
      <c r="P492">
        <v>21840</v>
      </c>
      <c r="Q492" t="s">
        <v>83</v>
      </c>
      <c r="U492">
        <v>1</v>
      </c>
      <c r="AE492" t="s">
        <v>84</v>
      </c>
      <c r="AG492" t="s">
        <v>84</v>
      </c>
      <c r="AH492" t="s">
        <v>84</v>
      </c>
      <c r="AJ492" t="s">
        <v>84</v>
      </c>
      <c r="AK492" t="s">
        <v>84</v>
      </c>
      <c r="AQ492" t="s">
        <v>84</v>
      </c>
      <c r="AT492" t="s">
        <v>84</v>
      </c>
      <c r="AU492" t="s">
        <v>84</v>
      </c>
      <c r="AV492" t="s">
        <v>84</v>
      </c>
      <c r="AX492" t="s">
        <v>84</v>
      </c>
      <c r="BA492" t="s">
        <v>84</v>
      </c>
      <c r="BB492" t="s">
        <v>84</v>
      </c>
      <c r="BG492" t="s">
        <v>84</v>
      </c>
      <c r="BJ492" t="s">
        <v>84</v>
      </c>
      <c r="BK492" t="s">
        <v>84</v>
      </c>
      <c r="BM492" t="s">
        <v>84</v>
      </c>
      <c r="BS492" t="s">
        <v>84</v>
      </c>
      <c r="BT492" t="s">
        <v>84</v>
      </c>
      <c r="BU492">
        <v>0</v>
      </c>
      <c r="BV492">
        <v>0</v>
      </c>
      <c r="BW492">
        <v>37666.666666666664</v>
      </c>
    </row>
    <row r="493" spans="1:75" x14ac:dyDescent="0.25">
      <c r="A493">
        <v>378</v>
      </c>
      <c r="B493" s="1">
        <v>45128.895138888889</v>
      </c>
      <c r="C493" t="s">
        <v>854</v>
      </c>
      <c r="D493" t="s">
        <v>734</v>
      </c>
      <c r="E493" t="s">
        <v>74</v>
      </c>
      <c r="F493">
        <v>0</v>
      </c>
      <c r="G493" t="s">
        <v>855</v>
      </c>
      <c r="H493" t="s">
        <v>856</v>
      </c>
      <c r="I493" t="s">
        <v>179</v>
      </c>
      <c r="J493" t="s">
        <v>857</v>
      </c>
      <c r="K493" t="s">
        <v>84</v>
      </c>
      <c r="L493" t="s">
        <v>92</v>
      </c>
      <c r="M493" t="s">
        <v>859</v>
      </c>
      <c r="N493" t="s">
        <v>140</v>
      </c>
      <c r="O493" t="s">
        <v>82</v>
      </c>
      <c r="P493">
        <v>23630</v>
      </c>
      <c r="Q493" t="s">
        <v>83</v>
      </c>
      <c r="U493">
        <v>1</v>
      </c>
      <c r="W493">
        <v>1</v>
      </c>
      <c r="X493">
        <v>1</v>
      </c>
      <c r="AE493" t="s">
        <v>84</v>
      </c>
      <c r="AG493" t="s">
        <v>84</v>
      </c>
      <c r="AH493" t="s">
        <v>84</v>
      </c>
      <c r="AJ493" t="s">
        <v>84</v>
      </c>
      <c r="AK493" t="s">
        <v>84</v>
      </c>
      <c r="AQ493" t="s">
        <v>84</v>
      </c>
      <c r="AT493" t="s">
        <v>84</v>
      </c>
      <c r="AU493" t="s">
        <v>84</v>
      </c>
      <c r="AV493" t="s">
        <v>84</v>
      </c>
      <c r="AX493" t="s">
        <v>84</v>
      </c>
      <c r="BA493" t="s">
        <v>84</v>
      </c>
      <c r="BB493" t="s">
        <v>84</v>
      </c>
      <c r="BG493" t="s">
        <v>84</v>
      </c>
      <c r="BJ493" t="s">
        <v>84</v>
      </c>
      <c r="BK493" t="s">
        <v>84</v>
      </c>
      <c r="BM493" t="s">
        <v>84</v>
      </c>
      <c r="BS493" t="s">
        <v>84</v>
      </c>
      <c r="BT493" t="s">
        <v>84</v>
      </c>
      <c r="BU493">
        <v>0</v>
      </c>
      <c r="BV493">
        <v>0</v>
      </c>
      <c r="BW493">
        <v>37666.666666666664</v>
      </c>
    </row>
    <row r="494" spans="1:75" x14ac:dyDescent="0.25">
      <c r="A494">
        <v>378</v>
      </c>
      <c r="B494" s="1">
        <v>45128.895138888889</v>
      </c>
      <c r="C494" t="s">
        <v>854</v>
      </c>
      <c r="D494" t="s">
        <v>734</v>
      </c>
      <c r="E494" t="s">
        <v>74</v>
      </c>
      <c r="F494">
        <v>1</v>
      </c>
      <c r="G494" t="s">
        <v>855</v>
      </c>
      <c r="H494" t="s">
        <v>856</v>
      </c>
      <c r="I494" t="s">
        <v>179</v>
      </c>
      <c r="J494" t="s">
        <v>857</v>
      </c>
      <c r="K494" t="s">
        <v>181</v>
      </c>
      <c r="L494" t="s">
        <v>92</v>
      </c>
      <c r="M494" t="s">
        <v>860</v>
      </c>
      <c r="N494" t="s">
        <v>181</v>
      </c>
      <c r="O494" t="s">
        <v>82</v>
      </c>
      <c r="P494">
        <v>67530</v>
      </c>
      <c r="Q494" t="s">
        <v>83</v>
      </c>
      <c r="R494">
        <v>37666.666669999999</v>
      </c>
      <c r="AB494">
        <v>67530</v>
      </c>
      <c r="AE494" t="s">
        <v>84</v>
      </c>
      <c r="AG494" t="s">
        <v>84</v>
      </c>
      <c r="AH494" t="s">
        <v>84</v>
      </c>
      <c r="AJ494" t="s">
        <v>84</v>
      </c>
      <c r="AK494" t="s">
        <v>84</v>
      </c>
      <c r="AQ494" t="s">
        <v>84</v>
      </c>
      <c r="AT494" t="s">
        <v>84</v>
      </c>
      <c r="AU494" t="s">
        <v>84</v>
      </c>
      <c r="AV494" t="s">
        <v>84</v>
      </c>
      <c r="AX494" t="s">
        <v>84</v>
      </c>
      <c r="BA494" t="s">
        <v>84</v>
      </c>
      <c r="BB494" t="s">
        <v>84</v>
      </c>
      <c r="BG494" t="s">
        <v>84</v>
      </c>
      <c r="BJ494" t="s">
        <v>84</v>
      </c>
      <c r="BK494" t="s">
        <v>84</v>
      </c>
      <c r="BM494" t="s">
        <v>84</v>
      </c>
      <c r="BS494" t="s">
        <v>84</v>
      </c>
      <c r="BT494" t="s">
        <v>84</v>
      </c>
      <c r="BU494">
        <v>0</v>
      </c>
      <c r="BV494">
        <v>0</v>
      </c>
      <c r="BW494">
        <v>37666.666666666664</v>
      </c>
    </row>
    <row r="495" spans="1:75" x14ac:dyDescent="0.25">
      <c r="A495">
        <v>378</v>
      </c>
      <c r="B495" s="1">
        <v>45128.895138888889</v>
      </c>
      <c r="C495" t="s">
        <v>854</v>
      </c>
      <c r="D495" t="s">
        <v>734</v>
      </c>
      <c r="E495" t="s">
        <v>74</v>
      </c>
      <c r="F495">
        <v>1</v>
      </c>
      <c r="G495" t="s">
        <v>855</v>
      </c>
      <c r="H495" t="s">
        <v>856</v>
      </c>
      <c r="I495" t="s">
        <v>179</v>
      </c>
      <c r="J495" t="s">
        <v>857</v>
      </c>
      <c r="K495" t="s">
        <v>326</v>
      </c>
      <c r="L495" t="s">
        <v>114</v>
      </c>
      <c r="M495" t="s">
        <v>861</v>
      </c>
      <c r="N495" t="s">
        <v>862</v>
      </c>
      <c r="O495" t="s">
        <v>82</v>
      </c>
      <c r="P495">
        <v>40100</v>
      </c>
      <c r="Q495" t="s">
        <v>83</v>
      </c>
      <c r="R495">
        <v>39225</v>
      </c>
      <c r="X495">
        <v>1</v>
      </c>
      <c r="AE495" t="s">
        <v>84</v>
      </c>
      <c r="AG495" t="s">
        <v>84</v>
      </c>
      <c r="AH495" t="s">
        <v>84</v>
      </c>
      <c r="AJ495" t="s">
        <v>84</v>
      </c>
      <c r="AK495" t="s">
        <v>84</v>
      </c>
      <c r="AQ495" t="s">
        <v>84</v>
      </c>
      <c r="AT495" t="s">
        <v>84</v>
      </c>
      <c r="AU495" t="s">
        <v>84</v>
      </c>
      <c r="AV495" t="s">
        <v>84</v>
      </c>
      <c r="AX495" t="s">
        <v>84</v>
      </c>
      <c r="BA495" t="s">
        <v>84</v>
      </c>
      <c r="BB495" t="s">
        <v>84</v>
      </c>
      <c r="BG495" t="s">
        <v>84</v>
      </c>
      <c r="BJ495" t="s">
        <v>84</v>
      </c>
      <c r="BK495" t="s">
        <v>84</v>
      </c>
      <c r="BM495" t="s">
        <v>84</v>
      </c>
      <c r="BN495">
        <v>40100</v>
      </c>
      <c r="BS495" t="s">
        <v>84</v>
      </c>
      <c r="BT495" t="s">
        <v>84</v>
      </c>
      <c r="BU495">
        <v>0</v>
      </c>
      <c r="BV495">
        <v>0</v>
      </c>
      <c r="BW495">
        <v>39225</v>
      </c>
    </row>
    <row r="496" spans="1:75" x14ac:dyDescent="0.25">
      <c r="A496">
        <v>378</v>
      </c>
      <c r="B496" s="1">
        <v>45128.895138888889</v>
      </c>
      <c r="C496" t="s">
        <v>854</v>
      </c>
      <c r="D496" t="s">
        <v>734</v>
      </c>
      <c r="E496" t="s">
        <v>74</v>
      </c>
      <c r="F496">
        <v>0</v>
      </c>
      <c r="G496" t="s">
        <v>855</v>
      </c>
      <c r="H496" t="s">
        <v>856</v>
      </c>
      <c r="I496" t="s">
        <v>179</v>
      </c>
      <c r="J496" t="s">
        <v>857</v>
      </c>
      <c r="K496" t="s">
        <v>84</v>
      </c>
      <c r="L496" t="s">
        <v>114</v>
      </c>
      <c r="M496" t="s">
        <v>854</v>
      </c>
      <c r="N496" t="s">
        <v>863</v>
      </c>
      <c r="O496" t="s">
        <v>82</v>
      </c>
      <c r="P496">
        <v>38350</v>
      </c>
      <c r="Q496" t="s">
        <v>83</v>
      </c>
      <c r="W496">
        <v>1</v>
      </c>
      <c r="AE496" t="s">
        <v>84</v>
      </c>
      <c r="AG496" t="s">
        <v>84</v>
      </c>
      <c r="AH496" t="s">
        <v>84</v>
      </c>
      <c r="AJ496" t="s">
        <v>84</v>
      </c>
      <c r="AK496" t="s">
        <v>84</v>
      </c>
      <c r="AQ496" t="s">
        <v>84</v>
      </c>
      <c r="AT496" t="s">
        <v>84</v>
      </c>
      <c r="AU496" t="s">
        <v>84</v>
      </c>
      <c r="AV496" t="s">
        <v>84</v>
      </c>
      <c r="AX496" t="s">
        <v>84</v>
      </c>
      <c r="BA496" t="s">
        <v>84</v>
      </c>
      <c r="BB496" t="s">
        <v>84</v>
      </c>
      <c r="BG496" t="s">
        <v>84</v>
      </c>
      <c r="BJ496" t="s">
        <v>84</v>
      </c>
      <c r="BK496" t="s">
        <v>84</v>
      </c>
      <c r="BM496" t="s">
        <v>84</v>
      </c>
      <c r="BS496" t="s">
        <v>84</v>
      </c>
      <c r="BT496" t="s">
        <v>84</v>
      </c>
      <c r="BU496">
        <v>0</v>
      </c>
      <c r="BV496">
        <v>0</v>
      </c>
      <c r="BW496">
        <v>39225</v>
      </c>
    </row>
    <row r="497" spans="1:75" x14ac:dyDescent="0.25">
      <c r="A497">
        <v>378</v>
      </c>
      <c r="B497" s="1">
        <v>45128.895138888889</v>
      </c>
      <c r="C497" t="s">
        <v>854</v>
      </c>
      <c r="D497" t="s">
        <v>734</v>
      </c>
      <c r="E497" t="s">
        <v>74</v>
      </c>
      <c r="F497">
        <v>1</v>
      </c>
      <c r="G497" t="s">
        <v>855</v>
      </c>
      <c r="H497" t="s">
        <v>856</v>
      </c>
      <c r="I497" t="s">
        <v>179</v>
      </c>
      <c r="J497" t="s">
        <v>857</v>
      </c>
      <c r="K497" t="s">
        <v>326</v>
      </c>
      <c r="L497" t="s">
        <v>121</v>
      </c>
      <c r="M497" t="s">
        <v>861</v>
      </c>
      <c r="N497" t="s">
        <v>864</v>
      </c>
      <c r="O497" t="s">
        <v>82</v>
      </c>
      <c r="P497">
        <v>151817.5208</v>
      </c>
      <c r="Q497" t="s">
        <v>83</v>
      </c>
      <c r="R497">
        <v>142410.3443</v>
      </c>
      <c r="X497">
        <v>1</v>
      </c>
      <c r="AA497">
        <v>0</v>
      </c>
      <c r="AD497">
        <v>7990</v>
      </c>
      <c r="AE497" t="s">
        <v>84</v>
      </c>
      <c r="AG497" t="s">
        <v>84</v>
      </c>
      <c r="AH497" t="s">
        <v>84</v>
      </c>
      <c r="AJ497" t="s">
        <v>84</v>
      </c>
      <c r="AK497" t="s">
        <v>84</v>
      </c>
      <c r="AP497">
        <v>4592</v>
      </c>
      <c r="AQ497" t="s">
        <v>84</v>
      </c>
      <c r="AR497">
        <v>6368</v>
      </c>
      <c r="AT497" t="s">
        <v>84</v>
      </c>
      <c r="AU497" t="s">
        <v>84</v>
      </c>
      <c r="AV497" t="s">
        <v>84</v>
      </c>
      <c r="AX497" t="s">
        <v>84</v>
      </c>
      <c r="AY497">
        <v>0</v>
      </c>
      <c r="BA497" t="s">
        <v>84</v>
      </c>
      <c r="BB497" t="s">
        <v>84</v>
      </c>
      <c r="BC497">
        <v>20868</v>
      </c>
      <c r="BF497">
        <v>6658</v>
      </c>
      <c r="BG497" t="s">
        <v>84</v>
      </c>
      <c r="BH497">
        <v>5539</v>
      </c>
      <c r="BI497">
        <v>36722</v>
      </c>
      <c r="BJ497" t="s">
        <v>84</v>
      </c>
      <c r="BK497" t="s">
        <v>84</v>
      </c>
      <c r="BL497">
        <v>7669</v>
      </c>
      <c r="BM497" t="s">
        <v>84</v>
      </c>
      <c r="BO497">
        <v>4310</v>
      </c>
      <c r="BQ497">
        <v>5064</v>
      </c>
      <c r="BR497">
        <v>1669</v>
      </c>
      <c r="BS497" t="s">
        <v>84</v>
      </c>
      <c r="BT497" t="s">
        <v>84</v>
      </c>
      <c r="BU497">
        <v>0</v>
      </c>
      <c r="BV497">
        <v>0</v>
      </c>
      <c r="BW497">
        <v>142410.3443</v>
      </c>
    </row>
    <row r="498" spans="1:75" x14ac:dyDescent="0.25">
      <c r="A498">
        <v>378</v>
      </c>
      <c r="B498" s="1">
        <v>45128.895138888889</v>
      </c>
      <c r="C498" t="s">
        <v>854</v>
      </c>
      <c r="D498" t="s">
        <v>734</v>
      </c>
      <c r="E498" t="s">
        <v>74</v>
      </c>
      <c r="F498">
        <v>0</v>
      </c>
      <c r="G498" t="s">
        <v>855</v>
      </c>
      <c r="H498" t="s">
        <v>856</v>
      </c>
      <c r="I498" t="s">
        <v>179</v>
      </c>
      <c r="J498" t="s">
        <v>857</v>
      </c>
      <c r="K498" t="s">
        <v>84</v>
      </c>
      <c r="L498" t="s">
        <v>121</v>
      </c>
      <c r="M498" t="s">
        <v>854</v>
      </c>
      <c r="N498" t="s">
        <v>865</v>
      </c>
      <c r="O498" t="s">
        <v>82</v>
      </c>
      <c r="P498">
        <v>133003.1678</v>
      </c>
      <c r="Q498" t="s">
        <v>83</v>
      </c>
      <c r="W498">
        <v>1</v>
      </c>
      <c r="AE498" t="s">
        <v>84</v>
      </c>
      <c r="AG498" t="s">
        <v>84</v>
      </c>
      <c r="AH498" t="s">
        <v>84</v>
      </c>
      <c r="AJ498" t="s">
        <v>84</v>
      </c>
      <c r="AK498" t="s">
        <v>84</v>
      </c>
      <c r="AQ498" t="s">
        <v>84</v>
      </c>
      <c r="AT498" t="s">
        <v>84</v>
      </c>
      <c r="AU498" t="s">
        <v>84</v>
      </c>
      <c r="AV498" t="s">
        <v>84</v>
      </c>
      <c r="AX498" t="s">
        <v>84</v>
      </c>
      <c r="BA498" t="s">
        <v>84</v>
      </c>
      <c r="BB498" t="s">
        <v>84</v>
      </c>
      <c r="BG498" t="s">
        <v>84</v>
      </c>
      <c r="BJ498" t="s">
        <v>84</v>
      </c>
      <c r="BK498" t="s">
        <v>84</v>
      </c>
      <c r="BM498" t="s">
        <v>84</v>
      </c>
      <c r="BS498" t="s">
        <v>84</v>
      </c>
      <c r="BT498" t="s">
        <v>84</v>
      </c>
      <c r="BU498">
        <v>0</v>
      </c>
      <c r="BV498">
        <v>0</v>
      </c>
      <c r="BW498">
        <v>142410.3443</v>
      </c>
    </row>
    <row r="499" spans="1:75" x14ac:dyDescent="0.25">
      <c r="A499">
        <v>378</v>
      </c>
      <c r="B499" s="1">
        <v>45128.895138888889</v>
      </c>
      <c r="C499" t="s">
        <v>854</v>
      </c>
      <c r="D499" t="s">
        <v>734</v>
      </c>
      <c r="E499" t="s">
        <v>74</v>
      </c>
      <c r="F499">
        <v>1</v>
      </c>
      <c r="G499" t="s">
        <v>855</v>
      </c>
      <c r="H499" t="s">
        <v>856</v>
      </c>
      <c r="I499" t="s">
        <v>179</v>
      </c>
      <c r="J499" t="s">
        <v>857</v>
      </c>
      <c r="K499" t="s">
        <v>130</v>
      </c>
      <c r="L499" t="s">
        <v>125</v>
      </c>
      <c r="M499" t="s">
        <v>866</v>
      </c>
      <c r="N499" t="s">
        <v>867</v>
      </c>
      <c r="O499" t="s">
        <v>82</v>
      </c>
      <c r="P499">
        <v>40800</v>
      </c>
      <c r="Q499" t="s">
        <v>83</v>
      </c>
      <c r="R499">
        <v>30116.666669999999</v>
      </c>
      <c r="X499">
        <v>1</v>
      </c>
      <c r="AE499" t="s">
        <v>84</v>
      </c>
      <c r="AG499" t="s">
        <v>84</v>
      </c>
      <c r="AH499" t="s">
        <v>84</v>
      </c>
      <c r="AJ499" t="s">
        <v>84</v>
      </c>
      <c r="AK499" t="s">
        <v>84</v>
      </c>
      <c r="AQ499" t="s">
        <v>84</v>
      </c>
      <c r="AT499" t="s">
        <v>84</v>
      </c>
      <c r="AU499" t="s">
        <v>84</v>
      </c>
      <c r="AV499" t="s">
        <v>84</v>
      </c>
      <c r="AX499" t="s">
        <v>84</v>
      </c>
      <c r="AZ499">
        <v>40800</v>
      </c>
      <c r="BA499" t="s">
        <v>84</v>
      </c>
      <c r="BB499" t="s">
        <v>84</v>
      </c>
      <c r="BG499" t="s">
        <v>84</v>
      </c>
      <c r="BJ499" t="s">
        <v>84</v>
      </c>
      <c r="BK499" t="s">
        <v>84</v>
      </c>
      <c r="BM499" t="s">
        <v>84</v>
      </c>
      <c r="BS499" t="s">
        <v>84</v>
      </c>
      <c r="BT499" t="s">
        <v>84</v>
      </c>
      <c r="BU499">
        <v>0</v>
      </c>
      <c r="BV499">
        <v>0</v>
      </c>
      <c r="BW499">
        <v>30116.666666666664</v>
      </c>
    </row>
    <row r="500" spans="1:75" x14ac:dyDescent="0.25">
      <c r="A500">
        <v>378</v>
      </c>
      <c r="B500" s="1">
        <v>45128.895138888889</v>
      </c>
      <c r="C500" t="s">
        <v>854</v>
      </c>
      <c r="D500" t="s">
        <v>734</v>
      </c>
      <c r="E500" t="s">
        <v>74</v>
      </c>
      <c r="F500">
        <v>0</v>
      </c>
      <c r="G500" t="s">
        <v>855</v>
      </c>
      <c r="H500" t="s">
        <v>856</v>
      </c>
      <c r="I500" t="s">
        <v>179</v>
      </c>
      <c r="J500" t="s">
        <v>857</v>
      </c>
      <c r="K500" t="s">
        <v>84</v>
      </c>
      <c r="L500" t="s">
        <v>125</v>
      </c>
      <c r="M500" t="s">
        <v>868</v>
      </c>
      <c r="N500" t="s">
        <v>869</v>
      </c>
      <c r="O500" t="s">
        <v>82</v>
      </c>
      <c r="P500">
        <v>22400</v>
      </c>
      <c r="Q500" t="s">
        <v>83</v>
      </c>
      <c r="AE500" t="s">
        <v>84</v>
      </c>
      <c r="AG500" t="s">
        <v>84</v>
      </c>
      <c r="AH500" t="s">
        <v>84</v>
      </c>
      <c r="AJ500" t="s">
        <v>84</v>
      </c>
      <c r="AK500" t="s">
        <v>84</v>
      </c>
      <c r="AQ500" t="s">
        <v>84</v>
      </c>
      <c r="AT500" t="s">
        <v>84</v>
      </c>
      <c r="AU500" t="s">
        <v>84</v>
      </c>
      <c r="AV500" t="s">
        <v>84</v>
      </c>
      <c r="AX500" t="s">
        <v>84</v>
      </c>
      <c r="BA500" t="s">
        <v>84</v>
      </c>
      <c r="BB500" t="s">
        <v>84</v>
      </c>
      <c r="BG500" t="s">
        <v>84</v>
      </c>
      <c r="BJ500" t="s">
        <v>84</v>
      </c>
      <c r="BK500" t="s">
        <v>84</v>
      </c>
      <c r="BM500" t="s">
        <v>84</v>
      </c>
      <c r="BS500" t="s">
        <v>84</v>
      </c>
      <c r="BT500" t="s">
        <v>84</v>
      </c>
      <c r="BU500">
        <v>0</v>
      </c>
      <c r="BV500">
        <v>0</v>
      </c>
      <c r="BW500">
        <v>30116.666666666664</v>
      </c>
    </row>
    <row r="501" spans="1:75" x14ac:dyDescent="0.25">
      <c r="A501">
        <v>378</v>
      </c>
      <c r="B501" s="1">
        <v>45128.895138888889</v>
      </c>
      <c r="C501" t="s">
        <v>854</v>
      </c>
      <c r="D501" t="s">
        <v>734</v>
      </c>
      <c r="E501" t="s">
        <v>74</v>
      </c>
      <c r="F501">
        <v>0</v>
      </c>
      <c r="G501" t="s">
        <v>855</v>
      </c>
      <c r="H501" t="s">
        <v>856</v>
      </c>
      <c r="I501" t="s">
        <v>179</v>
      </c>
      <c r="J501" t="s">
        <v>857</v>
      </c>
      <c r="K501" t="s">
        <v>84</v>
      </c>
      <c r="L501" t="s">
        <v>125</v>
      </c>
      <c r="M501" t="s">
        <v>870</v>
      </c>
      <c r="N501" t="s">
        <v>871</v>
      </c>
      <c r="O501" t="s">
        <v>82</v>
      </c>
      <c r="P501">
        <v>27150</v>
      </c>
      <c r="Q501" t="s">
        <v>83</v>
      </c>
      <c r="AE501" t="s">
        <v>84</v>
      </c>
      <c r="AG501" t="s">
        <v>84</v>
      </c>
      <c r="AH501" t="s">
        <v>84</v>
      </c>
      <c r="AJ501" t="s">
        <v>84</v>
      </c>
      <c r="AK501" t="s">
        <v>84</v>
      </c>
      <c r="AQ501" t="s">
        <v>84</v>
      </c>
      <c r="AT501" t="s">
        <v>84</v>
      </c>
      <c r="AU501" t="s">
        <v>84</v>
      </c>
      <c r="AV501" t="s">
        <v>84</v>
      </c>
      <c r="AX501" t="s">
        <v>84</v>
      </c>
      <c r="BA501" t="s">
        <v>84</v>
      </c>
      <c r="BB501" t="s">
        <v>84</v>
      </c>
      <c r="BG501" t="s">
        <v>84</v>
      </c>
      <c r="BJ501" t="s">
        <v>84</v>
      </c>
      <c r="BK501" t="s">
        <v>84</v>
      </c>
      <c r="BM501" t="s">
        <v>84</v>
      </c>
      <c r="BS501" t="s">
        <v>84</v>
      </c>
      <c r="BT501" t="s">
        <v>84</v>
      </c>
      <c r="BU501">
        <v>0</v>
      </c>
      <c r="BV501">
        <v>0</v>
      </c>
      <c r="BW501">
        <v>30116.666666666664</v>
      </c>
    </row>
    <row r="502" spans="1:75" x14ac:dyDescent="0.25">
      <c r="A502">
        <v>378</v>
      </c>
      <c r="B502" s="1">
        <v>45128.895138888889</v>
      </c>
      <c r="C502" t="s">
        <v>854</v>
      </c>
      <c r="D502" t="s">
        <v>734</v>
      </c>
      <c r="E502" t="s">
        <v>74</v>
      </c>
      <c r="F502">
        <v>0</v>
      </c>
      <c r="G502" t="s">
        <v>855</v>
      </c>
      <c r="H502" t="s">
        <v>856</v>
      </c>
      <c r="I502" t="s">
        <v>179</v>
      </c>
      <c r="J502" t="s">
        <v>857</v>
      </c>
      <c r="K502" t="s">
        <v>84</v>
      </c>
      <c r="L502" t="s">
        <v>98</v>
      </c>
      <c r="M502" t="s">
        <v>872</v>
      </c>
      <c r="N502" t="s">
        <v>873</v>
      </c>
      <c r="O502" t="s">
        <v>82</v>
      </c>
      <c r="P502">
        <v>27450</v>
      </c>
      <c r="Q502" t="s">
        <v>83</v>
      </c>
      <c r="AE502" t="s">
        <v>84</v>
      </c>
      <c r="AG502" t="s">
        <v>84</v>
      </c>
      <c r="AH502" t="s">
        <v>84</v>
      </c>
      <c r="AJ502" t="s">
        <v>84</v>
      </c>
      <c r="AK502" t="s">
        <v>84</v>
      </c>
      <c r="AQ502" t="s">
        <v>84</v>
      </c>
      <c r="AT502" t="s">
        <v>84</v>
      </c>
      <c r="AU502" t="s">
        <v>84</v>
      </c>
      <c r="AV502" t="s">
        <v>84</v>
      </c>
      <c r="AX502" t="s">
        <v>84</v>
      </c>
      <c r="BA502" t="s">
        <v>84</v>
      </c>
      <c r="BB502" t="s">
        <v>84</v>
      </c>
      <c r="BG502" t="s">
        <v>84</v>
      </c>
      <c r="BJ502" t="s">
        <v>84</v>
      </c>
      <c r="BK502" t="s">
        <v>84</v>
      </c>
      <c r="BM502" t="s">
        <v>84</v>
      </c>
      <c r="BS502" t="s">
        <v>84</v>
      </c>
      <c r="BT502" t="s">
        <v>84</v>
      </c>
      <c r="BU502">
        <v>0</v>
      </c>
      <c r="BV502">
        <v>0</v>
      </c>
      <c r="BW502">
        <v>33800</v>
      </c>
    </row>
    <row r="503" spans="1:75" x14ac:dyDescent="0.25">
      <c r="A503">
        <v>378</v>
      </c>
      <c r="B503" s="1">
        <v>45128.895138888889</v>
      </c>
      <c r="C503" t="s">
        <v>854</v>
      </c>
      <c r="D503" t="s">
        <v>734</v>
      </c>
      <c r="E503" t="s">
        <v>74</v>
      </c>
      <c r="F503">
        <v>1</v>
      </c>
      <c r="G503" t="s">
        <v>855</v>
      </c>
      <c r="H503" t="s">
        <v>856</v>
      </c>
      <c r="I503" t="s">
        <v>179</v>
      </c>
      <c r="J503" t="s">
        <v>857</v>
      </c>
      <c r="K503" t="s">
        <v>693</v>
      </c>
      <c r="L503" t="s">
        <v>98</v>
      </c>
      <c r="M503" t="s">
        <v>874</v>
      </c>
      <c r="N503" t="s">
        <v>875</v>
      </c>
      <c r="O503" t="s">
        <v>82</v>
      </c>
      <c r="P503">
        <v>40150</v>
      </c>
      <c r="Q503" t="s">
        <v>83</v>
      </c>
      <c r="R503">
        <v>33800</v>
      </c>
      <c r="W503">
        <v>1</v>
      </c>
      <c r="AE503" t="s">
        <v>84</v>
      </c>
      <c r="AG503" t="s">
        <v>84</v>
      </c>
      <c r="AH503" t="s">
        <v>84</v>
      </c>
      <c r="AJ503" t="s">
        <v>84</v>
      </c>
      <c r="AK503" t="s">
        <v>84</v>
      </c>
      <c r="AQ503" t="s">
        <v>84</v>
      </c>
      <c r="AS503">
        <v>40150</v>
      </c>
      <c r="AT503" t="s">
        <v>84</v>
      </c>
      <c r="AU503" t="s">
        <v>84</v>
      </c>
      <c r="AV503" t="s">
        <v>84</v>
      </c>
      <c r="AX503" t="s">
        <v>84</v>
      </c>
      <c r="BA503" t="s">
        <v>84</v>
      </c>
      <c r="BB503" t="s">
        <v>84</v>
      </c>
      <c r="BG503" t="s">
        <v>84</v>
      </c>
      <c r="BJ503" t="s">
        <v>84</v>
      </c>
      <c r="BK503" t="s">
        <v>84</v>
      </c>
      <c r="BM503" t="s">
        <v>84</v>
      </c>
      <c r="BS503" t="s">
        <v>84</v>
      </c>
      <c r="BT503" t="s">
        <v>84</v>
      </c>
      <c r="BU503">
        <v>0</v>
      </c>
      <c r="BV503">
        <v>0</v>
      </c>
      <c r="BW503">
        <v>33800</v>
      </c>
    </row>
    <row r="504" spans="1:75" x14ac:dyDescent="0.25">
      <c r="A504">
        <v>378</v>
      </c>
      <c r="B504" s="1">
        <v>45128.895138888889</v>
      </c>
      <c r="C504" t="s">
        <v>854</v>
      </c>
      <c r="D504" t="s">
        <v>734</v>
      </c>
      <c r="E504" t="s">
        <v>74</v>
      </c>
      <c r="F504">
        <v>0</v>
      </c>
      <c r="G504" t="s">
        <v>855</v>
      </c>
      <c r="H504" t="s">
        <v>856</v>
      </c>
      <c r="I504" t="s">
        <v>179</v>
      </c>
      <c r="J504" t="s">
        <v>857</v>
      </c>
      <c r="K504" t="s">
        <v>84</v>
      </c>
      <c r="L504" t="s">
        <v>87</v>
      </c>
      <c r="M504" t="s">
        <v>854</v>
      </c>
      <c r="N504" t="s">
        <v>876</v>
      </c>
      <c r="O504" t="s">
        <v>82</v>
      </c>
      <c r="P504">
        <v>119010.26669999999</v>
      </c>
      <c r="Q504" t="s">
        <v>83</v>
      </c>
      <c r="V504">
        <v>1</v>
      </c>
      <c r="AE504" t="s">
        <v>84</v>
      </c>
      <c r="AG504" t="s">
        <v>84</v>
      </c>
      <c r="AH504" t="s">
        <v>84</v>
      </c>
      <c r="AJ504" t="s">
        <v>84</v>
      </c>
      <c r="AK504" t="s">
        <v>84</v>
      </c>
      <c r="AQ504" t="s">
        <v>84</v>
      </c>
      <c r="AT504" t="s">
        <v>84</v>
      </c>
      <c r="AU504" t="s">
        <v>84</v>
      </c>
      <c r="AV504" t="s">
        <v>84</v>
      </c>
      <c r="AX504" t="s">
        <v>84</v>
      </c>
      <c r="BA504" t="s">
        <v>84</v>
      </c>
      <c r="BB504" t="s">
        <v>84</v>
      </c>
      <c r="BG504" t="s">
        <v>84</v>
      </c>
      <c r="BJ504" t="s">
        <v>84</v>
      </c>
      <c r="BK504" t="s">
        <v>84</v>
      </c>
      <c r="BM504" t="s">
        <v>84</v>
      </c>
      <c r="BS504" t="s">
        <v>84</v>
      </c>
      <c r="BT504" t="s">
        <v>84</v>
      </c>
      <c r="BU504">
        <v>0</v>
      </c>
      <c r="BV504">
        <v>0</v>
      </c>
      <c r="BW504">
        <v>112430.26669999999</v>
      </c>
    </row>
    <row r="505" spans="1:75" x14ac:dyDescent="0.25">
      <c r="A505">
        <v>378</v>
      </c>
      <c r="B505" s="1">
        <v>45128.895138888889</v>
      </c>
      <c r="C505" t="s">
        <v>854</v>
      </c>
      <c r="D505" t="s">
        <v>734</v>
      </c>
      <c r="E505" t="s">
        <v>74</v>
      </c>
      <c r="F505">
        <v>1</v>
      </c>
      <c r="G505" t="s">
        <v>855</v>
      </c>
      <c r="H505" t="s">
        <v>856</v>
      </c>
      <c r="I505" t="s">
        <v>179</v>
      </c>
      <c r="J505" t="s">
        <v>857</v>
      </c>
      <c r="K505" t="s">
        <v>163</v>
      </c>
      <c r="L505" t="s">
        <v>87</v>
      </c>
      <c r="M505" t="s">
        <v>854</v>
      </c>
      <c r="N505" t="s">
        <v>877</v>
      </c>
      <c r="O505" t="s">
        <v>82</v>
      </c>
      <c r="P505">
        <v>105850.26669999999</v>
      </c>
      <c r="Q505" t="s">
        <v>83</v>
      </c>
      <c r="R505">
        <v>112430.26669999999</v>
      </c>
      <c r="X505">
        <v>1</v>
      </c>
      <c r="AE505" t="s">
        <v>84</v>
      </c>
      <c r="AG505" t="s">
        <v>84</v>
      </c>
      <c r="AH505" t="s">
        <v>84</v>
      </c>
      <c r="AJ505" t="s">
        <v>84</v>
      </c>
      <c r="AK505" t="s">
        <v>84</v>
      </c>
      <c r="AL505">
        <v>29600</v>
      </c>
      <c r="AM505">
        <v>27700</v>
      </c>
      <c r="AN505">
        <v>13100</v>
      </c>
      <c r="AO505">
        <v>6816</v>
      </c>
      <c r="AQ505" t="s">
        <v>84</v>
      </c>
      <c r="AT505" t="s">
        <v>84</v>
      </c>
      <c r="AU505" t="s">
        <v>84</v>
      </c>
      <c r="AV505" t="s">
        <v>84</v>
      </c>
      <c r="AX505" t="s">
        <v>84</v>
      </c>
      <c r="BA505" t="s">
        <v>84</v>
      </c>
      <c r="BB505" t="s">
        <v>84</v>
      </c>
      <c r="BG505" t="s">
        <v>84</v>
      </c>
      <c r="BJ505" t="s">
        <v>84</v>
      </c>
      <c r="BK505" t="s">
        <v>84</v>
      </c>
      <c r="BM505" t="s">
        <v>84</v>
      </c>
      <c r="BS505" t="s">
        <v>84</v>
      </c>
      <c r="BT505" t="s">
        <v>84</v>
      </c>
      <c r="BU505">
        <v>0</v>
      </c>
      <c r="BV505">
        <v>0</v>
      </c>
      <c r="BW505">
        <v>112430.26669999999</v>
      </c>
    </row>
    <row r="506" spans="1:75" x14ac:dyDescent="0.25">
      <c r="A506">
        <v>378</v>
      </c>
      <c r="B506" s="1">
        <v>45128.895138888889</v>
      </c>
      <c r="C506" t="s">
        <v>854</v>
      </c>
      <c r="D506" t="s">
        <v>734</v>
      </c>
      <c r="E506" t="s">
        <v>74</v>
      </c>
      <c r="F506">
        <v>0</v>
      </c>
      <c r="G506" t="s">
        <v>855</v>
      </c>
      <c r="H506" t="s">
        <v>856</v>
      </c>
      <c r="I506" t="s">
        <v>179</v>
      </c>
      <c r="J506" t="s">
        <v>857</v>
      </c>
      <c r="K506" t="s">
        <v>84</v>
      </c>
      <c r="L506" t="s">
        <v>110</v>
      </c>
      <c r="M506" t="s">
        <v>854</v>
      </c>
      <c r="N506" t="s">
        <v>878</v>
      </c>
      <c r="O506" t="s">
        <v>82</v>
      </c>
      <c r="P506">
        <v>13986</v>
      </c>
      <c r="Q506" t="s">
        <v>83</v>
      </c>
      <c r="AE506" t="s">
        <v>84</v>
      </c>
      <c r="AG506" t="s">
        <v>84</v>
      </c>
      <c r="AH506" t="s">
        <v>84</v>
      </c>
      <c r="AJ506" t="s">
        <v>84</v>
      </c>
      <c r="AK506" t="s">
        <v>84</v>
      </c>
      <c r="AQ506" t="s">
        <v>84</v>
      </c>
      <c r="AT506" t="s">
        <v>84</v>
      </c>
      <c r="AU506" t="s">
        <v>84</v>
      </c>
      <c r="AV506" t="s">
        <v>84</v>
      </c>
      <c r="AX506" t="s">
        <v>84</v>
      </c>
      <c r="BA506" t="s">
        <v>84</v>
      </c>
      <c r="BB506" t="s">
        <v>84</v>
      </c>
      <c r="BG506" t="s">
        <v>84</v>
      </c>
      <c r="BJ506" t="s">
        <v>84</v>
      </c>
      <c r="BK506" t="s">
        <v>84</v>
      </c>
      <c r="BM506" t="s">
        <v>84</v>
      </c>
      <c r="BS506" t="s">
        <v>84</v>
      </c>
      <c r="BT506" t="s">
        <v>84</v>
      </c>
      <c r="BU506">
        <v>0</v>
      </c>
      <c r="BV506">
        <v>0</v>
      </c>
      <c r="BW506">
        <v>12233</v>
      </c>
    </row>
    <row r="507" spans="1:75" x14ac:dyDescent="0.25">
      <c r="A507">
        <v>378</v>
      </c>
      <c r="B507" s="1">
        <v>45128.895138888889</v>
      </c>
      <c r="C507" t="s">
        <v>854</v>
      </c>
      <c r="D507" t="s">
        <v>734</v>
      </c>
      <c r="E507" t="s">
        <v>74</v>
      </c>
      <c r="F507">
        <v>1</v>
      </c>
      <c r="G507" t="s">
        <v>855</v>
      </c>
      <c r="H507" t="s">
        <v>856</v>
      </c>
      <c r="I507" t="s">
        <v>179</v>
      </c>
      <c r="J507" t="s">
        <v>857</v>
      </c>
      <c r="K507" t="s">
        <v>188</v>
      </c>
      <c r="L507" t="s">
        <v>110</v>
      </c>
      <c r="M507" t="s">
        <v>854</v>
      </c>
      <c r="N507" t="s">
        <v>879</v>
      </c>
      <c r="O507" t="s">
        <v>82</v>
      </c>
      <c r="P507">
        <v>11088</v>
      </c>
      <c r="Q507" t="s">
        <v>83</v>
      </c>
      <c r="R507">
        <v>12233</v>
      </c>
      <c r="T507">
        <v>1</v>
      </c>
      <c r="X507">
        <v>1</v>
      </c>
      <c r="Z507">
        <v>0</v>
      </c>
      <c r="AA507">
        <v>0</v>
      </c>
      <c r="AE507" t="s">
        <v>84</v>
      </c>
      <c r="AG507" t="s">
        <v>84</v>
      </c>
      <c r="AH507" t="s">
        <v>84</v>
      </c>
      <c r="AI507">
        <v>0</v>
      </c>
      <c r="AJ507" t="s">
        <v>84</v>
      </c>
      <c r="AK507" t="s">
        <v>84</v>
      </c>
      <c r="AL507">
        <v>0</v>
      </c>
      <c r="AN507">
        <v>0</v>
      </c>
      <c r="AP507">
        <v>0</v>
      </c>
      <c r="AQ507" t="s">
        <v>84</v>
      </c>
      <c r="AR507">
        <v>0</v>
      </c>
      <c r="AT507" t="s">
        <v>84</v>
      </c>
      <c r="AU507" t="s">
        <v>84</v>
      </c>
      <c r="AV507" t="s">
        <v>84</v>
      </c>
      <c r="AW507">
        <v>0</v>
      </c>
      <c r="AX507" t="s">
        <v>84</v>
      </c>
      <c r="AY507">
        <v>8800</v>
      </c>
      <c r="BA507" t="s">
        <v>84</v>
      </c>
      <c r="BB507" t="s">
        <v>84</v>
      </c>
      <c r="BC507">
        <v>0</v>
      </c>
      <c r="BD507">
        <v>0</v>
      </c>
      <c r="BG507" t="s">
        <v>84</v>
      </c>
      <c r="BH507">
        <v>0</v>
      </c>
      <c r="BI507">
        <v>0</v>
      </c>
      <c r="BJ507" t="s">
        <v>84</v>
      </c>
      <c r="BK507" t="s">
        <v>84</v>
      </c>
      <c r="BM507" t="s">
        <v>84</v>
      </c>
      <c r="BP507">
        <v>0</v>
      </c>
      <c r="BQ507">
        <v>0</v>
      </c>
      <c r="BR507">
        <v>0</v>
      </c>
      <c r="BS507" t="s">
        <v>84</v>
      </c>
      <c r="BT507" t="s">
        <v>84</v>
      </c>
      <c r="BU507">
        <v>0</v>
      </c>
      <c r="BV507">
        <v>0</v>
      </c>
      <c r="BW507">
        <v>12233</v>
      </c>
    </row>
    <row r="508" spans="1:75" x14ac:dyDescent="0.25">
      <c r="A508">
        <v>378</v>
      </c>
      <c r="B508" s="1">
        <v>45128.895138888889</v>
      </c>
      <c r="C508" t="s">
        <v>854</v>
      </c>
      <c r="D508" t="s">
        <v>734</v>
      </c>
      <c r="E508" t="s">
        <v>74</v>
      </c>
      <c r="F508">
        <v>0</v>
      </c>
      <c r="G508" t="s">
        <v>855</v>
      </c>
      <c r="H508" t="s">
        <v>856</v>
      </c>
      <c r="I508" t="s">
        <v>179</v>
      </c>
      <c r="J508" t="s">
        <v>857</v>
      </c>
      <c r="K508" t="s">
        <v>84</v>
      </c>
      <c r="L508" t="s">
        <v>110</v>
      </c>
      <c r="M508" t="s">
        <v>854</v>
      </c>
      <c r="N508" t="s">
        <v>880</v>
      </c>
      <c r="O508" t="s">
        <v>82</v>
      </c>
      <c r="P508">
        <v>11625</v>
      </c>
      <c r="Q508" t="s">
        <v>83</v>
      </c>
      <c r="AE508" t="s">
        <v>84</v>
      </c>
      <c r="AG508" t="s">
        <v>84</v>
      </c>
      <c r="AH508" t="s">
        <v>84</v>
      </c>
      <c r="AJ508" t="s">
        <v>84</v>
      </c>
      <c r="AK508" t="s">
        <v>84</v>
      </c>
      <c r="AQ508" t="s">
        <v>84</v>
      </c>
      <c r="AT508" t="s">
        <v>84</v>
      </c>
      <c r="AU508" t="s">
        <v>84</v>
      </c>
      <c r="AV508" t="s">
        <v>84</v>
      </c>
      <c r="AX508" t="s">
        <v>84</v>
      </c>
      <c r="BA508" t="s">
        <v>84</v>
      </c>
      <c r="BB508" t="s">
        <v>84</v>
      </c>
      <c r="BG508" t="s">
        <v>84</v>
      </c>
      <c r="BJ508" t="s">
        <v>84</v>
      </c>
      <c r="BK508" t="s">
        <v>84</v>
      </c>
      <c r="BM508" t="s">
        <v>84</v>
      </c>
      <c r="BS508" t="s">
        <v>84</v>
      </c>
      <c r="BT508" t="s">
        <v>84</v>
      </c>
      <c r="BU508">
        <v>0</v>
      </c>
      <c r="BV508">
        <v>0</v>
      </c>
      <c r="BW508">
        <v>12233</v>
      </c>
    </row>
    <row r="509" spans="1:75" x14ac:dyDescent="0.25">
      <c r="A509">
        <v>378</v>
      </c>
      <c r="B509" s="1">
        <v>45128.895138888889</v>
      </c>
      <c r="C509" t="s">
        <v>854</v>
      </c>
      <c r="D509" t="s">
        <v>734</v>
      </c>
      <c r="E509" t="s">
        <v>74</v>
      </c>
      <c r="F509">
        <v>0</v>
      </c>
      <c r="G509" t="s">
        <v>855</v>
      </c>
      <c r="H509" t="s">
        <v>856</v>
      </c>
      <c r="I509" t="s">
        <v>179</v>
      </c>
      <c r="J509" t="s">
        <v>857</v>
      </c>
      <c r="K509" t="s">
        <v>84</v>
      </c>
      <c r="L509" t="s">
        <v>106</v>
      </c>
      <c r="M509" t="s">
        <v>854</v>
      </c>
      <c r="N509" t="s">
        <v>881</v>
      </c>
      <c r="O509" t="s">
        <v>82</v>
      </c>
      <c r="P509">
        <v>7010.9750000000004</v>
      </c>
      <c r="Q509" t="s">
        <v>83</v>
      </c>
      <c r="AE509" t="s">
        <v>84</v>
      </c>
      <c r="AG509" t="s">
        <v>84</v>
      </c>
      <c r="AH509" t="s">
        <v>84</v>
      </c>
      <c r="AJ509" t="s">
        <v>84</v>
      </c>
      <c r="AK509" t="s">
        <v>84</v>
      </c>
      <c r="AQ509" t="s">
        <v>84</v>
      </c>
      <c r="AT509" t="s">
        <v>84</v>
      </c>
      <c r="AU509" t="s">
        <v>84</v>
      </c>
      <c r="AV509" t="s">
        <v>84</v>
      </c>
      <c r="AX509" t="s">
        <v>84</v>
      </c>
      <c r="BA509" t="s">
        <v>84</v>
      </c>
      <c r="BB509" t="s">
        <v>84</v>
      </c>
      <c r="BG509" t="s">
        <v>84</v>
      </c>
      <c r="BJ509" t="s">
        <v>84</v>
      </c>
      <c r="BK509" t="s">
        <v>84</v>
      </c>
      <c r="BM509" t="s">
        <v>84</v>
      </c>
      <c r="BS509" t="s">
        <v>84</v>
      </c>
      <c r="BT509" t="s">
        <v>84</v>
      </c>
      <c r="BU509">
        <v>0</v>
      </c>
      <c r="BV509">
        <v>0</v>
      </c>
      <c r="BW509">
        <v>7084.498333333333</v>
      </c>
    </row>
    <row r="510" spans="1:75" x14ac:dyDescent="0.25">
      <c r="A510">
        <v>378</v>
      </c>
      <c r="B510" s="1">
        <v>45128.895138888889</v>
      </c>
      <c r="C510" t="s">
        <v>854</v>
      </c>
      <c r="D510" t="s">
        <v>734</v>
      </c>
      <c r="E510" t="s">
        <v>74</v>
      </c>
      <c r="F510">
        <v>1</v>
      </c>
      <c r="G510" t="s">
        <v>855</v>
      </c>
      <c r="H510" t="s">
        <v>856</v>
      </c>
      <c r="I510" t="s">
        <v>179</v>
      </c>
      <c r="J510" t="s">
        <v>857</v>
      </c>
      <c r="K510" t="s">
        <v>188</v>
      </c>
      <c r="L510" t="s">
        <v>106</v>
      </c>
      <c r="M510" t="s">
        <v>854</v>
      </c>
      <c r="N510" t="s">
        <v>882</v>
      </c>
      <c r="O510" t="s">
        <v>82</v>
      </c>
      <c r="P510">
        <v>3552.7525000000001</v>
      </c>
      <c r="Q510" t="s">
        <v>83</v>
      </c>
      <c r="R510">
        <v>7084.4983329999995</v>
      </c>
      <c r="T510">
        <v>1</v>
      </c>
      <c r="X510">
        <v>1</v>
      </c>
      <c r="AE510" t="s">
        <v>84</v>
      </c>
      <c r="AF510">
        <v>500</v>
      </c>
      <c r="AG510" t="s">
        <v>84</v>
      </c>
      <c r="AH510" t="s">
        <v>84</v>
      </c>
      <c r="AJ510" t="s">
        <v>84</v>
      </c>
      <c r="AK510" t="s">
        <v>84</v>
      </c>
      <c r="AQ510" t="s">
        <v>84</v>
      </c>
      <c r="AT510" t="s">
        <v>84</v>
      </c>
      <c r="AU510" t="s">
        <v>84</v>
      </c>
      <c r="AV510" t="s">
        <v>84</v>
      </c>
      <c r="AX510" t="s">
        <v>84</v>
      </c>
      <c r="BA510" t="s">
        <v>84</v>
      </c>
      <c r="BB510" t="s">
        <v>84</v>
      </c>
      <c r="BE510">
        <v>1755</v>
      </c>
      <c r="BG510" t="s">
        <v>84</v>
      </c>
      <c r="BJ510" t="s">
        <v>84</v>
      </c>
      <c r="BK510" t="s">
        <v>84</v>
      </c>
      <c r="BM510" t="s">
        <v>84</v>
      </c>
      <c r="BS510" t="s">
        <v>84</v>
      </c>
      <c r="BT510" t="s">
        <v>84</v>
      </c>
      <c r="BU510">
        <v>0</v>
      </c>
      <c r="BV510">
        <v>0</v>
      </c>
      <c r="BW510">
        <v>7084.498333333333</v>
      </c>
    </row>
    <row r="511" spans="1:75" x14ac:dyDescent="0.25">
      <c r="A511">
        <v>378</v>
      </c>
      <c r="B511" s="1">
        <v>45128.895138888889</v>
      </c>
      <c r="C511" t="s">
        <v>854</v>
      </c>
      <c r="D511" t="s">
        <v>734</v>
      </c>
      <c r="E511" t="s">
        <v>74</v>
      </c>
      <c r="F511">
        <v>0</v>
      </c>
      <c r="G511" t="s">
        <v>855</v>
      </c>
      <c r="H511" t="s">
        <v>856</v>
      </c>
      <c r="I511" t="s">
        <v>179</v>
      </c>
      <c r="J511" t="s">
        <v>857</v>
      </c>
      <c r="K511" t="s">
        <v>84</v>
      </c>
      <c r="L511" t="s">
        <v>106</v>
      </c>
      <c r="M511" t="s">
        <v>854</v>
      </c>
      <c r="N511" t="s">
        <v>883</v>
      </c>
      <c r="O511" t="s">
        <v>82</v>
      </c>
      <c r="P511">
        <v>10689.7675</v>
      </c>
      <c r="Q511" t="s">
        <v>83</v>
      </c>
      <c r="AE511" t="s">
        <v>84</v>
      </c>
      <c r="AG511" t="s">
        <v>84</v>
      </c>
      <c r="AH511" t="s">
        <v>84</v>
      </c>
      <c r="AJ511" t="s">
        <v>84</v>
      </c>
      <c r="AK511" t="s">
        <v>84</v>
      </c>
      <c r="AQ511" t="s">
        <v>84</v>
      </c>
      <c r="AT511" t="s">
        <v>84</v>
      </c>
      <c r="AU511" t="s">
        <v>84</v>
      </c>
      <c r="AV511" t="s">
        <v>84</v>
      </c>
      <c r="AX511" t="s">
        <v>84</v>
      </c>
      <c r="BA511" t="s">
        <v>84</v>
      </c>
      <c r="BB511" t="s">
        <v>84</v>
      </c>
      <c r="BG511" t="s">
        <v>84</v>
      </c>
      <c r="BJ511" t="s">
        <v>84</v>
      </c>
      <c r="BK511" t="s">
        <v>84</v>
      </c>
      <c r="BM511" t="s">
        <v>84</v>
      </c>
      <c r="BS511" t="s">
        <v>84</v>
      </c>
      <c r="BT511" t="s">
        <v>84</v>
      </c>
      <c r="BU511">
        <v>0</v>
      </c>
      <c r="BV511">
        <v>0</v>
      </c>
      <c r="BW511">
        <v>7084.498333333333</v>
      </c>
    </row>
    <row r="512" spans="1:75" x14ac:dyDescent="0.25">
      <c r="A512">
        <v>378</v>
      </c>
      <c r="B512" s="1">
        <v>45128.895138888889</v>
      </c>
      <c r="C512" t="s">
        <v>854</v>
      </c>
      <c r="D512" t="s">
        <v>734</v>
      </c>
      <c r="E512" t="s">
        <v>74</v>
      </c>
      <c r="F512">
        <v>0</v>
      </c>
      <c r="G512" t="s">
        <v>855</v>
      </c>
      <c r="H512" t="s">
        <v>856</v>
      </c>
      <c r="I512" t="s">
        <v>179</v>
      </c>
      <c r="J512" t="s">
        <v>857</v>
      </c>
      <c r="K512" t="s">
        <v>84</v>
      </c>
      <c r="L512" t="s">
        <v>80</v>
      </c>
      <c r="M512" t="s">
        <v>854</v>
      </c>
      <c r="N512" t="s">
        <v>884</v>
      </c>
      <c r="O512" t="s">
        <v>82</v>
      </c>
      <c r="P512">
        <v>609308.48</v>
      </c>
      <c r="Q512" t="s">
        <v>83</v>
      </c>
      <c r="AE512" t="s">
        <v>84</v>
      </c>
      <c r="AG512" t="s">
        <v>84</v>
      </c>
      <c r="AH512" t="s">
        <v>84</v>
      </c>
      <c r="AJ512" t="s">
        <v>84</v>
      </c>
      <c r="AK512" t="s">
        <v>84</v>
      </c>
      <c r="AQ512" t="s">
        <v>84</v>
      </c>
      <c r="AT512" t="s">
        <v>84</v>
      </c>
      <c r="AU512" t="s">
        <v>84</v>
      </c>
      <c r="AV512" t="s">
        <v>84</v>
      </c>
      <c r="AX512" t="s">
        <v>84</v>
      </c>
      <c r="BA512" t="s">
        <v>84</v>
      </c>
      <c r="BB512" t="s">
        <v>84</v>
      </c>
      <c r="BG512" t="s">
        <v>84</v>
      </c>
      <c r="BJ512" t="s">
        <v>84</v>
      </c>
      <c r="BK512" t="s">
        <v>84</v>
      </c>
      <c r="BM512" t="s">
        <v>84</v>
      </c>
      <c r="BS512" t="s">
        <v>84</v>
      </c>
      <c r="BT512" t="s">
        <v>84</v>
      </c>
      <c r="BU512">
        <v>0</v>
      </c>
      <c r="BV512">
        <v>0</v>
      </c>
      <c r="BW512">
        <v>706071.20166666666</v>
      </c>
    </row>
    <row r="513" spans="1:75" x14ac:dyDescent="0.25">
      <c r="A513">
        <v>378</v>
      </c>
      <c r="B513" s="1">
        <v>45128.895138888889</v>
      </c>
      <c r="C513" t="s">
        <v>854</v>
      </c>
      <c r="D513" t="s">
        <v>734</v>
      </c>
      <c r="E513" t="s">
        <v>74</v>
      </c>
      <c r="F513">
        <v>1</v>
      </c>
      <c r="G513" t="s">
        <v>855</v>
      </c>
      <c r="H513" t="s">
        <v>856</v>
      </c>
      <c r="I513" t="s">
        <v>179</v>
      </c>
      <c r="J513" t="s">
        <v>857</v>
      </c>
      <c r="K513" t="s">
        <v>188</v>
      </c>
      <c r="L513" t="s">
        <v>80</v>
      </c>
      <c r="M513" t="s">
        <v>854</v>
      </c>
      <c r="N513" t="s">
        <v>885</v>
      </c>
      <c r="O513" t="s">
        <v>82</v>
      </c>
      <c r="P513">
        <v>650063.18000000005</v>
      </c>
      <c r="Q513" t="s">
        <v>83</v>
      </c>
      <c r="R513">
        <v>706071.20169999998</v>
      </c>
      <c r="T513">
        <v>1</v>
      </c>
      <c r="X513">
        <v>1</v>
      </c>
      <c r="Z513">
        <v>44330</v>
      </c>
      <c r="AA513">
        <v>80150</v>
      </c>
      <c r="AE513" t="s">
        <v>84</v>
      </c>
      <c r="AG513" t="s">
        <v>84</v>
      </c>
      <c r="AH513" t="s">
        <v>84</v>
      </c>
      <c r="AI513">
        <v>50000</v>
      </c>
      <c r="AJ513" t="s">
        <v>84</v>
      </c>
      <c r="AK513" t="s">
        <v>84</v>
      </c>
      <c r="AL513">
        <v>0</v>
      </c>
      <c r="AN513">
        <v>0</v>
      </c>
      <c r="AP513">
        <v>32150</v>
      </c>
      <c r="AQ513" t="s">
        <v>84</v>
      </c>
      <c r="AR513">
        <v>2800</v>
      </c>
      <c r="AT513" t="s">
        <v>84</v>
      </c>
      <c r="AU513" t="s">
        <v>84</v>
      </c>
      <c r="AV513" t="s">
        <v>84</v>
      </c>
      <c r="AW513">
        <v>20917</v>
      </c>
      <c r="AX513" t="s">
        <v>84</v>
      </c>
      <c r="AY513">
        <v>1500</v>
      </c>
      <c r="BA513" t="s">
        <v>84</v>
      </c>
      <c r="BB513" t="s">
        <v>84</v>
      </c>
      <c r="BC513">
        <v>12400</v>
      </c>
      <c r="BD513">
        <v>121621.5</v>
      </c>
      <c r="BG513" t="s">
        <v>84</v>
      </c>
      <c r="BH513">
        <v>18400</v>
      </c>
      <c r="BI513">
        <v>116116</v>
      </c>
      <c r="BJ513" t="s">
        <v>84</v>
      </c>
      <c r="BK513" t="s">
        <v>84</v>
      </c>
      <c r="BM513" t="s">
        <v>84</v>
      </c>
      <c r="BP513">
        <v>23860</v>
      </c>
      <c r="BQ513">
        <v>0</v>
      </c>
      <c r="BR513">
        <v>0</v>
      </c>
      <c r="BS513" t="s">
        <v>84</v>
      </c>
      <c r="BT513" t="s">
        <v>84</v>
      </c>
      <c r="BU513">
        <v>0</v>
      </c>
      <c r="BV513">
        <v>0</v>
      </c>
      <c r="BW513">
        <v>706071.20166666666</v>
      </c>
    </row>
    <row r="514" spans="1:75" x14ac:dyDescent="0.25">
      <c r="A514">
        <v>378</v>
      </c>
      <c r="B514" s="1">
        <v>45128.895138888889</v>
      </c>
      <c r="C514" t="s">
        <v>854</v>
      </c>
      <c r="D514" t="s">
        <v>734</v>
      </c>
      <c r="E514" t="s">
        <v>74</v>
      </c>
      <c r="F514">
        <v>0</v>
      </c>
      <c r="G514" t="s">
        <v>855</v>
      </c>
      <c r="H514" t="s">
        <v>856</v>
      </c>
      <c r="I514" t="s">
        <v>179</v>
      </c>
      <c r="J514" t="s">
        <v>857</v>
      </c>
      <c r="K514" t="s">
        <v>84</v>
      </c>
      <c r="L514" t="s">
        <v>80</v>
      </c>
      <c r="M514" t="s">
        <v>854</v>
      </c>
      <c r="N514" t="s">
        <v>886</v>
      </c>
      <c r="O514" t="s">
        <v>82</v>
      </c>
      <c r="P514">
        <v>858841.94499999995</v>
      </c>
      <c r="Q514" t="s">
        <v>83</v>
      </c>
      <c r="AE514" t="s">
        <v>84</v>
      </c>
      <c r="AG514" t="s">
        <v>84</v>
      </c>
      <c r="AH514" t="s">
        <v>84</v>
      </c>
      <c r="AJ514" t="s">
        <v>84</v>
      </c>
      <c r="AK514" t="s">
        <v>84</v>
      </c>
      <c r="AQ514" t="s">
        <v>84</v>
      </c>
      <c r="AT514" t="s">
        <v>84</v>
      </c>
      <c r="AU514" t="s">
        <v>84</v>
      </c>
      <c r="AV514" t="s">
        <v>84</v>
      </c>
      <c r="AX514" t="s">
        <v>84</v>
      </c>
      <c r="BA514" t="s">
        <v>84</v>
      </c>
      <c r="BB514" t="s">
        <v>84</v>
      </c>
      <c r="BG514" t="s">
        <v>84</v>
      </c>
      <c r="BJ514" t="s">
        <v>84</v>
      </c>
      <c r="BK514" t="s">
        <v>84</v>
      </c>
      <c r="BM514" t="s">
        <v>84</v>
      </c>
      <c r="BS514" t="s">
        <v>84</v>
      </c>
      <c r="BT514" t="s">
        <v>84</v>
      </c>
      <c r="BU514">
        <v>0</v>
      </c>
      <c r="BV514">
        <v>0</v>
      </c>
      <c r="BW514">
        <v>706071.20166666666</v>
      </c>
    </row>
    <row r="515" spans="1:75" x14ac:dyDescent="0.25">
      <c r="A515">
        <v>381</v>
      </c>
      <c r="B515" s="1">
        <v>45128.896527777775</v>
      </c>
      <c r="C515" t="s">
        <v>887</v>
      </c>
      <c r="D515" t="s">
        <v>734</v>
      </c>
      <c r="E515" t="s">
        <v>178</v>
      </c>
      <c r="F515">
        <v>1</v>
      </c>
      <c r="G515" t="s">
        <v>855</v>
      </c>
      <c r="H515" t="s">
        <v>888</v>
      </c>
      <c r="I515" t="s">
        <v>179</v>
      </c>
      <c r="J515" t="s">
        <v>889</v>
      </c>
      <c r="K515" t="s">
        <v>182</v>
      </c>
      <c r="L515" t="s">
        <v>92</v>
      </c>
      <c r="M515" t="s">
        <v>890</v>
      </c>
      <c r="N515" t="s">
        <v>891</v>
      </c>
      <c r="O515" t="s">
        <v>82</v>
      </c>
      <c r="P515">
        <v>16840</v>
      </c>
      <c r="Q515" t="s">
        <v>83</v>
      </c>
      <c r="R515">
        <v>39090</v>
      </c>
      <c r="T515">
        <v>1</v>
      </c>
      <c r="U515">
        <v>1</v>
      </c>
      <c r="V515">
        <v>1</v>
      </c>
      <c r="X515">
        <v>1</v>
      </c>
      <c r="AB515">
        <v>16840</v>
      </c>
      <c r="AE515" t="s">
        <v>84</v>
      </c>
      <c r="AG515" t="s">
        <v>84</v>
      </c>
      <c r="AH515" t="s">
        <v>84</v>
      </c>
      <c r="AJ515" t="s">
        <v>84</v>
      </c>
      <c r="AK515" t="s">
        <v>84</v>
      </c>
      <c r="AQ515" t="s">
        <v>84</v>
      </c>
      <c r="AT515" t="s">
        <v>84</v>
      </c>
      <c r="AU515" t="s">
        <v>84</v>
      </c>
      <c r="AV515" t="s">
        <v>84</v>
      </c>
      <c r="AX515" t="s">
        <v>84</v>
      </c>
      <c r="BA515" t="s">
        <v>84</v>
      </c>
      <c r="BB515" t="s">
        <v>84</v>
      </c>
      <c r="BG515" t="s">
        <v>84</v>
      </c>
      <c r="BJ515" t="s">
        <v>84</v>
      </c>
      <c r="BK515" t="s">
        <v>84</v>
      </c>
      <c r="BM515" t="s">
        <v>84</v>
      </c>
      <c r="BS515" t="s">
        <v>84</v>
      </c>
      <c r="BT515" t="s">
        <v>84</v>
      </c>
      <c r="BU515">
        <v>0</v>
      </c>
      <c r="BV515">
        <v>0</v>
      </c>
      <c r="BW515">
        <v>39090</v>
      </c>
    </row>
    <row r="516" spans="1:75" x14ac:dyDescent="0.25">
      <c r="A516">
        <v>381</v>
      </c>
      <c r="B516" s="1">
        <v>45128.896527777775</v>
      </c>
      <c r="C516" t="s">
        <v>887</v>
      </c>
      <c r="D516" t="s">
        <v>734</v>
      </c>
      <c r="E516" t="s">
        <v>178</v>
      </c>
      <c r="F516">
        <v>0</v>
      </c>
      <c r="G516" t="s">
        <v>855</v>
      </c>
      <c r="H516" t="s">
        <v>888</v>
      </c>
      <c r="I516" t="s">
        <v>179</v>
      </c>
      <c r="J516" t="s">
        <v>889</v>
      </c>
      <c r="K516" t="s">
        <v>84</v>
      </c>
      <c r="L516" t="s">
        <v>92</v>
      </c>
      <c r="M516" t="s">
        <v>892</v>
      </c>
      <c r="N516" t="s">
        <v>893</v>
      </c>
      <c r="O516" t="s">
        <v>82</v>
      </c>
      <c r="P516">
        <v>61340</v>
      </c>
      <c r="Q516" t="s">
        <v>83</v>
      </c>
      <c r="S516">
        <v>1</v>
      </c>
      <c r="V516">
        <v>1</v>
      </c>
      <c r="AE516" t="s">
        <v>84</v>
      </c>
      <c r="AG516" t="s">
        <v>84</v>
      </c>
      <c r="AH516" t="s">
        <v>84</v>
      </c>
      <c r="AJ516" t="s">
        <v>84</v>
      </c>
      <c r="AK516" t="s">
        <v>84</v>
      </c>
      <c r="AQ516" t="s">
        <v>84</v>
      </c>
      <c r="AT516" t="s">
        <v>84</v>
      </c>
      <c r="AU516" t="s">
        <v>84</v>
      </c>
      <c r="AV516" t="s">
        <v>84</v>
      </c>
      <c r="AX516" t="s">
        <v>84</v>
      </c>
      <c r="BA516" t="s">
        <v>84</v>
      </c>
      <c r="BB516" t="s">
        <v>84</v>
      </c>
      <c r="BG516" t="s">
        <v>84</v>
      </c>
      <c r="BJ516" t="s">
        <v>84</v>
      </c>
      <c r="BK516" t="s">
        <v>84</v>
      </c>
      <c r="BM516" t="s">
        <v>84</v>
      </c>
      <c r="BS516" t="s">
        <v>84</v>
      </c>
      <c r="BT516" t="s">
        <v>84</v>
      </c>
      <c r="BU516">
        <v>61340</v>
      </c>
      <c r="BV516">
        <v>0</v>
      </c>
      <c r="BW516">
        <v>39090</v>
      </c>
    </row>
    <row r="517" spans="1:75" x14ac:dyDescent="0.25">
      <c r="A517">
        <v>381</v>
      </c>
      <c r="B517" s="1">
        <v>45128.896527777775</v>
      </c>
      <c r="C517" t="s">
        <v>887</v>
      </c>
      <c r="D517" t="s">
        <v>734</v>
      </c>
      <c r="E517" t="s">
        <v>178</v>
      </c>
      <c r="F517">
        <v>0</v>
      </c>
      <c r="G517" t="s">
        <v>855</v>
      </c>
      <c r="H517" t="s">
        <v>888</v>
      </c>
      <c r="I517" t="s">
        <v>179</v>
      </c>
      <c r="J517" t="s">
        <v>889</v>
      </c>
      <c r="K517" t="s">
        <v>84</v>
      </c>
      <c r="L517" t="s">
        <v>80</v>
      </c>
      <c r="M517" t="s">
        <v>887</v>
      </c>
      <c r="N517" t="s">
        <v>894</v>
      </c>
      <c r="O517" t="s">
        <v>82</v>
      </c>
      <c r="P517">
        <v>845325.12</v>
      </c>
      <c r="Q517" t="s">
        <v>83</v>
      </c>
      <c r="AE517" t="s">
        <v>84</v>
      </c>
      <c r="AG517" t="s">
        <v>84</v>
      </c>
      <c r="AH517" t="s">
        <v>84</v>
      </c>
      <c r="AJ517" t="s">
        <v>84</v>
      </c>
      <c r="AK517" t="s">
        <v>84</v>
      </c>
      <c r="AQ517" t="s">
        <v>84</v>
      </c>
      <c r="AT517" t="s">
        <v>84</v>
      </c>
      <c r="AU517" t="s">
        <v>84</v>
      </c>
      <c r="AV517" t="s">
        <v>84</v>
      </c>
      <c r="AX517" t="s">
        <v>84</v>
      </c>
      <c r="BA517" t="s">
        <v>84</v>
      </c>
      <c r="BB517" t="s">
        <v>84</v>
      </c>
      <c r="BG517" t="s">
        <v>84</v>
      </c>
      <c r="BJ517" t="s">
        <v>84</v>
      </c>
      <c r="BK517" t="s">
        <v>84</v>
      </c>
      <c r="BM517" t="s">
        <v>84</v>
      </c>
      <c r="BS517" t="s">
        <v>84</v>
      </c>
      <c r="BT517" t="s">
        <v>84</v>
      </c>
      <c r="BU517">
        <v>0</v>
      </c>
      <c r="BV517">
        <v>0</v>
      </c>
      <c r="BW517">
        <v>887785.07706666668</v>
      </c>
    </row>
    <row r="518" spans="1:75" x14ac:dyDescent="0.25">
      <c r="A518">
        <v>381</v>
      </c>
      <c r="B518" s="1">
        <v>45128.896527777775</v>
      </c>
      <c r="C518" t="s">
        <v>887</v>
      </c>
      <c r="D518" t="s">
        <v>734</v>
      </c>
      <c r="E518" t="s">
        <v>178</v>
      </c>
      <c r="F518">
        <v>1</v>
      </c>
      <c r="G518" t="s">
        <v>855</v>
      </c>
      <c r="H518" t="s">
        <v>888</v>
      </c>
      <c r="I518" t="s">
        <v>179</v>
      </c>
      <c r="J518" t="s">
        <v>889</v>
      </c>
      <c r="K518" t="s">
        <v>79</v>
      </c>
      <c r="L518" t="s">
        <v>80</v>
      </c>
      <c r="M518" t="s">
        <v>887</v>
      </c>
      <c r="N518" t="s">
        <v>895</v>
      </c>
      <c r="O518" t="s">
        <v>82</v>
      </c>
      <c r="P518">
        <v>924169.75</v>
      </c>
      <c r="Q518" t="s">
        <v>83</v>
      </c>
      <c r="R518">
        <v>887785.07709999999</v>
      </c>
      <c r="Z518">
        <v>73359</v>
      </c>
      <c r="AA518">
        <v>65950</v>
      </c>
      <c r="AE518" t="s">
        <v>84</v>
      </c>
      <c r="AG518" t="s">
        <v>84</v>
      </c>
      <c r="AH518" t="s">
        <v>84</v>
      </c>
      <c r="AI518">
        <v>170000</v>
      </c>
      <c r="AJ518" t="s">
        <v>84</v>
      </c>
      <c r="AK518" t="s">
        <v>84</v>
      </c>
      <c r="AL518">
        <v>0</v>
      </c>
      <c r="AN518">
        <v>0</v>
      </c>
      <c r="AP518">
        <v>50800</v>
      </c>
      <c r="AQ518" t="s">
        <v>84</v>
      </c>
      <c r="AR518">
        <v>2000</v>
      </c>
      <c r="AT518" t="s">
        <v>84</v>
      </c>
      <c r="AU518" t="s">
        <v>84</v>
      </c>
      <c r="AV518" t="s">
        <v>84</v>
      </c>
      <c r="AW518">
        <v>25686</v>
      </c>
      <c r="AX518" t="s">
        <v>84</v>
      </c>
      <c r="AY518">
        <v>13600</v>
      </c>
      <c r="BA518" t="s">
        <v>84</v>
      </c>
      <c r="BB518" t="s">
        <v>84</v>
      </c>
      <c r="BC518">
        <v>24100</v>
      </c>
      <c r="BD518">
        <v>143500.5</v>
      </c>
      <c r="BG518" t="s">
        <v>84</v>
      </c>
      <c r="BH518">
        <v>800</v>
      </c>
      <c r="BI518">
        <v>131860.29999999999</v>
      </c>
      <c r="BJ518" t="s">
        <v>84</v>
      </c>
      <c r="BK518" t="s">
        <v>84</v>
      </c>
      <c r="BM518" t="s">
        <v>84</v>
      </c>
      <c r="BP518">
        <v>37680</v>
      </c>
      <c r="BQ518">
        <v>0</v>
      </c>
      <c r="BR518">
        <v>0</v>
      </c>
      <c r="BS518" t="s">
        <v>84</v>
      </c>
      <c r="BT518" t="s">
        <v>84</v>
      </c>
      <c r="BU518">
        <v>0</v>
      </c>
      <c r="BV518">
        <v>0</v>
      </c>
      <c r="BW518">
        <v>887785.07706666668</v>
      </c>
    </row>
    <row r="519" spans="1:75" x14ac:dyDescent="0.25">
      <c r="A519">
        <v>381</v>
      </c>
      <c r="B519" s="1">
        <v>45128.896527777775</v>
      </c>
      <c r="C519" t="s">
        <v>887</v>
      </c>
      <c r="D519" t="s">
        <v>734</v>
      </c>
      <c r="E519" t="s">
        <v>178</v>
      </c>
      <c r="F519">
        <v>0</v>
      </c>
      <c r="G519" t="s">
        <v>855</v>
      </c>
      <c r="H519" t="s">
        <v>888</v>
      </c>
      <c r="I519" t="s">
        <v>179</v>
      </c>
      <c r="J519" t="s">
        <v>889</v>
      </c>
      <c r="K519" t="s">
        <v>84</v>
      </c>
      <c r="L519" t="s">
        <v>80</v>
      </c>
      <c r="M519" t="s">
        <v>887</v>
      </c>
      <c r="N519" t="s">
        <v>896</v>
      </c>
      <c r="O519" t="s">
        <v>82</v>
      </c>
      <c r="P519">
        <v>893860.36120000004</v>
      </c>
      <c r="Q519" t="s">
        <v>83</v>
      </c>
      <c r="AE519" t="s">
        <v>84</v>
      </c>
      <c r="AG519" t="s">
        <v>84</v>
      </c>
      <c r="AH519" t="s">
        <v>84</v>
      </c>
      <c r="AJ519" t="s">
        <v>84</v>
      </c>
      <c r="AK519" t="s">
        <v>84</v>
      </c>
      <c r="AQ519" t="s">
        <v>84</v>
      </c>
      <c r="AT519" t="s">
        <v>84</v>
      </c>
      <c r="AU519" t="s">
        <v>84</v>
      </c>
      <c r="AV519" t="s">
        <v>84</v>
      </c>
      <c r="AX519" t="s">
        <v>84</v>
      </c>
      <c r="BA519" t="s">
        <v>84</v>
      </c>
      <c r="BB519" t="s">
        <v>84</v>
      </c>
      <c r="BG519" t="s">
        <v>84</v>
      </c>
      <c r="BJ519" t="s">
        <v>84</v>
      </c>
      <c r="BK519" t="s">
        <v>84</v>
      </c>
      <c r="BM519" t="s">
        <v>84</v>
      </c>
      <c r="BS519" t="s">
        <v>84</v>
      </c>
      <c r="BT519" t="s">
        <v>84</v>
      </c>
      <c r="BU519">
        <v>0</v>
      </c>
      <c r="BV519">
        <v>0</v>
      </c>
      <c r="BW519">
        <v>887785.07706666668</v>
      </c>
    </row>
    <row r="520" spans="1:75" x14ac:dyDescent="0.25">
      <c r="A520">
        <v>381</v>
      </c>
      <c r="B520" s="1">
        <v>45128.896527777775</v>
      </c>
      <c r="C520" t="s">
        <v>887</v>
      </c>
      <c r="D520" t="s">
        <v>734</v>
      </c>
      <c r="E520" t="s">
        <v>178</v>
      </c>
      <c r="F520">
        <v>0</v>
      </c>
      <c r="G520" t="s">
        <v>855</v>
      </c>
      <c r="H520" t="s">
        <v>888</v>
      </c>
      <c r="I520" t="s">
        <v>179</v>
      </c>
      <c r="J520" t="s">
        <v>889</v>
      </c>
      <c r="K520" t="s">
        <v>84</v>
      </c>
      <c r="L520" t="s">
        <v>106</v>
      </c>
      <c r="M520" t="s">
        <v>887</v>
      </c>
      <c r="N520" t="s">
        <v>897</v>
      </c>
      <c r="O520" t="s">
        <v>82</v>
      </c>
      <c r="P520">
        <v>1339.175</v>
      </c>
      <c r="Q520" t="s">
        <v>83</v>
      </c>
      <c r="AE520" t="s">
        <v>84</v>
      </c>
      <c r="AG520" t="s">
        <v>84</v>
      </c>
      <c r="AH520" t="s">
        <v>84</v>
      </c>
      <c r="AJ520" t="s">
        <v>84</v>
      </c>
      <c r="AK520" t="s">
        <v>84</v>
      </c>
      <c r="AQ520" t="s">
        <v>84</v>
      </c>
      <c r="AT520" t="s">
        <v>84</v>
      </c>
      <c r="AU520" t="s">
        <v>84</v>
      </c>
      <c r="AV520" t="s">
        <v>84</v>
      </c>
      <c r="AX520" t="s">
        <v>84</v>
      </c>
      <c r="BA520" t="s">
        <v>84</v>
      </c>
      <c r="BB520" t="s">
        <v>84</v>
      </c>
      <c r="BG520" t="s">
        <v>84</v>
      </c>
      <c r="BJ520" t="s">
        <v>84</v>
      </c>
      <c r="BK520" t="s">
        <v>84</v>
      </c>
      <c r="BM520" t="s">
        <v>84</v>
      </c>
      <c r="BS520" t="s">
        <v>84</v>
      </c>
      <c r="BT520" t="s">
        <v>84</v>
      </c>
      <c r="BU520">
        <v>0</v>
      </c>
      <c r="BV520">
        <v>0</v>
      </c>
      <c r="BW520">
        <v>7530.8900000000012</v>
      </c>
    </row>
    <row r="521" spans="1:75" x14ac:dyDescent="0.25">
      <c r="A521">
        <v>381</v>
      </c>
      <c r="B521" s="1">
        <v>45128.896527777775</v>
      </c>
      <c r="C521" t="s">
        <v>887</v>
      </c>
      <c r="D521" t="s">
        <v>734</v>
      </c>
      <c r="E521" t="s">
        <v>178</v>
      </c>
      <c r="F521">
        <v>1</v>
      </c>
      <c r="G521" t="s">
        <v>855</v>
      </c>
      <c r="H521" t="s">
        <v>888</v>
      </c>
      <c r="I521" t="s">
        <v>179</v>
      </c>
      <c r="J521" t="s">
        <v>889</v>
      </c>
      <c r="K521" t="s">
        <v>79</v>
      </c>
      <c r="L521" t="s">
        <v>106</v>
      </c>
      <c r="M521" t="s">
        <v>887</v>
      </c>
      <c r="N521" t="s">
        <v>898</v>
      </c>
      <c r="O521" t="s">
        <v>82</v>
      </c>
      <c r="P521">
        <v>9886.2625000000007</v>
      </c>
      <c r="Q521" t="s">
        <v>83</v>
      </c>
      <c r="R521">
        <v>7530.89</v>
      </c>
      <c r="AE521" t="s">
        <v>84</v>
      </c>
      <c r="AF521">
        <v>4400</v>
      </c>
      <c r="AG521" t="s">
        <v>84</v>
      </c>
      <c r="AH521" t="s">
        <v>84</v>
      </c>
      <c r="AJ521" t="s">
        <v>84</v>
      </c>
      <c r="AK521" t="s">
        <v>84</v>
      </c>
      <c r="AQ521" t="s">
        <v>84</v>
      </c>
      <c r="AT521" t="s">
        <v>84</v>
      </c>
      <c r="AU521" t="s">
        <v>84</v>
      </c>
      <c r="AV521" t="s">
        <v>84</v>
      </c>
      <c r="AX521" t="s">
        <v>84</v>
      </c>
      <c r="BA521" t="s">
        <v>84</v>
      </c>
      <c r="BB521" t="s">
        <v>84</v>
      </c>
      <c r="BE521">
        <v>1875</v>
      </c>
      <c r="BG521" t="s">
        <v>84</v>
      </c>
      <c r="BJ521" t="s">
        <v>84</v>
      </c>
      <c r="BK521" t="s">
        <v>84</v>
      </c>
      <c r="BM521" t="s">
        <v>84</v>
      </c>
      <c r="BS521" t="s">
        <v>84</v>
      </c>
      <c r="BT521" t="s">
        <v>84</v>
      </c>
      <c r="BU521">
        <v>0</v>
      </c>
      <c r="BV521">
        <v>0</v>
      </c>
      <c r="BW521">
        <v>7530.8900000000012</v>
      </c>
    </row>
    <row r="522" spans="1:75" x14ac:dyDescent="0.25">
      <c r="A522">
        <v>381</v>
      </c>
      <c r="B522" s="1">
        <v>45128.896527777775</v>
      </c>
      <c r="C522" t="s">
        <v>887</v>
      </c>
      <c r="D522" t="s">
        <v>734</v>
      </c>
      <c r="E522" t="s">
        <v>178</v>
      </c>
      <c r="F522">
        <v>0</v>
      </c>
      <c r="G522" t="s">
        <v>855</v>
      </c>
      <c r="H522" t="s">
        <v>888</v>
      </c>
      <c r="I522" t="s">
        <v>179</v>
      </c>
      <c r="J522" t="s">
        <v>889</v>
      </c>
      <c r="K522" t="s">
        <v>84</v>
      </c>
      <c r="L522" t="s">
        <v>106</v>
      </c>
      <c r="M522" t="s">
        <v>887</v>
      </c>
      <c r="N522" t="s">
        <v>899</v>
      </c>
      <c r="O522" t="s">
        <v>82</v>
      </c>
      <c r="P522">
        <v>11367.2325</v>
      </c>
      <c r="Q522" t="s">
        <v>83</v>
      </c>
      <c r="AE522" t="s">
        <v>84</v>
      </c>
      <c r="AG522" t="s">
        <v>84</v>
      </c>
      <c r="AH522" t="s">
        <v>84</v>
      </c>
      <c r="AJ522" t="s">
        <v>84</v>
      </c>
      <c r="AK522" t="s">
        <v>84</v>
      </c>
      <c r="AQ522" t="s">
        <v>84</v>
      </c>
      <c r="AT522" t="s">
        <v>84</v>
      </c>
      <c r="AU522" t="s">
        <v>84</v>
      </c>
      <c r="AV522" t="s">
        <v>84</v>
      </c>
      <c r="AX522" t="s">
        <v>84</v>
      </c>
      <c r="BA522" t="s">
        <v>84</v>
      </c>
      <c r="BB522" t="s">
        <v>84</v>
      </c>
      <c r="BG522" t="s">
        <v>84</v>
      </c>
      <c r="BJ522" t="s">
        <v>84</v>
      </c>
      <c r="BK522" t="s">
        <v>84</v>
      </c>
      <c r="BM522" t="s">
        <v>84</v>
      </c>
      <c r="BS522" t="s">
        <v>84</v>
      </c>
      <c r="BT522" t="s">
        <v>84</v>
      </c>
      <c r="BU522">
        <v>0</v>
      </c>
      <c r="BV522">
        <v>0</v>
      </c>
      <c r="BW522">
        <v>7530.8900000000012</v>
      </c>
    </row>
    <row r="523" spans="1:75" x14ac:dyDescent="0.25">
      <c r="A523">
        <v>381</v>
      </c>
      <c r="B523" s="1">
        <v>45128.896527777775</v>
      </c>
      <c r="C523" t="s">
        <v>887</v>
      </c>
      <c r="D523" t="s">
        <v>734</v>
      </c>
      <c r="E523" t="s">
        <v>178</v>
      </c>
      <c r="F523">
        <v>0</v>
      </c>
      <c r="G523" t="s">
        <v>855</v>
      </c>
      <c r="H523" t="s">
        <v>888</v>
      </c>
      <c r="I523" t="s">
        <v>179</v>
      </c>
      <c r="J523" t="s">
        <v>889</v>
      </c>
      <c r="K523" t="s">
        <v>84</v>
      </c>
      <c r="L523" t="s">
        <v>110</v>
      </c>
      <c r="M523" t="s">
        <v>887</v>
      </c>
      <c r="N523" t="s">
        <v>900</v>
      </c>
      <c r="O523" t="s">
        <v>82</v>
      </c>
      <c r="P523">
        <v>20736</v>
      </c>
      <c r="Q523" t="s">
        <v>83</v>
      </c>
      <c r="AE523" t="s">
        <v>84</v>
      </c>
      <c r="AG523" t="s">
        <v>84</v>
      </c>
      <c r="AH523" t="s">
        <v>84</v>
      </c>
      <c r="AJ523" t="s">
        <v>84</v>
      </c>
      <c r="AK523" t="s">
        <v>84</v>
      </c>
      <c r="AQ523" t="s">
        <v>84</v>
      </c>
      <c r="AT523" t="s">
        <v>84</v>
      </c>
      <c r="AU523" t="s">
        <v>84</v>
      </c>
      <c r="AV523" t="s">
        <v>84</v>
      </c>
      <c r="AX523" t="s">
        <v>84</v>
      </c>
      <c r="BA523" t="s">
        <v>84</v>
      </c>
      <c r="BB523" t="s">
        <v>84</v>
      </c>
      <c r="BG523" t="s">
        <v>84</v>
      </c>
      <c r="BJ523" t="s">
        <v>84</v>
      </c>
      <c r="BK523" t="s">
        <v>84</v>
      </c>
      <c r="BM523" t="s">
        <v>84</v>
      </c>
      <c r="BS523" t="s">
        <v>84</v>
      </c>
      <c r="BT523" t="s">
        <v>84</v>
      </c>
      <c r="BU523">
        <v>0</v>
      </c>
      <c r="BV523">
        <v>0</v>
      </c>
      <c r="BW523">
        <v>12357</v>
      </c>
    </row>
    <row r="524" spans="1:75" x14ac:dyDescent="0.25">
      <c r="A524">
        <v>381</v>
      </c>
      <c r="B524" s="1">
        <v>45128.896527777775</v>
      </c>
      <c r="C524" t="s">
        <v>887</v>
      </c>
      <c r="D524" t="s">
        <v>734</v>
      </c>
      <c r="E524" t="s">
        <v>178</v>
      </c>
      <c r="F524">
        <v>1</v>
      </c>
      <c r="G524" t="s">
        <v>855</v>
      </c>
      <c r="H524" t="s">
        <v>888</v>
      </c>
      <c r="I524" t="s">
        <v>179</v>
      </c>
      <c r="J524" t="s">
        <v>889</v>
      </c>
      <c r="K524" t="s">
        <v>79</v>
      </c>
      <c r="L524" t="s">
        <v>110</v>
      </c>
      <c r="M524" t="s">
        <v>887</v>
      </c>
      <c r="N524" t="s">
        <v>901</v>
      </c>
      <c r="O524" t="s">
        <v>82</v>
      </c>
      <c r="P524">
        <v>7434</v>
      </c>
      <c r="Q524" t="s">
        <v>83</v>
      </c>
      <c r="R524">
        <v>12357</v>
      </c>
      <c r="Z524">
        <v>0</v>
      </c>
      <c r="AA524">
        <v>0</v>
      </c>
      <c r="AE524" t="s">
        <v>84</v>
      </c>
      <c r="AG524" t="s">
        <v>84</v>
      </c>
      <c r="AH524" t="s">
        <v>84</v>
      </c>
      <c r="AI524">
        <v>0</v>
      </c>
      <c r="AJ524" t="s">
        <v>84</v>
      </c>
      <c r="AK524" t="s">
        <v>84</v>
      </c>
      <c r="AL524">
        <v>0</v>
      </c>
      <c r="AN524">
        <v>0</v>
      </c>
      <c r="AP524">
        <v>0</v>
      </c>
      <c r="AQ524" t="s">
        <v>84</v>
      </c>
      <c r="AR524">
        <v>0</v>
      </c>
      <c r="AT524" t="s">
        <v>84</v>
      </c>
      <c r="AU524" t="s">
        <v>84</v>
      </c>
      <c r="AV524" t="s">
        <v>84</v>
      </c>
      <c r="AW524">
        <v>0</v>
      </c>
      <c r="AX524" t="s">
        <v>84</v>
      </c>
      <c r="AY524">
        <v>5900</v>
      </c>
      <c r="BA524" t="s">
        <v>84</v>
      </c>
      <c r="BB524" t="s">
        <v>84</v>
      </c>
      <c r="BC524">
        <v>0</v>
      </c>
      <c r="BD524">
        <v>0</v>
      </c>
      <c r="BG524" t="s">
        <v>84</v>
      </c>
      <c r="BH524">
        <v>0</v>
      </c>
      <c r="BI524">
        <v>0</v>
      </c>
      <c r="BJ524" t="s">
        <v>84</v>
      </c>
      <c r="BK524" t="s">
        <v>84</v>
      </c>
      <c r="BM524" t="s">
        <v>84</v>
      </c>
      <c r="BP524">
        <v>0</v>
      </c>
      <c r="BQ524">
        <v>0</v>
      </c>
      <c r="BR524">
        <v>0</v>
      </c>
      <c r="BS524" t="s">
        <v>84</v>
      </c>
      <c r="BT524" t="s">
        <v>84</v>
      </c>
      <c r="BU524">
        <v>0</v>
      </c>
      <c r="BV524">
        <v>0</v>
      </c>
      <c r="BW524">
        <v>12357</v>
      </c>
    </row>
    <row r="525" spans="1:75" x14ac:dyDescent="0.25">
      <c r="A525">
        <v>381</v>
      </c>
      <c r="B525" s="1">
        <v>45128.896527777775</v>
      </c>
      <c r="C525" t="s">
        <v>887</v>
      </c>
      <c r="D525" t="s">
        <v>734</v>
      </c>
      <c r="E525" t="s">
        <v>178</v>
      </c>
      <c r="F525">
        <v>0</v>
      </c>
      <c r="G525" t="s">
        <v>855</v>
      </c>
      <c r="H525" t="s">
        <v>888</v>
      </c>
      <c r="I525" t="s">
        <v>179</v>
      </c>
      <c r="J525" t="s">
        <v>889</v>
      </c>
      <c r="K525" t="s">
        <v>84</v>
      </c>
      <c r="L525" t="s">
        <v>110</v>
      </c>
      <c r="M525" t="s">
        <v>887</v>
      </c>
      <c r="N525" t="s">
        <v>902</v>
      </c>
      <c r="O525" t="s">
        <v>82</v>
      </c>
      <c r="P525">
        <v>8901</v>
      </c>
      <c r="Q525" t="s">
        <v>83</v>
      </c>
      <c r="AE525" t="s">
        <v>84</v>
      </c>
      <c r="AG525" t="s">
        <v>84</v>
      </c>
      <c r="AH525" t="s">
        <v>84</v>
      </c>
      <c r="AJ525" t="s">
        <v>84</v>
      </c>
      <c r="AK525" t="s">
        <v>84</v>
      </c>
      <c r="AQ525" t="s">
        <v>84</v>
      </c>
      <c r="AT525" t="s">
        <v>84</v>
      </c>
      <c r="AU525" t="s">
        <v>84</v>
      </c>
      <c r="AV525" t="s">
        <v>84</v>
      </c>
      <c r="AX525" t="s">
        <v>84</v>
      </c>
      <c r="BA525" t="s">
        <v>84</v>
      </c>
      <c r="BB525" t="s">
        <v>84</v>
      </c>
      <c r="BG525" t="s">
        <v>84</v>
      </c>
      <c r="BJ525" t="s">
        <v>84</v>
      </c>
      <c r="BK525" t="s">
        <v>84</v>
      </c>
      <c r="BM525" t="s">
        <v>84</v>
      </c>
      <c r="BS525" t="s">
        <v>84</v>
      </c>
      <c r="BT525" t="s">
        <v>84</v>
      </c>
      <c r="BU525">
        <v>0</v>
      </c>
      <c r="BV525">
        <v>0</v>
      </c>
      <c r="BW525">
        <v>12357</v>
      </c>
    </row>
    <row r="526" spans="1:75" x14ac:dyDescent="0.25">
      <c r="A526">
        <v>381</v>
      </c>
      <c r="B526" s="1">
        <v>45128.896527777775</v>
      </c>
      <c r="C526" t="s">
        <v>887</v>
      </c>
      <c r="D526" t="s">
        <v>734</v>
      </c>
      <c r="E526" t="s">
        <v>178</v>
      </c>
      <c r="F526">
        <v>0</v>
      </c>
      <c r="G526" t="s">
        <v>855</v>
      </c>
      <c r="H526" t="s">
        <v>888</v>
      </c>
      <c r="I526" t="s">
        <v>179</v>
      </c>
      <c r="J526" t="s">
        <v>889</v>
      </c>
      <c r="K526" t="s">
        <v>84</v>
      </c>
      <c r="L526" t="s">
        <v>87</v>
      </c>
      <c r="M526" t="s">
        <v>903</v>
      </c>
      <c r="N526" t="s">
        <v>904</v>
      </c>
      <c r="O526" t="s">
        <v>82</v>
      </c>
      <c r="P526">
        <v>113916.25</v>
      </c>
      <c r="Q526" t="s">
        <v>83</v>
      </c>
      <c r="AE526" t="s">
        <v>84</v>
      </c>
      <c r="AG526" t="s">
        <v>84</v>
      </c>
      <c r="AH526" t="s">
        <v>84</v>
      </c>
      <c r="AJ526" t="s">
        <v>84</v>
      </c>
      <c r="AK526" t="s">
        <v>84</v>
      </c>
      <c r="AQ526" t="s">
        <v>84</v>
      </c>
      <c r="AT526" t="s">
        <v>84</v>
      </c>
      <c r="AU526" t="s">
        <v>84</v>
      </c>
      <c r="AV526" t="s">
        <v>84</v>
      </c>
      <c r="AX526" t="s">
        <v>84</v>
      </c>
      <c r="BA526" t="s">
        <v>84</v>
      </c>
      <c r="BB526" t="s">
        <v>84</v>
      </c>
      <c r="BG526" t="s">
        <v>84</v>
      </c>
      <c r="BJ526" t="s">
        <v>84</v>
      </c>
      <c r="BK526" t="s">
        <v>84</v>
      </c>
      <c r="BM526" t="s">
        <v>84</v>
      </c>
      <c r="BS526" t="s">
        <v>84</v>
      </c>
      <c r="BT526" t="s">
        <v>84</v>
      </c>
      <c r="BU526">
        <v>0</v>
      </c>
      <c r="BV526">
        <v>0</v>
      </c>
      <c r="BW526">
        <v>114682.08887666666</v>
      </c>
    </row>
    <row r="527" spans="1:75" x14ac:dyDescent="0.25">
      <c r="A527">
        <v>381</v>
      </c>
      <c r="B527" s="1">
        <v>45128.896527777775</v>
      </c>
      <c r="C527" t="s">
        <v>887</v>
      </c>
      <c r="D527" t="s">
        <v>734</v>
      </c>
      <c r="E527" t="s">
        <v>178</v>
      </c>
      <c r="F527">
        <v>0</v>
      </c>
      <c r="G527" t="s">
        <v>855</v>
      </c>
      <c r="H527" t="s">
        <v>888</v>
      </c>
      <c r="I527" t="s">
        <v>179</v>
      </c>
      <c r="J527" t="s">
        <v>889</v>
      </c>
      <c r="K527" t="s">
        <v>84</v>
      </c>
      <c r="L527" t="s">
        <v>87</v>
      </c>
      <c r="M527" t="s">
        <v>887</v>
      </c>
      <c r="N527" t="s">
        <v>905</v>
      </c>
      <c r="O527" t="s">
        <v>82</v>
      </c>
      <c r="P527">
        <v>42051.68333</v>
      </c>
      <c r="Q527" t="s">
        <v>83</v>
      </c>
      <c r="AE527" t="s">
        <v>84</v>
      </c>
      <c r="AG527" t="s">
        <v>84</v>
      </c>
      <c r="AH527" t="s">
        <v>84</v>
      </c>
      <c r="AJ527" t="s">
        <v>84</v>
      </c>
      <c r="AK527" t="s">
        <v>84</v>
      </c>
      <c r="AQ527" t="s">
        <v>84</v>
      </c>
      <c r="AT527" t="s">
        <v>84</v>
      </c>
      <c r="AU527" t="s">
        <v>84</v>
      </c>
      <c r="AV527" t="s">
        <v>84</v>
      </c>
      <c r="AX527" t="s">
        <v>84</v>
      </c>
      <c r="BA527" t="s">
        <v>84</v>
      </c>
      <c r="BB527" t="s">
        <v>84</v>
      </c>
      <c r="BG527" t="s">
        <v>84</v>
      </c>
      <c r="BJ527" t="s">
        <v>84</v>
      </c>
      <c r="BK527" t="s">
        <v>84</v>
      </c>
      <c r="BM527" t="s">
        <v>84</v>
      </c>
      <c r="BS527" t="s">
        <v>84</v>
      </c>
      <c r="BT527" t="s">
        <v>84</v>
      </c>
      <c r="BU527">
        <v>0</v>
      </c>
      <c r="BV527">
        <v>0</v>
      </c>
      <c r="BW527">
        <v>114682.08887666666</v>
      </c>
    </row>
    <row r="528" spans="1:75" x14ac:dyDescent="0.25">
      <c r="A528">
        <v>381</v>
      </c>
      <c r="B528" s="1">
        <v>45128.896527777775</v>
      </c>
      <c r="C528" t="s">
        <v>887</v>
      </c>
      <c r="D528" t="s">
        <v>734</v>
      </c>
      <c r="E528" t="s">
        <v>178</v>
      </c>
      <c r="F528">
        <v>1</v>
      </c>
      <c r="G528" t="s">
        <v>855</v>
      </c>
      <c r="H528" t="s">
        <v>888</v>
      </c>
      <c r="I528" t="s">
        <v>179</v>
      </c>
      <c r="J528" t="s">
        <v>889</v>
      </c>
      <c r="K528" t="s">
        <v>316</v>
      </c>
      <c r="L528" t="s">
        <v>87</v>
      </c>
      <c r="M528" t="s">
        <v>887</v>
      </c>
      <c r="N528" t="s">
        <v>906</v>
      </c>
      <c r="O528" t="s">
        <v>82</v>
      </c>
      <c r="P528">
        <v>188078.3333</v>
      </c>
      <c r="Q528" t="s">
        <v>83</v>
      </c>
      <c r="R528">
        <v>114682.0889</v>
      </c>
      <c r="V528">
        <v>1</v>
      </c>
      <c r="AE528" t="s">
        <v>84</v>
      </c>
      <c r="AG528" t="s">
        <v>84</v>
      </c>
      <c r="AH528" t="s">
        <v>84</v>
      </c>
      <c r="AJ528" t="s">
        <v>84</v>
      </c>
      <c r="AK528" t="s">
        <v>84</v>
      </c>
      <c r="AL528">
        <v>35900</v>
      </c>
      <c r="AM528">
        <v>51850</v>
      </c>
      <c r="AN528">
        <v>31700</v>
      </c>
      <c r="AO528">
        <v>17750</v>
      </c>
      <c r="AQ528" t="s">
        <v>84</v>
      </c>
      <c r="AT528" t="s">
        <v>84</v>
      </c>
      <c r="AU528" t="s">
        <v>84</v>
      </c>
      <c r="AV528" t="s">
        <v>84</v>
      </c>
      <c r="AX528" t="s">
        <v>84</v>
      </c>
      <c r="BA528" t="s">
        <v>84</v>
      </c>
      <c r="BB528" t="s">
        <v>84</v>
      </c>
      <c r="BG528" t="s">
        <v>84</v>
      </c>
      <c r="BJ528" t="s">
        <v>84</v>
      </c>
      <c r="BK528" t="s">
        <v>84</v>
      </c>
      <c r="BM528" t="s">
        <v>84</v>
      </c>
      <c r="BS528" t="s">
        <v>84</v>
      </c>
      <c r="BT528" t="s">
        <v>84</v>
      </c>
      <c r="BU528">
        <v>0</v>
      </c>
      <c r="BV528">
        <v>0</v>
      </c>
      <c r="BW528">
        <v>114682.08887666666</v>
      </c>
    </row>
    <row r="529" spans="1:75" x14ac:dyDescent="0.25">
      <c r="A529">
        <v>381</v>
      </c>
      <c r="B529" s="1">
        <v>45128.896527777775</v>
      </c>
      <c r="C529" t="s">
        <v>887</v>
      </c>
      <c r="D529" t="s">
        <v>734</v>
      </c>
      <c r="E529" t="s">
        <v>178</v>
      </c>
      <c r="F529">
        <v>0</v>
      </c>
      <c r="G529" t="s">
        <v>855</v>
      </c>
      <c r="H529" t="s">
        <v>888</v>
      </c>
      <c r="I529" t="s">
        <v>179</v>
      </c>
      <c r="J529" t="s">
        <v>889</v>
      </c>
      <c r="K529" t="s">
        <v>84</v>
      </c>
      <c r="L529" t="s">
        <v>98</v>
      </c>
      <c r="M529" t="s">
        <v>907</v>
      </c>
      <c r="N529" t="s">
        <v>908</v>
      </c>
      <c r="O529" t="s">
        <v>82</v>
      </c>
      <c r="P529">
        <v>50400</v>
      </c>
      <c r="Q529" t="s">
        <v>83</v>
      </c>
      <c r="AE529" t="s">
        <v>84</v>
      </c>
      <c r="AG529" t="s">
        <v>84</v>
      </c>
      <c r="AH529" t="s">
        <v>84</v>
      </c>
      <c r="AJ529" t="s">
        <v>84</v>
      </c>
      <c r="AK529" t="s">
        <v>84</v>
      </c>
      <c r="AQ529" t="s">
        <v>84</v>
      </c>
      <c r="AT529" t="s">
        <v>84</v>
      </c>
      <c r="AU529" t="s">
        <v>84</v>
      </c>
      <c r="AV529" t="s">
        <v>84</v>
      </c>
      <c r="AX529" t="s">
        <v>84</v>
      </c>
      <c r="BA529" t="s">
        <v>84</v>
      </c>
      <c r="BB529" t="s">
        <v>84</v>
      </c>
      <c r="BG529" t="s">
        <v>84</v>
      </c>
      <c r="BJ529" t="s">
        <v>84</v>
      </c>
      <c r="BK529" t="s">
        <v>84</v>
      </c>
      <c r="BM529" t="s">
        <v>84</v>
      </c>
      <c r="BS529" t="s">
        <v>84</v>
      </c>
      <c r="BT529" t="s">
        <v>84</v>
      </c>
      <c r="BU529">
        <v>0</v>
      </c>
      <c r="BV529">
        <v>0</v>
      </c>
      <c r="BW529">
        <v>35100</v>
      </c>
    </row>
    <row r="530" spans="1:75" x14ac:dyDescent="0.25">
      <c r="A530">
        <v>381</v>
      </c>
      <c r="B530" s="1">
        <v>45128.896527777775</v>
      </c>
      <c r="C530" t="s">
        <v>887</v>
      </c>
      <c r="D530" t="s">
        <v>734</v>
      </c>
      <c r="E530" t="s">
        <v>178</v>
      </c>
      <c r="F530">
        <v>1</v>
      </c>
      <c r="G530" t="s">
        <v>855</v>
      </c>
      <c r="H530" t="s">
        <v>888</v>
      </c>
      <c r="I530" t="s">
        <v>179</v>
      </c>
      <c r="J530" t="s">
        <v>889</v>
      </c>
      <c r="K530" t="s">
        <v>909</v>
      </c>
      <c r="L530" t="s">
        <v>98</v>
      </c>
      <c r="M530" t="s">
        <v>910</v>
      </c>
      <c r="N530" t="s">
        <v>911</v>
      </c>
      <c r="O530" t="s">
        <v>82</v>
      </c>
      <c r="P530">
        <v>19800</v>
      </c>
      <c r="Q530" t="s">
        <v>83</v>
      </c>
      <c r="R530">
        <v>35100</v>
      </c>
      <c r="AE530" t="s">
        <v>84</v>
      </c>
      <c r="AG530" t="s">
        <v>84</v>
      </c>
      <c r="AH530" t="s">
        <v>84</v>
      </c>
      <c r="AJ530" t="s">
        <v>84</v>
      </c>
      <c r="AK530" t="s">
        <v>84</v>
      </c>
      <c r="AQ530" t="s">
        <v>84</v>
      </c>
      <c r="AS530">
        <v>19800</v>
      </c>
      <c r="AT530" t="s">
        <v>84</v>
      </c>
      <c r="AU530" t="s">
        <v>84</v>
      </c>
      <c r="AV530" t="s">
        <v>84</v>
      </c>
      <c r="AX530" t="s">
        <v>84</v>
      </c>
      <c r="BA530" t="s">
        <v>84</v>
      </c>
      <c r="BB530" t="s">
        <v>84</v>
      </c>
      <c r="BG530" t="s">
        <v>84</v>
      </c>
      <c r="BJ530" t="s">
        <v>84</v>
      </c>
      <c r="BK530" t="s">
        <v>84</v>
      </c>
      <c r="BM530" t="s">
        <v>84</v>
      </c>
      <c r="BS530" t="s">
        <v>84</v>
      </c>
      <c r="BT530" t="s">
        <v>84</v>
      </c>
      <c r="BU530">
        <v>0</v>
      </c>
      <c r="BV530">
        <v>0</v>
      </c>
      <c r="BW530">
        <v>35100</v>
      </c>
    </row>
    <row r="531" spans="1:75" x14ac:dyDescent="0.25">
      <c r="A531">
        <v>383</v>
      </c>
      <c r="B531" s="1">
        <v>45128.897222222222</v>
      </c>
      <c r="C531" t="s">
        <v>912</v>
      </c>
      <c r="D531" t="s">
        <v>734</v>
      </c>
      <c r="E531" t="s">
        <v>178</v>
      </c>
      <c r="F531">
        <v>1</v>
      </c>
      <c r="G531" t="s">
        <v>855</v>
      </c>
      <c r="H531" t="s">
        <v>913</v>
      </c>
      <c r="I531" t="s">
        <v>179</v>
      </c>
      <c r="J531" t="s">
        <v>914</v>
      </c>
      <c r="K531" t="s">
        <v>221</v>
      </c>
      <c r="L531" t="s">
        <v>92</v>
      </c>
      <c r="M531" t="s">
        <v>915</v>
      </c>
      <c r="N531" t="s">
        <v>221</v>
      </c>
      <c r="O531" t="s">
        <v>82</v>
      </c>
      <c r="P531">
        <v>26860</v>
      </c>
      <c r="Q531" t="s">
        <v>83</v>
      </c>
      <c r="R531">
        <v>29703.333330000001</v>
      </c>
      <c r="AB531">
        <v>26860</v>
      </c>
      <c r="AE531" t="s">
        <v>84</v>
      </c>
      <c r="AG531" t="s">
        <v>84</v>
      </c>
      <c r="AH531" t="s">
        <v>84</v>
      </c>
      <c r="AJ531" t="s">
        <v>84</v>
      </c>
      <c r="AK531" t="s">
        <v>84</v>
      </c>
      <c r="AQ531" t="s">
        <v>84</v>
      </c>
      <c r="AT531" t="s">
        <v>84</v>
      </c>
      <c r="AU531" t="s">
        <v>84</v>
      </c>
      <c r="AV531" t="s">
        <v>84</v>
      </c>
      <c r="AX531" t="s">
        <v>84</v>
      </c>
      <c r="BA531" t="s">
        <v>84</v>
      </c>
      <c r="BB531" t="s">
        <v>84</v>
      </c>
      <c r="BG531" t="s">
        <v>84</v>
      </c>
      <c r="BJ531" t="s">
        <v>84</v>
      </c>
      <c r="BK531" t="s">
        <v>84</v>
      </c>
      <c r="BM531" t="s">
        <v>84</v>
      </c>
      <c r="BS531" t="s">
        <v>84</v>
      </c>
      <c r="BT531" t="s">
        <v>84</v>
      </c>
      <c r="BU531">
        <v>0</v>
      </c>
      <c r="BV531">
        <v>0</v>
      </c>
      <c r="BW531">
        <v>29703.333333333332</v>
      </c>
    </row>
    <row r="532" spans="1:75" x14ac:dyDescent="0.25">
      <c r="A532">
        <v>383</v>
      </c>
      <c r="B532" s="1">
        <v>45128.897222222222</v>
      </c>
      <c r="C532" t="s">
        <v>912</v>
      </c>
      <c r="D532" t="s">
        <v>734</v>
      </c>
      <c r="E532" t="s">
        <v>178</v>
      </c>
      <c r="F532">
        <v>0</v>
      </c>
      <c r="G532" t="s">
        <v>855</v>
      </c>
      <c r="H532" t="s">
        <v>913</v>
      </c>
      <c r="I532" t="s">
        <v>179</v>
      </c>
      <c r="J532" t="s">
        <v>914</v>
      </c>
      <c r="K532" t="s">
        <v>84</v>
      </c>
      <c r="L532" t="s">
        <v>92</v>
      </c>
      <c r="M532" t="s">
        <v>181</v>
      </c>
      <c r="N532" t="s">
        <v>181</v>
      </c>
      <c r="O532" t="s">
        <v>82</v>
      </c>
      <c r="P532">
        <v>35140</v>
      </c>
      <c r="Q532" t="s">
        <v>83</v>
      </c>
      <c r="AE532" t="s">
        <v>84</v>
      </c>
      <c r="AG532" t="s">
        <v>84</v>
      </c>
      <c r="AH532" t="s">
        <v>84</v>
      </c>
      <c r="AJ532" t="s">
        <v>84</v>
      </c>
      <c r="AK532" t="s">
        <v>84</v>
      </c>
      <c r="AQ532" t="s">
        <v>84</v>
      </c>
      <c r="AT532" t="s">
        <v>84</v>
      </c>
      <c r="AU532" t="s">
        <v>84</v>
      </c>
      <c r="AV532" t="s">
        <v>84</v>
      </c>
      <c r="AX532" t="s">
        <v>84</v>
      </c>
      <c r="BA532" t="s">
        <v>84</v>
      </c>
      <c r="BB532" t="s">
        <v>84</v>
      </c>
      <c r="BG532" t="s">
        <v>84</v>
      </c>
      <c r="BJ532" t="s">
        <v>84</v>
      </c>
      <c r="BK532" t="s">
        <v>84</v>
      </c>
      <c r="BM532" t="s">
        <v>84</v>
      </c>
      <c r="BS532" t="s">
        <v>84</v>
      </c>
      <c r="BT532" t="s">
        <v>84</v>
      </c>
      <c r="BU532">
        <v>0</v>
      </c>
      <c r="BV532">
        <v>0</v>
      </c>
      <c r="BW532">
        <v>29703.333333333332</v>
      </c>
    </row>
    <row r="533" spans="1:75" x14ac:dyDescent="0.25">
      <c r="A533">
        <v>383</v>
      </c>
      <c r="B533" s="1">
        <v>45128.897222222222</v>
      </c>
      <c r="C533" t="s">
        <v>912</v>
      </c>
      <c r="D533" t="s">
        <v>734</v>
      </c>
      <c r="E533" t="s">
        <v>178</v>
      </c>
      <c r="F533">
        <v>0</v>
      </c>
      <c r="G533" t="s">
        <v>855</v>
      </c>
      <c r="H533" t="s">
        <v>913</v>
      </c>
      <c r="I533" t="s">
        <v>179</v>
      </c>
      <c r="J533" t="s">
        <v>914</v>
      </c>
      <c r="K533" t="s">
        <v>84</v>
      </c>
      <c r="L533" t="s">
        <v>92</v>
      </c>
      <c r="M533" t="s">
        <v>916</v>
      </c>
      <c r="N533" t="s">
        <v>140</v>
      </c>
      <c r="O533" t="s">
        <v>82</v>
      </c>
      <c r="P533">
        <v>27110</v>
      </c>
      <c r="Q533" t="s">
        <v>83</v>
      </c>
      <c r="W533">
        <v>1</v>
      </c>
      <c r="X533">
        <v>1</v>
      </c>
      <c r="AE533" t="s">
        <v>84</v>
      </c>
      <c r="AG533" t="s">
        <v>84</v>
      </c>
      <c r="AH533" t="s">
        <v>84</v>
      </c>
      <c r="AJ533" t="s">
        <v>84</v>
      </c>
      <c r="AK533" t="s">
        <v>84</v>
      </c>
      <c r="AQ533" t="s">
        <v>84</v>
      </c>
      <c r="AT533" t="s">
        <v>84</v>
      </c>
      <c r="AU533" t="s">
        <v>84</v>
      </c>
      <c r="AV533" t="s">
        <v>84</v>
      </c>
      <c r="AX533" t="s">
        <v>84</v>
      </c>
      <c r="BA533" t="s">
        <v>84</v>
      </c>
      <c r="BB533" t="s">
        <v>84</v>
      </c>
      <c r="BG533" t="s">
        <v>84</v>
      </c>
      <c r="BJ533" t="s">
        <v>84</v>
      </c>
      <c r="BK533" t="s">
        <v>84</v>
      </c>
      <c r="BM533" t="s">
        <v>84</v>
      </c>
      <c r="BS533" t="s">
        <v>84</v>
      </c>
      <c r="BT533" t="s">
        <v>84</v>
      </c>
      <c r="BU533">
        <v>0</v>
      </c>
      <c r="BV533">
        <v>0</v>
      </c>
      <c r="BW533">
        <v>29703.333333333332</v>
      </c>
    </row>
    <row r="534" spans="1:75" x14ac:dyDescent="0.25">
      <c r="A534">
        <v>383</v>
      </c>
      <c r="B534" s="1">
        <v>45128.897222222222</v>
      </c>
      <c r="C534" t="s">
        <v>912</v>
      </c>
      <c r="D534" t="s">
        <v>734</v>
      </c>
      <c r="E534" t="s">
        <v>178</v>
      </c>
      <c r="F534">
        <v>0</v>
      </c>
      <c r="G534" t="s">
        <v>855</v>
      </c>
      <c r="H534" t="s">
        <v>913</v>
      </c>
      <c r="I534" t="s">
        <v>179</v>
      </c>
      <c r="J534" t="s">
        <v>914</v>
      </c>
      <c r="K534" t="s">
        <v>84</v>
      </c>
      <c r="L534" t="s">
        <v>80</v>
      </c>
      <c r="M534" t="s">
        <v>912</v>
      </c>
      <c r="N534" t="s">
        <v>917</v>
      </c>
      <c r="O534" t="s">
        <v>82</v>
      </c>
      <c r="P534">
        <v>747478.50249999994</v>
      </c>
      <c r="Q534" t="s">
        <v>83</v>
      </c>
      <c r="X534">
        <v>1</v>
      </c>
      <c r="AE534" t="s">
        <v>84</v>
      </c>
      <c r="AG534" t="s">
        <v>84</v>
      </c>
      <c r="AH534" t="s">
        <v>84</v>
      </c>
      <c r="AJ534" t="s">
        <v>84</v>
      </c>
      <c r="AK534" t="s">
        <v>84</v>
      </c>
      <c r="AQ534" t="s">
        <v>84</v>
      </c>
      <c r="AT534" t="s">
        <v>84</v>
      </c>
      <c r="AU534" t="s">
        <v>84</v>
      </c>
      <c r="AV534" t="s">
        <v>84</v>
      </c>
      <c r="AX534" t="s">
        <v>84</v>
      </c>
      <c r="BA534" t="s">
        <v>84</v>
      </c>
      <c r="BB534" t="s">
        <v>84</v>
      </c>
      <c r="BG534" t="s">
        <v>84</v>
      </c>
      <c r="BJ534" t="s">
        <v>84</v>
      </c>
      <c r="BK534" t="s">
        <v>84</v>
      </c>
      <c r="BM534" t="s">
        <v>84</v>
      </c>
      <c r="BS534" t="s">
        <v>84</v>
      </c>
      <c r="BT534" t="s">
        <v>84</v>
      </c>
      <c r="BU534">
        <v>0</v>
      </c>
      <c r="BV534">
        <v>0</v>
      </c>
      <c r="BW534">
        <v>874857.81183333334</v>
      </c>
    </row>
    <row r="535" spans="1:75" x14ac:dyDescent="0.25">
      <c r="A535">
        <v>383</v>
      </c>
      <c r="B535" s="1">
        <v>45128.897222222222</v>
      </c>
      <c r="C535" t="s">
        <v>912</v>
      </c>
      <c r="D535" t="s">
        <v>734</v>
      </c>
      <c r="E535" t="s">
        <v>178</v>
      </c>
      <c r="F535">
        <v>1</v>
      </c>
      <c r="G535" t="s">
        <v>855</v>
      </c>
      <c r="H535" t="s">
        <v>913</v>
      </c>
      <c r="I535" t="s">
        <v>179</v>
      </c>
      <c r="J535" t="s">
        <v>914</v>
      </c>
      <c r="K535" t="s">
        <v>167</v>
      </c>
      <c r="L535" t="s">
        <v>80</v>
      </c>
      <c r="M535" t="s">
        <v>912</v>
      </c>
      <c r="N535" t="s">
        <v>918</v>
      </c>
      <c r="O535" t="s">
        <v>82</v>
      </c>
      <c r="P535">
        <v>1004959.898</v>
      </c>
      <c r="Q535" t="s">
        <v>83</v>
      </c>
      <c r="R535">
        <v>874857.81169999996</v>
      </c>
      <c r="Z535">
        <v>27599</v>
      </c>
      <c r="AA535">
        <v>47000</v>
      </c>
      <c r="AE535" t="s">
        <v>84</v>
      </c>
      <c r="AG535" t="s">
        <v>84</v>
      </c>
      <c r="AH535" t="s">
        <v>84</v>
      </c>
      <c r="AI535">
        <v>215000</v>
      </c>
      <c r="AJ535" t="s">
        <v>84</v>
      </c>
      <c r="AK535" t="s">
        <v>84</v>
      </c>
      <c r="AL535">
        <v>0</v>
      </c>
      <c r="AN535">
        <v>0</v>
      </c>
      <c r="AP535">
        <v>127050</v>
      </c>
      <c r="AQ535" t="s">
        <v>84</v>
      </c>
      <c r="AR535">
        <v>2500</v>
      </c>
      <c r="AT535" t="s">
        <v>84</v>
      </c>
      <c r="AU535" t="s">
        <v>84</v>
      </c>
      <c r="AV535" t="s">
        <v>84</v>
      </c>
      <c r="AW535">
        <v>22008</v>
      </c>
      <c r="AX535" t="s">
        <v>84</v>
      </c>
      <c r="AY535">
        <v>18000</v>
      </c>
      <c r="BA535" t="s">
        <v>84</v>
      </c>
      <c r="BB535" t="s">
        <v>84</v>
      </c>
      <c r="BC535">
        <v>30875</v>
      </c>
      <c r="BD535">
        <v>94523</v>
      </c>
      <c r="BG535" t="s">
        <v>84</v>
      </c>
      <c r="BH535">
        <v>25000</v>
      </c>
      <c r="BI535">
        <v>147209.92000000001</v>
      </c>
      <c r="BJ535" t="s">
        <v>84</v>
      </c>
      <c r="BK535" t="s">
        <v>84</v>
      </c>
      <c r="BM535" t="s">
        <v>84</v>
      </c>
      <c r="BP535">
        <v>28360</v>
      </c>
      <c r="BQ535">
        <v>0</v>
      </c>
      <c r="BR535">
        <v>0</v>
      </c>
      <c r="BS535" t="s">
        <v>84</v>
      </c>
      <c r="BT535" t="s">
        <v>84</v>
      </c>
      <c r="BU535">
        <v>0</v>
      </c>
      <c r="BV535">
        <v>0</v>
      </c>
      <c r="BW535">
        <v>874857.81183333334</v>
      </c>
    </row>
    <row r="536" spans="1:75" x14ac:dyDescent="0.25">
      <c r="A536">
        <v>383</v>
      </c>
      <c r="B536" s="1">
        <v>45128.897222222222</v>
      </c>
      <c r="C536" t="s">
        <v>912</v>
      </c>
      <c r="D536" t="s">
        <v>734</v>
      </c>
      <c r="E536" t="s">
        <v>178</v>
      </c>
      <c r="F536">
        <v>0</v>
      </c>
      <c r="G536" t="s">
        <v>855</v>
      </c>
      <c r="H536" t="s">
        <v>913</v>
      </c>
      <c r="I536" t="s">
        <v>179</v>
      </c>
      <c r="J536" t="s">
        <v>914</v>
      </c>
      <c r="K536" t="s">
        <v>84</v>
      </c>
      <c r="L536" t="s">
        <v>80</v>
      </c>
      <c r="M536" t="s">
        <v>912</v>
      </c>
      <c r="N536" t="s">
        <v>919</v>
      </c>
      <c r="O536" t="s">
        <v>82</v>
      </c>
      <c r="P536">
        <v>872135.03500000003</v>
      </c>
      <c r="Q536" t="s">
        <v>83</v>
      </c>
      <c r="AE536" t="s">
        <v>84</v>
      </c>
      <c r="AG536" t="s">
        <v>84</v>
      </c>
      <c r="AH536" t="s">
        <v>84</v>
      </c>
      <c r="AJ536" t="s">
        <v>84</v>
      </c>
      <c r="AK536" t="s">
        <v>84</v>
      </c>
      <c r="AQ536" t="s">
        <v>84</v>
      </c>
      <c r="AT536" t="s">
        <v>84</v>
      </c>
      <c r="AU536" t="s">
        <v>84</v>
      </c>
      <c r="AV536" t="s">
        <v>84</v>
      </c>
      <c r="AX536" t="s">
        <v>84</v>
      </c>
      <c r="BA536" t="s">
        <v>84</v>
      </c>
      <c r="BB536" t="s">
        <v>84</v>
      </c>
      <c r="BG536" t="s">
        <v>84</v>
      </c>
      <c r="BJ536" t="s">
        <v>84</v>
      </c>
      <c r="BK536" t="s">
        <v>84</v>
      </c>
      <c r="BM536" t="s">
        <v>84</v>
      </c>
      <c r="BS536" t="s">
        <v>84</v>
      </c>
      <c r="BT536" t="s">
        <v>84</v>
      </c>
      <c r="BU536">
        <v>0</v>
      </c>
      <c r="BV536">
        <v>0</v>
      </c>
      <c r="BW536">
        <v>874857.81183333334</v>
      </c>
    </row>
    <row r="537" spans="1:75" x14ac:dyDescent="0.25">
      <c r="A537">
        <v>383</v>
      </c>
      <c r="B537" s="1">
        <v>45128.897222222222</v>
      </c>
      <c r="C537" t="s">
        <v>912</v>
      </c>
      <c r="D537" t="s">
        <v>734</v>
      </c>
      <c r="E537" t="s">
        <v>178</v>
      </c>
      <c r="F537">
        <v>0</v>
      </c>
      <c r="G537" t="s">
        <v>855</v>
      </c>
      <c r="H537" t="s">
        <v>913</v>
      </c>
      <c r="I537" t="s">
        <v>179</v>
      </c>
      <c r="J537" t="s">
        <v>914</v>
      </c>
      <c r="K537" t="s">
        <v>84</v>
      </c>
      <c r="L537" t="s">
        <v>106</v>
      </c>
      <c r="M537" t="s">
        <v>912</v>
      </c>
      <c r="N537" t="s">
        <v>920</v>
      </c>
      <c r="O537" t="s">
        <v>82</v>
      </c>
      <c r="P537">
        <v>7089.75</v>
      </c>
      <c r="Q537" t="s">
        <v>83</v>
      </c>
      <c r="X537">
        <v>1</v>
      </c>
      <c r="AE537" t="s">
        <v>84</v>
      </c>
      <c r="AG537" t="s">
        <v>84</v>
      </c>
      <c r="AH537" t="s">
        <v>84</v>
      </c>
      <c r="AJ537" t="s">
        <v>84</v>
      </c>
      <c r="AK537" t="s">
        <v>84</v>
      </c>
      <c r="AQ537" t="s">
        <v>84</v>
      </c>
      <c r="AT537" t="s">
        <v>84</v>
      </c>
      <c r="AU537" t="s">
        <v>84</v>
      </c>
      <c r="AV537" t="s">
        <v>84</v>
      </c>
      <c r="AX537" t="s">
        <v>84</v>
      </c>
      <c r="BA537" t="s">
        <v>84</v>
      </c>
      <c r="BB537" t="s">
        <v>84</v>
      </c>
      <c r="BG537" t="s">
        <v>84</v>
      </c>
      <c r="BJ537" t="s">
        <v>84</v>
      </c>
      <c r="BK537" t="s">
        <v>84</v>
      </c>
      <c r="BM537" t="s">
        <v>84</v>
      </c>
      <c r="BS537" t="s">
        <v>84</v>
      </c>
      <c r="BT537" t="s">
        <v>84</v>
      </c>
      <c r="BU537">
        <v>0</v>
      </c>
      <c r="BV537">
        <v>0</v>
      </c>
      <c r="BW537">
        <v>9665.6924999999992</v>
      </c>
    </row>
    <row r="538" spans="1:75" x14ac:dyDescent="0.25">
      <c r="A538">
        <v>383</v>
      </c>
      <c r="B538" s="1">
        <v>45128.897222222222</v>
      </c>
      <c r="C538" t="s">
        <v>912</v>
      </c>
      <c r="D538" t="s">
        <v>734</v>
      </c>
      <c r="E538" t="s">
        <v>178</v>
      </c>
      <c r="F538">
        <v>1</v>
      </c>
      <c r="G538" t="s">
        <v>855</v>
      </c>
      <c r="H538" t="s">
        <v>913</v>
      </c>
      <c r="I538" t="s">
        <v>179</v>
      </c>
      <c r="J538" t="s">
        <v>914</v>
      </c>
      <c r="K538" t="s">
        <v>167</v>
      </c>
      <c r="L538" t="s">
        <v>106</v>
      </c>
      <c r="M538" t="s">
        <v>912</v>
      </c>
      <c r="N538" t="s">
        <v>921</v>
      </c>
      <c r="O538" t="s">
        <v>82</v>
      </c>
      <c r="P538">
        <v>11453.885</v>
      </c>
      <c r="Q538" t="s">
        <v>83</v>
      </c>
      <c r="R538">
        <v>9665.6924999999992</v>
      </c>
      <c r="AE538" t="s">
        <v>84</v>
      </c>
      <c r="AF538">
        <v>5050</v>
      </c>
      <c r="AG538" t="s">
        <v>84</v>
      </c>
      <c r="AH538" t="s">
        <v>84</v>
      </c>
      <c r="AJ538" t="s">
        <v>84</v>
      </c>
      <c r="AK538" t="s">
        <v>84</v>
      </c>
      <c r="AQ538" t="s">
        <v>84</v>
      </c>
      <c r="AT538" t="s">
        <v>84</v>
      </c>
      <c r="AU538" t="s">
        <v>84</v>
      </c>
      <c r="AV538" t="s">
        <v>84</v>
      </c>
      <c r="AX538" t="s">
        <v>84</v>
      </c>
      <c r="BA538" t="s">
        <v>84</v>
      </c>
      <c r="BB538" t="s">
        <v>84</v>
      </c>
      <c r="BE538">
        <v>2220</v>
      </c>
      <c r="BG538" t="s">
        <v>84</v>
      </c>
      <c r="BJ538" t="s">
        <v>84</v>
      </c>
      <c r="BK538" t="s">
        <v>84</v>
      </c>
      <c r="BM538" t="s">
        <v>84</v>
      </c>
      <c r="BS538" t="s">
        <v>84</v>
      </c>
      <c r="BT538" t="s">
        <v>84</v>
      </c>
      <c r="BU538">
        <v>0</v>
      </c>
      <c r="BV538">
        <v>0</v>
      </c>
      <c r="BW538">
        <v>9665.6924999999992</v>
      </c>
    </row>
    <row r="539" spans="1:75" x14ac:dyDescent="0.25">
      <c r="A539">
        <v>383</v>
      </c>
      <c r="B539" s="1">
        <v>45128.897222222222</v>
      </c>
      <c r="C539" t="s">
        <v>912</v>
      </c>
      <c r="D539" t="s">
        <v>734</v>
      </c>
      <c r="E539" t="s">
        <v>178</v>
      </c>
      <c r="F539">
        <v>0</v>
      </c>
      <c r="G539" t="s">
        <v>855</v>
      </c>
      <c r="H539" t="s">
        <v>913</v>
      </c>
      <c r="I539" t="s">
        <v>179</v>
      </c>
      <c r="J539" t="s">
        <v>914</v>
      </c>
      <c r="K539" t="s">
        <v>84</v>
      </c>
      <c r="L539" t="s">
        <v>106</v>
      </c>
      <c r="M539" t="s">
        <v>912</v>
      </c>
      <c r="N539" t="s">
        <v>922</v>
      </c>
      <c r="O539" t="s">
        <v>82</v>
      </c>
      <c r="P539">
        <v>10453.442499999999</v>
      </c>
      <c r="Q539" t="s">
        <v>83</v>
      </c>
      <c r="AE539" t="s">
        <v>84</v>
      </c>
      <c r="AG539" t="s">
        <v>84</v>
      </c>
      <c r="AH539" t="s">
        <v>84</v>
      </c>
      <c r="AJ539" t="s">
        <v>84</v>
      </c>
      <c r="AK539" t="s">
        <v>84</v>
      </c>
      <c r="AQ539" t="s">
        <v>84</v>
      </c>
      <c r="AT539" t="s">
        <v>84</v>
      </c>
      <c r="AU539" t="s">
        <v>84</v>
      </c>
      <c r="AV539" t="s">
        <v>84</v>
      </c>
      <c r="AX539" t="s">
        <v>84</v>
      </c>
      <c r="BA539" t="s">
        <v>84</v>
      </c>
      <c r="BB539" t="s">
        <v>84</v>
      </c>
      <c r="BG539" t="s">
        <v>84</v>
      </c>
      <c r="BJ539" t="s">
        <v>84</v>
      </c>
      <c r="BK539" t="s">
        <v>84</v>
      </c>
      <c r="BM539" t="s">
        <v>84</v>
      </c>
      <c r="BS539" t="s">
        <v>84</v>
      </c>
      <c r="BT539" t="s">
        <v>84</v>
      </c>
      <c r="BU539">
        <v>0</v>
      </c>
      <c r="BV539">
        <v>0</v>
      </c>
      <c r="BW539">
        <v>9665.6924999999992</v>
      </c>
    </row>
    <row r="540" spans="1:75" x14ac:dyDescent="0.25">
      <c r="A540">
        <v>383</v>
      </c>
      <c r="B540" s="1">
        <v>45128.897222222222</v>
      </c>
      <c r="C540" t="s">
        <v>912</v>
      </c>
      <c r="D540" t="s">
        <v>734</v>
      </c>
      <c r="E540" t="s">
        <v>178</v>
      </c>
      <c r="F540">
        <v>0</v>
      </c>
      <c r="G540" t="s">
        <v>855</v>
      </c>
      <c r="H540" t="s">
        <v>913</v>
      </c>
      <c r="I540" t="s">
        <v>179</v>
      </c>
      <c r="J540" t="s">
        <v>914</v>
      </c>
      <c r="K540" t="s">
        <v>84</v>
      </c>
      <c r="L540" t="s">
        <v>110</v>
      </c>
      <c r="M540" t="s">
        <v>912</v>
      </c>
      <c r="N540" t="s">
        <v>923</v>
      </c>
      <c r="O540" t="s">
        <v>82</v>
      </c>
      <c r="P540">
        <v>16256</v>
      </c>
      <c r="Q540" t="s">
        <v>83</v>
      </c>
      <c r="X540">
        <v>1</v>
      </c>
      <c r="AE540" t="s">
        <v>84</v>
      </c>
      <c r="AG540" t="s">
        <v>84</v>
      </c>
      <c r="AH540" t="s">
        <v>84</v>
      </c>
      <c r="AJ540" t="s">
        <v>84</v>
      </c>
      <c r="AK540" t="s">
        <v>84</v>
      </c>
      <c r="AQ540" t="s">
        <v>84</v>
      </c>
      <c r="AT540" t="s">
        <v>84</v>
      </c>
      <c r="AU540" t="s">
        <v>84</v>
      </c>
      <c r="AV540" t="s">
        <v>84</v>
      </c>
      <c r="AX540" t="s">
        <v>84</v>
      </c>
      <c r="BA540" t="s">
        <v>84</v>
      </c>
      <c r="BB540" t="s">
        <v>84</v>
      </c>
      <c r="BG540" t="s">
        <v>84</v>
      </c>
      <c r="BJ540" t="s">
        <v>84</v>
      </c>
      <c r="BK540" t="s">
        <v>84</v>
      </c>
      <c r="BM540" t="s">
        <v>84</v>
      </c>
      <c r="BS540" t="s">
        <v>84</v>
      </c>
      <c r="BT540" t="s">
        <v>84</v>
      </c>
      <c r="BU540">
        <v>0</v>
      </c>
      <c r="BV540">
        <v>0</v>
      </c>
      <c r="BW540">
        <v>13940.666666666666</v>
      </c>
    </row>
    <row r="541" spans="1:75" x14ac:dyDescent="0.25">
      <c r="A541">
        <v>383</v>
      </c>
      <c r="B541" s="1">
        <v>45128.897222222222</v>
      </c>
      <c r="C541" t="s">
        <v>912</v>
      </c>
      <c r="D541" t="s">
        <v>734</v>
      </c>
      <c r="E541" t="s">
        <v>178</v>
      </c>
      <c r="F541">
        <v>1</v>
      </c>
      <c r="G541" t="s">
        <v>855</v>
      </c>
      <c r="H541" t="s">
        <v>913</v>
      </c>
      <c r="I541" t="s">
        <v>179</v>
      </c>
      <c r="J541" t="s">
        <v>914</v>
      </c>
      <c r="K541" t="s">
        <v>167</v>
      </c>
      <c r="L541" t="s">
        <v>110</v>
      </c>
      <c r="M541" t="s">
        <v>912</v>
      </c>
      <c r="N541" t="s">
        <v>924</v>
      </c>
      <c r="O541" t="s">
        <v>82</v>
      </c>
      <c r="P541">
        <v>9828</v>
      </c>
      <c r="Q541" t="s">
        <v>83</v>
      </c>
      <c r="R541">
        <v>13940.666670000001</v>
      </c>
      <c r="Z541">
        <v>0</v>
      </c>
      <c r="AA541">
        <v>0</v>
      </c>
      <c r="AE541" t="s">
        <v>84</v>
      </c>
      <c r="AG541" t="s">
        <v>84</v>
      </c>
      <c r="AH541" t="s">
        <v>84</v>
      </c>
      <c r="AI541">
        <v>0</v>
      </c>
      <c r="AJ541" t="s">
        <v>84</v>
      </c>
      <c r="AK541" t="s">
        <v>84</v>
      </c>
      <c r="AL541">
        <v>0</v>
      </c>
      <c r="AN541">
        <v>0</v>
      </c>
      <c r="AP541">
        <v>0</v>
      </c>
      <c r="AQ541" t="s">
        <v>84</v>
      </c>
      <c r="AR541">
        <v>0</v>
      </c>
      <c r="AT541" t="s">
        <v>84</v>
      </c>
      <c r="AU541" t="s">
        <v>84</v>
      </c>
      <c r="AV541" t="s">
        <v>84</v>
      </c>
      <c r="AW541">
        <v>0</v>
      </c>
      <c r="AX541" t="s">
        <v>84</v>
      </c>
      <c r="AY541">
        <v>7800</v>
      </c>
      <c r="BA541" t="s">
        <v>84</v>
      </c>
      <c r="BB541" t="s">
        <v>84</v>
      </c>
      <c r="BC541">
        <v>0</v>
      </c>
      <c r="BD541">
        <v>0</v>
      </c>
      <c r="BG541" t="s">
        <v>84</v>
      </c>
      <c r="BH541">
        <v>0</v>
      </c>
      <c r="BI541">
        <v>0</v>
      </c>
      <c r="BJ541" t="s">
        <v>84</v>
      </c>
      <c r="BK541" t="s">
        <v>84</v>
      </c>
      <c r="BM541" t="s">
        <v>84</v>
      </c>
      <c r="BP541">
        <v>0</v>
      </c>
      <c r="BQ541">
        <v>0</v>
      </c>
      <c r="BR541">
        <v>0</v>
      </c>
      <c r="BS541" t="s">
        <v>84</v>
      </c>
      <c r="BT541" t="s">
        <v>84</v>
      </c>
      <c r="BU541">
        <v>0</v>
      </c>
      <c r="BV541">
        <v>0</v>
      </c>
      <c r="BW541">
        <v>13940.666666666666</v>
      </c>
    </row>
    <row r="542" spans="1:75" x14ac:dyDescent="0.25">
      <c r="A542">
        <v>383</v>
      </c>
      <c r="B542" s="1">
        <v>45128.897222222222</v>
      </c>
      <c r="C542" t="s">
        <v>912</v>
      </c>
      <c r="D542" t="s">
        <v>734</v>
      </c>
      <c r="E542" t="s">
        <v>178</v>
      </c>
      <c r="F542">
        <v>0</v>
      </c>
      <c r="G542" t="s">
        <v>855</v>
      </c>
      <c r="H542" t="s">
        <v>913</v>
      </c>
      <c r="I542" t="s">
        <v>179</v>
      </c>
      <c r="J542" t="s">
        <v>914</v>
      </c>
      <c r="K542" t="s">
        <v>84</v>
      </c>
      <c r="L542" t="s">
        <v>110</v>
      </c>
      <c r="M542" t="s">
        <v>912</v>
      </c>
      <c r="N542" t="s">
        <v>925</v>
      </c>
      <c r="O542" t="s">
        <v>82</v>
      </c>
      <c r="P542">
        <v>15738</v>
      </c>
      <c r="Q542" t="s">
        <v>83</v>
      </c>
      <c r="AE542" t="s">
        <v>84</v>
      </c>
      <c r="AG542" t="s">
        <v>84</v>
      </c>
      <c r="AH542" t="s">
        <v>84</v>
      </c>
      <c r="AJ542" t="s">
        <v>84</v>
      </c>
      <c r="AK542" t="s">
        <v>84</v>
      </c>
      <c r="AQ542" t="s">
        <v>84</v>
      </c>
      <c r="AT542" t="s">
        <v>84</v>
      </c>
      <c r="AU542" t="s">
        <v>84</v>
      </c>
      <c r="AV542" t="s">
        <v>84</v>
      </c>
      <c r="AX542" t="s">
        <v>84</v>
      </c>
      <c r="BA542" t="s">
        <v>84</v>
      </c>
      <c r="BB542" t="s">
        <v>84</v>
      </c>
      <c r="BG542" t="s">
        <v>84</v>
      </c>
      <c r="BJ542" t="s">
        <v>84</v>
      </c>
      <c r="BK542" t="s">
        <v>84</v>
      </c>
      <c r="BM542" t="s">
        <v>84</v>
      </c>
      <c r="BS542" t="s">
        <v>84</v>
      </c>
      <c r="BT542" t="s">
        <v>84</v>
      </c>
      <c r="BU542">
        <v>0</v>
      </c>
      <c r="BV542">
        <v>0</v>
      </c>
      <c r="BW542">
        <v>13940.666666666666</v>
      </c>
    </row>
    <row r="543" spans="1:75" x14ac:dyDescent="0.25">
      <c r="A543">
        <v>383</v>
      </c>
      <c r="B543" s="1">
        <v>45128.897222222222</v>
      </c>
      <c r="C543" t="s">
        <v>912</v>
      </c>
      <c r="D543" t="s">
        <v>734</v>
      </c>
      <c r="E543" t="s">
        <v>178</v>
      </c>
      <c r="F543">
        <v>1</v>
      </c>
      <c r="G543" t="s">
        <v>855</v>
      </c>
      <c r="H543" t="s">
        <v>913</v>
      </c>
      <c r="I543" t="s">
        <v>179</v>
      </c>
      <c r="J543" t="s">
        <v>914</v>
      </c>
      <c r="K543" t="s">
        <v>243</v>
      </c>
      <c r="L543" t="s">
        <v>87</v>
      </c>
      <c r="M543" t="s">
        <v>912</v>
      </c>
      <c r="N543" t="s">
        <v>926</v>
      </c>
      <c r="O543" t="s">
        <v>82</v>
      </c>
      <c r="P543">
        <v>126939.1667</v>
      </c>
      <c r="Q543" t="s">
        <v>83</v>
      </c>
      <c r="R543">
        <v>115215.8</v>
      </c>
      <c r="AE543" t="s">
        <v>84</v>
      </c>
      <c r="AG543" t="s">
        <v>84</v>
      </c>
      <c r="AH543" t="s">
        <v>84</v>
      </c>
      <c r="AJ543" t="s">
        <v>84</v>
      </c>
      <c r="AK543" t="s">
        <v>84</v>
      </c>
      <c r="AL543">
        <v>22550</v>
      </c>
      <c r="AM543">
        <v>37400</v>
      </c>
      <c r="AN543">
        <v>24650</v>
      </c>
      <c r="AO543">
        <v>8000</v>
      </c>
      <c r="AQ543" t="s">
        <v>84</v>
      </c>
      <c r="AT543" t="s">
        <v>84</v>
      </c>
      <c r="AU543" t="s">
        <v>84</v>
      </c>
      <c r="AV543" t="s">
        <v>84</v>
      </c>
      <c r="AX543" t="s">
        <v>84</v>
      </c>
      <c r="BA543" t="s">
        <v>84</v>
      </c>
      <c r="BB543" t="s">
        <v>84</v>
      </c>
      <c r="BG543" t="s">
        <v>84</v>
      </c>
      <c r="BJ543" t="s">
        <v>84</v>
      </c>
      <c r="BK543" t="s">
        <v>84</v>
      </c>
      <c r="BM543" t="s">
        <v>84</v>
      </c>
      <c r="BS543" t="s">
        <v>84</v>
      </c>
      <c r="BT543" t="s">
        <v>84</v>
      </c>
      <c r="BU543">
        <v>0</v>
      </c>
      <c r="BV543">
        <v>0</v>
      </c>
      <c r="BW543">
        <v>115215.80002333333</v>
      </c>
    </row>
    <row r="544" spans="1:75" x14ac:dyDescent="0.25">
      <c r="A544">
        <v>383</v>
      </c>
      <c r="B544" s="1">
        <v>45128.897222222222</v>
      </c>
      <c r="C544" t="s">
        <v>912</v>
      </c>
      <c r="D544" t="s">
        <v>734</v>
      </c>
      <c r="E544" t="s">
        <v>178</v>
      </c>
      <c r="F544">
        <v>0</v>
      </c>
      <c r="G544" t="s">
        <v>855</v>
      </c>
      <c r="H544" t="s">
        <v>913</v>
      </c>
      <c r="I544" t="s">
        <v>179</v>
      </c>
      <c r="J544" t="s">
        <v>914</v>
      </c>
      <c r="K544" t="s">
        <v>84</v>
      </c>
      <c r="L544" t="s">
        <v>87</v>
      </c>
      <c r="M544" t="s">
        <v>912</v>
      </c>
      <c r="N544" t="s">
        <v>927</v>
      </c>
      <c r="O544" t="s">
        <v>82</v>
      </c>
      <c r="P544">
        <v>98974.166670000006</v>
      </c>
      <c r="Q544" t="s">
        <v>83</v>
      </c>
      <c r="AE544" t="s">
        <v>84</v>
      </c>
      <c r="AG544" t="s">
        <v>84</v>
      </c>
      <c r="AH544" t="s">
        <v>84</v>
      </c>
      <c r="AJ544" t="s">
        <v>84</v>
      </c>
      <c r="AK544" t="s">
        <v>84</v>
      </c>
      <c r="AQ544" t="s">
        <v>84</v>
      </c>
      <c r="AT544" t="s">
        <v>84</v>
      </c>
      <c r="AU544" t="s">
        <v>84</v>
      </c>
      <c r="AV544" t="s">
        <v>84</v>
      </c>
      <c r="AX544" t="s">
        <v>84</v>
      </c>
      <c r="BA544" t="s">
        <v>84</v>
      </c>
      <c r="BB544" t="s">
        <v>84</v>
      </c>
      <c r="BG544" t="s">
        <v>84</v>
      </c>
      <c r="BJ544" t="s">
        <v>84</v>
      </c>
      <c r="BK544" t="s">
        <v>84</v>
      </c>
      <c r="BM544" t="s">
        <v>84</v>
      </c>
      <c r="BS544" t="s">
        <v>84</v>
      </c>
      <c r="BT544" t="s">
        <v>84</v>
      </c>
      <c r="BU544">
        <v>0</v>
      </c>
      <c r="BV544">
        <v>0</v>
      </c>
      <c r="BW544">
        <v>115215.80002333333</v>
      </c>
    </row>
    <row r="545" spans="1:75" x14ac:dyDescent="0.25">
      <c r="A545">
        <v>383</v>
      </c>
      <c r="B545" s="1">
        <v>45128.897222222222</v>
      </c>
      <c r="C545" t="s">
        <v>912</v>
      </c>
      <c r="D545" t="s">
        <v>734</v>
      </c>
      <c r="E545" t="s">
        <v>178</v>
      </c>
      <c r="F545">
        <v>0</v>
      </c>
      <c r="G545" t="s">
        <v>855</v>
      </c>
      <c r="H545" t="s">
        <v>913</v>
      </c>
      <c r="I545" t="s">
        <v>179</v>
      </c>
      <c r="J545" t="s">
        <v>914</v>
      </c>
      <c r="K545" t="s">
        <v>84</v>
      </c>
      <c r="L545" t="s">
        <v>87</v>
      </c>
      <c r="M545" t="s">
        <v>912</v>
      </c>
      <c r="N545" t="s">
        <v>928</v>
      </c>
      <c r="O545" t="s">
        <v>82</v>
      </c>
      <c r="P545">
        <v>119734.0667</v>
      </c>
      <c r="Q545" t="s">
        <v>83</v>
      </c>
      <c r="AE545" t="s">
        <v>84</v>
      </c>
      <c r="AG545" t="s">
        <v>84</v>
      </c>
      <c r="AH545" t="s">
        <v>84</v>
      </c>
      <c r="AJ545" t="s">
        <v>84</v>
      </c>
      <c r="AK545" t="s">
        <v>84</v>
      </c>
      <c r="AQ545" t="s">
        <v>84</v>
      </c>
      <c r="AT545" t="s">
        <v>84</v>
      </c>
      <c r="AU545" t="s">
        <v>84</v>
      </c>
      <c r="AV545" t="s">
        <v>84</v>
      </c>
      <c r="AX545" t="s">
        <v>84</v>
      </c>
      <c r="BA545" t="s">
        <v>84</v>
      </c>
      <c r="BB545" t="s">
        <v>84</v>
      </c>
      <c r="BG545" t="s">
        <v>84</v>
      </c>
      <c r="BJ545" t="s">
        <v>84</v>
      </c>
      <c r="BK545" t="s">
        <v>84</v>
      </c>
      <c r="BM545" t="s">
        <v>84</v>
      </c>
      <c r="BS545" t="s">
        <v>84</v>
      </c>
      <c r="BT545" t="s">
        <v>84</v>
      </c>
      <c r="BU545">
        <v>0</v>
      </c>
      <c r="BV545">
        <v>0</v>
      </c>
      <c r="BW545">
        <v>115215.80002333333</v>
      </c>
    </row>
    <row r="546" spans="1:75" x14ac:dyDescent="0.25">
      <c r="A546">
        <v>383</v>
      </c>
      <c r="B546" s="1">
        <v>45128.897222222222</v>
      </c>
      <c r="C546" t="s">
        <v>912</v>
      </c>
      <c r="D546" t="s">
        <v>734</v>
      </c>
      <c r="E546" t="s">
        <v>178</v>
      </c>
      <c r="F546">
        <v>1</v>
      </c>
      <c r="G546" t="s">
        <v>855</v>
      </c>
      <c r="H546" t="s">
        <v>913</v>
      </c>
      <c r="I546" t="s">
        <v>179</v>
      </c>
      <c r="J546" t="s">
        <v>914</v>
      </c>
      <c r="K546" t="s">
        <v>693</v>
      </c>
      <c r="L546" t="s">
        <v>98</v>
      </c>
      <c r="M546" t="s">
        <v>929</v>
      </c>
      <c r="N546" t="s">
        <v>930</v>
      </c>
      <c r="O546" t="s">
        <v>82</v>
      </c>
      <c r="P546">
        <v>61200</v>
      </c>
      <c r="Q546" t="s">
        <v>83</v>
      </c>
      <c r="R546">
        <v>55050</v>
      </c>
      <c r="W546">
        <v>1</v>
      </c>
      <c r="AE546" t="s">
        <v>84</v>
      </c>
      <c r="AG546" t="s">
        <v>84</v>
      </c>
      <c r="AH546" t="s">
        <v>84</v>
      </c>
      <c r="AJ546" t="s">
        <v>84</v>
      </c>
      <c r="AK546" t="s">
        <v>84</v>
      </c>
      <c r="AQ546" t="s">
        <v>84</v>
      </c>
      <c r="AS546">
        <v>61200</v>
      </c>
      <c r="AT546" t="s">
        <v>84</v>
      </c>
      <c r="AU546" t="s">
        <v>84</v>
      </c>
      <c r="AV546" t="s">
        <v>84</v>
      </c>
      <c r="AX546" t="s">
        <v>84</v>
      </c>
      <c r="BA546" t="s">
        <v>84</v>
      </c>
      <c r="BB546" t="s">
        <v>84</v>
      </c>
      <c r="BG546" t="s">
        <v>84</v>
      </c>
      <c r="BJ546" t="s">
        <v>84</v>
      </c>
      <c r="BK546" t="s">
        <v>84</v>
      </c>
      <c r="BM546" t="s">
        <v>84</v>
      </c>
      <c r="BS546" t="s">
        <v>84</v>
      </c>
      <c r="BT546" t="s">
        <v>84</v>
      </c>
      <c r="BU546">
        <v>0</v>
      </c>
      <c r="BV546">
        <v>0</v>
      </c>
      <c r="BW546">
        <v>55050</v>
      </c>
    </row>
    <row r="547" spans="1:75" x14ac:dyDescent="0.25">
      <c r="A547">
        <v>383</v>
      </c>
      <c r="B547" s="1">
        <v>45128.897222222222</v>
      </c>
      <c r="C547" t="s">
        <v>912</v>
      </c>
      <c r="D547" t="s">
        <v>734</v>
      </c>
      <c r="E547" t="s">
        <v>178</v>
      </c>
      <c r="F547">
        <v>0</v>
      </c>
      <c r="G547" t="s">
        <v>855</v>
      </c>
      <c r="H547" t="s">
        <v>913</v>
      </c>
      <c r="I547" t="s">
        <v>179</v>
      </c>
      <c r="J547" t="s">
        <v>914</v>
      </c>
      <c r="K547" t="s">
        <v>84</v>
      </c>
      <c r="L547" t="s">
        <v>98</v>
      </c>
      <c r="M547" t="s">
        <v>931</v>
      </c>
      <c r="N547" t="s">
        <v>932</v>
      </c>
      <c r="O547" t="s">
        <v>82</v>
      </c>
      <c r="P547">
        <v>48900</v>
      </c>
      <c r="Q547" t="s">
        <v>83</v>
      </c>
      <c r="W547">
        <v>1</v>
      </c>
      <c r="AE547" t="s">
        <v>84</v>
      </c>
      <c r="AG547" t="s">
        <v>84</v>
      </c>
      <c r="AH547" t="s">
        <v>84</v>
      </c>
      <c r="AJ547" t="s">
        <v>84</v>
      </c>
      <c r="AK547" t="s">
        <v>84</v>
      </c>
      <c r="AQ547" t="s">
        <v>84</v>
      </c>
      <c r="AT547" t="s">
        <v>84</v>
      </c>
      <c r="AU547" t="s">
        <v>84</v>
      </c>
      <c r="AV547" t="s">
        <v>84</v>
      </c>
      <c r="AX547" t="s">
        <v>84</v>
      </c>
      <c r="BA547" t="s">
        <v>84</v>
      </c>
      <c r="BB547" t="s">
        <v>84</v>
      </c>
      <c r="BG547" t="s">
        <v>84</v>
      </c>
      <c r="BJ547" t="s">
        <v>84</v>
      </c>
      <c r="BK547" t="s">
        <v>84</v>
      </c>
      <c r="BM547" t="s">
        <v>84</v>
      </c>
      <c r="BS547" t="s">
        <v>84</v>
      </c>
      <c r="BT547" t="s">
        <v>84</v>
      </c>
      <c r="BU547">
        <v>0</v>
      </c>
      <c r="BV547">
        <v>0</v>
      </c>
      <c r="BW547">
        <v>55050</v>
      </c>
    </row>
    <row r="548" spans="1:75" x14ac:dyDescent="0.25">
      <c r="A548">
        <v>383</v>
      </c>
      <c r="B548" s="1">
        <v>45128.897222222222</v>
      </c>
      <c r="C548" t="s">
        <v>912</v>
      </c>
      <c r="D548" t="s">
        <v>734</v>
      </c>
      <c r="E548" t="s">
        <v>178</v>
      </c>
      <c r="F548">
        <v>0</v>
      </c>
      <c r="G548" t="s">
        <v>855</v>
      </c>
      <c r="H548" t="s">
        <v>913</v>
      </c>
      <c r="I548" t="s">
        <v>179</v>
      </c>
      <c r="J548" t="s">
        <v>914</v>
      </c>
      <c r="K548" t="s">
        <v>84</v>
      </c>
      <c r="L548" t="s">
        <v>121</v>
      </c>
      <c r="M548" t="s">
        <v>912</v>
      </c>
      <c r="N548" t="s">
        <v>933</v>
      </c>
      <c r="O548" t="s">
        <v>82</v>
      </c>
      <c r="P548">
        <v>105544.1578</v>
      </c>
      <c r="Q548" t="s">
        <v>83</v>
      </c>
      <c r="X548">
        <v>1</v>
      </c>
      <c r="AE548" t="s">
        <v>84</v>
      </c>
      <c r="AG548" t="s">
        <v>84</v>
      </c>
      <c r="AH548" t="s">
        <v>84</v>
      </c>
      <c r="AJ548" t="s">
        <v>84</v>
      </c>
      <c r="AK548" t="s">
        <v>84</v>
      </c>
      <c r="AQ548" t="s">
        <v>84</v>
      </c>
      <c r="AT548" t="s">
        <v>84</v>
      </c>
      <c r="AU548" t="s">
        <v>84</v>
      </c>
      <c r="AV548" t="s">
        <v>84</v>
      </c>
      <c r="AX548" t="s">
        <v>84</v>
      </c>
      <c r="BA548" t="s">
        <v>84</v>
      </c>
      <c r="BB548" t="s">
        <v>84</v>
      </c>
      <c r="BG548" t="s">
        <v>84</v>
      </c>
      <c r="BJ548" t="s">
        <v>84</v>
      </c>
      <c r="BK548" t="s">
        <v>84</v>
      </c>
      <c r="BM548" t="s">
        <v>84</v>
      </c>
      <c r="BS548" t="s">
        <v>84</v>
      </c>
      <c r="BT548" t="s">
        <v>84</v>
      </c>
      <c r="BU548">
        <v>0</v>
      </c>
      <c r="BV548">
        <v>0</v>
      </c>
      <c r="BW548">
        <v>128176.29536666667</v>
      </c>
    </row>
    <row r="549" spans="1:75" x14ac:dyDescent="0.25">
      <c r="A549">
        <v>383</v>
      </c>
      <c r="B549" s="1">
        <v>45128.897222222222</v>
      </c>
      <c r="C549" t="s">
        <v>912</v>
      </c>
      <c r="D549" t="s">
        <v>734</v>
      </c>
      <c r="E549" t="s">
        <v>178</v>
      </c>
      <c r="F549">
        <v>1</v>
      </c>
      <c r="G549" t="s">
        <v>855</v>
      </c>
      <c r="H549" t="s">
        <v>913</v>
      </c>
      <c r="I549" t="s">
        <v>179</v>
      </c>
      <c r="J549" t="s">
        <v>914</v>
      </c>
      <c r="K549" t="s">
        <v>436</v>
      </c>
      <c r="L549" t="s">
        <v>121</v>
      </c>
      <c r="M549" t="s">
        <v>934</v>
      </c>
      <c r="N549" t="s">
        <v>935</v>
      </c>
      <c r="O549" t="s">
        <v>82</v>
      </c>
      <c r="P549">
        <v>133961.44750000001</v>
      </c>
      <c r="Q549" t="s">
        <v>83</v>
      </c>
      <c r="R549">
        <v>128176.2954</v>
      </c>
      <c r="T549">
        <v>1</v>
      </c>
      <c r="AA549">
        <v>0</v>
      </c>
      <c r="AD549">
        <v>7342</v>
      </c>
      <c r="AE549" t="s">
        <v>84</v>
      </c>
      <c r="AG549" t="s">
        <v>84</v>
      </c>
      <c r="AH549" t="s">
        <v>84</v>
      </c>
      <c r="AJ549" t="s">
        <v>84</v>
      </c>
      <c r="AK549" t="s">
        <v>84</v>
      </c>
      <c r="AP549">
        <v>10816</v>
      </c>
      <c r="AQ549" t="s">
        <v>84</v>
      </c>
      <c r="AR549">
        <v>3177</v>
      </c>
      <c r="AT549" t="s">
        <v>84</v>
      </c>
      <c r="AU549" t="s">
        <v>84</v>
      </c>
      <c r="AV549" t="s">
        <v>84</v>
      </c>
      <c r="AX549" t="s">
        <v>84</v>
      </c>
      <c r="AY549">
        <v>0</v>
      </c>
      <c r="BA549" t="s">
        <v>84</v>
      </c>
      <c r="BB549" t="s">
        <v>84</v>
      </c>
      <c r="BC549">
        <v>9154</v>
      </c>
      <c r="BF549">
        <v>19244</v>
      </c>
      <c r="BG549" t="s">
        <v>84</v>
      </c>
      <c r="BH549">
        <v>0</v>
      </c>
      <c r="BI549">
        <v>33007</v>
      </c>
      <c r="BJ549" t="s">
        <v>84</v>
      </c>
      <c r="BK549" t="s">
        <v>84</v>
      </c>
      <c r="BL549">
        <v>3530</v>
      </c>
      <c r="BM549" t="s">
        <v>84</v>
      </c>
      <c r="BO549">
        <v>1261</v>
      </c>
      <c r="BQ549">
        <v>1390</v>
      </c>
      <c r="BR549">
        <v>4604</v>
      </c>
      <c r="BS549" t="s">
        <v>84</v>
      </c>
      <c r="BT549" t="s">
        <v>84</v>
      </c>
      <c r="BU549">
        <v>0</v>
      </c>
      <c r="BV549">
        <v>0</v>
      </c>
      <c r="BW549">
        <v>128176.29536666667</v>
      </c>
    </row>
    <row r="550" spans="1:75" x14ac:dyDescent="0.25">
      <c r="A550">
        <v>383</v>
      </c>
      <c r="B550" s="1">
        <v>45128.897222222222</v>
      </c>
      <c r="C550" t="s">
        <v>912</v>
      </c>
      <c r="D550" t="s">
        <v>734</v>
      </c>
      <c r="E550" t="s">
        <v>178</v>
      </c>
      <c r="F550">
        <v>0</v>
      </c>
      <c r="G550" t="s">
        <v>855</v>
      </c>
      <c r="H550" t="s">
        <v>913</v>
      </c>
      <c r="I550" t="s">
        <v>179</v>
      </c>
      <c r="J550" t="s">
        <v>914</v>
      </c>
      <c r="K550" t="s">
        <v>84</v>
      </c>
      <c r="L550" t="s">
        <v>121</v>
      </c>
      <c r="M550" t="s">
        <v>936</v>
      </c>
      <c r="N550" t="s">
        <v>937</v>
      </c>
      <c r="O550" t="s">
        <v>82</v>
      </c>
      <c r="P550">
        <v>145023.28080000001</v>
      </c>
      <c r="Q550" t="s">
        <v>83</v>
      </c>
      <c r="S550">
        <v>1</v>
      </c>
      <c r="AE550" t="s">
        <v>84</v>
      </c>
      <c r="AG550" t="s">
        <v>84</v>
      </c>
      <c r="AH550" t="s">
        <v>84</v>
      </c>
      <c r="AJ550" t="s">
        <v>84</v>
      </c>
      <c r="AK550" t="s">
        <v>84</v>
      </c>
      <c r="AQ550" t="s">
        <v>84</v>
      </c>
      <c r="AT550" t="s">
        <v>84</v>
      </c>
      <c r="AU550" t="s">
        <v>84</v>
      </c>
      <c r="AV550" t="s">
        <v>84</v>
      </c>
      <c r="AX550" t="s">
        <v>84</v>
      </c>
      <c r="BA550" t="s">
        <v>84</v>
      </c>
      <c r="BB550" t="s">
        <v>84</v>
      </c>
      <c r="BG550" t="s">
        <v>84</v>
      </c>
      <c r="BJ550" t="s">
        <v>84</v>
      </c>
      <c r="BK550" t="s">
        <v>84</v>
      </c>
      <c r="BM550" t="s">
        <v>84</v>
      </c>
      <c r="BS550" t="s">
        <v>84</v>
      </c>
      <c r="BT550" t="s">
        <v>84</v>
      </c>
      <c r="BU550">
        <v>145023.28080000001</v>
      </c>
      <c r="BV550">
        <v>0</v>
      </c>
      <c r="BW550">
        <v>128176.29536666667</v>
      </c>
    </row>
    <row r="551" spans="1:75" x14ac:dyDescent="0.25">
      <c r="A551">
        <v>383</v>
      </c>
      <c r="B551" s="1">
        <v>45128.897222222222</v>
      </c>
      <c r="C551" t="s">
        <v>912</v>
      </c>
      <c r="D551" t="s">
        <v>734</v>
      </c>
      <c r="E551" t="s">
        <v>178</v>
      </c>
      <c r="F551">
        <v>0</v>
      </c>
      <c r="G551" t="s">
        <v>855</v>
      </c>
      <c r="H551" t="s">
        <v>913</v>
      </c>
      <c r="I551" t="s">
        <v>179</v>
      </c>
      <c r="J551" t="s">
        <v>914</v>
      </c>
      <c r="K551" t="s">
        <v>84</v>
      </c>
      <c r="L551" t="s">
        <v>114</v>
      </c>
      <c r="M551" t="s">
        <v>912</v>
      </c>
      <c r="N551" t="s">
        <v>938</v>
      </c>
      <c r="O551" t="s">
        <v>82</v>
      </c>
      <c r="P551">
        <v>23500</v>
      </c>
      <c r="Q551" t="s">
        <v>83</v>
      </c>
      <c r="X551">
        <v>1</v>
      </c>
      <c r="AE551" t="s">
        <v>84</v>
      </c>
      <c r="AG551" t="s">
        <v>84</v>
      </c>
      <c r="AH551" t="s">
        <v>84</v>
      </c>
      <c r="AJ551" t="s">
        <v>84</v>
      </c>
      <c r="AK551" t="s">
        <v>84</v>
      </c>
      <c r="AQ551" t="s">
        <v>84</v>
      </c>
      <c r="AT551" t="s">
        <v>84</v>
      </c>
      <c r="AU551" t="s">
        <v>84</v>
      </c>
      <c r="AV551" t="s">
        <v>84</v>
      </c>
      <c r="AX551" t="s">
        <v>84</v>
      </c>
      <c r="BA551" t="s">
        <v>84</v>
      </c>
      <c r="BB551" t="s">
        <v>84</v>
      </c>
      <c r="BG551" t="s">
        <v>84</v>
      </c>
      <c r="BJ551" t="s">
        <v>84</v>
      </c>
      <c r="BK551" t="s">
        <v>84</v>
      </c>
      <c r="BM551" t="s">
        <v>84</v>
      </c>
      <c r="BS551" t="s">
        <v>84</v>
      </c>
      <c r="BT551" t="s">
        <v>84</v>
      </c>
      <c r="BU551">
        <v>0</v>
      </c>
      <c r="BV551">
        <v>0</v>
      </c>
      <c r="BW551">
        <v>30533.333333333332</v>
      </c>
    </row>
    <row r="552" spans="1:75" x14ac:dyDescent="0.25">
      <c r="A552">
        <v>383</v>
      </c>
      <c r="B552" s="1">
        <v>45128.897222222222</v>
      </c>
      <c r="C552" t="s">
        <v>912</v>
      </c>
      <c r="D552" t="s">
        <v>734</v>
      </c>
      <c r="E552" t="s">
        <v>178</v>
      </c>
      <c r="F552">
        <v>1</v>
      </c>
      <c r="G552" t="s">
        <v>855</v>
      </c>
      <c r="H552" t="s">
        <v>913</v>
      </c>
      <c r="I552" t="s">
        <v>179</v>
      </c>
      <c r="J552" t="s">
        <v>914</v>
      </c>
      <c r="K552" t="s">
        <v>436</v>
      </c>
      <c r="L552" t="s">
        <v>114</v>
      </c>
      <c r="M552" t="s">
        <v>934</v>
      </c>
      <c r="N552" t="s">
        <v>939</v>
      </c>
      <c r="O552" t="s">
        <v>82</v>
      </c>
      <c r="P552">
        <v>36150</v>
      </c>
      <c r="Q552" t="s">
        <v>83</v>
      </c>
      <c r="R552">
        <v>30533.333330000001</v>
      </c>
      <c r="T552">
        <v>1</v>
      </c>
      <c r="AE552" t="s">
        <v>84</v>
      </c>
      <c r="AG552" t="s">
        <v>84</v>
      </c>
      <c r="AH552" t="s">
        <v>84</v>
      </c>
      <c r="AJ552" t="s">
        <v>84</v>
      </c>
      <c r="AK552" t="s">
        <v>84</v>
      </c>
      <c r="AQ552" t="s">
        <v>84</v>
      </c>
      <c r="AT552" t="s">
        <v>84</v>
      </c>
      <c r="AU552" t="s">
        <v>84</v>
      </c>
      <c r="AV552" t="s">
        <v>84</v>
      </c>
      <c r="AX552" t="s">
        <v>84</v>
      </c>
      <c r="BA552" t="s">
        <v>84</v>
      </c>
      <c r="BB552" t="s">
        <v>84</v>
      </c>
      <c r="BG552" t="s">
        <v>84</v>
      </c>
      <c r="BJ552" t="s">
        <v>84</v>
      </c>
      <c r="BK552" t="s">
        <v>84</v>
      </c>
      <c r="BM552" t="s">
        <v>84</v>
      </c>
      <c r="BN552">
        <v>36150</v>
      </c>
      <c r="BS552" t="s">
        <v>84</v>
      </c>
      <c r="BT552" t="s">
        <v>84</v>
      </c>
      <c r="BU552">
        <v>0</v>
      </c>
      <c r="BV552">
        <v>0</v>
      </c>
      <c r="BW552">
        <v>30533.333333333332</v>
      </c>
    </row>
    <row r="553" spans="1:75" x14ac:dyDescent="0.25">
      <c r="A553">
        <v>383</v>
      </c>
      <c r="B553" s="1">
        <v>45128.897222222222</v>
      </c>
      <c r="C553" t="s">
        <v>912</v>
      </c>
      <c r="D553" t="s">
        <v>734</v>
      </c>
      <c r="E553" t="s">
        <v>178</v>
      </c>
      <c r="F553">
        <v>0</v>
      </c>
      <c r="G553" t="s">
        <v>855</v>
      </c>
      <c r="H553" t="s">
        <v>913</v>
      </c>
      <c r="I553" t="s">
        <v>179</v>
      </c>
      <c r="J553" t="s">
        <v>914</v>
      </c>
      <c r="K553" t="s">
        <v>84</v>
      </c>
      <c r="L553" t="s">
        <v>114</v>
      </c>
      <c r="M553" t="s">
        <v>936</v>
      </c>
      <c r="N553" t="s">
        <v>940</v>
      </c>
      <c r="O553" t="s">
        <v>82</v>
      </c>
      <c r="P553">
        <v>31950</v>
      </c>
      <c r="Q553" t="s">
        <v>83</v>
      </c>
      <c r="S553">
        <v>1</v>
      </c>
      <c r="AE553" t="s">
        <v>84</v>
      </c>
      <c r="AG553" t="s">
        <v>84</v>
      </c>
      <c r="AH553" t="s">
        <v>84</v>
      </c>
      <c r="AJ553" t="s">
        <v>84</v>
      </c>
      <c r="AK553" t="s">
        <v>84</v>
      </c>
      <c r="AQ553" t="s">
        <v>84</v>
      </c>
      <c r="AT553" t="s">
        <v>84</v>
      </c>
      <c r="AU553" t="s">
        <v>84</v>
      </c>
      <c r="AV553" t="s">
        <v>84</v>
      </c>
      <c r="AX553" t="s">
        <v>84</v>
      </c>
      <c r="BA553" t="s">
        <v>84</v>
      </c>
      <c r="BB553" t="s">
        <v>84</v>
      </c>
      <c r="BG553" t="s">
        <v>84</v>
      </c>
      <c r="BJ553" t="s">
        <v>84</v>
      </c>
      <c r="BK553" t="s">
        <v>84</v>
      </c>
      <c r="BM553" t="s">
        <v>84</v>
      </c>
      <c r="BS553" t="s">
        <v>84</v>
      </c>
      <c r="BT553" t="s">
        <v>84</v>
      </c>
      <c r="BU553">
        <v>31950</v>
      </c>
      <c r="BV553">
        <v>0</v>
      </c>
      <c r="BW553">
        <v>30533.333333333332</v>
      </c>
    </row>
  </sheetData>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71E0-6773-473F-B8CA-42976F026EA3}">
  <sheetPr codeName="Sheet11"/>
  <dimension ref="A1:D203"/>
  <sheetViews>
    <sheetView workbookViewId="0"/>
  </sheetViews>
  <sheetFormatPr defaultRowHeight="15" x14ac:dyDescent="0.25"/>
  <cols>
    <col min="1" max="1" width="12" bestFit="1" customWidth="1"/>
    <col min="2" max="2" width="22.7109375" bestFit="1" customWidth="1"/>
    <col min="3" max="3" width="23.42578125" bestFit="1" customWidth="1"/>
    <col min="4" max="4" width="17.140625" bestFit="1" customWidth="1"/>
    <col min="5" max="5" width="19" bestFit="1" customWidth="1"/>
    <col min="6" max="6" width="18" bestFit="1" customWidth="1"/>
    <col min="7" max="7" width="12.5703125" bestFit="1" customWidth="1"/>
    <col min="8" max="8" width="15.28515625" bestFit="1" customWidth="1"/>
    <col min="9" max="9" width="32" bestFit="1" customWidth="1"/>
    <col min="10" max="10" width="20.42578125" bestFit="1" customWidth="1"/>
    <col min="11" max="11" width="27.140625" bestFit="1" customWidth="1"/>
    <col min="12" max="12" width="31.7109375" bestFit="1" customWidth="1"/>
    <col min="13" max="13" width="26.85546875" bestFit="1" customWidth="1"/>
    <col min="14" max="14" width="55.140625" bestFit="1" customWidth="1"/>
    <col min="15" max="15" width="51.85546875" bestFit="1" customWidth="1"/>
    <col min="16" max="16" width="14.42578125" bestFit="1" customWidth="1"/>
    <col min="17" max="17" width="12.28515625" bestFit="1" customWidth="1"/>
    <col min="18" max="18" width="11" bestFit="1" customWidth="1"/>
    <col min="19" max="19" width="15.140625" bestFit="1" customWidth="1"/>
    <col min="20" max="20" width="31.5703125" bestFit="1" customWidth="1"/>
    <col min="21" max="21" width="33.42578125" bestFit="1" customWidth="1"/>
    <col min="22" max="22" width="29.28515625" bestFit="1" customWidth="1"/>
    <col min="23" max="23" width="31" bestFit="1" customWidth="1"/>
    <col min="24" max="24" width="30" bestFit="1" customWidth="1"/>
    <col min="25" max="25" width="31.140625" bestFit="1" customWidth="1"/>
    <col min="26" max="26" width="21.85546875" bestFit="1" customWidth="1"/>
    <col min="27" max="27" width="33.7109375" bestFit="1" customWidth="1"/>
    <col min="28" max="28" width="38" bestFit="1" customWidth="1"/>
    <col min="29" max="29" width="22" bestFit="1" customWidth="1"/>
    <col min="30" max="30" width="28.7109375" bestFit="1" customWidth="1"/>
    <col min="31" max="31" width="35.28515625" bestFit="1" customWidth="1"/>
    <col min="32" max="32" width="26.140625" bestFit="1" customWidth="1"/>
    <col min="33" max="33" width="23" bestFit="1" customWidth="1"/>
    <col min="34" max="34" width="18.7109375" bestFit="1" customWidth="1"/>
    <col min="35" max="35" width="17.5703125" bestFit="1" customWidth="1"/>
    <col min="36" max="36" width="34.28515625" bestFit="1" customWidth="1"/>
    <col min="37" max="37" width="21.85546875" bestFit="1" customWidth="1"/>
    <col min="38" max="38" width="29.85546875" bestFit="1" customWidth="1"/>
    <col min="39" max="39" width="26.5703125" bestFit="1" customWidth="1"/>
    <col min="40" max="40" width="25.28515625" bestFit="1" customWidth="1"/>
    <col min="41" max="41" width="28.140625" bestFit="1" customWidth="1"/>
    <col min="42" max="42" width="25.140625" bestFit="1" customWidth="1"/>
    <col min="43" max="43" width="28.140625" bestFit="1" customWidth="1"/>
    <col min="44" max="44" width="23.28515625" bestFit="1" customWidth="1"/>
    <col min="45" max="45" width="37.85546875" bestFit="1" customWidth="1"/>
    <col min="46" max="46" width="20.28515625" bestFit="1" customWidth="1"/>
    <col min="47" max="47" width="40.7109375" bestFit="1" customWidth="1"/>
    <col min="48" max="48" width="25.7109375" bestFit="1" customWidth="1"/>
    <col min="49" max="49" width="22.42578125" bestFit="1" customWidth="1"/>
    <col min="50" max="50" width="38.85546875" bestFit="1" customWidth="1"/>
    <col min="51" max="51" width="16.85546875" bestFit="1" customWidth="1"/>
    <col min="52" max="52" width="26" bestFit="1" customWidth="1"/>
    <col min="53" max="53" width="16.85546875" bestFit="1" customWidth="1"/>
    <col min="54" max="54" width="23.140625" bestFit="1" customWidth="1"/>
    <col min="55" max="55" width="29.85546875" bestFit="1" customWidth="1"/>
    <col min="56" max="56" width="36.7109375" bestFit="1" customWidth="1"/>
    <col min="57" max="57" width="33.7109375" bestFit="1" customWidth="1"/>
    <col min="58" max="58" width="38.140625" bestFit="1" customWidth="1"/>
    <col min="59" max="59" width="29" bestFit="1" customWidth="1"/>
    <col min="60" max="60" width="38.28515625" bestFit="1" customWidth="1"/>
    <col min="61" max="61" width="38.140625" bestFit="1" customWidth="1"/>
    <col min="62" max="62" width="33" bestFit="1" customWidth="1"/>
    <col min="63" max="63" width="23.85546875" bestFit="1" customWidth="1"/>
    <col min="64" max="64" width="29.140625" bestFit="1" customWidth="1"/>
    <col min="65" max="65" width="35.28515625" bestFit="1" customWidth="1"/>
    <col min="66" max="66" width="42.5703125" bestFit="1" customWidth="1"/>
    <col min="67" max="67" width="34.140625" bestFit="1" customWidth="1"/>
    <col min="68" max="68" width="41.28515625" bestFit="1" customWidth="1"/>
    <col min="69" max="69" width="42.85546875" bestFit="1" customWidth="1"/>
    <col min="70" max="70" width="17.42578125" bestFit="1" customWidth="1"/>
    <col min="71" max="71" width="26.85546875" bestFit="1" customWidth="1"/>
    <col min="72" max="72" width="14.140625" bestFit="1" customWidth="1"/>
    <col min="73" max="73" width="21.42578125" bestFit="1" customWidth="1"/>
  </cols>
  <sheetData>
    <row r="1" spans="1:4" x14ac:dyDescent="0.25">
      <c r="A1" t="s">
        <v>0</v>
      </c>
      <c r="B1" t="s">
        <v>2</v>
      </c>
      <c r="C1" t="s">
        <v>11</v>
      </c>
      <c r="D1" t="s">
        <v>1011</v>
      </c>
    </row>
    <row r="2" spans="1:4" x14ac:dyDescent="0.25">
      <c r="A2">
        <v>318</v>
      </c>
      <c r="B2" t="s">
        <v>72</v>
      </c>
      <c r="C2" t="s">
        <v>80</v>
      </c>
      <c r="D2">
        <v>745866.46846666664</v>
      </c>
    </row>
    <row r="3" spans="1:4" x14ac:dyDescent="0.25">
      <c r="A3">
        <v>318</v>
      </c>
      <c r="B3" t="s">
        <v>72</v>
      </c>
      <c r="C3" t="s">
        <v>87</v>
      </c>
      <c r="D3">
        <v>109194.18611</v>
      </c>
    </row>
    <row r="4" spans="1:4" x14ac:dyDescent="0.25">
      <c r="A4">
        <v>318</v>
      </c>
      <c r="B4" t="s">
        <v>72</v>
      </c>
      <c r="C4" t="s">
        <v>92</v>
      </c>
      <c r="D4">
        <v>21656.666666666668</v>
      </c>
    </row>
    <row r="5" spans="1:4" x14ac:dyDescent="0.25">
      <c r="A5">
        <v>318</v>
      </c>
      <c r="B5" t="s">
        <v>72</v>
      </c>
      <c r="C5" t="s">
        <v>98</v>
      </c>
      <c r="D5">
        <v>37833.333333333336</v>
      </c>
    </row>
    <row r="6" spans="1:4" x14ac:dyDescent="0.25">
      <c r="A6">
        <v>318</v>
      </c>
      <c r="B6" t="s">
        <v>72</v>
      </c>
      <c r="C6" t="s">
        <v>106</v>
      </c>
      <c r="D6">
        <v>7050.3624999999993</v>
      </c>
    </row>
    <row r="7" spans="1:4" x14ac:dyDescent="0.25">
      <c r="A7">
        <v>318</v>
      </c>
      <c r="B7" t="s">
        <v>72</v>
      </c>
      <c r="C7" t="s">
        <v>110</v>
      </c>
      <c r="D7">
        <v>14980</v>
      </c>
    </row>
    <row r="8" spans="1:4" x14ac:dyDescent="0.25">
      <c r="A8">
        <v>318</v>
      </c>
      <c r="B8" t="s">
        <v>72</v>
      </c>
      <c r="C8" t="s">
        <v>114</v>
      </c>
      <c r="D8">
        <v>37483.333333333336</v>
      </c>
    </row>
    <row r="9" spans="1:4" x14ac:dyDescent="0.25">
      <c r="A9">
        <v>318</v>
      </c>
      <c r="B9" t="s">
        <v>72</v>
      </c>
      <c r="C9" t="s">
        <v>121</v>
      </c>
      <c r="D9">
        <v>145472.97853333334</v>
      </c>
    </row>
    <row r="10" spans="1:4" x14ac:dyDescent="0.25">
      <c r="A10">
        <v>318</v>
      </c>
      <c r="B10" t="s">
        <v>72</v>
      </c>
      <c r="C10" t="s">
        <v>125</v>
      </c>
      <c r="D10">
        <v>38916.666666666672</v>
      </c>
    </row>
    <row r="11" spans="1:4" x14ac:dyDescent="0.25">
      <c r="A11">
        <v>323</v>
      </c>
      <c r="B11" t="s">
        <v>133</v>
      </c>
      <c r="C11" t="s">
        <v>92</v>
      </c>
      <c r="D11">
        <v>33935</v>
      </c>
    </row>
    <row r="12" spans="1:4" x14ac:dyDescent="0.25">
      <c r="A12">
        <v>323</v>
      </c>
      <c r="B12" t="s">
        <v>133</v>
      </c>
      <c r="C12" t="s">
        <v>125</v>
      </c>
      <c r="D12">
        <v>40150</v>
      </c>
    </row>
    <row r="13" spans="1:4" x14ac:dyDescent="0.25">
      <c r="A13">
        <v>323</v>
      </c>
      <c r="B13" t="s">
        <v>133</v>
      </c>
      <c r="C13" t="s">
        <v>151</v>
      </c>
      <c r="D13">
        <v>104828.75</v>
      </c>
    </row>
    <row r="14" spans="1:4" x14ac:dyDescent="0.25">
      <c r="A14">
        <v>323</v>
      </c>
      <c r="B14" t="s">
        <v>133</v>
      </c>
      <c r="C14" t="s">
        <v>98</v>
      </c>
      <c r="D14">
        <v>32250</v>
      </c>
    </row>
    <row r="15" spans="1:4" x14ac:dyDescent="0.25">
      <c r="A15">
        <v>323</v>
      </c>
      <c r="B15" t="s">
        <v>133</v>
      </c>
      <c r="C15" t="s">
        <v>87</v>
      </c>
      <c r="D15">
        <v>93203.872213333336</v>
      </c>
    </row>
    <row r="16" spans="1:4" x14ac:dyDescent="0.25">
      <c r="A16">
        <v>323</v>
      </c>
      <c r="B16" t="s">
        <v>133</v>
      </c>
      <c r="C16" t="s">
        <v>110</v>
      </c>
      <c r="D16">
        <v>9606</v>
      </c>
    </row>
    <row r="17" spans="1:4" x14ac:dyDescent="0.25">
      <c r="A17">
        <v>323</v>
      </c>
      <c r="B17" t="s">
        <v>133</v>
      </c>
      <c r="C17" t="s">
        <v>106</v>
      </c>
      <c r="D17">
        <v>9810.1133333333328</v>
      </c>
    </row>
    <row r="18" spans="1:4" x14ac:dyDescent="0.25">
      <c r="A18">
        <v>323</v>
      </c>
      <c r="B18" t="s">
        <v>133</v>
      </c>
      <c r="C18" t="s">
        <v>80</v>
      </c>
      <c r="D18">
        <v>649602.47703333327</v>
      </c>
    </row>
    <row r="19" spans="1:4" x14ac:dyDescent="0.25">
      <c r="A19">
        <v>324</v>
      </c>
      <c r="B19" t="s">
        <v>177</v>
      </c>
      <c r="C19" t="s">
        <v>92</v>
      </c>
      <c r="D19">
        <v>48990</v>
      </c>
    </row>
    <row r="20" spans="1:4" x14ac:dyDescent="0.25">
      <c r="A20">
        <v>324</v>
      </c>
      <c r="B20" t="s">
        <v>177</v>
      </c>
      <c r="C20" t="s">
        <v>185</v>
      </c>
      <c r="D20">
        <v>18774.708333333332</v>
      </c>
    </row>
    <row r="21" spans="1:4" x14ac:dyDescent="0.25">
      <c r="A21">
        <v>324</v>
      </c>
      <c r="B21" t="s">
        <v>177</v>
      </c>
      <c r="C21" t="s">
        <v>125</v>
      </c>
      <c r="D21">
        <v>30350</v>
      </c>
    </row>
    <row r="22" spans="1:4" x14ac:dyDescent="0.25">
      <c r="A22">
        <v>324</v>
      </c>
      <c r="B22" t="s">
        <v>177</v>
      </c>
      <c r="C22" t="s">
        <v>98</v>
      </c>
      <c r="D22">
        <v>27083.333333333336</v>
      </c>
    </row>
    <row r="23" spans="1:4" x14ac:dyDescent="0.25">
      <c r="A23">
        <v>324</v>
      </c>
      <c r="B23" t="s">
        <v>177</v>
      </c>
      <c r="C23" t="s">
        <v>87</v>
      </c>
      <c r="D23">
        <v>93441.483333333337</v>
      </c>
    </row>
    <row r="24" spans="1:4" x14ac:dyDescent="0.25">
      <c r="A24">
        <v>324</v>
      </c>
      <c r="B24" t="s">
        <v>177</v>
      </c>
      <c r="C24" t="s">
        <v>110</v>
      </c>
      <c r="D24">
        <v>11703.333333333334</v>
      </c>
    </row>
    <row r="25" spans="1:4" x14ac:dyDescent="0.25">
      <c r="A25">
        <v>324</v>
      </c>
      <c r="B25" t="s">
        <v>177</v>
      </c>
      <c r="C25" t="s">
        <v>106</v>
      </c>
      <c r="D25">
        <v>7058.2400000000007</v>
      </c>
    </row>
    <row r="26" spans="1:4" x14ac:dyDescent="0.25">
      <c r="A26">
        <v>324</v>
      </c>
      <c r="B26" t="s">
        <v>177</v>
      </c>
      <c r="C26" t="s">
        <v>80</v>
      </c>
      <c r="D26">
        <v>835635.3772333333</v>
      </c>
    </row>
    <row r="27" spans="1:4" x14ac:dyDescent="0.25">
      <c r="A27">
        <v>326</v>
      </c>
      <c r="B27" t="s">
        <v>218</v>
      </c>
      <c r="C27" t="s">
        <v>92</v>
      </c>
      <c r="D27">
        <v>52025</v>
      </c>
    </row>
    <row r="28" spans="1:4" x14ac:dyDescent="0.25">
      <c r="A28">
        <v>326</v>
      </c>
      <c r="B28" t="s">
        <v>218</v>
      </c>
      <c r="C28" t="s">
        <v>125</v>
      </c>
      <c r="D28">
        <v>40166.666666666672</v>
      </c>
    </row>
    <row r="29" spans="1:4" x14ac:dyDescent="0.25">
      <c r="A29">
        <v>326</v>
      </c>
      <c r="B29" t="s">
        <v>218</v>
      </c>
      <c r="C29" t="s">
        <v>151</v>
      </c>
      <c r="D29">
        <v>79204.666666666672</v>
      </c>
    </row>
    <row r="30" spans="1:4" x14ac:dyDescent="0.25">
      <c r="A30">
        <v>326</v>
      </c>
      <c r="B30" t="s">
        <v>218</v>
      </c>
      <c r="C30" t="s">
        <v>98</v>
      </c>
      <c r="D30">
        <v>18050</v>
      </c>
    </row>
    <row r="31" spans="1:4" x14ac:dyDescent="0.25">
      <c r="A31">
        <v>326</v>
      </c>
      <c r="B31" t="s">
        <v>218</v>
      </c>
      <c r="C31" t="s">
        <v>87</v>
      </c>
      <c r="D31">
        <v>100943.59723333333</v>
      </c>
    </row>
    <row r="32" spans="1:4" x14ac:dyDescent="0.25">
      <c r="A32">
        <v>326</v>
      </c>
      <c r="B32" t="s">
        <v>218</v>
      </c>
      <c r="C32" t="s">
        <v>110</v>
      </c>
      <c r="D32">
        <v>8766.3333333333339</v>
      </c>
    </row>
    <row r="33" spans="1:4" x14ac:dyDescent="0.25">
      <c r="A33">
        <v>326</v>
      </c>
      <c r="B33" t="s">
        <v>218</v>
      </c>
      <c r="C33" t="s">
        <v>106</v>
      </c>
      <c r="D33">
        <v>7291.939166666667</v>
      </c>
    </row>
    <row r="34" spans="1:4" x14ac:dyDescent="0.25">
      <c r="A34">
        <v>326</v>
      </c>
      <c r="B34" t="s">
        <v>218</v>
      </c>
      <c r="C34" t="s">
        <v>80</v>
      </c>
      <c r="D34">
        <v>656708.28960000002</v>
      </c>
    </row>
    <row r="35" spans="1:4" x14ac:dyDescent="0.25">
      <c r="A35">
        <v>330</v>
      </c>
      <c r="B35" t="s">
        <v>257</v>
      </c>
      <c r="C35" t="s">
        <v>92</v>
      </c>
      <c r="D35">
        <v>36220</v>
      </c>
    </row>
    <row r="36" spans="1:4" x14ac:dyDescent="0.25">
      <c r="A36">
        <v>330</v>
      </c>
      <c r="B36" t="s">
        <v>257</v>
      </c>
      <c r="C36" t="s">
        <v>114</v>
      </c>
      <c r="D36">
        <v>25166.666666666668</v>
      </c>
    </row>
    <row r="37" spans="1:4" x14ac:dyDescent="0.25">
      <c r="A37">
        <v>330</v>
      </c>
      <c r="B37" t="s">
        <v>257</v>
      </c>
      <c r="C37" t="s">
        <v>121</v>
      </c>
      <c r="D37">
        <v>149975.39453333334</v>
      </c>
    </row>
    <row r="38" spans="1:4" x14ac:dyDescent="0.25">
      <c r="A38">
        <v>330</v>
      </c>
      <c r="B38" t="s">
        <v>257</v>
      </c>
      <c r="C38" t="s">
        <v>80</v>
      </c>
      <c r="D38">
        <v>689735.13113333331</v>
      </c>
    </row>
    <row r="39" spans="1:4" x14ac:dyDescent="0.25">
      <c r="A39">
        <v>330</v>
      </c>
      <c r="B39" t="s">
        <v>257</v>
      </c>
      <c r="C39" t="s">
        <v>106</v>
      </c>
      <c r="D39">
        <v>5600.9025000000001</v>
      </c>
    </row>
    <row r="40" spans="1:4" x14ac:dyDescent="0.25">
      <c r="A40">
        <v>330</v>
      </c>
      <c r="B40" t="s">
        <v>257</v>
      </c>
      <c r="C40" t="s">
        <v>110</v>
      </c>
      <c r="D40">
        <v>5023.3333333333339</v>
      </c>
    </row>
    <row r="41" spans="1:4" x14ac:dyDescent="0.25">
      <c r="A41">
        <v>330</v>
      </c>
      <c r="B41" t="s">
        <v>257</v>
      </c>
      <c r="C41" t="s">
        <v>87</v>
      </c>
      <c r="D41">
        <v>123349.4111</v>
      </c>
    </row>
    <row r="42" spans="1:4" x14ac:dyDescent="0.25">
      <c r="A42">
        <v>330</v>
      </c>
      <c r="B42" t="s">
        <v>257</v>
      </c>
      <c r="C42" t="s">
        <v>98</v>
      </c>
      <c r="D42">
        <v>38500</v>
      </c>
    </row>
    <row r="43" spans="1:4" x14ac:dyDescent="0.25">
      <c r="A43">
        <v>332</v>
      </c>
      <c r="B43" t="s">
        <v>296</v>
      </c>
      <c r="C43" t="s">
        <v>92</v>
      </c>
      <c r="D43">
        <v>31766.666666666664</v>
      </c>
    </row>
    <row r="44" spans="1:4" x14ac:dyDescent="0.25">
      <c r="A44">
        <v>332</v>
      </c>
      <c r="B44" t="s">
        <v>296</v>
      </c>
      <c r="C44" t="s">
        <v>80</v>
      </c>
      <c r="D44">
        <v>827429.73420000006</v>
      </c>
    </row>
    <row r="45" spans="1:4" x14ac:dyDescent="0.25">
      <c r="A45">
        <v>332</v>
      </c>
      <c r="B45" t="s">
        <v>296</v>
      </c>
      <c r="C45" t="s">
        <v>106</v>
      </c>
      <c r="D45">
        <v>7782.9699999999993</v>
      </c>
    </row>
    <row r="46" spans="1:4" x14ac:dyDescent="0.25">
      <c r="A46">
        <v>332</v>
      </c>
      <c r="B46" t="s">
        <v>296</v>
      </c>
      <c r="C46" t="s">
        <v>110</v>
      </c>
      <c r="D46">
        <v>11750</v>
      </c>
    </row>
    <row r="47" spans="1:4" x14ac:dyDescent="0.25">
      <c r="A47">
        <v>332</v>
      </c>
      <c r="B47" t="s">
        <v>296</v>
      </c>
      <c r="C47" t="s">
        <v>87</v>
      </c>
      <c r="D47">
        <v>114895.93886666666</v>
      </c>
    </row>
    <row r="48" spans="1:4" x14ac:dyDescent="0.25">
      <c r="A48">
        <v>332</v>
      </c>
      <c r="B48" t="s">
        <v>296</v>
      </c>
      <c r="C48" t="s">
        <v>98</v>
      </c>
      <c r="D48">
        <v>36283.333333333336</v>
      </c>
    </row>
    <row r="49" spans="1:4" x14ac:dyDescent="0.25">
      <c r="A49">
        <v>332</v>
      </c>
      <c r="B49" t="s">
        <v>296</v>
      </c>
      <c r="C49" t="s">
        <v>121</v>
      </c>
      <c r="D49">
        <v>158633.04393333333</v>
      </c>
    </row>
    <row r="50" spans="1:4" x14ac:dyDescent="0.25">
      <c r="A50">
        <v>332</v>
      </c>
      <c r="B50" t="s">
        <v>296</v>
      </c>
      <c r="C50" t="s">
        <v>114</v>
      </c>
      <c r="D50">
        <v>29616.666666666664</v>
      </c>
    </row>
    <row r="51" spans="1:4" x14ac:dyDescent="0.25">
      <c r="A51">
        <v>332</v>
      </c>
      <c r="B51" t="s">
        <v>296</v>
      </c>
      <c r="C51" t="s">
        <v>185</v>
      </c>
      <c r="D51">
        <v>18144.508333333331</v>
      </c>
    </row>
    <row r="52" spans="1:4" x14ac:dyDescent="0.25">
      <c r="A52">
        <v>333</v>
      </c>
      <c r="B52" t="s">
        <v>337</v>
      </c>
      <c r="C52" t="s">
        <v>92</v>
      </c>
      <c r="D52">
        <v>31286.666666666668</v>
      </c>
    </row>
    <row r="53" spans="1:4" x14ac:dyDescent="0.25">
      <c r="A53">
        <v>333</v>
      </c>
      <c r="B53" t="s">
        <v>337</v>
      </c>
      <c r="C53" t="s">
        <v>80</v>
      </c>
      <c r="D53">
        <v>837017.14029999997</v>
      </c>
    </row>
    <row r="54" spans="1:4" x14ac:dyDescent="0.25">
      <c r="A54">
        <v>333</v>
      </c>
      <c r="B54" t="s">
        <v>337</v>
      </c>
      <c r="C54" t="s">
        <v>106</v>
      </c>
      <c r="D54">
        <v>7549.2708333333339</v>
      </c>
    </row>
    <row r="55" spans="1:4" x14ac:dyDescent="0.25">
      <c r="A55">
        <v>333</v>
      </c>
      <c r="B55" t="s">
        <v>337</v>
      </c>
      <c r="C55" t="s">
        <v>110</v>
      </c>
      <c r="D55">
        <v>12020</v>
      </c>
    </row>
    <row r="56" spans="1:4" x14ac:dyDescent="0.25">
      <c r="A56">
        <v>333</v>
      </c>
      <c r="B56" t="s">
        <v>337</v>
      </c>
      <c r="C56" t="s">
        <v>87</v>
      </c>
      <c r="D56">
        <v>108474.041665</v>
      </c>
    </row>
    <row r="57" spans="1:4" x14ac:dyDescent="0.25">
      <c r="A57">
        <v>333</v>
      </c>
      <c r="B57" t="s">
        <v>337</v>
      </c>
      <c r="C57" t="s">
        <v>98</v>
      </c>
      <c r="D57">
        <v>31766.666666666664</v>
      </c>
    </row>
    <row r="58" spans="1:4" x14ac:dyDescent="0.25">
      <c r="A58">
        <v>333</v>
      </c>
      <c r="B58" t="s">
        <v>337</v>
      </c>
      <c r="C58" t="s">
        <v>185</v>
      </c>
      <c r="D58">
        <v>16726.558333333334</v>
      </c>
    </row>
    <row r="59" spans="1:4" x14ac:dyDescent="0.25">
      <c r="A59">
        <v>334</v>
      </c>
      <c r="B59" t="s">
        <v>366</v>
      </c>
      <c r="C59" t="s">
        <v>92</v>
      </c>
      <c r="D59">
        <v>27166.666666666668</v>
      </c>
    </row>
    <row r="60" spans="1:4" x14ac:dyDescent="0.25">
      <c r="A60">
        <v>334</v>
      </c>
      <c r="B60" t="s">
        <v>366</v>
      </c>
      <c r="C60" t="s">
        <v>80</v>
      </c>
      <c r="D60">
        <v>836563.7093333333</v>
      </c>
    </row>
    <row r="61" spans="1:4" x14ac:dyDescent="0.25">
      <c r="A61">
        <v>334</v>
      </c>
      <c r="B61" t="s">
        <v>366</v>
      </c>
      <c r="C61" t="s">
        <v>106</v>
      </c>
      <c r="D61">
        <v>10274.885833333334</v>
      </c>
    </row>
    <row r="62" spans="1:4" x14ac:dyDescent="0.25">
      <c r="A62">
        <v>334</v>
      </c>
      <c r="B62" t="s">
        <v>366</v>
      </c>
      <c r="C62" t="s">
        <v>110</v>
      </c>
      <c r="D62">
        <v>8960</v>
      </c>
    </row>
    <row r="63" spans="1:4" x14ac:dyDescent="0.25">
      <c r="A63">
        <v>334</v>
      </c>
      <c r="B63" t="s">
        <v>366</v>
      </c>
      <c r="C63" t="s">
        <v>87</v>
      </c>
      <c r="D63">
        <v>108672.35555666668</v>
      </c>
    </row>
    <row r="64" spans="1:4" x14ac:dyDescent="0.25">
      <c r="A64">
        <v>334</v>
      </c>
      <c r="B64" t="s">
        <v>366</v>
      </c>
      <c r="C64" t="s">
        <v>98</v>
      </c>
      <c r="D64">
        <v>24616.666666666668</v>
      </c>
    </row>
    <row r="65" spans="1:4" x14ac:dyDescent="0.25">
      <c r="A65">
        <v>334</v>
      </c>
      <c r="B65" t="s">
        <v>366</v>
      </c>
      <c r="C65" t="s">
        <v>125</v>
      </c>
      <c r="D65">
        <v>45025</v>
      </c>
    </row>
    <row r="66" spans="1:4" x14ac:dyDescent="0.25">
      <c r="A66">
        <v>334</v>
      </c>
      <c r="B66" t="s">
        <v>366</v>
      </c>
      <c r="C66" t="s">
        <v>185</v>
      </c>
      <c r="D66">
        <v>15807.516666666666</v>
      </c>
    </row>
    <row r="67" spans="1:4" x14ac:dyDescent="0.25">
      <c r="A67">
        <v>336</v>
      </c>
      <c r="B67" t="s">
        <v>400</v>
      </c>
      <c r="C67" t="s">
        <v>92</v>
      </c>
      <c r="D67">
        <v>42320</v>
      </c>
    </row>
    <row r="68" spans="1:4" x14ac:dyDescent="0.25">
      <c r="A68">
        <v>336</v>
      </c>
      <c r="B68" t="s">
        <v>400</v>
      </c>
      <c r="C68" t="s">
        <v>80</v>
      </c>
      <c r="D68">
        <v>786422.47120000003</v>
      </c>
    </row>
    <row r="69" spans="1:4" x14ac:dyDescent="0.25">
      <c r="A69">
        <v>336</v>
      </c>
      <c r="B69" t="s">
        <v>400</v>
      </c>
      <c r="C69" t="s">
        <v>106</v>
      </c>
      <c r="D69">
        <v>8015.3562500000007</v>
      </c>
    </row>
    <row r="70" spans="1:4" x14ac:dyDescent="0.25">
      <c r="A70">
        <v>336</v>
      </c>
      <c r="B70" t="s">
        <v>400</v>
      </c>
      <c r="C70" t="s">
        <v>110</v>
      </c>
      <c r="D70">
        <v>15561</v>
      </c>
    </row>
    <row r="71" spans="1:4" x14ac:dyDescent="0.25">
      <c r="A71">
        <v>336</v>
      </c>
      <c r="B71" t="s">
        <v>400</v>
      </c>
      <c r="C71" t="s">
        <v>87</v>
      </c>
      <c r="D71">
        <v>131253.17914999998</v>
      </c>
    </row>
    <row r="72" spans="1:4" x14ac:dyDescent="0.25">
      <c r="A72">
        <v>336</v>
      </c>
      <c r="B72" t="s">
        <v>400</v>
      </c>
      <c r="C72" t="s">
        <v>98</v>
      </c>
      <c r="D72">
        <v>36783.333333333336</v>
      </c>
    </row>
    <row r="73" spans="1:4" x14ac:dyDescent="0.25">
      <c r="A73">
        <v>338</v>
      </c>
      <c r="B73" t="s">
        <v>422</v>
      </c>
      <c r="C73" t="s">
        <v>92</v>
      </c>
      <c r="D73">
        <v>26493.333333333332</v>
      </c>
    </row>
    <row r="74" spans="1:4" x14ac:dyDescent="0.25">
      <c r="A74">
        <v>338</v>
      </c>
      <c r="B74" t="s">
        <v>422</v>
      </c>
      <c r="C74" t="s">
        <v>125</v>
      </c>
      <c r="D74">
        <v>33925</v>
      </c>
    </row>
    <row r="75" spans="1:4" x14ac:dyDescent="0.25">
      <c r="A75">
        <v>338</v>
      </c>
      <c r="B75" t="s">
        <v>422</v>
      </c>
      <c r="C75" t="s">
        <v>121</v>
      </c>
      <c r="D75">
        <v>169276.77456666666</v>
      </c>
    </row>
    <row r="76" spans="1:4" x14ac:dyDescent="0.25">
      <c r="A76">
        <v>338</v>
      </c>
      <c r="B76" t="s">
        <v>422</v>
      </c>
      <c r="C76" t="s">
        <v>151</v>
      </c>
      <c r="D76">
        <v>116983.75</v>
      </c>
    </row>
    <row r="77" spans="1:4" x14ac:dyDescent="0.25">
      <c r="A77">
        <v>338</v>
      </c>
      <c r="B77" t="s">
        <v>422</v>
      </c>
      <c r="C77" t="s">
        <v>80</v>
      </c>
      <c r="D77">
        <v>758314.41500000004</v>
      </c>
    </row>
    <row r="78" spans="1:4" x14ac:dyDescent="0.25">
      <c r="A78">
        <v>338</v>
      </c>
      <c r="B78" t="s">
        <v>422</v>
      </c>
      <c r="C78" t="s">
        <v>106</v>
      </c>
      <c r="D78">
        <v>4912.9341666666669</v>
      </c>
    </row>
    <row r="79" spans="1:4" x14ac:dyDescent="0.25">
      <c r="A79">
        <v>338</v>
      </c>
      <c r="B79" t="s">
        <v>422</v>
      </c>
      <c r="C79" t="s">
        <v>110</v>
      </c>
      <c r="D79">
        <v>14893</v>
      </c>
    </row>
    <row r="80" spans="1:4" x14ac:dyDescent="0.25">
      <c r="A80">
        <v>338</v>
      </c>
      <c r="B80" t="s">
        <v>422</v>
      </c>
      <c r="C80" t="s">
        <v>114</v>
      </c>
      <c r="D80">
        <v>47966.666666666664</v>
      </c>
    </row>
    <row r="81" spans="1:4" x14ac:dyDescent="0.25">
      <c r="A81">
        <v>340</v>
      </c>
      <c r="B81" t="s">
        <v>456</v>
      </c>
      <c r="C81" t="s">
        <v>92</v>
      </c>
      <c r="D81">
        <v>25766.666666666668</v>
      </c>
    </row>
    <row r="82" spans="1:4" x14ac:dyDescent="0.25">
      <c r="A82">
        <v>340</v>
      </c>
      <c r="B82" t="s">
        <v>456</v>
      </c>
      <c r="C82" t="s">
        <v>80</v>
      </c>
      <c r="D82">
        <v>711043.51246666664</v>
      </c>
    </row>
    <row r="83" spans="1:4" x14ac:dyDescent="0.25">
      <c r="A83">
        <v>340</v>
      </c>
      <c r="B83" t="s">
        <v>456</v>
      </c>
      <c r="C83" t="s">
        <v>106</v>
      </c>
      <c r="D83">
        <v>5621.9091666666673</v>
      </c>
    </row>
    <row r="84" spans="1:4" x14ac:dyDescent="0.25">
      <c r="A84">
        <v>340</v>
      </c>
      <c r="B84" t="s">
        <v>456</v>
      </c>
      <c r="C84" t="s">
        <v>110</v>
      </c>
      <c r="D84">
        <v>16903.666666666668</v>
      </c>
    </row>
    <row r="85" spans="1:4" x14ac:dyDescent="0.25">
      <c r="A85">
        <v>340</v>
      </c>
      <c r="B85" t="s">
        <v>456</v>
      </c>
      <c r="C85" t="s">
        <v>87</v>
      </c>
      <c r="D85">
        <v>147026.44443333332</v>
      </c>
    </row>
    <row r="86" spans="1:4" x14ac:dyDescent="0.25">
      <c r="A86">
        <v>340</v>
      </c>
      <c r="B86" t="s">
        <v>456</v>
      </c>
      <c r="C86" t="s">
        <v>98</v>
      </c>
      <c r="D86">
        <v>36483.333333333328</v>
      </c>
    </row>
    <row r="87" spans="1:4" x14ac:dyDescent="0.25">
      <c r="A87">
        <v>341</v>
      </c>
      <c r="B87" t="s">
        <v>481</v>
      </c>
      <c r="C87" t="s">
        <v>80</v>
      </c>
      <c r="D87">
        <v>791032.91916666669</v>
      </c>
    </row>
    <row r="88" spans="1:4" x14ac:dyDescent="0.25">
      <c r="A88">
        <v>341</v>
      </c>
      <c r="B88" t="s">
        <v>481</v>
      </c>
      <c r="C88" t="s">
        <v>92</v>
      </c>
      <c r="D88">
        <v>38780</v>
      </c>
    </row>
    <row r="89" spans="1:4" x14ac:dyDescent="0.25">
      <c r="A89">
        <v>341</v>
      </c>
      <c r="B89" t="s">
        <v>481</v>
      </c>
      <c r="C89" t="s">
        <v>106</v>
      </c>
      <c r="D89">
        <v>10028.057500000001</v>
      </c>
    </row>
    <row r="90" spans="1:4" x14ac:dyDescent="0.25">
      <c r="A90">
        <v>341</v>
      </c>
      <c r="B90" t="s">
        <v>481</v>
      </c>
      <c r="C90" t="s">
        <v>110</v>
      </c>
      <c r="D90">
        <v>16579.333333333332</v>
      </c>
    </row>
    <row r="91" spans="1:4" x14ac:dyDescent="0.25">
      <c r="A91">
        <v>341</v>
      </c>
      <c r="B91" t="s">
        <v>481</v>
      </c>
      <c r="C91" t="s">
        <v>87</v>
      </c>
      <c r="D91">
        <v>91396.2</v>
      </c>
    </row>
    <row r="92" spans="1:4" x14ac:dyDescent="0.25">
      <c r="A92">
        <v>341</v>
      </c>
      <c r="B92" t="s">
        <v>481</v>
      </c>
      <c r="C92" t="s">
        <v>98</v>
      </c>
      <c r="D92">
        <v>28966.666666666668</v>
      </c>
    </row>
    <row r="93" spans="1:4" x14ac:dyDescent="0.25">
      <c r="A93">
        <v>342</v>
      </c>
      <c r="B93" t="s">
        <v>505</v>
      </c>
      <c r="C93" t="s">
        <v>87</v>
      </c>
      <c r="D93">
        <v>143791.27776666667</v>
      </c>
    </row>
    <row r="94" spans="1:4" x14ac:dyDescent="0.25">
      <c r="A94">
        <v>343</v>
      </c>
      <c r="B94" t="s">
        <v>514</v>
      </c>
      <c r="C94" t="s">
        <v>92</v>
      </c>
      <c r="D94">
        <v>52585</v>
      </c>
    </row>
    <row r="95" spans="1:4" x14ac:dyDescent="0.25">
      <c r="A95">
        <v>343</v>
      </c>
      <c r="B95" t="s">
        <v>514</v>
      </c>
      <c r="C95" t="s">
        <v>80</v>
      </c>
      <c r="D95">
        <v>825872.91529999999</v>
      </c>
    </row>
    <row r="96" spans="1:4" x14ac:dyDescent="0.25">
      <c r="A96">
        <v>343</v>
      </c>
      <c r="B96" t="s">
        <v>514</v>
      </c>
      <c r="C96" t="s">
        <v>106</v>
      </c>
      <c r="D96">
        <v>7738.3308333333334</v>
      </c>
    </row>
    <row r="97" spans="1:4" x14ac:dyDescent="0.25">
      <c r="A97">
        <v>343</v>
      </c>
      <c r="B97" t="s">
        <v>514</v>
      </c>
      <c r="C97" t="s">
        <v>87</v>
      </c>
      <c r="D97">
        <v>133351.01110999999</v>
      </c>
    </row>
    <row r="98" spans="1:4" x14ac:dyDescent="0.25">
      <c r="A98">
        <v>343</v>
      </c>
      <c r="B98" t="s">
        <v>514</v>
      </c>
      <c r="C98" t="s">
        <v>98</v>
      </c>
      <c r="D98">
        <v>30325</v>
      </c>
    </row>
    <row r="99" spans="1:4" x14ac:dyDescent="0.25">
      <c r="A99">
        <v>344</v>
      </c>
      <c r="B99" t="s">
        <v>533</v>
      </c>
      <c r="C99" t="s">
        <v>87</v>
      </c>
      <c r="D99">
        <v>138920.25</v>
      </c>
    </row>
    <row r="100" spans="1:4" x14ac:dyDescent="0.25">
      <c r="A100">
        <v>345</v>
      </c>
      <c r="B100" t="s">
        <v>538</v>
      </c>
      <c r="C100" t="s">
        <v>92</v>
      </c>
      <c r="D100">
        <v>28613.333333333336</v>
      </c>
    </row>
    <row r="101" spans="1:4" x14ac:dyDescent="0.25">
      <c r="A101">
        <v>345</v>
      </c>
      <c r="B101" t="s">
        <v>538</v>
      </c>
      <c r="C101" t="s">
        <v>98</v>
      </c>
      <c r="D101">
        <v>23825</v>
      </c>
    </row>
    <row r="102" spans="1:4" x14ac:dyDescent="0.25">
      <c r="A102">
        <v>345</v>
      </c>
      <c r="B102" t="s">
        <v>538</v>
      </c>
      <c r="C102" t="s">
        <v>87</v>
      </c>
      <c r="D102">
        <v>127258.57084999999</v>
      </c>
    </row>
    <row r="103" spans="1:4" x14ac:dyDescent="0.25">
      <c r="A103">
        <v>345</v>
      </c>
      <c r="B103" t="s">
        <v>538</v>
      </c>
      <c r="C103" t="s">
        <v>106</v>
      </c>
      <c r="D103">
        <v>8098.07</v>
      </c>
    </row>
    <row r="104" spans="1:4" x14ac:dyDescent="0.25">
      <c r="A104">
        <v>345</v>
      </c>
      <c r="B104" t="s">
        <v>538</v>
      </c>
      <c r="C104" t="s">
        <v>80</v>
      </c>
      <c r="D104">
        <v>775087.81499999994</v>
      </c>
    </row>
    <row r="105" spans="1:4" x14ac:dyDescent="0.25">
      <c r="A105">
        <v>347</v>
      </c>
      <c r="B105" t="s">
        <v>556</v>
      </c>
      <c r="C105" t="s">
        <v>92</v>
      </c>
      <c r="D105">
        <v>32550</v>
      </c>
    </row>
    <row r="106" spans="1:4" x14ac:dyDescent="0.25">
      <c r="A106">
        <v>347</v>
      </c>
      <c r="B106" t="s">
        <v>556</v>
      </c>
      <c r="C106" t="s">
        <v>185</v>
      </c>
      <c r="D106">
        <v>16175.133333333333</v>
      </c>
    </row>
    <row r="107" spans="1:4" x14ac:dyDescent="0.25">
      <c r="A107">
        <v>347</v>
      </c>
      <c r="B107" t="s">
        <v>556</v>
      </c>
      <c r="C107" t="s">
        <v>98</v>
      </c>
      <c r="D107">
        <v>30133.333333333332</v>
      </c>
    </row>
    <row r="108" spans="1:4" x14ac:dyDescent="0.25">
      <c r="A108">
        <v>347</v>
      </c>
      <c r="B108" t="s">
        <v>556</v>
      </c>
      <c r="C108" t="s">
        <v>87</v>
      </c>
      <c r="D108">
        <v>87986.9375</v>
      </c>
    </row>
    <row r="109" spans="1:4" x14ac:dyDescent="0.25">
      <c r="A109">
        <v>347</v>
      </c>
      <c r="B109" t="s">
        <v>556</v>
      </c>
      <c r="C109" t="s">
        <v>110</v>
      </c>
      <c r="D109">
        <v>14816.666666666666</v>
      </c>
    </row>
    <row r="110" spans="1:4" x14ac:dyDescent="0.25">
      <c r="A110">
        <v>347</v>
      </c>
      <c r="B110" t="s">
        <v>556</v>
      </c>
      <c r="C110" t="s">
        <v>106</v>
      </c>
      <c r="D110">
        <v>7780.3441666666668</v>
      </c>
    </row>
    <row r="111" spans="1:4" x14ac:dyDescent="0.25">
      <c r="A111">
        <v>347</v>
      </c>
      <c r="B111" t="s">
        <v>556</v>
      </c>
      <c r="C111" t="s">
        <v>80</v>
      </c>
      <c r="D111">
        <v>834064.01939999999</v>
      </c>
    </row>
    <row r="112" spans="1:4" x14ac:dyDescent="0.25">
      <c r="A112">
        <v>350</v>
      </c>
      <c r="B112" t="s">
        <v>584</v>
      </c>
      <c r="C112" t="s">
        <v>92</v>
      </c>
      <c r="D112">
        <v>38485</v>
      </c>
    </row>
    <row r="113" spans="1:4" x14ac:dyDescent="0.25">
      <c r="A113">
        <v>350</v>
      </c>
      <c r="B113" t="s">
        <v>584</v>
      </c>
      <c r="C113" t="s">
        <v>80</v>
      </c>
      <c r="D113">
        <v>831311.73625000007</v>
      </c>
    </row>
    <row r="114" spans="1:4" x14ac:dyDescent="0.25">
      <c r="A114">
        <v>350</v>
      </c>
      <c r="B114" t="s">
        <v>584</v>
      </c>
      <c r="C114" t="s">
        <v>87</v>
      </c>
      <c r="D114">
        <v>122096.46946666666</v>
      </c>
    </row>
    <row r="115" spans="1:4" x14ac:dyDescent="0.25">
      <c r="A115">
        <v>350</v>
      </c>
      <c r="B115" t="s">
        <v>584</v>
      </c>
      <c r="C115" t="s">
        <v>98</v>
      </c>
      <c r="D115">
        <v>23066.666666666668</v>
      </c>
    </row>
    <row r="116" spans="1:4" x14ac:dyDescent="0.25">
      <c r="A116">
        <v>350</v>
      </c>
      <c r="B116" t="s">
        <v>584</v>
      </c>
      <c r="C116" t="s">
        <v>106</v>
      </c>
      <c r="D116">
        <v>9449.0612500000007</v>
      </c>
    </row>
    <row r="117" spans="1:4" x14ac:dyDescent="0.25">
      <c r="A117">
        <v>350</v>
      </c>
      <c r="B117" t="s">
        <v>584</v>
      </c>
      <c r="C117" t="s">
        <v>110</v>
      </c>
      <c r="D117">
        <v>13794</v>
      </c>
    </row>
    <row r="118" spans="1:4" x14ac:dyDescent="0.25">
      <c r="A118">
        <v>350</v>
      </c>
      <c r="B118" t="s">
        <v>584</v>
      </c>
      <c r="C118" t="s">
        <v>185</v>
      </c>
      <c r="D118">
        <v>20323.95</v>
      </c>
    </row>
    <row r="119" spans="1:4" x14ac:dyDescent="0.25">
      <c r="A119">
        <v>356</v>
      </c>
      <c r="B119" t="s">
        <v>607</v>
      </c>
      <c r="C119" t="s">
        <v>92</v>
      </c>
      <c r="D119">
        <v>65180</v>
      </c>
    </row>
    <row r="120" spans="1:4" x14ac:dyDescent="0.25">
      <c r="A120">
        <v>356</v>
      </c>
      <c r="B120" t="s">
        <v>607</v>
      </c>
      <c r="C120" t="s">
        <v>98</v>
      </c>
      <c r="D120">
        <v>36666.666666666664</v>
      </c>
    </row>
    <row r="121" spans="1:4" x14ac:dyDescent="0.25">
      <c r="A121">
        <v>356</v>
      </c>
      <c r="B121" t="s">
        <v>607</v>
      </c>
      <c r="C121" t="s">
        <v>87</v>
      </c>
      <c r="D121">
        <v>116541.85279999999</v>
      </c>
    </row>
    <row r="122" spans="1:4" x14ac:dyDescent="0.25">
      <c r="A122">
        <v>356</v>
      </c>
      <c r="B122" t="s">
        <v>607</v>
      </c>
      <c r="C122" t="s">
        <v>80</v>
      </c>
      <c r="D122">
        <v>729332.05169999995</v>
      </c>
    </row>
    <row r="123" spans="1:4" x14ac:dyDescent="0.25">
      <c r="A123">
        <v>358</v>
      </c>
      <c r="B123" t="s">
        <v>630</v>
      </c>
      <c r="C123" t="s">
        <v>92</v>
      </c>
      <c r="D123">
        <v>29100</v>
      </c>
    </row>
    <row r="124" spans="1:4" x14ac:dyDescent="0.25">
      <c r="A124">
        <v>358</v>
      </c>
      <c r="B124" t="s">
        <v>630</v>
      </c>
      <c r="C124" t="s">
        <v>98</v>
      </c>
      <c r="D124">
        <v>30216.666666666668</v>
      </c>
    </row>
    <row r="125" spans="1:4" x14ac:dyDescent="0.25">
      <c r="A125">
        <v>358</v>
      </c>
      <c r="B125" t="s">
        <v>630</v>
      </c>
      <c r="C125" t="s">
        <v>87</v>
      </c>
      <c r="D125">
        <v>109087.2611</v>
      </c>
    </row>
    <row r="126" spans="1:4" x14ac:dyDescent="0.25">
      <c r="A126">
        <v>358</v>
      </c>
      <c r="B126" t="s">
        <v>630</v>
      </c>
      <c r="C126" t="s">
        <v>80</v>
      </c>
      <c r="D126">
        <v>801505.2209666667</v>
      </c>
    </row>
    <row r="127" spans="1:4" x14ac:dyDescent="0.25">
      <c r="A127">
        <v>361</v>
      </c>
      <c r="B127" t="s">
        <v>647</v>
      </c>
      <c r="C127" t="s">
        <v>92</v>
      </c>
      <c r="D127">
        <v>48485</v>
      </c>
    </row>
    <row r="128" spans="1:4" x14ac:dyDescent="0.25">
      <c r="A128">
        <v>361</v>
      </c>
      <c r="B128" t="s">
        <v>647</v>
      </c>
      <c r="C128" t="s">
        <v>98</v>
      </c>
      <c r="D128">
        <v>29333.333333333332</v>
      </c>
    </row>
    <row r="129" spans="1:4" x14ac:dyDescent="0.25">
      <c r="A129">
        <v>361</v>
      </c>
      <c r="B129" t="s">
        <v>647</v>
      </c>
      <c r="C129" t="s">
        <v>87</v>
      </c>
      <c r="D129">
        <v>128325.07920000001</v>
      </c>
    </row>
    <row r="130" spans="1:4" x14ac:dyDescent="0.25">
      <c r="A130">
        <v>361</v>
      </c>
      <c r="B130" t="s">
        <v>647</v>
      </c>
      <c r="C130" t="s">
        <v>80</v>
      </c>
      <c r="D130">
        <v>752620.27560000005</v>
      </c>
    </row>
    <row r="131" spans="1:4" x14ac:dyDescent="0.25">
      <c r="A131">
        <v>362</v>
      </c>
      <c r="B131" t="s">
        <v>666</v>
      </c>
      <c r="C131" t="s">
        <v>92</v>
      </c>
      <c r="D131">
        <v>40866.666666666664</v>
      </c>
    </row>
    <row r="132" spans="1:4" x14ac:dyDescent="0.25">
      <c r="A132">
        <v>362</v>
      </c>
      <c r="B132" t="s">
        <v>666</v>
      </c>
      <c r="C132" t="s">
        <v>98</v>
      </c>
      <c r="D132">
        <v>27483.333333333332</v>
      </c>
    </row>
    <row r="133" spans="1:4" x14ac:dyDescent="0.25">
      <c r="A133">
        <v>362</v>
      </c>
      <c r="B133" t="s">
        <v>666</v>
      </c>
      <c r="C133" t="s">
        <v>87</v>
      </c>
      <c r="D133">
        <v>112854.31111</v>
      </c>
    </row>
    <row r="134" spans="1:4" x14ac:dyDescent="0.25">
      <c r="A134">
        <v>362</v>
      </c>
      <c r="B134" t="s">
        <v>666</v>
      </c>
      <c r="C134" t="s">
        <v>80</v>
      </c>
      <c r="D134">
        <v>815339.00746666675</v>
      </c>
    </row>
    <row r="135" spans="1:4" x14ac:dyDescent="0.25">
      <c r="A135">
        <v>363</v>
      </c>
      <c r="B135" t="s">
        <v>685</v>
      </c>
      <c r="C135" t="s">
        <v>92</v>
      </c>
      <c r="D135">
        <v>39333.333333333336</v>
      </c>
    </row>
    <row r="136" spans="1:4" x14ac:dyDescent="0.25">
      <c r="A136">
        <v>363</v>
      </c>
      <c r="B136" t="s">
        <v>685</v>
      </c>
      <c r="C136" t="s">
        <v>98</v>
      </c>
      <c r="D136">
        <v>34116.666666666664</v>
      </c>
    </row>
    <row r="137" spans="1:4" x14ac:dyDescent="0.25">
      <c r="A137">
        <v>363</v>
      </c>
      <c r="B137" t="s">
        <v>685</v>
      </c>
      <c r="C137" t="s">
        <v>87</v>
      </c>
      <c r="D137">
        <v>100280.11387666667</v>
      </c>
    </row>
    <row r="138" spans="1:4" x14ac:dyDescent="0.25">
      <c r="A138">
        <v>363</v>
      </c>
      <c r="B138" t="s">
        <v>685</v>
      </c>
      <c r="C138" t="s">
        <v>80</v>
      </c>
      <c r="D138">
        <v>747040.61526666663</v>
      </c>
    </row>
    <row r="139" spans="1:4" x14ac:dyDescent="0.25">
      <c r="A139">
        <v>363</v>
      </c>
      <c r="B139" t="s">
        <v>685</v>
      </c>
      <c r="C139" t="s">
        <v>106</v>
      </c>
      <c r="D139">
        <v>10621.495833333334</v>
      </c>
    </row>
    <row r="140" spans="1:4" x14ac:dyDescent="0.25">
      <c r="A140">
        <v>363</v>
      </c>
      <c r="B140" t="s">
        <v>685</v>
      </c>
      <c r="C140" t="s">
        <v>110</v>
      </c>
      <c r="D140">
        <v>11143.333333333334</v>
      </c>
    </row>
    <row r="141" spans="1:4" x14ac:dyDescent="0.25">
      <c r="A141">
        <v>364</v>
      </c>
      <c r="B141" t="s">
        <v>710</v>
      </c>
      <c r="C141" t="s">
        <v>92</v>
      </c>
      <c r="D141">
        <v>37863.333333333336</v>
      </c>
    </row>
    <row r="142" spans="1:4" x14ac:dyDescent="0.25">
      <c r="A142">
        <v>364</v>
      </c>
      <c r="B142" t="s">
        <v>710</v>
      </c>
      <c r="C142" t="s">
        <v>98</v>
      </c>
      <c r="D142">
        <v>31400</v>
      </c>
    </row>
    <row r="143" spans="1:4" x14ac:dyDescent="0.25">
      <c r="A143">
        <v>364</v>
      </c>
      <c r="B143" t="s">
        <v>710</v>
      </c>
      <c r="C143" t="s">
        <v>87</v>
      </c>
      <c r="D143">
        <v>154258.96113333333</v>
      </c>
    </row>
    <row r="144" spans="1:4" x14ac:dyDescent="0.25">
      <c r="A144">
        <v>364</v>
      </c>
      <c r="B144" t="s">
        <v>710</v>
      </c>
      <c r="C144" t="s">
        <v>110</v>
      </c>
      <c r="D144">
        <v>15299.666666666666</v>
      </c>
    </row>
    <row r="145" spans="1:4" x14ac:dyDescent="0.25">
      <c r="A145">
        <v>364</v>
      </c>
      <c r="B145" t="s">
        <v>710</v>
      </c>
      <c r="C145" t="s">
        <v>106</v>
      </c>
      <c r="D145">
        <v>10064.819166666666</v>
      </c>
    </row>
    <row r="146" spans="1:4" x14ac:dyDescent="0.25">
      <c r="A146">
        <v>364</v>
      </c>
      <c r="B146" t="s">
        <v>710</v>
      </c>
      <c r="C146" t="s">
        <v>80</v>
      </c>
      <c r="D146">
        <v>706387.15280000004</v>
      </c>
    </row>
    <row r="147" spans="1:4" x14ac:dyDescent="0.25">
      <c r="A147">
        <v>367</v>
      </c>
      <c r="B147" t="s">
        <v>733</v>
      </c>
      <c r="C147" t="s">
        <v>92</v>
      </c>
      <c r="D147">
        <v>46565</v>
      </c>
    </row>
    <row r="148" spans="1:4" x14ac:dyDescent="0.25">
      <c r="A148">
        <v>367</v>
      </c>
      <c r="B148" t="s">
        <v>733</v>
      </c>
      <c r="C148" t="s">
        <v>114</v>
      </c>
      <c r="D148">
        <v>31316.666666666664</v>
      </c>
    </row>
    <row r="149" spans="1:4" x14ac:dyDescent="0.25">
      <c r="A149">
        <v>367</v>
      </c>
      <c r="B149" t="s">
        <v>733</v>
      </c>
      <c r="C149" t="s">
        <v>121</v>
      </c>
      <c r="D149">
        <v>182920.4215</v>
      </c>
    </row>
    <row r="150" spans="1:4" x14ac:dyDescent="0.25">
      <c r="A150">
        <v>367</v>
      </c>
      <c r="B150" t="s">
        <v>733</v>
      </c>
      <c r="C150" t="s">
        <v>151</v>
      </c>
      <c r="D150">
        <v>98085</v>
      </c>
    </row>
    <row r="151" spans="1:4" x14ac:dyDescent="0.25">
      <c r="A151">
        <v>367</v>
      </c>
      <c r="B151" t="s">
        <v>733</v>
      </c>
      <c r="C151" t="s">
        <v>98</v>
      </c>
      <c r="D151">
        <v>44125</v>
      </c>
    </row>
    <row r="152" spans="1:4" x14ac:dyDescent="0.25">
      <c r="A152">
        <v>367</v>
      </c>
      <c r="B152" t="s">
        <v>733</v>
      </c>
      <c r="C152" t="s">
        <v>87</v>
      </c>
      <c r="D152">
        <v>97059.569433333338</v>
      </c>
    </row>
    <row r="153" spans="1:4" x14ac:dyDescent="0.25">
      <c r="A153">
        <v>367</v>
      </c>
      <c r="B153" t="s">
        <v>733</v>
      </c>
      <c r="C153" t="s">
        <v>110</v>
      </c>
      <c r="D153">
        <v>10374.666666666666</v>
      </c>
    </row>
    <row r="154" spans="1:4" x14ac:dyDescent="0.25">
      <c r="A154">
        <v>367</v>
      </c>
      <c r="B154" t="s">
        <v>733</v>
      </c>
      <c r="C154" t="s">
        <v>106</v>
      </c>
      <c r="D154">
        <v>7102.8791666666666</v>
      </c>
    </row>
    <row r="155" spans="1:4" x14ac:dyDescent="0.25">
      <c r="A155">
        <v>367</v>
      </c>
      <c r="B155" t="s">
        <v>733</v>
      </c>
      <c r="C155" t="s">
        <v>80</v>
      </c>
      <c r="D155">
        <v>823789.01633333333</v>
      </c>
    </row>
    <row r="156" spans="1:4" x14ac:dyDescent="0.25">
      <c r="A156">
        <v>369</v>
      </c>
      <c r="B156" t="s">
        <v>768</v>
      </c>
      <c r="C156" t="s">
        <v>92</v>
      </c>
      <c r="D156">
        <v>26410</v>
      </c>
    </row>
    <row r="157" spans="1:4" x14ac:dyDescent="0.25">
      <c r="A157">
        <v>369</v>
      </c>
      <c r="B157" t="s">
        <v>768</v>
      </c>
      <c r="C157" t="s">
        <v>185</v>
      </c>
      <c r="D157">
        <v>19142.325000000001</v>
      </c>
    </row>
    <row r="158" spans="1:4" x14ac:dyDescent="0.25">
      <c r="A158">
        <v>369</v>
      </c>
      <c r="B158" t="s">
        <v>768</v>
      </c>
      <c r="C158" t="s">
        <v>121</v>
      </c>
      <c r="D158">
        <v>151042.9981</v>
      </c>
    </row>
    <row r="159" spans="1:4" x14ac:dyDescent="0.25">
      <c r="A159">
        <v>369</v>
      </c>
      <c r="B159" t="s">
        <v>768</v>
      </c>
      <c r="C159" t="s">
        <v>151</v>
      </c>
      <c r="D159">
        <v>127887.5</v>
      </c>
    </row>
    <row r="160" spans="1:4" x14ac:dyDescent="0.25">
      <c r="A160">
        <v>369</v>
      </c>
      <c r="B160" t="s">
        <v>768</v>
      </c>
      <c r="C160" t="s">
        <v>98</v>
      </c>
      <c r="D160">
        <v>39187.5</v>
      </c>
    </row>
    <row r="161" spans="1:4" x14ac:dyDescent="0.25">
      <c r="A161">
        <v>369</v>
      </c>
      <c r="B161" t="s">
        <v>768</v>
      </c>
      <c r="C161" t="s">
        <v>87</v>
      </c>
      <c r="D161">
        <v>92026.783334999986</v>
      </c>
    </row>
    <row r="162" spans="1:4" x14ac:dyDescent="0.25">
      <c r="A162">
        <v>369</v>
      </c>
      <c r="B162" t="s">
        <v>768</v>
      </c>
      <c r="C162" t="s">
        <v>80</v>
      </c>
      <c r="D162">
        <v>865895.91999999993</v>
      </c>
    </row>
    <row r="163" spans="1:4" x14ac:dyDescent="0.25">
      <c r="A163">
        <v>369</v>
      </c>
      <c r="B163" t="s">
        <v>768</v>
      </c>
      <c r="C163" t="s">
        <v>106</v>
      </c>
      <c r="D163">
        <v>8224.11</v>
      </c>
    </row>
    <row r="164" spans="1:4" x14ac:dyDescent="0.25">
      <c r="A164">
        <v>369</v>
      </c>
      <c r="B164" t="s">
        <v>768</v>
      </c>
      <c r="C164" t="s">
        <v>110</v>
      </c>
      <c r="D164">
        <v>17917.5</v>
      </c>
    </row>
    <row r="165" spans="1:4" x14ac:dyDescent="0.25">
      <c r="A165">
        <v>369</v>
      </c>
      <c r="B165" t="s">
        <v>768</v>
      </c>
      <c r="C165" t="s">
        <v>114</v>
      </c>
      <c r="D165">
        <v>46475</v>
      </c>
    </row>
    <row r="166" spans="1:4" x14ac:dyDescent="0.25">
      <c r="A166">
        <v>373</v>
      </c>
      <c r="B166" t="s">
        <v>796</v>
      </c>
      <c r="C166" t="s">
        <v>92</v>
      </c>
      <c r="D166">
        <v>28400</v>
      </c>
    </row>
    <row r="167" spans="1:4" x14ac:dyDescent="0.25">
      <c r="A167">
        <v>373</v>
      </c>
      <c r="B167" t="s">
        <v>796</v>
      </c>
      <c r="C167" t="s">
        <v>151</v>
      </c>
      <c r="D167">
        <v>98628.833333333328</v>
      </c>
    </row>
    <row r="168" spans="1:4" x14ac:dyDescent="0.25">
      <c r="A168">
        <v>373</v>
      </c>
      <c r="B168" t="s">
        <v>796</v>
      </c>
      <c r="C168" t="s">
        <v>98</v>
      </c>
      <c r="D168">
        <v>38150</v>
      </c>
    </row>
    <row r="169" spans="1:4" x14ac:dyDescent="0.25">
      <c r="A169">
        <v>373</v>
      </c>
      <c r="B169" t="s">
        <v>796</v>
      </c>
      <c r="C169" t="s">
        <v>87</v>
      </c>
      <c r="D169">
        <v>127133.82501</v>
      </c>
    </row>
    <row r="170" spans="1:4" x14ac:dyDescent="0.25">
      <c r="A170">
        <v>373</v>
      </c>
      <c r="B170" t="s">
        <v>796</v>
      </c>
      <c r="C170" t="s">
        <v>110</v>
      </c>
      <c r="D170">
        <v>12223</v>
      </c>
    </row>
    <row r="171" spans="1:4" x14ac:dyDescent="0.25">
      <c r="A171">
        <v>373</v>
      </c>
      <c r="B171" t="s">
        <v>796</v>
      </c>
      <c r="C171" t="s">
        <v>106</v>
      </c>
      <c r="D171">
        <v>11025.874166666666</v>
      </c>
    </row>
    <row r="172" spans="1:4" x14ac:dyDescent="0.25">
      <c r="A172">
        <v>373</v>
      </c>
      <c r="B172" t="s">
        <v>796</v>
      </c>
      <c r="C172" t="s">
        <v>80</v>
      </c>
      <c r="D172">
        <v>723920.4031</v>
      </c>
    </row>
    <row r="173" spans="1:4" x14ac:dyDescent="0.25">
      <c r="A173">
        <v>375</v>
      </c>
      <c r="B173" t="s">
        <v>826</v>
      </c>
      <c r="C173" t="s">
        <v>92</v>
      </c>
      <c r="D173">
        <v>33080</v>
      </c>
    </row>
    <row r="174" spans="1:4" x14ac:dyDescent="0.25">
      <c r="A174">
        <v>375</v>
      </c>
      <c r="B174" t="s">
        <v>826</v>
      </c>
      <c r="C174" t="s">
        <v>80</v>
      </c>
      <c r="D174">
        <v>884250.9711666666</v>
      </c>
    </row>
    <row r="175" spans="1:4" x14ac:dyDescent="0.25">
      <c r="A175">
        <v>375</v>
      </c>
      <c r="B175" t="s">
        <v>826</v>
      </c>
      <c r="C175" t="s">
        <v>106</v>
      </c>
      <c r="D175">
        <v>6467.4274999999998</v>
      </c>
    </row>
    <row r="176" spans="1:4" x14ac:dyDescent="0.25">
      <c r="A176">
        <v>375</v>
      </c>
      <c r="B176" t="s">
        <v>826</v>
      </c>
      <c r="C176" t="s">
        <v>110</v>
      </c>
      <c r="D176">
        <v>9930</v>
      </c>
    </row>
    <row r="177" spans="1:4" x14ac:dyDescent="0.25">
      <c r="A177">
        <v>375</v>
      </c>
      <c r="B177" t="s">
        <v>826</v>
      </c>
      <c r="C177" t="s">
        <v>87</v>
      </c>
      <c r="D177">
        <v>135828.56390000001</v>
      </c>
    </row>
    <row r="178" spans="1:4" x14ac:dyDescent="0.25">
      <c r="A178">
        <v>375</v>
      </c>
      <c r="B178" t="s">
        <v>826</v>
      </c>
      <c r="C178" t="s">
        <v>98</v>
      </c>
      <c r="D178">
        <v>21600</v>
      </c>
    </row>
    <row r="179" spans="1:4" x14ac:dyDescent="0.25">
      <c r="A179">
        <v>375</v>
      </c>
      <c r="B179" t="s">
        <v>826</v>
      </c>
      <c r="C179" t="s">
        <v>121</v>
      </c>
      <c r="D179">
        <v>151739.2697</v>
      </c>
    </row>
    <row r="180" spans="1:4" x14ac:dyDescent="0.25">
      <c r="A180">
        <v>375</v>
      </c>
      <c r="B180" t="s">
        <v>826</v>
      </c>
      <c r="C180" t="s">
        <v>114</v>
      </c>
      <c r="D180">
        <v>26250</v>
      </c>
    </row>
    <row r="181" spans="1:4" x14ac:dyDescent="0.25">
      <c r="A181">
        <v>378</v>
      </c>
      <c r="B181" t="s">
        <v>854</v>
      </c>
      <c r="C181" t="s">
        <v>92</v>
      </c>
      <c r="D181">
        <v>37666.666666666664</v>
      </c>
    </row>
    <row r="182" spans="1:4" x14ac:dyDescent="0.25">
      <c r="A182">
        <v>378</v>
      </c>
      <c r="B182" t="s">
        <v>854</v>
      </c>
      <c r="C182" t="s">
        <v>114</v>
      </c>
      <c r="D182">
        <v>39225</v>
      </c>
    </row>
    <row r="183" spans="1:4" x14ac:dyDescent="0.25">
      <c r="A183">
        <v>378</v>
      </c>
      <c r="B183" t="s">
        <v>854</v>
      </c>
      <c r="C183" t="s">
        <v>121</v>
      </c>
      <c r="D183">
        <v>142410.3443</v>
      </c>
    </row>
    <row r="184" spans="1:4" x14ac:dyDescent="0.25">
      <c r="A184">
        <v>378</v>
      </c>
      <c r="B184" t="s">
        <v>854</v>
      </c>
      <c r="C184" t="s">
        <v>125</v>
      </c>
      <c r="D184">
        <v>30116.666666666664</v>
      </c>
    </row>
    <row r="185" spans="1:4" x14ac:dyDescent="0.25">
      <c r="A185">
        <v>378</v>
      </c>
      <c r="B185" t="s">
        <v>854</v>
      </c>
      <c r="C185" t="s">
        <v>98</v>
      </c>
      <c r="D185">
        <v>33800</v>
      </c>
    </row>
    <row r="186" spans="1:4" x14ac:dyDescent="0.25">
      <c r="A186">
        <v>378</v>
      </c>
      <c r="B186" t="s">
        <v>854</v>
      </c>
      <c r="C186" t="s">
        <v>87</v>
      </c>
      <c r="D186">
        <v>112430.26669999999</v>
      </c>
    </row>
    <row r="187" spans="1:4" x14ac:dyDescent="0.25">
      <c r="A187">
        <v>378</v>
      </c>
      <c r="B187" t="s">
        <v>854</v>
      </c>
      <c r="C187" t="s">
        <v>110</v>
      </c>
      <c r="D187">
        <v>12233</v>
      </c>
    </row>
    <row r="188" spans="1:4" x14ac:dyDescent="0.25">
      <c r="A188">
        <v>378</v>
      </c>
      <c r="B188" t="s">
        <v>854</v>
      </c>
      <c r="C188" t="s">
        <v>106</v>
      </c>
      <c r="D188">
        <v>7084.498333333333</v>
      </c>
    </row>
    <row r="189" spans="1:4" x14ac:dyDescent="0.25">
      <c r="A189">
        <v>378</v>
      </c>
      <c r="B189" t="s">
        <v>854</v>
      </c>
      <c r="C189" t="s">
        <v>80</v>
      </c>
      <c r="D189">
        <v>706071.20166666666</v>
      </c>
    </row>
    <row r="190" spans="1:4" x14ac:dyDescent="0.25">
      <c r="A190">
        <v>381</v>
      </c>
      <c r="B190" t="s">
        <v>887</v>
      </c>
      <c r="C190" t="s">
        <v>92</v>
      </c>
      <c r="D190">
        <v>39090</v>
      </c>
    </row>
    <row r="191" spans="1:4" x14ac:dyDescent="0.25">
      <c r="A191">
        <v>381</v>
      </c>
      <c r="B191" t="s">
        <v>887</v>
      </c>
      <c r="C191" t="s">
        <v>80</v>
      </c>
      <c r="D191">
        <v>887785.07706666668</v>
      </c>
    </row>
    <row r="192" spans="1:4" x14ac:dyDescent="0.25">
      <c r="A192">
        <v>381</v>
      </c>
      <c r="B192" t="s">
        <v>887</v>
      </c>
      <c r="C192" t="s">
        <v>106</v>
      </c>
      <c r="D192">
        <v>7530.8900000000012</v>
      </c>
    </row>
    <row r="193" spans="1:4" x14ac:dyDescent="0.25">
      <c r="A193">
        <v>381</v>
      </c>
      <c r="B193" t="s">
        <v>887</v>
      </c>
      <c r="C193" t="s">
        <v>110</v>
      </c>
      <c r="D193">
        <v>12357</v>
      </c>
    </row>
    <row r="194" spans="1:4" x14ac:dyDescent="0.25">
      <c r="A194">
        <v>381</v>
      </c>
      <c r="B194" t="s">
        <v>887</v>
      </c>
      <c r="C194" t="s">
        <v>87</v>
      </c>
      <c r="D194">
        <v>114682.08887666666</v>
      </c>
    </row>
    <row r="195" spans="1:4" x14ac:dyDescent="0.25">
      <c r="A195">
        <v>381</v>
      </c>
      <c r="B195" t="s">
        <v>887</v>
      </c>
      <c r="C195" t="s">
        <v>98</v>
      </c>
      <c r="D195">
        <v>35100</v>
      </c>
    </row>
    <row r="196" spans="1:4" x14ac:dyDescent="0.25">
      <c r="A196">
        <v>383</v>
      </c>
      <c r="B196" t="s">
        <v>912</v>
      </c>
      <c r="C196" t="s">
        <v>92</v>
      </c>
      <c r="D196">
        <v>29703.333333333332</v>
      </c>
    </row>
    <row r="197" spans="1:4" x14ac:dyDescent="0.25">
      <c r="A197">
        <v>383</v>
      </c>
      <c r="B197" t="s">
        <v>912</v>
      </c>
      <c r="C197" t="s">
        <v>80</v>
      </c>
      <c r="D197">
        <v>874857.81183333334</v>
      </c>
    </row>
    <row r="198" spans="1:4" x14ac:dyDescent="0.25">
      <c r="A198">
        <v>383</v>
      </c>
      <c r="B198" t="s">
        <v>912</v>
      </c>
      <c r="C198" t="s">
        <v>106</v>
      </c>
      <c r="D198">
        <v>9665.6924999999992</v>
      </c>
    </row>
    <row r="199" spans="1:4" x14ac:dyDescent="0.25">
      <c r="A199">
        <v>383</v>
      </c>
      <c r="B199" t="s">
        <v>912</v>
      </c>
      <c r="C199" t="s">
        <v>110</v>
      </c>
      <c r="D199">
        <v>13940.666666666666</v>
      </c>
    </row>
    <row r="200" spans="1:4" x14ac:dyDescent="0.25">
      <c r="A200">
        <v>383</v>
      </c>
      <c r="B200" t="s">
        <v>912</v>
      </c>
      <c r="C200" t="s">
        <v>87</v>
      </c>
      <c r="D200">
        <v>115215.80002333333</v>
      </c>
    </row>
    <row r="201" spans="1:4" x14ac:dyDescent="0.25">
      <c r="A201">
        <v>383</v>
      </c>
      <c r="B201" t="s">
        <v>912</v>
      </c>
      <c r="C201" t="s">
        <v>98</v>
      </c>
      <c r="D201">
        <v>55050</v>
      </c>
    </row>
    <row r="202" spans="1:4" x14ac:dyDescent="0.25">
      <c r="A202">
        <v>383</v>
      </c>
      <c r="B202" t="s">
        <v>912</v>
      </c>
      <c r="C202" t="s">
        <v>121</v>
      </c>
      <c r="D202">
        <v>128176.29536666667</v>
      </c>
    </row>
    <row r="203" spans="1:4" x14ac:dyDescent="0.25">
      <c r="A203">
        <v>383</v>
      </c>
      <c r="B203" t="s">
        <v>912</v>
      </c>
      <c r="C203" t="s">
        <v>114</v>
      </c>
      <c r="D203">
        <v>30533.333333333332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8018-747F-4F0E-9A4D-F27AF99B278F}">
  <sheetPr codeName="Sheet12"/>
  <dimension ref="A1:AV553"/>
  <sheetViews>
    <sheetView topLeftCell="O1" workbookViewId="0"/>
  </sheetViews>
  <sheetFormatPr defaultRowHeight="15" x14ac:dyDescent="0.25"/>
  <cols>
    <col min="1" max="1" width="11.42578125" bestFit="1" customWidth="1"/>
    <col min="2" max="2" width="17.85546875" bestFit="1" customWidth="1"/>
    <col min="3" max="3" width="23.42578125" bestFit="1" customWidth="1"/>
    <col min="4" max="4" width="11.7109375" bestFit="1" customWidth="1"/>
    <col min="5" max="5" width="19.85546875" bestFit="1" customWidth="1"/>
    <col min="6" max="6" width="30.85546875" bestFit="1" customWidth="1"/>
    <col min="7" max="7" width="34.7109375" bestFit="1" customWidth="1"/>
    <col min="8" max="8" width="20.140625" bestFit="1" customWidth="1"/>
    <col min="9" max="9" width="32" bestFit="1" customWidth="1"/>
    <col min="10" max="10" width="23.7109375" bestFit="1" customWidth="1"/>
    <col min="11" max="11" width="21" bestFit="1" customWidth="1"/>
    <col min="12" max="12" width="16" bestFit="1" customWidth="1"/>
    <col min="13" max="13" width="31.28515625" bestFit="1" customWidth="1"/>
    <col min="14" max="14" width="27.140625" bestFit="1" customWidth="1"/>
    <col min="15" max="15" width="24.42578125" bestFit="1" customWidth="1"/>
    <col min="16" max="16" width="23.140625" bestFit="1" customWidth="1"/>
    <col min="17" max="17" width="25.5703125" bestFit="1" customWidth="1"/>
    <col min="18" max="18" width="23" bestFit="1" customWidth="1"/>
    <col min="19" max="19" width="25.42578125" bestFit="1" customWidth="1"/>
    <col min="20" max="20" width="21.28515625" bestFit="1" customWidth="1"/>
    <col min="21" max="21" width="34.42578125" bestFit="1" customWidth="1"/>
    <col min="22" max="22" width="18.140625" bestFit="1" customWidth="1"/>
    <col min="23" max="23" width="36.7109375" bestFit="1" customWidth="1"/>
    <col min="24" max="24" width="23.42578125" bestFit="1" customWidth="1"/>
    <col min="25" max="25" width="20.42578125" bestFit="1" customWidth="1"/>
    <col min="26" max="26" width="35.42578125" bestFit="1" customWidth="1"/>
    <col min="27" max="27" width="15.42578125" bestFit="1" customWidth="1"/>
    <col min="28" max="28" width="23.5703125" bestFit="1" customWidth="1"/>
    <col min="29" max="29" width="15.28515625" bestFit="1" customWidth="1"/>
    <col min="30" max="30" width="33.140625" bestFit="1" customWidth="1"/>
    <col min="31" max="31" width="30.5703125" bestFit="1" customWidth="1"/>
    <col min="32" max="32" width="34.85546875" bestFit="1" customWidth="1"/>
    <col min="33" max="33" width="26.140625" bestFit="1" customWidth="1"/>
    <col min="34" max="34" width="34.7109375" bestFit="1" customWidth="1"/>
    <col min="35" max="35" width="34.5703125" bestFit="1" customWidth="1"/>
    <col min="36" max="36" width="30" bestFit="1" customWidth="1"/>
    <col min="37" max="37" width="21.7109375" bestFit="1" customWidth="1"/>
    <col min="38" max="38" width="26.28515625" bestFit="1" customWidth="1"/>
    <col min="39" max="39" width="32.140625" bestFit="1" customWidth="1"/>
    <col min="40" max="40" width="38.5703125" bestFit="1" customWidth="1"/>
    <col min="41" max="41" width="31" bestFit="1" customWidth="1"/>
    <col min="42" max="42" width="37.42578125" bestFit="1" customWidth="1"/>
    <col min="43" max="43" width="39" bestFit="1" customWidth="1"/>
    <col min="44" max="44" width="16" bestFit="1" customWidth="1"/>
    <col min="45" max="45" width="24.5703125" bestFit="1" customWidth="1"/>
    <col min="46" max="46" width="12.85546875" bestFit="1" customWidth="1"/>
    <col min="47" max="47" width="19.5703125" bestFit="1" customWidth="1"/>
    <col min="48" max="48" width="31" bestFit="1" customWidth="1"/>
  </cols>
  <sheetData>
    <row r="1" spans="1:48" x14ac:dyDescent="0.25">
      <c r="A1" t="s">
        <v>5</v>
      </c>
      <c r="B1" t="s">
        <v>8</v>
      </c>
      <c r="C1" t="s">
        <v>11</v>
      </c>
      <c r="D1" t="s">
        <v>15</v>
      </c>
      <c r="E1" t="s">
        <v>24</v>
      </c>
      <c r="F1" t="s">
        <v>25</v>
      </c>
      <c r="G1" t="s">
        <v>26</v>
      </c>
      <c r="H1" t="s">
        <v>27</v>
      </c>
      <c r="I1" t="s">
        <v>29</v>
      </c>
      <c r="J1" t="s">
        <v>30</v>
      </c>
      <c r="K1" t="s">
        <v>31</v>
      </c>
      <c r="L1" t="s">
        <v>33</v>
      </c>
      <c r="M1" t="s">
        <v>34</v>
      </c>
      <c r="N1" t="s">
        <v>36</v>
      </c>
      <c r="O1" t="s">
        <v>37</v>
      </c>
      <c r="P1" t="s">
        <v>38</v>
      </c>
      <c r="Q1" t="s">
        <v>39</v>
      </c>
      <c r="R1" t="s">
        <v>40</v>
      </c>
      <c r="S1" t="s">
        <v>41</v>
      </c>
      <c r="T1" t="s">
        <v>42</v>
      </c>
      <c r="U1" t="s">
        <v>43</v>
      </c>
      <c r="V1" t="s">
        <v>44</v>
      </c>
      <c r="W1" t="s">
        <v>45</v>
      </c>
      <c r="X1" t="s">
        <v>46</v>
      </c>
      <c r="Y1" t="s">
        <v>47</v>
      </c>
      <c r="Z1" t="s">
        <v>48</v>
      </c>
      <c r="AA1" t="s">
        <v>49</v>
      </c>
      <c r="AB1" t="s">
        <v>50</v>
      </c>
      <c r="AC1" t="s">
        <v>51</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1010</v>
      </c>
    </row>
    <row r="2" spans="1:48" x14ac:dyDescent="0.25">
      <c r="A2">
        <v>1</v>
      </c>
      <c r="B2" t="s">
        <v>77</v>
      </c>
      <c r="C2" t="s">
        <v>80</v>
      </c>
      <c r="D2">
        <v>960207.05279999995</v>
      </c>
      <c r="F2">
        <v>36250.5</v>
      </c>
      <c r="G2">
        <v>4200</v>
      </c>
      <c r="J2" t="s">
        <v>84</v>
      </c>
      <c r="L2" t="s">
        <v>84</v>
      </c>
      <c r="M2">
        <v>240000</v>
      </c>
      <c r="N2" t="s">
        <v>84</v>
      </c>
      <c r="O2">
        <v>0</v>
      </c>
      <c r="Q2">
        <v>0</v>
      </c>
      <c r="S2">
        <v>16550</v>
      </c>
      <c r="T2" t="s">
        <v>84</v>
      </c>
      <c r="U2">
        <v>3000</v>
      </c>
      <c r="W2" t="s">
        <v>84</v>
      </c>
      <c r="X2" t="s">
        <v>84</v>
      </c>
      <c r="Y2" t="s">
        <v>84</v>
      </c>
      <c r="Z2">
        <v>37115</v>
      </c>
      <c r="AA2" t="s">
        <v>84</v>
      </c>
      <c r="AB2">
        <v>5000</v>
      </c>
      <c r="AD2">
        <v>25950</v>
      </c>
      <c r="AE2">
        <v>141212.5</v>
      </c>
      <c r="AH2" t="s">
        <v>84</v>
      </c>
      <c r="AI2">
        <v>48000</v>
      </c>
      <c r="AJ2">
        <v>163923.76</v>
      </c>
      <c r="AK2" t="s">
        <v>84</v>
      </c>
      <c r="AL2" t="s">
        <v>84</v>
      </c>
      <c r="AN2" t="s">
        <v>84</v>
      </c>
      <c r="AQ2">
        <v>28960</v>
      </c>
      <c r="AR2">
        <v>0</v>
      </c>
      <c r="AS2">
        <v>0</v>
      </c>
      <c r="AT2" t="s">
        <v>84</v>
      </c>
      <c r="AU2" t="s">
        <v>84</v>
      </c>
      <c r="AV2">
        <v>745866.46846666664</v>
      </c>
    </row>
    <row r="3" spans="1:48" x14ac:dyDescent="0.25">
      <c r="A3">
        <v>0</v>
      </c>
      <c r="B3" t="s">
        <v>77</v>
      </c>
      <c r="C3" t="s">
        <v>80</v>
      </c>
      <c r="D3">
        <v>662457.18420000002</v>
      </c>
      <c r="J3" t="s">
        <v>84</v>
      </c>
      <c r="L3" t="s">
        <v>84</v>
      </c>
      <c r="N3" t="s">
        <v>84</v>
      </c>
      <c r="T3" t="s">
        <v>84</v>
      </c>
      <c r="W3" t="s">
        <v>84</v>
      </c>
      <c r="X3" t="s">
        <v>84</v>
      </c>
      <c r="Y3" t="s">
        <v>84</v>
      </c>
      <c r="AA3" t="s">
        <v>84</v>
      </c>
      <c r="AH3" t="s">
        <v>84</v>
      </c>
      <c r="AK3" t="s">
        <v>84</v>
      </c>
      <c r="AL3" t="s">
        <v>84</v>
      </c>
      <c r="AN3" t="s">
        <v>84</v>
      </c>
      <c r="AT3" t="s">
        <v>84</v>
      </c>
      <c r="AU3" t="s">
        <v>84</v>
      </c>
      <c r="AV3">
        <v>745866.46846666664</v>
      </c>
    </row>
    <row r="4" spans="1:48" x14ac:dyDescent="0.25">
      <c r="A4">
        <v>0</v>
      </c>
      <c r="B4" t="s">
        <v>77</v>
      </c>
      <c r="C4" t="s">
        <v>80</v>
      </c>
      <c r="D4">
        <v>614935.16839999997</v>
      </c>
      <c r="J4" t="s">
        <v>84</v>
      </c>
      <c r="L4" t="s">
        <v>84</v>
      </c>
      <c r="N4" t="s">
        <v>84</v>
      </c>
      <c r="T4" t="s">
        <v>84</v>
      </c>
      <c r="W4" t="s">
        <v>84</v>
      </c>
      <c r="X4" t="s">
        <v>84</v>
      </c>
      <c r="Y4" t="s">
        <v>84</v>
      </c>
      <c r="AA4" t="s">
        <v>84</v>
      </c>
      <c r="AH4" t="s">
        <v>84</v>
      </c>
      <c r="AK4" t="s">
        <v>84</v>
      </c>
      <c r="AL4" t="s">
        <v>84</v>
      </c>
      <c r="AN4" t="s">
        <v>84</v>
      </c>
      <c r="AT4" t="s">
        <v>84</v>
      </c>
      <c r="AU4" t="s">
        <v>84</v>
      </c>
      <c r="AV4">
        <v>745866.46846666664</v>
      </c>
    </row>
    <row r="5" spans="1:48" x14ac:dyDescent="0.25">
      <c r="A5">
        <v>0</v>
      </c>
      <c r="B5" t="s">
        <v>77</v>
      </c>
      <c r="C5" t="s">
        <v>87</v>
      </c>
      <c r="D5">
        <v>107610.4167</v>
      </c>
      <c r="J5" t="s">
        <v>84</v>
      </c>
      <c r="L5" t="s">
        <v>84</v>
      </c>
      <c r="N5" t="s">
        <v>84</v>
      </c>
      <c r="T5" t="s">
        <v>84</v>
      </c>
      <c r="W5" t="s">
        <v>84</v>
      </c>
      <c r="X5" t="s">
        <v>84</v>
      </c>
      <c r="Y5" t="s">
        <v>84</v>
      </c>
      <c r="AA5" t="s">
        <v>84</v>
      </c>
      <c r="AH5" t="s">
        <v>84</v>
      </c>
      <c r="AK5" t="s">
        <v>84</v>
      </c>
      <c r="AL5" t="s">
        <v>84</v>
      </c>
      <c r="AN5" t="s">
        <v>84</v>
      </c>
      <c r="AT5" t="s">
        <v>84</v>
      </c>
      <c r="AU5" t="s">
        <v>84</v>
      </c>
      <c r="AV5">
        <v>109194.18611</v>
      </c>
    </row>
    <row r="6" spans="1:48" x14ac:dyDescent="0.25">
      <c r="A6">
        <v>0</v>
      </c>
      <c r="B6" t="s">
        <v>77</v>
      </c>
      <c r="C6" t="s">
        <v>87</v>
      </c>
      <c r="D6">
        <v>133998.9583</v>
      </c>
      <c r="J6" t="s">
        <v>84</v>
      </c>
      <c r="L6" t="s">
        <v>84</v>
      </c>
      <c r="N6" t="s">
        <v>84</v>
      </c>
      <c r="T6" t="s">
        <v>84</v>
      </c>
      <c r="W6" t="s">
        <v>84</v>
      </c>
      <c r="X6" t="s">
        <v>84</v>
      </c>
      <c r="Y6" t="s">
        <v>84</v>
      </c>
      <c r="AA6" t="s">
        <v>84</v>
      </c>
      <c r="AH6" t="s">
        <v>84</v>
      </c>
      <c r="AK6" t="s">
        <v>84</v>
      </c>
      <c r="AL6" t="s">
        <v>84</v>
      </c>
      <c r="AN6" t="s">
        <v>84</v>
      </c>
      <c r="AT6" t="s">
        <v>84</v>
      </c>
      <c r="AU6" t="s">
        <v>84</v>
      </c>
      <c r="AV6">
        <v>109194.18611</v>
      </c>
    </row>
    <row r="7" spans="1:48" x14ac:dyDescent="0.25">
      <c r="A7">
        <v>1</v>
      </c>
      <c r="B7" t="s">
        <v>77</v>
      </c>
      <c r="C7" t="s">
        <v>87</v>
      </c>
      <c r="D7">
        <v>85973.18333</v>
      </c>
      <c r="J7" t="s">
        <v>84</v>
      </c>
      <c r="L7" t="s">
        <v>84</v>
      </c>
      <c r="N7" t="s">
        <v>84</v>
      </c>
      <c r="O7">
        <v>13200</v>
      </c>
      <c r="P7">
        <v>28800</v>
      </c>
      <c r="Q7">
        <v>10550</v>
      </c>
      <c r="R7">
        <v>10166</v>
      </c>
      <c r="T7" t="s">
        <v>84</v>
      </c>
      <c r="W7" t="s">
        <v>84</v>
      </c>
      <c r="X7" t="s">
        <v>84</v>
      </c>
      <c r="Y7" t="s">
        <v>84</v>
      </c>
      <c r="AA7" t="s">
        <v>84</v>
      </c>
      <c r="AH7" t="s">
        <v>84</v>
      </c>
      <c r="AK7" t="s">
        <v>84</v>
      </c>
      <c r="AL7" t="s">
        <v>84</v>
      </c>
      <c r="AN7" t="s">
        <v>84</v>
      </c>
      <c r="AT7" t="s">
        <v>84</v>
      </c>
      <c r="AU7" t="s">
        <v>84</v>
      </c>
      <c r="AV7">
        <v>109194.18611</v>
      </c>
    </row>
    <row r="8" spans="1:48" x14ac:dyDescent="0.25">
      <c r="A8">
        <v>0</v>
      </c>
      <c r="B8" t="s">
        <v>77</v>
      </c>
      <c r="C8" t="s">
        <v>92</v>
      </c>
      <c r="D8">
        <v>14510</v>
      </c>
      <c r="J8" t="s">
        <v>84</v>
      </c>
      <c r="L8" t="s">
        <v>84</v>
      </c>
      <c r="N8" t="s">
        <v>84</v>
      </c>
      <c r="T8" t="s">
        <v>84</v>
      </c>
      <c r="W8" t="s">
        <v>84</v>
      </c>
      <c r="X8" t="s">
        <v>84</v>
      </c>
      <c r="Y8" t="s">
        <v>84</v>
      </c>
      <c r="AA8" t="s">
        <v>84</v>
      </c>
      <c r="AH8" t="s">
        <v>84</v>
      </c>
      <c r="AK8" t="s">
        <v>84</v>
      </c>
      <c r="AL8" t="s">
        <v>84</v>
      </c>
      <c r="AN8" t="s">
        <v>84</v>
      </c>
      <c r="AT8" t="s">
        <v>84</v>
      </c>
      <c r="AU8" t="s">
        <v>84</v>
      </c>
      <c r="AV8">
        <v>21656.666666666668</v>
      </c>
    </row>
    <row r="9" spans="1:48" x14ac:dyDescent="0.25">
      <c r="A9">
        <v>1</v>
      </c>
      <c r="B9" t="s">
        <v>77</v>
      </c>
      <c r="C9" t="s">
        <v>92</v>
      </c>
      <c r="D9">
        <v>21040</v>
      </c>
      <c r="H9">
        <v>21040</v>
      </c>
      <c r="J9" t="s">
        <v>84</v>
      </c>
      <c r="L9" t="s">
        <v>84</v>
      </c>
      <c r="N9" t="s">
        <v>84</v>
      </c>
      <c r="T9" t="s">
        <v>84</v>
      </c>
      <c r="W9" t="s">
        <v>84</v>
      </c>
      <c r="X9" t="s">
        <v>84</v>
      </c>
      <c r="Y9" t="s">
        <v>84</v>
      </c>
      <c r="AA9" t="s">
        <v>84</v>
      </c>
      <c r="AH9" t="s">
        <v>84</v>
      </c>
      <c r="AK9" t="s">
        <v>84</v>
      </c>
      <c r="AL9" t="s">
        <v>84</v>
      </c>
      <c r="AN9" t="s">
        <v>84</v>
      </c>
      <c r="AT9" t="s">
        <v>84</v>
      </c>
      <c r="AU9" t="s">
        <v>84</v>
      </c>
      <c r="AV9">
        <v>21656.666666666668</v>
      </c>
    </row>
    <row r="10" spans="1:48" x14ac:dyDescent="0.25">
      <c r="A10">
        <v>0</v>
      </c>
      <c r="B10" t="s">
        <v>77</v>
      </c>
      <c r="C10" t="s">
        <v>92</v>
      </c>
      <c r="D10">
        <v>29420</v>
      </c>
      <c r="J10" t="s">
        <v>84</v>
      </c>
      <c r="L10" t="s">
        <v>84</v>
      </c>
      <c r="N10" t="s">
        <v>84</v>
      </c>
      <c r="T10" t="s">
        <v>84</v>
      </c>
      <c r="W10" t="s">
        <v>84</v>
      </c>
      <c r="X10" t="s">
        <v>84</v>
      </c>
      <c r="Y10" t="s">
        <v>84</v>
      </c>
      <c r="AA10" t="s">
        <v>84</v>
      </c>
      <c r="AH10" t="s">
        <v>84</v>
      </c>
      <c r="AK10" t="s">
        <v>84</v>
      </c>
      <c r="AL10" t="s">
        <v>84</v>
      </c>
      <c r="AN10" t="s">
        <v>84</v>
      </c>
      <c r="AT10" t="s">
        <v>84</v>
      </c>
      <c r="AU10" t="s">
        <v>84</v>
      </c>
      <c r="AV10">
        <v>21656.666666666668</v>
      </c>
    </row>
    <row r="11" spans="1:48" x14ac:dyDescent="0.25">
      <c r="A11">
        <v>0</v>
      </c>
      <c r="B11" t="s">
        <v>77</v>
      </c>
      <c r="C11" t="s">
        <v>98</v>
      </c>
      <c r="D11">
        <v>52850</v>
      </c>
      <c r="J11" t="s">
        <v>84</v>
      </c>
      <c r="L11" t="s">
        <v>84</v>
      </c>
      <c r="N11" t="s">
        <v>84</v>
      </c>
      <c r="T11" t="s">
        <v>84</v>
      </c>
      <c r="W11" t="s">
        <v>84</v>
      </c>
      <c r="X11" t="s">
        <v>84</v>
      </c>
      <c r="Y11" t="s">
        <v>84</v>
      </c>
      <c r="AA11" t="s">
        <v>84</v>
      </c>
      <c r="AH11" t="s">
        <v>84</v>
      </c>
      <c r="AK11" t="s">
        <v>84</v>
      </c>
      <c r="AL11" t="s">
        <v>84</v>
      </c>
      <c r="AN11" t="s">
        <v>84</v>
      </c>
      <c r="AT11" t="s">
        <v>84</v>
      </c>
      <c r="AU11" t="s">
        <v>84</v>
      </c>
      <c r="AV11">
        <v>37833.333333333336</v>
      </c>
    </row>
    <row r="12" spans="1:48" x14ac:dyDescent="0.25">
      <c r="A12">
        <v>0</v>
      </c>
      <c r="B12" t="s">
        <v>77</v>
      </c>
      <c r="C12" t="s">
        <v>98</v>
      </c>
      <c r="D12">
        <v>20700</v>
      </c>
      <c r="J12" t="s">
        <v>84</v>
      </c>
      <c r="L12" t="s">
        <v>84</v>
      </c>
      <c r="N12" t="s">
        <v>84</v>
      </c>
      <c r="T12" t="s">
        <v>84</v>
      </c>
      <c r="W12" t="s">
        <v>84</v>
      </c>
      <c r="X12" t="s">
        <v>84</v>
      </c>
      <c r="Y12" t="s">
        <v>84</v>
      </c>
      <c r="AA12" t="s">
        <v>84</v>
      </c>
      <c r="AH12" t="s">
        <v>84</v>
      </c>
      <c r="AK12" t="s">
        <v>84</v>
      </c>
      <c r="AL12" t="s">
        <v>84</v>
      </c>
      <c r="AN12" t="s">
        <v>84</v>
      </c>
      <c r="AT12" t="s">
        <v>84</v>
      </c>
      <c r="AU12" t="s">
        <v>84</v>
      </c>
      <c r="AV12">
        <v>37833.333333333336</v>
      </c>
    </row>
    <row r="13" spans="1:48" x14ac:dyDescent="0.25">
      <c r="A13">
        <v>1</v>
      </c>
      <c r="B13" t="s">
        <v>77</v>
      </c>
      <c r="C13" t="s">
        <v>98</v>
      </c>
      <c r="D13">
        <v>39950</v>
      </c>
      <c r="J13" t="s">
        <v>84</v>
      </c>
      <c r="L13" t="s">
        <v>84</v>
      </c>
      <c r="N13" t="s">
        <v>84</v>
      </c>
      <c r="T13" t="s">
        <v>84</v>
      </c>
      <c r="V13">
        <v>39950</v>
      </c>
      <c r="W13" t="s">
        <v>84</v>
      </c>
      <c r="X13" t="s">
        <v>84</v>
      </c>
      <c r="Y13" t="s">
        <v>84</v>
      </c>
      <c r="AA13" t="s">
        <v>84</v>
      </c>
      <c r="AH13" t="s">
        <v>84</v>
      </c>
      <c r="AK13" t="s">
        <v>84</v>
      </c>
      <c r="AL13" t="s">
        <v>84</v>
      </c>
      <c r="AN13" t="s">
        <v>84</v>
      </c>
      <c r="AT13" t="s">
        <v>84</v>
      </c>
      <c r="AU13" t="s">
        <v>84</v>
      </c>
      <c r="AV13">
        <v>37833.333333333336</v>
      </c>
    </row>
    <row r="14" spans="1:48" x14ac:dyDescent="0.25">
      <c r="A14">
        <v>1</v>
      </c>
      <c r="B14" t="s">
        <v>77</v>
      </c>
      <c r="C14" t="s">
        <v>106</v>
      </c>
      <c r="D14">
        <v>4805.2749999999996</v>
      </c>
      <c r="J14" t="s">
        <v>84</v>
      </c>
      <c r="K14">
        <v>2000</v>
      </c>
      <c r="L14" t="s">
        <v>84</v>
      </c>
      <c r="N14" t="s">
        <v>84</v>
      </c>
      <c r="T14" t="s">
        <v>84</v>
      </c>
      <c r="W14" t="s">
        <v>84</v>
      </c>
      <c r="X14" t="s">
        <v>84</v>
      </c>
      <c r="Y14" t="s">
        <v>84</v>
      </c>
      <c r="AA14" t="s">
        <v>84</v>
      </c>
      <c r="AF14">
        <v>1050</v>
      </c>
      <c r="AH14" t="s">
        <v>84</v>
      </c>
      <c r="AK14" t="s">
        <v>84</v>
      </c>
      <c r="AL14" t="s">
        <v>84</v>
      </c>
      <c r="AN14" t="s">
        <v>84</v>
      </c>
      <c r="AT14" t="s">
        <v>84</v>
      </c>
      <c r="AU14" t="s">
        <v>84</v>
      </c>
      <c r="AV14">
        <v>7050.3624999999993</v>
      </c>
    </row>
    <row r="15" spans="1:48" x14ac:dyDescent="0.25">
      <c r="A15">
        <v>0</v>
      </c>
      <c r="B15" t="s">
        <v>77</v>
      </c>
      <c r="C15" t="s">
        <v>106</v>
      </c>
      <c r="D15">
        <v>10043.8125</v>
      </c>
      <c r="J15" t="s">
        <v>84</v>
      </c>
      <c r="L15" t="s">
        <v>84</v>
      </c>
      <c r="N15" t="s">
        <v>84</v>
      </c>
      <c r="T15" t="s">
        <v>84</v>
      </c>
      <c r="W15" t="s">
        <v>84</v>
      </c>
      <c r="X15" t="s">
        <v>84</v>
      </c>
      <c r="Y15" t="s">
        <v>84</v>
      </c>
      <c r="AA15" t="s">
        <v>84</v>
      </c>
      <c r="AH15" t="s">
        <v>84</v>
      </c>
      <c r="AK15" t="s">
        <v>84</v>
      </c>
      <c r="AL15" t="s">
        <v>84</v>
      </c>
      <c r="AN15" t="s">
        <v>84</v>
      </c>
      <c r="AT15" t="s">
        <v>84</v>
      </c>
      <c r="AU15" t="s">
        <v>84</v>
      </c>
      <c r="AV15">
        <v>7050.3624999999993</v>
      </c>
    </row>
    <row r="16" spans="1:48" x14ac:dyDescent="0.25">
      <c r="A16">
        <v>0</v>
      </c>
      <c r="B16" t="s">
        <v>77</v>
      </c>
      <c r="C16" t="s">
        <v>106</v>
      </c>
      <c r="D16">
        <v>6302</v>
      </c>
      <c r="J16" t="s">
        <v>84</v>
      </c>
      <c r="L16" t="s">
        <v>84</v>
      </c>
      <c r="N16" t="s">
        <v>84</v>
      </c>
      <c r="T16" t="s">
        <v>84</v>
      </c>
      <c r="W16" t="s">
        <v>84</v>
      </c>
      <c r="X16" t="s">
        <v>84</v>
      </c>
      <c r="Y16" t="s">
        <v>84</v>
      </c>
      <c r="AA16" t="s">
        <v>84</v>
      </c>
      <c r="AH16" t="s">
        <v>84</v>
      </c>
      <c r="AK16" t="s">
        <v>84</v>
      </c>
      <c r="AL16" t="s">
        <v>84</v>
      </c>
      <c r="AN16" t="s">
        <v>84</v>
      </c>
      <c r="AT16" t="s">
        <v>84</v>
      </c>
      <c r="AU16" t="s">
        <v>84</v>
      </c>
      <c r="AV16">
        <v>7050.3624999999993</v>
      </c>
    </row>
    <row r="17" spans="1:48" x14ac:dyDescent="0.25">
      <c r="A17">
        <v>1</v>
      </c>
      <c r="B17" t="s">
        <v>77</v>
      </c>
      <c r="C17" t="s">
        <v>110</v>
      </c>
      <c r="D17">
        <v>18176</v>
      </c>
      <c r="F17">
        <v>0</v>
      </c>
      <c r="G17">
        <v>0</v>
      </c>
      <c r="J17" t="s">
        <v>84</v>
      </c>
      <c r="L17" t="s">
        <v>84</v>
      </c>
      <c r="M17">
        <v>0</v>
      </c>
      <c r="N17" t="s">
        <v>84</v>
      </c>
      <c r="O17">
        <v>0</v>
      </c>
      <c r="Q17">
        <v>0</v>
      </c>
      <c r="S17">
        <v>0</v>
      </c>
      <c r="T17" t="s">
        <v>84</v>
      </c>
      <c r="U17">
        <v>0</v>
      </c>
      <c r="W17" t="s">
        <v>84</v>
      </c>
      <c r="X17" t="s">
        <v>84</v>
      </c>
      <c r="Y17" t="s">
        <v>84</v>
      </c>
      <c r="Z17">
        <v>0</v>
      </c>
      <c r="AA17" t="s">
        <v>84</v>
      </c>
      <c r="AB17">
        <v>14200</v>
      </c>
      <c r="AD17">
        <v>0</v>
      </c>
      <c r="AE17">
        <v>0</v>
      </c>
      <c r="AH17" t="s">
        <v>84</v>
      </c>
      <c r="AI17">
        <v>0</v>
      </c>
      <c r="AJ17">
        <v>0</v>
      </c>
      <c r="AK17" t="s">
        <v>84</v>
      </c>
      <c r="AL17" t="s">
        <v>84</v>
      </c>
      <c r="AN17" t="s">
        <v>84</v>
      </c>
      <c r="AQ17">
        <v>0</v>
      </c>
      <c r="AR17">
        <v>0</v>
      </c>
      <c r="AS17">
        <v>0</v>
      </c>
      <c r="AT17" t="s">
        <v>84</v>
      </c>
      <c r="AU17" t="s">
        <v>84</v>
      </c>
      <c r="AV17">
        <v>14980</v>
      </c>
    </row>
    <row r="18" spans="1:48" x14ac:dyDescent="0.25">
      <c r="A18">
        <v>0</v>
      </c>
      <c r="B18" t="s">
        <v>77</v>
      </c>
      <c r="C18" t="s">
        <v>110</v>
      </c>
      <c r="D18">
        <v>14364</v>
      </c>
      <c r="J18" t="s">
        <v>84</v>
      </c>
      <c r="L18" t="s">
        <v>84</v>
      </c>
      <c r="N18" t="s">
        <v>84</v>
      </c>
      <c r="T18" t="s">
        <v>84</v>
      </c>
      <c r="W18" t="s">
        <v>84</v>
      </c>
      <c r="X18" t="s">
        <v>84</v>
      </c>
      <c r="Y18" t="s">
        <v>84</v>
      </c>
      <c r="AA18" t="s">
        <v>84</v>
      </c>
      <c r="AH18" t="s">
        <v>84</v>
      </c>
      <c r="AK18" t="s">
        <v>84</v>
      </c>
      <c r="AL18" t="s">
        <v>84</v>
      </c>
      <c r="AN18" t="s">
        <v>84</v>
      </c>
      <c r="AT18" t="s">
        <v>84</v>
      </c>
      <c r="AU18" t="s">
        <v>84</v>
      </c>
      <c r="AV18">
        <v>14980</v>
      </c>
    </row>
    <row r="19" spans="1:48" x14ac:dyDescent="0.25">
      <c r="A19">
        <v>0</v>
      </c>
      <c r="B19" t="s">
        <v>77</v>
      </c>
      <c r="C19" t="s">
        <v>110</v>
      </c>
      <c r="D19">
        <v>12400</v>
      </c>
      <c r="J19" t="s">
        <v>84</v>
      </c>
      <c r="L19" t="s">
        <v>84</v>
      </c>
      <c r="N19" t="s">
        <v>84</v>
      </c>
      <c r="T19" t="s">
        <v>84</v>
      </c>
      <c r="W19" t="s">
        <v>84</v>
      </c>
      <c r="X19" t="s">
        <v>84</v>
      </c>
      <c r="Y19" t="s">
        <v>84</v>
      </c>
      <c r="AA19" t="s">
        <v>84</v>
      </c>
      <c r="AH19" t="s">
        <v>84</v>
      </c>
      <c r="AK19" t="s">
        <v>84</v>
      </c>
      <c r="AL19" t="s">
        <v>84</v>
      </c>
      <c r="AN19" t="s">
        <v>84</v>
      </c>
      <c r="AT19" t="s">
        <v>84</v>
      </c>
      <c r="AU19" t="s">
        <v>84</v>
      </c>
      <c r="AV19">
        <v>14980</v>
      </c>
    </row>
    <row r="20" spans="1:48" x14ac:dyDescent="0.25">
      <c r="A20">
        <v>0</v>
      </c>
      <c r="B20" t="s">
        <v>77</v>
      </c>
      <c r="C20" t="s">
        <v>114</v>
      </c>
      <c r="D20">
        <v>39250</v>
      </c>
      <c r="J20" t="s">
        <v>84</v>
      </c>
      <c r="L20" t="s">
        <v>84</v>
      </c>
      <c r="N20" t="s">
        <v>84</v>
      </c>
      <c r="T20" t="s">
        <v>84</v>
      </c>
      <c r="W20" t="s">
        <v>84</v>
      </c>
      <c r="X20" t="s">
        <v>84</v>
      </c>
      <c r="Y20" t="s">
        <v>84</v>
      </c>
      <c r="AA20" t="s">
        <v>84</v>
      </c>
      <c r="AH20" t="s">
        <v>84</v>
      </c>
      <c r="AK20" t="s">
        <v>84</v>
      </c>
      <c r="AL20" t="s">
        <v>84</v>
      </c>
      <c r="AN20" t="s">
        <v>84</v>
      </c>
      <c r="AT20" t="s">
        <v>84</v>
      </c>
      <c r="AU20" t="s">
        <v>84</v>
      </c>
      <c r="AV20">
        <v>37483.333333333336</v>
      </c>
    </row>
    <row r="21" spans="1:48" x14ac:dyDescent="0.25">
      <c r="A21">
        <v>0</v>
      </c>
      <c r="B21" t="s">
        <v>77</v>
      </c>
      <c r="C21" t="s">
        <v>114</v>
      </c>
      <c r="D21">
        <v>36200</v>
      </c>
      <c r="J21" t="s">
        <v>84</v>
      </c>
      <c r="L21" t="s">
        <v>84</v>
      </c>
      <c r="N21" t="s">
        <v>84</v>
      </c>
      <c r="T21" t="s">
        <v>84</v>
      </c>
      <c r="W21" t="s">
        <v>84</v>
      </c>
      <c r="X21" t="s">
        <v>84</v>
      </c>
      <c r="Y21" t="s">
        <v>84</v>
      </c>
      <c r="AA21" t="s">
        <v>84</v>
      </c>
      <c r="AH21" t="s">
        <v>84</v>
      </c>
      <c r="AK21" t="s">
        <v>84</v>
      </c>
      <c r="AL21" t="s">
        <v>84</v>
      </c>
      <c r="AN21" t="s">
        <v>84</v>
      </c>
      <c r="AT21" t="s">
        <v>84</v>
      </c>
      <c r="AU21" t="s">
        <v>84</v>
      </c>
      <c r="AV21">
        <v>37483.333333333336</v>
      </c>
    </row>
    <row r="22" spans="1:48" x14ac:dyDescent="0.25">
      <c r="A22">
        <v>1</v>
      </c>
      <c r="B22" t="s">
        <v>77</v>
      </c>
      <c r="C22" t="s">
        <v>114</v>
      </c>
      <c r="D22">
        <v>37000</v>
      </c>
      <c r="J22" t="s">
        <v>84</v>
      </c>
      <c r="L22" t="s">
        <v>84</v>
      </c>
      <c r="N22" t="s">
        <v>84</v>
      </c>
      <c r="T22" t="s">
        <v>84</v>
      </c>
      <c r="W22" t="s">
        <v>84</v>
      </c>
      <c r="X22" t="s">
        <v>84</v>
      </c>
      <c r="Y22" t="s">
        <v>84</v>
      </c>
      <c r="AA22" t="s">
        <v>84</v>
      </c>
      <c r="AH22" t="s">
        <v>84</v>
      </c>
      <c r="AK22" t="s">
        <v>84</v>
      </c>
      <c r="AL22" t="s">
        <v>84</v>
      </c>
      <c r="AN22" t="s">
        <v>84</v>
      </c>
      <c r="AO22">
        <v>37000</v>
      </c>
      <c r="AT22" t="s">
        <v>84</v>
      </c>
      <c r="AU22" t="s">
        <v>84</v>
      </c>
      <c r="AV22">
        <v>37483.333333333336</v>
      </c>
    </row>
    <row r="23" spans="1:48" x14ac:dyDescent="0.25">
      <c r="A23">
        <v>0</v>
      </c>
      <c r="B23" t="s">
        <v>77</v>
      </c>
      <c r="C23" t="s">
        <v>121</v>
      </c>
      <c r="D23">
        <v>161541.30129999999</v>
      </c>
      <c r="J23" t="s">
        <v>84</v>
      </c>
      <c r="L23" t="s">
        <v>84</v>
      </c>
      <c r="N23" t="s">
        <v>84</v>
      </c>
      <c r="T23" t="s">
        <v>84</v>
      </c>
      <c r="W23" t="s">
        <v>84</v>
      </c>
      <c r="X23" t="s">
        <v>84</v>
      </c>
      <c r="Y23" t="s">
        <v>84</v>
      </c>
      <c r="AA23" t="s">
        <v>84</v>
      </c>
      <c r="AH23" t="s">
        <v>84</v>
      </c>
      <c r="AK23" t="s">
        <v>84</v>
      </c>
      <c r="AL23" t="s">
        <v>84</v>
      </c>
      <c r="AN23" t="s">
        <v>84</v>
      </c>
      <c r="AT23" t="s">
        <v>84</v>
      </c>
      <c r="AU23" t="s">
        <v>84</v>
      </c>
      <c r="AV23">
        <v>145472.97853333334</v>
      </c>
    </row>
    <row r="24" spans="1:48" x14ac:dyDescent="0.25">
      <c r="A24">
        <v>0</v>
      </c>
      <c r="B24" t="s">
        <v>77</v>
      </c>
      <c r="C24" t="s">
        <v>121</v>
      </c>
      <c r="D24">
        <v>138331.54800000001</v>
      </c>
      <c r="J24" t="s">
        <v>84</v>
      </c>
      <c r="L24" t="s">
        <v>84</v>
      </c>
      <c r="N24" t="s">
        <v>84</v>
      </c>
      <c r="T24" t="s">
        <v>84</v>
      </c>
      <c r="W24" t="s">
        <v>84</v>
      </c>
      <c r="X24" t="s">
        <v>84</v>
      </c>
      <c r="Y24" t="s">
        <v>84</v>
      </c>
      <c r="AA24" t="s">
        <v>84</v>
      </c>
      <c r="AH24" t="s">
        <v>84</v>
      </c>
      <c r="AK24" t="s">
        <v>84</v>
      </c>
      <c r="AL24" t="s">
        <v>84</v>
      </c>
      <c r="AN24" t="s">
        <v>84</v>
      </c>
      <c r="AT24" t="s">
        <v>84</v>
      </c>
      <c r="AU24" t="s">
        <v>84</v>
      </c>
      <c r="AV24">
        <v>145472.97853333334</v>
      </c>
    </row>
    <row r="25" spans="1:48" x14ac:dyDescent="0.25">
      <c r="A25">
        <v>1</v>
      </c>
      <c r="B25" t="s">
        <v>77</v>
      </c>
      <c r="C25" t="s">
        <v>121</v>
      </c>
      <c r="D25">
        <v>136546.0863</v>
      </c>
      <c r="G25">
        <v>0</v>
      </c>
      <c r="I25">
        <v>8053</v>
      </c>
      <c r="J25" t="s">
        <v>84</v>
      </c>
      <c r="L25" t="s">
        <v>84</v>
      </c>
      <c r="N25" t="s">
        <v>84</v>
      </c>
      <c r="S25">
        <v>2816</v>
      </c>
      <c r="T25" t="s">
        <v>84</v>
      </c>
      <c r="U25">
        <v>7357</v>
      </c>
      <c r="W25" t="s">
        <v>84</v>
      </c>
      <c r="X25" t="s">
        <v>84</v>
      </c>
      <c r="Y25" t="s">
        <v>84</v>
      </c>
      <c r="AA25" t="s">
        <v>84</v>
      </c>
      <c r="AB25">
        <v>0</v>
      </c>
      <c r="AD25">
        <v>15030</v>
      </c>
      <c r="AG25">
        <v>7639</v>
      </c>
      <c r="AH25" t="s">
        <v>84</v>
      </c>
      <c r="AI25">
        <v>3398</v>
      </c>
      <c r="AJ25">
        <v>33713</v>
      </c>
      <c r="AK25" t="s">
        <v>84</v>
      </c>
      <c r="AL25" t="s">
        <v>84</v>
      </c>
      <c r="AM25">
        <v>11876</v>
      </c>
      <c r="AN25" t="s">
        <v>84</v>
      </c>
      <c r="AP25">
        <v>3905</v>
      </c>
      <c r="AR25">
        <v>4610</v>
      </c>
      <c r="AS25">
        <v>1189</v>
      </c>
      <c r="AT25" t="s">
        <v>84</v>
      </c>
      <c r="AU25" t="s">
        <v>84</v>
      </c>
      <c r="AV25">
        <v>145472.97853333334</v>
      </c>
    </row>
    <row r="26" spans="1:48" x14ac:dyDescent="0.25">
      <c r="A26">
        <v>0</v>
      </c>
      <c r="B26" t="s">
        <v>77</v>
      </c>
      <c r="C26" t="s">
        <v>125</v>
      </c>
      <c r="D26">
        <v>8700</v>
      </c>
      <c r="J26" t="s">
        <v>84</v>
      </c>
      <c r="L26" t="s">
        <v>84</v>
      </c>
      <c r="N26" t="s">
        <v>84</v>
      </c>
      <c r="T26" t="s">
        <v>84</v>
      </c>
      <c r="W26" t="s">
        <v>84</v>
      </c>
      <c r="X26" t="s">
        <v>84</v>
      </c>
      <c r="Y26" t="s">
        <v>84</v>
      </c>
      <c r="AA26" t="s">
        <v>84</v>
      </c>
      <c r="AH26" t="s">
        <v>84</v>
      </c>
      <c r="AK26" t="s">
        <v>84</v>
      </c>
      <c r="AL26" t="s">
        <v>84</v>
      </c>
      <c r="AN26" t="s">
        <v>84</v>
      </c>
      <c r="AT26" t="s">
        <v>84</v>
      </c>
      <c r="AU26" t="s">
        <v>84</v>
      </c>
      <c r="AV26">
        <v>38916.666666666672</v>
      </c>
    </row>
    <row r="27" spans="1:48" x14ac:dyDescent="0.25">
      <c r="A27">
        <v>0</v>
      </c>
      <c r="B27" t="s">
        <v>77</v>
      </c>
      <c r="C27" t="s">
        <v>125</v>
      </c>
      <c r="D27">
        <v>69900</v>
      </c>
      <c r="J27" t="s">
        <v>84</v>
      </c>
      <c r="L27" t="s">
        <v>84</v>
      </c>
      <c r="N27" t="s">
        <v>84</v>
      </c>
      <c r="T27" t="s">
        <v>84</v>
      </c>
      <c r="W27" t="s">
        <v>84</v>
      </c>
      <c r="X27" t="s">
        <v>84</v>
      </c>
      <c r="Y27" t="s">
        <v>84</v>
      </c>
      <c r="AA27" t="s">
        <v>84</v>
      </c>
      <c r="AH27" t="s">
        <v>84</v>
      </c>
      <c r="AK27" t="s">
        <v>84</v>
      </c>
      <c r="AL27" t="s">
        <v>84</v>
      </c>
      <c r="AN27" t="s">
        <v>84</v>
      </c>
      <c r="AT27" t="s">
        <v>84</v>
      </c>
      <c r="AU27" t="s">
        <v>84</v>
      </c>
      <c r="AV27">
        <v>38916.666666666672</v>
      </c>
    </row>
    <row r="28" spans="1:48" x14ac:dyDescent="0.25">
      <c r="A28">
        <v>1</v>
      </c>
      <c r="B28" t="s">
        <v>77</v>
      </c>
      <c r="C28" t="s">
        <v>125</v>
      </c>
      <c r="D28">
        <v>38150</v>
      </c>
      <c r="J28" t="s">
        <v>84</v>
      </c>
      <c r="L28" t="s">
        <v>84</v>
      </c>
      <c r="N28" t="s">
        <v>84</v>
      </c>
      <c r="T28" t="s">
        <v>84</v>
      </c>
      <c r="W28" t="s">
        <v>84</v>
      </c>
      <c r="X28" t="s">
        <v>84</v>
      </c>
      <c r="Y28" t="s">
        <v>84</v>
      </c>
      <c r="AA28" t="s">
        <v>84</v>
      </c>
      <c r="AC28">
        <v>38150</v>
      </c>
      <c r="AH28" t="s">
        <v>84</v>
      </c>
      <c r="AK28" t="s">
        <v>84</v>
      </c>
      <c r="AL28" t="s">
        <v>84</v>
      </c>
      <c r="AN28" t="s">
        <v>84</v>
      </c>
      <c r="AT28" t="s">
        <v>84</v>
      </c>
      <c r="AU28" t="s">
        <v>84</v>
      </c>
      <c r="AV28">
        <v>38916.666666666672</v>
      </c>
    </row>
    <row r="29" spans="1:48" x14ac:dyDescent="0.25">
      <c r="A29">
        <v>0</v>
      </c>
      <c r="B29" t="s">
        <v>137</v>
      </c>
      <c r="C29" t="s">
        <v>92</v>
      </c>
      <c r="D29">
        <v>24800</v>
      </c>
      <c r="J29" t="s">
        <v>84</v>
      </c>
      <c r="L29" t="s">
        <v>84</v>
      </c>
      <c r="N29" t="s">
        <v>84</v>
      </c>
      <c r="T29" t="s">
        <v>84</v>
      </c>
      <c r="W29" t="s">
        <v>84</v>
      </c>
      <c r="X29" t="s">
        <v>84</v>
      </c>
      <c r="Y29" t="s">
        <v>84</v>
      </c>
      <c r="AA29" t="s">
        <v>84</v>
      </c>
      <c r="AH29" t="s">
        <v>84</v>
      </c>
      <c r="AK29" t="s">
        <v>84</v>
      </c>
      <c r="AL29" t="s">
        <v>84</v>
      </c>
      <c r="AN29" t="s">
        <v>84</v>
      </c>
      <c r="AT29" t="s">
        <v>84</v>
      </c>
      <c r="AU29" t="s">
        <v>84</v>
      </c>
      <c r="AV29">
        <v>33935</v>
      </c>
    </row>
    <row r="30" spans="1:48" x14ac:dyDescent="0.25">
      <c r="A30">
        <v>1</v>
      </c>
      <c r="B30" t="s">
        <v>137</v>
      </c>
      <c r="C30" t="s">
        <v>92</v>
      </c>
      <c r="D30">
        <v>43070</v>
      </c>
      <c r="H30">
        <v>43070</v>
      </c>
      <c r="J30" t="s">
        <v>84</v>
      </c>
      <c r="L30" t="s">
        <v>84</v>
      </c>
      <c r="N30" t="s">
        <v>84</v>
      </c>
      <c r="T30" t="s">
        <v>84</v>
      </c>
      <c r="W30" t="s">
        <v>84</v>
      </c>
      <c r="X30" t="s">
        <v>84</v>
      </c>
      <c r="Y30" t="s">
        <v>84</v>
      </c>
      <c r="AA30" t="s">
        <v>84</v>
      </c>
      <c r="AH30" t="s">
        <v>84</v>
      </c>
      <c r="AK30" t="s">
        <v>84</v>
      </c>
      <c r="AL30" t="s">
        <v>84</v>
      </c>
      <c r="AN30" t="s">
        <v>84</v>
      </c>
      <c r="AT30" t="s">
        <v>84</v>
      </c>
      <c r="AU30" t="s">
        <v>84</v>
      </c>
      <c r="AV30">
        <v>33935</v>
      </c>
    </row>
    <row r="31" spans="1:48" x14ac:dyDescent="0.25">
      <c r="A31">
        <v>1</v>
      </c>
      <c r="B31" t="s">
        <v>137</v>
      </c>
      <c r="C31" t="s">
        <v>125</v>
      </c>
      <c r="D31">
        <v>20800</v>
      </c>
      <c r="J31" t="s">
        <v>84</v>
      </c>
      <c r="L31" t="s">
        <v>84</v>
      </c>
      <c r="N31" t="s">
        <v>84</v>
      </c>
      <c r="T31" t="s">
        <v>84</v>
      </c>
      <c r="W31" t="s">
        <v>84</v>
      </c>
      <c r="X31" t="s">
        <v>84</v>
      </c>
      <c r="Y31" t="s">
        <v>84</v>
      </c>
      <c r="AA31" t="s">
        <v>84</v>
      </c>
      <c r="AC31">
        <v>20800</v>
      </c>
      <c r="AH31" t="s">
        <v>84</v>
      </c>
      <c r="AK31" t="s">
        <v>84</v>
      </c>
      <c r="AL31" t="s">
        <v>84</v>
      </c>
      <c r="AN31" t="s">
        <v>84</v>
      </c>
      <c r="AT31" t="s">
        <v>84</v>
      </c>
      <c r="AU31" t="s">
        <v>84</v>
      </c>
      <c r="AV31">
        <v>40150</v>
      </c>
    </row>
    <row r="32" spans="1:48" x14ac:dyDescent="0.25">
      <c r="A32">
        <v>0</v>
      </c>
      <c r="B32" t="s">
        <v>137</v>
      </c>
      <c r="C32" t="s">
        <v>125</v>
      </c>
      <c r="D32">
        <v>49050</v>
      </c>
      <c r="J32" t="s">
        <v>84</v>
      </c>
      <c r="L32" t="s">
        <v>84</v>
      </c>
      <c r="N32" t="s">
        <v>84</v>
      </c>
      <c r="T32" t="s">
        <v>84</v>
      </c>
      <c r="W32" t="s">
        <v>84</v>
      </c>
      <c r="X32" t="s">
        <v>84</v>
      </c>
      <c r="Y32" t="s">
        <v>84</v>
      </c>
      <c r="AA32" t="s">
        <v>84</v>
      </c>
      <c r="AH32" t="s">
        <v>84</v>
      </c>
      <c r="AK32" t="s">
        <v>84</v>
      </c>
      <c r="AL32" t="s">
        <v>84</v>
      </c>
      <c r="AN32" t="s">
        <v>84</v>
      </c>
      <c r="AT32" t="s">
        <v>84</v>
      </c>
      <c r="AU32" t="s">
        <v>84</v>
      </c>
      <c r="AV32">
        <v>40150</v>
      </c>
    </row>
    <row r="33" spans="1:48" x14ac:dyDescent="0.25">
      <c r="A33">
        <v>0</v>
      </c>
      <c r="B33" t="s">
        <v>137</v>
      </c>
      <c r="C33" t="s">
        <v>125</v>
      </c>
      <c r="D33">
        <v>50600</v>
      </c>
      <c r="J33" t="s">
        <v>84</v>
      </c>
      <c r="L33" t="s">
        <v>84</v>
      </c>
      <c r="N33" t="s">
        <v>84</v>
      </c>
      <c r="T33" t="s">
        <v>84</v>
      </c>
      <c r="W33" t="s">
        <v>84</v>
      </c>
      <c r="X33" t="s">
        <v>84</v>
      </c>
      <c r="Y33" t="s">
        <v>84</v>
      </c>
      <c r="AA33" t="s">
        <v>84</v>
      </c>
      <c r="AH33" t="s">
        <v>84</v>
      </c>
      <c r="AK33" t="s">
        <v>84</v>
      </c>
      <c r="AL33" t="s">
        <v>84</v>
      </c>
      <c r="AN33" t="s">
        <v>84</v>
      </c>
      <c r="AT33" t="s">
        <v>84</v>
      </c>
      <c r="AU33" t="s">
        <v>84</v>
      </c>
      <c r="AV33">
        <v>40150</v>
      </c>
    </row>
    <row r="34" spans="1:48" x14ac:dyDescent="0.25">
      <c r="A34">
        <v>1</v>
      </c>
      <c r="B34" t="s">
        <v>137</v>
      </c>
      <c r="C34" t="s">
        <v>151</v>
      </c>
      <c r="D34">
        <v>116454</v>
      </c>
      <c r="E34">
        <v>56750</v>
      </c>
      <c r="J34" t="s">
        <v>84</v>
      </c>
      <c r="L34" t="s">
        <v>84</v>
      </c>
      <c r="N34" t="s">
        <v>84</v>
      </c>
      <c r="T34" t="s">
        <v>84</v>
      </c>
      <c r="U34">
        <v>750</v>
      </c>
      <c r="V34">
        <v>7500</v>
      </c>
      <c r="W34" t="s">
        <v>84</v>
      </c>
      <c r="X34" t="s">
        <v>84</v>
      </c>
      <c r="Y34" t="s">
        <v>84</v>
      </c>
      <c r="AA34" t="s">
        <v>84</v>
      </c>
      <c r="AB34">
        <v>7900</v>
      </c>
      <c r="AG34">
        <v>16680</v>
      </c>
      <c r="AH34" t="s">
        <v>84</v>
      </c>
      <c r="AK34" t="s">
        <v>84</v>
      </c>
      <c r="AL34" t="s">
        <v>84</v>
      </c>
      <c r="AN34" t="s">
        <v>84</v>
      </c>
      <c r="AT34" t="s">
        <v>84</v>
      </c>
      <c r="AU34" t="s">
        <v>84</v>
      </c>
      <c r="AV34">
        <v>104828.75</v>
      </c>
    </row>
    <row r="35" spans="1:48" x14ac:dyDescent="0.25">
      <c r="A35">
        <v>0</v>
      </c>
      <c r="B35" t="s">
        <v>137</v>
      </c>
      <c r="C35" t="s">
        <v>151</v>
      </c>
      <c r="D35">
        <v>93203.5</v>
      </c>
      <c r="J35" t="s">
        <v>84</v>
      </c>
      <c r="L35" t="s">
        <v>84</v>
      </c>
      <c r="N35" t="s">
        <v>84</v>
      </c>
      <c r="T35" t="s">
        <v>84</v>
      </c>
      <c r="W35" t="s">
        <v>84</v>
      </c>
      <c r="X35" t="s">
        <v>84</v>
      </c>
      <c r="Y35" t="s">
        <v>84</v>
      </c>
      <c r="AA35" t="s">
        <v>84</v>
      </c>
      <c r="AH35" t="s">
        <v>84</v>
      </c>
      <c r="AK35" t="s">
        <v>84</v>
      </c>
      <c r="AL35" t="s">
        <v>84</v>
      </c>
      <c r="AN35" t="s">
        <v>84</v>
      </c>
      <c r="AT35" t="s">
        <v>84</v>
      </c>
      <c r="AU35" t="s">
        <v>84</v>
      </c>
      <c r="AV35">
        <v>104828.75</v>
      </c>
    </row>
    <row r="36" spans="1:48" x14ac:dyDescent="0.25">
      <c r="A36">
        <v>0</v>
      </c>
      <c r="B36" t="s">
        <v>137</v>
      </c>
      <c r="C36" t="s">
        <v>98</v>
      </c>
      <c r="D36">
        <v>17500</v>
      </c>
      <c r="J36" t="s">
        <v>84</v>
      </c>
      <c r="L36" t="s">
        <v>84</v>
      </c>
      <c r="N36" t="s">
        <v>84</v>
      </c>
      <c r="T36" t="s">
        <v>84</v>
      </c>
      <c r="W36" t="s">
        <v>84</v>
      </c>
      <c r="X36" t="s">
        <v>84</v>
      </c>
      <c r="Y36" t="s">
        <v>84</v>
      </c>
      <c r="AA36" t="s">
        <v>84</v>
      </c>
      <c r="AH36" t="s">
        <v>84</v>
      </c>
      <c r="AK36" t="s">
        <v>84</v>
      </c>
      <c r="AL36" t="s">
        <v>84</v>
      </c>
      <c r="AN36" t="s">
        <v>84</v>
      </c>
      <c r="AT36" t="s">
        <v>84</v>
      </c>
      <c r="AU36" t="s">
        <v>84</v>
      </c>
      <c r="AV36">
        <v>32250</v>
      </c>
    </row>
    <row r="37" spans="1:48" x14ac:dyDescent="0.25">
      <c r="A37">
        <v>1</v>
      </c>
      <c r="B37" t="s">
        <v>137</v>
      </c>
      <c r="C37" t="s">
        <v>98</v>
      </c>
      <c r="D37">
        <v>49250</v>
      </c>
      <c r="J37" t="s">
        <v>84</v>
      </c>
      <c r="L37" t="s">
        <v>84</v>
      </c>
      <c r="N37" t="s">
        <v>84</v>
      </c>
      <c r="T37" t="s">
        <v>84</v>
      </c>
      <c r="V37">
        <v>49250</v>
      </c>
      <c r="W37" t="s">
        <v>84</v>
      </c>
      <c r="X37" t="s">
        <v>84</v>
      </c>
      <c r="Y37" t="s">
        <v>84</v>
      </c>
      <c r="AA37" t="s">
        <v>84</v>
      </c>
      <c r="AH37" t="s">
        <v>84</v>
      </c>
      <c r="AK37" t="s">
        <v>84</v>
      </c>
      <c r="AL37" t="s">
        <v>84</v>
      </c>
      <c r="AN37" t="s">
        <v>84</v>
      </c>
      <c r="AT37" t="s">
        <v>84</v>
      </c>
      <c r="AU37" t="s">
        <v>84</v>
      </c>
      <c r="AV37">
        <v>32250</v>
      </c>
    </row>
    <row r="38" spans="1:48" x14ac:dyDescent="0.25">
      <c r="A38">
        <v>0</v>
      </c>
      <c r="B38" t="s">
        <v>137</v>
      </c>
      <c r="C38" t="s">
        <v>98</v>
      </c>
      <c r="D38">
        <v>30000</v>
      </c>
      <c r="J38" t="s">
        <v>84</v>
      </c>
      <c r="L38" t="s">
        <v>84</v>
      </c>
      <c r="N38" t="s">
        <v>84</v>
      </c>
      <c r="T38" t="s">
        <v>84</v>
      </c>
      <c r="W38" t="s">
        <v>84</v>
      </c>
      <c r="X38" t="s">
        <v>84</v>
      </c>
      <c r="Y38" t="s">
        <v>84</v>
      </c>
      <c r="AA38" t="s">
        <v>84</v>
      </c>
      <c r="AH38" t="s">
        <v>84</v>
      </c>
      <c r="AK38" t="s">
        <v>84</v>
      </c>
      <c r="AL38" t="s">
        <v>84</v>
      </c>
      <c r="AN38" t="s">
        <v>84</v>
      </c>
      <c r="AT38" t="s">
        <v>84</v>
      </c>
      <c r="AU38" t="s">
        <v>84</v>
      </c>
      <c r="AV38">
        <v>32250</v>
      </c>
    </row>
    <row r="39" spans="1:48" x14ac:dyDescent="0.25">
      <c r="A39">
        <v>1</v>
      </c>
      <c r="B39" t="s">
        <v>137</v>
      </c>
      <c r="C39" t="s">
        <v>87</v>
      </c>
      <c r="D39">
        <v>95889.791670000006</v>
      </c>
      <c r="J39" t="s">
        <v>84</v>
      </c>
      <c r="L39" t="s">
        <v>84</v>
      </c>
      <c r="N39" t="s">
        <v>84</v>
      </c>
      <c r="O39">
        <v>16650</v>
      </c>
      <c r="P39">
        <v>13100</v>
      </c>
      <c r="Q39">
        <v>32950</v>
      </c>
      <c r="R39">
        <v>7250</v>
      </c>
      <c r="T39" t="s">
        <v>84</v>
      </c>
      <c r="W39" t="s">
        <v>84</v>
      </c>
      <c r="X39" t="s">
        <v>84</v>
      </c>
      <c r="Y39" t="s">
        <v>84</v>
      </c>
      <c r="AA39" t="s">
        <v>84</v>
      </c>
      <c r="AH39" t="s">
        <v>84</v>
      </c>
      <c r="AK39" t="s">
        <v>84</v>
      </c>
      <c r="AL39" t="s">
        <v>84</v>
      </c>
      <c r="AN39" t="s">
        <v>84</v>
      </c>
      <c r="AT39" t="s">
        <v>84</v>
      </c>
      <c r="AU39" t="s">
        <v>84</v>
      </c>
      <c r="AV39">
        <v>93203.872213333336</v>
      </c>
    </row>
    <row r="40" spans="1:48" x14ac:dyDescent="0.25">
      <c r="A40">
        <v>0</v>
      </c>
      <c r="B40" t="s">
        <v>137</v>
      </c>
      <c r="C40" t="s">
        <v>87</v>
      </c>
      <c r="D40">
        <v>67406.616670000003</v>
      </c>
      <c r="J40" t="s">
        <v>84</v>
      </c>
      <c r="L40" t="s">
        <v>84</v>
      </c>
      <c r="N40" t="s">
        <v>84</v>
      </c>
      <c r="T40" t="s">
        <v>84</v>
      </c>
      <c r="W40" t="s">
        <v>84</v>
      </c>
      <c r="X40" t="s">
        <v>84</v>
      </c>
      <c r="Y40" t="s">
        <v>84</v>
      </c>
      <c r="AA40" t="s">
        <v>84</v>
      </c>
      <c r="AH40" t="s">
        <v>84</v>
      </c>
      <c r="AK40" t="s">
        <v>84</v>
      </c>
      <c r="AL40" t="s">
        <v>84</v>
      </c>
      <c r="AN40" t="s">
        <v>84</v>
      </c>
      <c r="AT40" t="s">
        <v>84</v>
      </c>
      <c r="AU40" t="s">
        <v>84</v>
      </c>
      <c r="AV40">
        <v>93203.872213333336</v>
      </c>
    </row>
    <row r="41" spans="1:48" x14ac:dyDescent="0.25">
      <c r="A41">
        <v>0</v>
      </c>
      <c r="B41" t="s">
        <v>137</v>
      </c>
      <c r="C41" t="s">
        <v>87</v>
      </c>
      <c r="D41">
        <v>116315.2083</v>
      </c>
      <c r="J41" t="s">
        <v>84</v>
      </c>
      <c r="L41" t="s">
        <v>84</v>
      </c>
      <c r="N41" t="s">
        <v>84</v>
      </c>
      <c r="T41" t="s">
        <v>84</v>
      </c>
      <c r="W41" t="s">
        <v>84</v>
      </c>
      <c r="X41" t="s">
        <v>84</v>
      </c>
      <c r="Y41" t="s">
        <v>84</v>
      </c>
      <c r="AA41" t="s">
        <v>84</v>
      </c>
      <c r="AH41" t="s">
        <v>84</v>
      </c>
      <c r="AK41" t="s">
        <v>84</v>
      </c>
      <c r="AL41" t="s">
        <v>84</v>
      </c>
      <c r="AN41" t="s">
        <v>84</v>
      </c>
      <c r="AT41" t="s">
        <v>84</v>
      </c>
      <c r="AU41" t="s">
        <v>84</v>
      </c>
      <c r="AV41">
        <v>93203.872213333336</v>
      </c>
    </row>
    <row r="42" spans="1:48" x14ac:dyDescent="0.25">
      <c r="A42">
        <v>1</v>
      </c>
      <c r="B42" t="s">
        <v>137</v>
      </c>
      <c r="C42" t="s">
        <v>110</v>
      </c>
      <c r="D42">
        <v>10250</v>
      </c>
      <c r="F42">
        <v>0</v>
      </c>
      <c r="G42">
        <v>0</v>
      </c>
      <c r="J42" t="s">
        <v>84</v>
      </c>
      <c r="L42" t="s">
        <v>84</v>
      </c>
      <c r="M42">
        <v>0</v>
      </c>
      <c r="N42" t="s">
        <v>84</v>
      </c>
      <c r="O42">
        <v>0</v>
      </c>
      <c r="Q42">
        <v>0</v>
      </c>
      <c r="S42">
        <v>0</v>
      </c>
      <c r="T42" t="s">
        <v>84</v>
      </c>
      <c r="U42">
        <v>0</v>
      </c>
      <c r="W42" t="s">
        <v>84</v>
      </c>
      <c r="X42" t="s">
        <v>84</v>
      </c>
      <c r="Y42" t="s">
        <v>84</v>
      </c>
      <c r="Z42">
        <v>0</v>
      </c>
      <c r="AA42" t="s">
        <v>84</v>
      </c>
      <c r="AB42">
        <v>8200</v>
      </c>
      <c r="AD42">
        <v>0</v>
      </c>
      <c r="AE42">
        <v>0</v>
      </c>
      <c r="AH42" t="s">
        <v>84</v>
      </c>
      <c r="AI42">
        <v>0</v>
      </c>
      <c r="AJ42">
        <v>0</v>
      </c>
      <c r="AK42" t="s">
        <v>84</v>
      </c>
      <c r="AL42" t="s">
        <v>84</v>
      </c>
      <c r="AN42" t="s">
        <v>84</v>
      </c>
      <c r="AQ42">
        <v>0</v>
      </c>
      <c r="AR42">
        <v>0</v>
      </c>
      <c r="AS42">
        <v>0</v>
      </c>
      <c r="AT42" t="s">
        <v>84</v>
      </c>
      <c r="AU42" t="s">
        <v>84</v>
      </c>
      <c r="AV42">
        <v>9606</v>
      </c>
    </row>
    <row r="43" spans="1:48" x14ac:dyDescent="0.25">
      <c r="A43">
        <v>0</v>
      </c>
      <c r="B43" t="s">
        <v>137</v>
      </c>
      <c r="C43" t="s">
        <v>110</v>
      </c>
      <c r="D43">
        <v>8568</v>
      </c>
      <c r="J43" t="s">
        <v>84</v>
      </c>
      <c r="L43" t="s">
        <v>84</v>
      </c>
      <c r="N43" t="s">
        <v>84</v>
      </c>
      <c r="T43" t="s">
        <v>84</v>
      </c>
      <c r="W43" t="s">
        <v>84</v>
      </c>
      <c r="X43" t="s">
        <v>84</v>
      </c>
      <c r="Y43" t="s">
        <v>84</v>
      </c>
      <c r="AA43" t="s">
        <v>84</v>
      </c>
      <c r="AH43" t="s">
        <v>84</v>
      </c>
      <c r="AK43" t="s">
        <v>84</v>
      </c>
      <c r="AL43" t="s">
        <v>84</v>
      </c>
      <c r="AN43" t="s">
        <v>84</v>
      </c>
      <c r="AT43" t="s">
        <v>84</v>
      </c>
      <c r="AU43" t="s">
        <v>84</v>
      </c>
      <c r="AV43">
        <v>9606</v>
      </c>
    </row>
    <row r="44" spans="1:48" x14ac:dyDescent="0.25">
      <c r="A44">
        <v>0</v>
      </c>
      <c r="B44" t="s">
        <v>137</v>
      </c>
      <c r="C44" t="s">
        <v>110</v>
      </c>
      <c r="D44">
        <v>10000</v>
      </c>
      <c r="J44" t="s">
        <v>84</v>
      </c>
      <c r="L44" t="s">
        <v>84</v>
      </c>
      <c r="N44" t="s">
        <v>84</v>
      </c>
      <c r="T44" t="s">
        <v>84</v>
      </c>
      <c r="W44" t="s">
        <v>84</v>
      </c>
      <c r="X44" t="s">
        <v>84</v>
      </c>
      <c r="Y44" t="s">
        <v>84</v>
      </c>
      <c r="AA44" t="s">
        <v>84</v>
      </c>
      <c r="AH44" t="s">
        <v>84</v>
      </c>
      <c r="AK44" t="s">
        <v>84</v>
      </c>
      <c r="AL44" t="s">
        <v>84</v>
      </c>
      <c r="AN44" t="s">
        <v>84</v>
      </c>
      <c r="AT44" t="s">
        <v>84</v>
      </c>
      <c r="AU44" t="s">
        <v>84</v>
      </c>
      <c r="AV44">
        <v>9606</v>
      </c>
    </row>
    <row r="45" spans="1:48" x14ac:dyDescent="0.25">
      <c r="A45">
        <v>1</v>
      </c>
      <c r="B45" t="s">
        <v>137</v>
      </c>
      <c r="C45" t="s">
        <v>106</v>
      </c>
      <c r="D45">
        <v>7200.0349999999999</v>
      </c>
      <c r="J45" t="s">
        <v>84</v>
      </c>
      <c r="K45">
        <v>3400</v>
      </c>
      <c r="L45" t="s">
        <v>84</v>
      </c>
      <c r="N45" t="s">
        <v>84</v>
      </c>
      <c r="T45" t="s">
        <v>84</v>
      </c>
      <c r="W45" t="s">
        <v>84</v>
      </c>
      <c r="X45" t="s">
        <v>84</v>
      </c>
      <c r="Y45" t="s">
        <v>84</v>
      </c>
      <c r="AA45" t="s">
        <v>84</v>
      </c>
      <c r="AF45">
        <v>1170</v>
      </c>
      <c r="AH45" t="s">
        <v>84</v>
      </c>
      <c r="AK45" t="s">
        <v>84</v>
      </c>
      <c r="AL45" t="s">
        <v>84</v>
      </c>
      <c r="AN45" t="s">
        <v>84</v>
      </c>
      <c r="AT45" t="s">
        <v>84</v>
      </c>
      <c r="AU45" t="s">
        <v>84</v>
      </c>
      <c r="AV45">
        <v>9810.1133333333328</v>
      </c>
    </row>
    <row r="46" spans="1:48" x14ac:dyDescent="0.25">
      <c r="A46">
        <v>0</v>
      </c>
      <c r="B46" t="s">
        <v>137</v>
      </c>
      <c r="C46" t="s">
        <v>106</v>
      </c>
      <c r="D46">
        <v>12958.487499999999</v>
      </c>
      <c r="J46" t="s">
        <v>84</v>
      </c>
      <c r="L46" t="s">
        <v>84</v>
      </c>
      <c r="N46" t="s">
        <v>84</v>
      </c>
      <c r="T46" t="s">
        <v>84</v>
      </c>
      <c r="W46" t="s">
        <v>84</v>
      </c>
      <c r="X46" t="s">
        <v>84</v>
      </c>
      <c r="Y46" t="s">
        <v>84</v>
      </c>
      <c r="AA46" t="s">
        <v>84</v>
      </c>
      <c r="AH46" t="s">
        <v>84</v>
      </c>
      <c r="AK46" t="s">
        <v>84</v>
      </c>
      <c r="AL46" t="s">
        <v>84</v>
      </c>
      <c r="AN46" t="s">
        <v>84</v>
      </c>
      <c r="AT46" t="s">
        <v>84</v>
      </c>
      <c r="AU46" t="s">
        <v>84</v>
      </c>
      <c r="AV46">
        <v>9810.1133333333328</v>
      </c>
    </row>
    <row r="47" spans="1:48" x14ac:dyDescent="0.25">
      <c r="A47">
        <v>0</v>
      </c>
      <c r="B47" t="s">
        <v>137</v>
      </c>
      <c r="C47" t="s">
        <v>106</v>
      </c>
      <c r="D47">
        <v>9271.8174999999992</v>
      </c>
      <c r="J47" t="s">
        <v>84</v>
      </c>
      <c r="L47" t="s">
        <v>84</v>
      </c>
      <c r="N47" t="s">
        <v>84</v>
      </c>
      <c r="T47" t="s">
        <v>84</v>
      </c>
      <c r="W47" t="s">
        <v>84</v>
      </c>
      <c r="X47" t="s">
        <v>84</v>
      </c>
      <c r="Y47" t="s">
        <v>84</v>
      </c>
      <c r="AA47" t="s">
        <v>84</v>
      </c>
      <c r="AH47" t="s">
        <v>84</v>
      </c>
      <c r="AK47" t="s">
        <v>84</v>
      </c>
      <c r="AL47" t="s">
        <v>84</v>
      </c>
      <c r="AN47" t="s">
        <v>84</v>
      </c>
      <c r="AT47" t="s">
        <v>84</v>
      </c>
      <c r="AU47" t="s">
        <v>84</v>
      </c>
      <c r="AV47">
        <v>9810.1133333333328</v>
      </c>
    </row>
    <row r="48" spans="1:48" x14ac:dyDescent="0.25">
      <c r="A48">
        <v>1</v>
      </c>
      <c r="B48" t="s">
        <v>137</v>
      </c>
      <c r="C48" t="s">
        <v>80</v>
      </c>
      <c r="D48">
        <v>685626.90079999994</v>
      </c>
      <c r="F48">
        <v>38109.5</v>
      </c>
      <c r="G48">
        <v>73200</v>
      </c>
      <c r="J48" t="s">
        <v>84</v>
      </c>
      <c r="L48" t="s">
        <v>84</v>
      </c>
      <c r="M48">
        <v>80000</v>
      </c>
      <c r="N48" t="s">
        <v>84</v>
      </c>
      <c r="O48">
        <v>0</v>
      </c>
      <c r="Q48">
        <v>0</v>
      </c>
      <c r="S48">
        <v>22500</v>
      </c>
      <c r="T48" t="s">
        <v>84</v>
      </c>
      <c r="U48">
        <v>3500</v>
      </c>
      <c r="W48" t="s">
        <v>84</v>
      </c>
      <c r="X48" t="s">
        <v>84</v>
      </c>
      <c r="Y48" t="s">
        <v>84</v>
      </c>
      <c r="Z48">
        <v>28078</v>
      </c>
      <c r="AA48" t="s">
        <v>84</v>
      </c>
      <c r="AB48">
        <v>16100</v>
      </c>
      <c r="AD48">
        <v>18625</v>
      </c>
      <c r="AE48">
        <v>86050.25</v>
      </c>
      <c r="AH48" t="s">
        <v>84</v>
      </c>
      <c r="AI48">
        <v>7500</v>
      </c>
      <c r="AJ48">
        <v>143742.17000000001</v>
      </c>
      <c r="AK48" t="s">
        <v>84</v>
      </c>
      <c r="AL48" t="s">
        <v>84</v>
      </c>
      <c r="AN48" t="s">
        <v>84</v>
      </c>
      <c r="AQ48">
        <v>35520</v>
      </c>
      <c r="AR48">
        <v>0</v>
      </c>
      <c r="AS48">
        <v>0</v>
      </c>
      <c r="AT48" t="s">
        <v>84</v>
      </c>
      <c r="AU48" t="s">
        <v>84</v>
      </c>
      <c r="AV48">
        <v>649602.47703333327</v>
      </c>
    </row>
    <row r="49" spans="1:48" x14ac:dyDescent="0.25">
      <c r="A49">
        <v>0</v>
      </c>
      <c r="B49" t="s">
        <v>137</v>
      </c>
      <c r="C49" t="s">
        <v>80</v>
      </c>
      <c r="D49">
        <v>673878.4375</v>
      </c>
      <c r="J49" t="s">
        <v>84</v>
      </c>
      <c r="L49" t="s">
        <v>84</v>
      </c>
      <c r="N49" t="s">
        <v>84</v>
      </c>
      <c r="T49" t="s">
        <v>84</v>
      </c>
      <c r="W49" t="s">
        <v>84</v>
      </c>
      <c r="X49" t="s">
        <v>84</v>
      </c>
      <c r="Y49" t="s">
        <v>84</v>
      </c>
      <c r="AA49" t="s">
        <v>84</v>
      </c>
      <c r="AH49" t="s">
        <v>84</v>
      </c>
      <c r="AK49" t="s">
        <v>84</v>
      </c>
      <c r="AL49" t="s">
        <v>84</v>
      </c>
      <c r="AN49" t="s">
        <v>84</v>
      </c>
      <c r="AT49" t="s">
        <v>84</v>
      </c>
      <c r="AU49" t="s">
        <v>84</v>
      </c>
      <c r="AV49">
        <v>649602.47703333327</v>
      </c>
    </row>
    <row r="50" spans="1:48" x14ac:dyDescent="0.25">
      <c r="A50">
        <v>0</v>
      </c>
      <c r="B50" t="s">
        <v>137</v>
      </c>
      <c r="C50" t="s">
        <v>80</v>
      </c>
      <c r="D50">
        <v>589302.09279999998</v>
      </c>
      <c r="J50" t="s">
        <v>84</v>
      </c>
      <c r="L50" t="s">
        <v>84</v>
      </c>
      <c r="N50" t="s">
        <v>84</v>
      </c>
      <c r="T50" t="s">
        <v>84</v>
      </c>
      <c r="W50" t="s">
        <v>84</v>
      </c>
      <c r="X50" t="s">
        <v>84</v>
      </c>
      <c r="Y50" t="s">
        <v>84</v>
      </c>
      <c r="AA50" t="s">
        <v>84</v>
      </c>
      <c r="AH50" t="s">
        <v>84</v>
      </c>
      <c r="AK50" t="s">
        <v>84</v>
      </c>
      <c r="AL50" t="s">
        <v>84</v>
      </c>
      <c r="AN50" t="s">
        <v>84</v>
      </c>
      <c r="AT50" t="s">
        <v>84</v>
      </c>
      <c r="AU50" t="s">
        <v>84</v>
      </c>
      <c r="AV50">
        <v>649602.47703333327</v>
      </c>
    </row>
    <row r="51" spans="1:48" x14ac:dyDescent="0.25">
      <c r="A51">
        <v>0</v>
      </c>
      <c r="B51" t="s">
        <v>179</v>
      </c>
      <c r="C51" t="s">
        <v>92</v>
      </c>
      <c r="D51">
        <v>29320</v>
      </c>
      <c r="J51" t="s">
        <v>84</v>
      </c>
      <c r="L51" t="s">
        <v>84</v>
      </c>
      <c r="N51" t="s">
        <v>84</v>
      </c>
      <c r="T51" t="s">
        <v>84</v>
      </c>
      <c r="W51" t="s">
        <v>84</v>
      </c>
      <c r="X51" t="s">
        <v>84</v>
      </c>
      <c r="Y51" t="s">
        <v>84</v>
      </c>
      <c r="AA51" t="s">
        <v>84</v>
      </c>
      <c r="AH51" t="s">
        <v>84</v>
      </c>
      <c r="AK51" t="s">
        <v>84</v>
      </c>
      <c r="AL51" t="s">
        <v>84</v>
      </c>
      <c r="AN51" t="s">
        <v>84</v>
      </c>
      <c r="AT51" t="s">
        <v>84</v>
      </c>
      <c r="AU51" t="s">
        <v>84</v>
      </c>
      <c r="AV51">
        <v>48990</v>
      </c>
    </row>
    <row r="52" spans="1:48" x14ac:dyDescent="0.25">
      <c r="A52">
        <v>1</v>
      </c>
      <c r="B52" t="s">
        <v>179</v>
      </c>
      <c r="C52" t="s">
        <v>92</v>
      </c>
      <c r="D52">
        <v>68660</v>
      </c>
      <c r="H52">
        <v>68660</v>
      </c>
      <c r="J52" t="s">
        <v>84</v>
      </c>
      <c r="L52" t="s">
        <v>84</v>
      </c>
      <c r="N52" t="s">
        <v>84</v>
      </c>
      <c r="T52" t="s">
        <v>84</v>
      </c>
      <c r="W52" t="s">
        <v>84</v>
      </c>
      <c r="X52" t="s">
        <v>84</v>
      </c>
      <c r="Y52" t="s">
        <v>84</v>
      </c>
      <c r="AA52" t="s">
        <v>84</v>
      </c>
      <c r="AH52" t="s">
        <v>84</v>
      </c>
      <c r="AK52" t="s">
        <v>84</v>
      </c>
      <c r="AL52" t="s">
        <v>84</v>
      </c>
      <c r="AN52" t="s">
        <v>84</v>
      </c>
      <c r="AT52" t="s">
        <v>84</v>
      </c>
      <c r="AU52" t="s">
        <v>84</v>
      </c>
      <c r="AV52">
        <v>48990</v>
      </c>
    </row>
    <row r="53" spans="1:48" x14ac:dyDescent="0.25">
      <c r="A53">
        <v>0</v>
      </c>
      <c r="B53" t="s">
        <v>179</v>
      </c>
      <c r="C53" t="s">
        <v>185</v>
      </c>
      <c r="D53">
        <v>22844.75</v>
      </c>
      <c r="J53" t="s">
        <v>84</v>
      </c>
      <c r="L53" t="s">
        <v>84</v>
      </c>
      <c r="N53" t="s">
        <v>84</v>
      </c>
      <c r="T53" t="s">
        <v>84</v>
      </c>
      <c r="W53" t="s">
        <v>84</v>
      </c>
      <c r="X53" t="s">
        <v>84</v>
      </c>
      <c r="Y53" t="s">
        <v>84</v>
      </c>
      <c r="AA53" t="s">
        <v>84</v>
      </c>
      <c r="AH53" t="s">
        <v>84</v>
      </c>
      <c r="AK53" t="s">
        <v>84</v>
      </c>
      <c r="AL53" t="s">
        <v>84</v>
      </c>
      <c r="AN53" t="s">
        <v>84</v>
      </c>
      <c r="AT53" t="s">
        <v>84</v>
      </c>
      <c r="AU53" t="s">
        <v>84</v>
      </c>
      <c r="AV53">
        <v>18774.708333333332</v>
      </c>
    </row>
    <row r="54" spans="1:48" x14ac:dyDescent="0.25">
      <c r="A54">
        <v>1</v>
      </c>
      <c r="B54" t="s">
        <v>179</v>
      </c>
      <c r="C54" t="s">
        <v>185</v>
      </c>
      <c r="D54">
        <v>19457.424999999999</v>
      </c>
      <c r="J54" t="s">
        <v>84</v>
      </c>
      <c r="L54" t="s">
        <v>84</v>
      </c>
      <c r="N54" t="s">
        <v>84</v>
      </c>
      <c r="T54" t="s">
        <v>84</v>
      </c>
      <c r="W54" t="s">
        <v>84</v>
      </c>
      <c r="X54" t="s">
        <v>84</v>
      </c>
      <c r="Y54" t="s">
        <v>84</v>
      </c>
      <c r="AA54" t="s">
        <v>84</v>
      </c>
      <c r="AH54" t="s">
        <v>84</v>
      </c>
      <c r="AK54" t="s">
        <v>84</v>
      </c>
      <c r="AL54" t="s">
        <v>84</v>
      </c>
      <c r="AN54" t="s">
        <v>84</v>
      </c>
      <c r="AT54" t="s">
        <v>84</v>
      </c>
      <c r="AU54" t="s">
        <v>84</v>
      </c>
      <c r="AV54">
        <v>18774.708333333332</v>
      </c>
    </row>
    <row r="55" spans="1:48" x14ac:dyDescent="0.25">
      <c r="A55">
        <v>0</v>
      </c>
      <c r="B55" t="s">
        <v>179</v>
      </c>
      <c r="C55" t="s">
        <v>185</v>
      </c>
      <c r="D55">
        <v>14021.95</v>
      </c>
      <c r="J55" t="s">
        <v>84</v>
      </c>
      <c r="L55" t="s">
        <v>84</v>
      </c>
      <c r="N55" t="s">
        <v>84</v>
      </c>
      <c r="T55" t="s">
        <v>84</v>
      </c>
      <c r="W55" t="s">
        <v>84</v>
      </c>
      <c r="X55" t="s">
        <v>84</v>
      </c>
      <c r="Y55" t="s">
        <v>84</v>
      </c>
      <c r="AA55" t="s">
        <v>84</v>
      </c>
      <c r="AH55" t="s">
        <v>84</v>
      </c>
      <c r="AK55" t="s">
        <v>84</v>
      </c>
      <c r="AL55" t="s">
        <v>84</v>
      </c>
      <c r="AN55" t="s">
        <v>84</v>
      </c>
      <c r="AT55" t="s">
        <v>84</v>
      </c>
      <c r="AU55" t="s">
        <v>84</v>
      </c>
      <c r="AV55">
        <v>18774.708333333332</v>
      </c>
    </row>
    <row r="56" spans="1:48" x14ac:dyDescent="0.25">
      <c r="A56">
        <v>1</v>
      </c>
      <c r="B56" t="s">
        <v>179</v>
      </c>
      <c r="C56" t="s">
        <v>125</v>
      </c>
      <c r="D56">
        <v>15950</v>
      </c>
      <c r="J56" t="s">
        <v>84</v>
      </c>
      <c r="L56" t="s">
        <v>84</v>
      </c>
      <c r="N56" t="s">
        <v>84</v>
      </c>
      <c r="T56" t="s">
        <v>84</v>
      </c>
      <c r="W56" t="s">
        <v>84</v>
      </c>
      <c r="X56" t="s">
        <v>84</v>
      </c>
      <c r="Y56" t="s">
        <v>84</v>
      </c>
      <c r="AA56" t="s">
        <v>84</v>
      </c>
      <c r="AC56">
        <v>15950</v>
      </c>
      <c r="AH56" t="s">
        <v>84</v>
      </c>
      <c r="AK56" t="s">
        <v>84</v>
      </c>
      <c r="AL56" t="s">
        <v>84</v>
      </c>
      <c r="AN56" t="s">
        <v>84</v>
      </c>
      <c r="AT56" t="s">
        <v>84</v>
      </c>
      <c r="AU56" t="s">
        <v>84</v>
      </c>
      <c r="AV56">
        <v>30350</v>
      </c>
    </row>
    <row r="57" spans="1:48" x14ac:dyDescent="0.25">
      <c r="A57">
        <v>0</v>
      </c>
      <c r="B57" t="s">
        <v>179</v>
      </c>
      <c r="C57" t="s">
        <v>125</v>
      </c>
      <c r="D57">
        <v>34650</v>
      </c>
      <c r="J57" t="s">
        <v>84</v>
      </c>
      <c r="L57" t="s">
        <v>84</v>
      </c>
      <c r="N57" t="s">
        <v>84</v>
      </c>
      <c r="T57" t="s">
        <v>84</v>
      </c>
      <c r="W57" t="s">
        <v>84</v>
      </c>
      <c r="X57" t="s">
        <v>84</v>
      </c>
      <c r="Y57" t="s">
        <v>84</v>
      </c>
      <c r="AA57" t="s">
        <v>84</v>
      </c>
      <c r="AH57" t="s">
        <v>84</v>
      </c>
      <c r="AK57" t="s">
        <v>84</v>
      </c>
      <c r="AL57" t="s">
        <v>84</v>
      </c>
      <c r="AN57" t="s">
        <v>84</v>
      </c>
      <c r="AT57" t="s">
        <v>84</v>
      </c>
      <c r="AU57" t="s">
        <v>84</v>
      </c>
      <c r="AV57">
        <v>30350</v>
      </c>
    </row>
    <row r="58" spans="1:48" x14ac:dyDescent="0.25">
      <c r="A58">
        <v>0</v>
      </c>
      <c r="B58" t="s">
        <v>179</v>
      </c>
      <c r="C58" t="s">
        <v>125</v>
      </c>
      <c r="D58">
        <v>40450</v>
      </c>
      <c r="J58" t="s">
        <v>84</v>
      </c>
      <c r="L58" t="s">
        <v>84</v>
      </c>
      <c r="N58" t="s">
        <v>84</v>
      </c>
      <c r="T58" t="s">
        <v>84</v>
      </c>
      <c r="W58" t="s">
        <v>84</v>
      </c>
      <c r="X58" t="s">
        <v>84</v>
      </c>
      <c r="Y58" t="s">
        <v>84</v>
      </c>
      <c r="AA58" t="s">
        <v>84</v>
      </c>
      <c r="AH58" t="s">
        <v>84</v>
      </c>
      <c r="AK58" t="s">
        <v>84</v>
      </c>
      <c r="AL58" t="s">
        <v>84</v>
      </c>
      <c r="AN58" t="s">
        <v>84</v>
      </c>
      <c r="AT58" t="s">
        <v>84</v>
      </c>
      <c r="AU58" t="s">
        <v>84</v>
      </c>
      <c r="AV58">
        <v>30350</v>
      </c>
    </row>
    <row r="59" spans="1:48" x14ac:dyDescent="0.25">
      <c r="A59">
        <v>0</v>
      </c>
      <c r="B59" t="s">
        <v>179</v>
      </c>
      <c r="C59" t="s">
        <v>98</v>
      </c>
      <c r="D59">
        <v>14900</v>
      </c>
      <c r="J59" t="s">
        <v>84</v>
      </c>
      <c r="L59" t="s">
        <v>84</v>
      </c>
      <c r="N59" t="s">
        <v>84</v>
      </c>
      <c r="T59" t="s">
        <v>84</v>
      </c>
      <c r="W59" t="s">
        <v>84</v>
      </c>
      <c r="X59" t="s">
        <v>84</v>
      </c>
      <c r="Y59" t="s">
        <v>84</v>
      </c>
      <c r="AA59" t="s">
        <v>84</v>
      </c>
      <c r="AH59" t="s">
        <v>84</v>
      </c>
      <c r="AK59" t="s">
        <v>84</v>
      </c>
      <c r="AL59" t="s">
        <v>84</v>
      </c>
      <c r="AN59" t="s">
        <v>84</v>
      </c>
      <c r="AT59" t="s">
        <v>84</v>
      </c>
      <c r="AU59" t="s">
        <v>84</v>
      </c>
      <c r="AV59">
        <v>27083.333333333336</v>
      </c>
    </row>
    <row r="60" spans="1:48" x14ac:dyDescent="0.25">
      <c r="A60">
        <v>0</v>
      </c>
      <c r="B60" t="s">
        <v>179</v>
      </c>
      <c r="C60" t="s">
        <v>98</v>
      </c>
      <c r="D60">
        <v>47450</v>
      </c>
      <c r="J60" t="s">
        <v>84</v>
      </c>
      <c r="L60" t="s">
        <v>84</v>
      </c>
      <c r="N60" t="s">
        <v>84</v>
      </c>
      <c r="T60" t="s">
        <v>84</v>
      </c>
      <c r="W60" t="s">
        <v>84</v>
      </c>
      <c r="X60" t="s">
        <v>84</v>
      </c>
      <c r="Y60" t="s">
        <v>84</v>
      </c>
      <c r="AA60" t="s">
        <v>84</v>
      </c>
      <c r="AH60" t="s">
        <v>84</v>
      </c>
      <c r="AK60" t="s">
        <v>84</v>
      </c>
      <c r="AL60" t="s">
        <v>84</v>
      </c>
      <c r="AN60" t="s">
        <v>84</v>
      </c>
      <c r="AT60" t="s">
        <v>84</v>
      </c>
      <c r="AU60" t="s">
        <v>84</v>
      </c>
      <c r="AV60">
        <v>27083.333333333336</v>
      </c>
    </row>
    <row r="61" spans="1:48" x14ac:dyDescent="0.25">
      <c r="A61">
        <v>1</v>
      </c>
      <c r="B61" t="s">
        <v>179</v>
      </c>
      <c r="C61" t="s">
        <v>98</v>
      </c>
      <c r="D61">
        <v>18900</v>
      </c>
      <c r="J61" t="s">
        <v>84</v>
      </c>
      <c r="L61" t="s">
        <v>84</v>
      </c>
      <c r="N61" t="s">
        <v>84</v>
      </c>
      <c r="T61" t="s">
        <v>84</v>
      </c>
      <c r="V61">
        <v>18900</v>
      </c>
      <c r="W61" t="s">
        <v>84</v>
      </c>
      <c r="X61" t="s">
        <v>84</v>
      </c>
      <c r="Y61" t="s">
        <v>84</v>
      </c>
      <c r="AA61" t="s">
        <v>84</v>
      </c>
      <c r="AH61" t="s">
        <v>84</v>
      </c>
      <c r="AK61" t="s">
        <v>84</v>
      </c>
      <c r="AL61" t="s">
        <v>84</v>
      </c>
      <c r="AN61" t="s">
        <v>84</v>
      </c>
      <c r="AT61" t="s">
        <v>84</v>
      </c>
      <c r="AU61" t="s">
        <v>84</v>
      </c>
      <c r="AV61">
        <v>27083.333333333336</v>
      </c>
    </row>
    <row r="62" spans="1:48" x14ac:dyDescent="0.25">
      <c r="A62">
        <v>0</v>
      </c>
      <c r="B62" t="s">
        <v>179</v>
      </c>
      <c r="C62" t="s">
        <v>87</v>
      </c>
      <c r="D62">
        <v>56933.45</v>
      </c>
      <c r="J62" t="s">
        <v>84</v>
      </c>
      <c r="L62" t="s">
        <v>84</v>
      </c>
      <c r="N62" t="s">
        <v>84</v>
      </c>
      <c r="T62" t="s">
        <v>84</v>
      </c>
      <c r="W62" t="s">
        <v>84</v>
      </c>
      <c r="X62" t="s">
        <v>84</v>
      </c>
      <c r="Y62" t="s">
        <v>84</v>
      </c>
      <c r="AA62" t="s">
        <v>84</v>
      </c>
      <c r="AH62" t="s">
        <v>84</v>
      </c>
      <c r="AK62" t="s">
        <v>84</v>
      </c>
      <c r="AL62" t="s">
        <v>84</v>
      </c>
      <c r="AN62" t="s">
        <v>84</v>
      </c>
      <c r="AT62" t="s">
        <v>84</v>
      </c>
      <c r="AU62" t="s">
        <v>84</v>
      </c>
      <c r="AV62">
        <v>93441.483333333337</v>
      </c>
    </row>
    <row r="63" spans="1:48" x14ac:dyDescent="0.25">
      <c r="A63">
        <v>1</v>
      </c>
      <c r="B63" t="s">
        <v>179</v>
      </c>
      <c r="C63" t="s">
        <v>87</v>
      </c>
      <c r="D63">
        <v>100975.5833</v>
      </c>
      <c r="J63" t="s">
        <v>84</v>
      </c>
      <c r="L63" t="s">
        <v>84</v>
      </c>
      <c r="N63" t="s">
        <v>84</v>
      </c>
      <c r="O63">
        <v>13300</v>
      </c>
      <c r="P63">
        <v>35300</v>
      </c>
      <c r="Q63">
        <v>13700</v>
      </c>
      <c r="R63">
        <v>11360</v>
      </c>
      <c r="T63" t="s">
        <v>84</v>
      </c>
      <c r="W63" t="s">
        <v>84</v>
      </c>
      <c r="X63" t="s">
        <v>84</v>
      </c>
      <c r="Y63" t="s">
        <v>84</v>
      </c>
      <c r="AA63" t="s">
        <v>84</v>
      </c>
      <c r="AH63" t="s">
        <v>84</v>
      </c>
      <c r="AK63" t="s">
        <v>84</v>
      </c>
      <c r="AL63" t="s">
        <v>84</v>
      </c>
      <c r="AN63" t="s">
        <v>84</v>
      </c>
      <c r="AT63" t="s">
        <v>84</v>
      </c>
      <c r="AU63" t="s">
        <v>84</v>
      </c>
      <c r="AV63">
        <v>93441.483333333337</v>
      </c>
    </row>
    <row r="64" spans="1:48" x14ac:dyDescent="0.25">
      <c r="A64">
        <v>0</v>
      </c>
      <c r="B64" t="s">
        <v>179</v>
      </c>
      <c r="C64" t="s">
        <v>87</v>
      </c>
      <c r="D64">
        <v>122415.4167</v>
      </c>
      <c r="J64" t="s">
        <v>84</v>
      </c>
      <c r="L64" t="s">
        <v>84</v>
      </c>
      <c r="N64" t="s">
        <v>84</v>
      </c>
      <c r="T64" t="s">
        <v>84</v>
      </c>
      <c r="W64" t="s">
        <v>84</v>
      </c>
      <c r="X64" t="s">
        <v>84</v>
      </c>
      <c r="Y64" t="s">
        <v>84</v>
      </c>
      <c r="AA64" t="s">
        <v>84</v>
      </c>
      <c r="AH64" t="s">
        <v>84</v>
      </c>
      <c r="AK64" t="s">
        <v>84</v>
      </c>
      <c r="AL64" t="s">
        <v>84</v>
      </c>
      <c r="AN64" t="s">
        <v>84</v>
      </c>
      <c r="AT64" t="s">
        <v>84</v>
      </c>
      <c r="AU64" t="s">
        <v>84</v>
      </c>
      <c r="AV64">
        <v>93441.483333333337</v>
      </c>
    </row>
    <row r="65" spans="1:48" x14ac:dyDescent="0.25">
      <c r="A65">
        <v>0</v>
      </c>
      <c r="B65" t="s">
        <v>179</v>
      </c>
      <c r="C65" t="s">
        <v>110</v>
      </c>
      <c r="D65">
        <v>12400</v>
      </c>
      <c r="J65" t="s">
        <v>84</v>
      </c>
      <c r="L65" t="s">
        <v>84</v>
      </c>
      <c r="N65" t="s">
        <v>84</v>
      </c>
      <c r="T65" t="s">
        <v>84</v>
      </c>
      <c r="W65" t="s">
        <v>84</v>
      </c>
      <c r="X65" t="s">
        <v>84</v>
      </c>
      <c r="Y65" t="s">
        <v>84</v>
      </c>
      <c r="AA65" t="s">
        <v>84</v>
      </c>
      <c r="AH65" t="s">
        <v>84</v>
      </c>
      <c r="AK65" t="s">
        <v>84</v>
      </c>
      <c r="AL65" t="s">
        <v>84</v>
      </c>
      <c r="AN65" t="s">
        <v>84</v>
      </c>
      <c r="AT65" t="s">
        <v>84</v>
      </c>
      <c r="AU65" t="s">
        <v>84</v>
      </c>
      <c r="AV65">
        <v>11703.333333333334</v>
      </c>
    </row>
    <row r="66" spans="1:48" x14ac:dyDescent="0.25">
      <c r="A66">
        <v>1</v>
      </c>
      <c r="B66" t="s">
        <v>179</v>
      </c>
      <c r="C66" t="s">
        <v>110</v>
      </c>
      <c r="D66">
        <v>13750</v>
      </c>
      <c r="F66">
        <v>0</v>
      </c>
      <c r="G66">
        <v>0</v>
      </c>
      <c r="J66" t="s">
        <v>84</v>
      </c>
      <c r="L66" t="s">
        <v>84</v>
      </c>
      <c r="M66">
        <v>0</v>
      </c>
      <c r="N66" t="s">
        <v>84</v>
      </c>
      <c r="O66">
        <v>0</v>
      </c>
      <c r="Q66">
        <v>0</v>
      </c>
      <c r="S66">
        <v>0</v>
      </c>
      <c r="T66" t="s">
        <v>84</v>
      </c>
      <c r="U66">
        <v>0</v>
      </c>
      <c r="W66" t="s">
        <v>84</v>
      </c>
      <c r="X66" t="s">
        <v>84</v>
      </c>
      <c r="Y66" t="s">
        <v>84</v>
      </c>
      <c r="Z66">
        <v>0</v>
      </c>
      <c r="AA66" t="s">
        <v>84</v>
      </c>
      <c r="AB66">
        <v>11000</v>
      </c>
      <c r="AD66">
        <v>0</v>
      </c>
      <c r="AE66">
        <v>0</v>
      </c>
      <c r="AH66" t="s">
        <v>84</v>
      </c>
      <c r="AI66">
        <v>0</v>
      </c>
      <c r="AJ66">
        <v>0</v>
      </c>
      <c r="AK66" t="s">
        <v>84</v>
      </c>
      <c r="AL66" t="s">
        <v>84</v>
      </c>
      <c r="AN66" t="s">
        <v>84</v>
      </c>
      <c r="AQ66">
        <v>0</v>
      </c>
      <c r="AR66">
        <v>0</v>
      </c>
      <c r="AS66">
        <v>0</v>
      </c>
      <c r="AT66" t="s">
        <v>84</v>
      </c>
      <c r="AU66" t="s">
        <v>84</v>
      </c>
      <c r="AV66">
        <v>11703.333333333334</v>
      </c>
    </row>
    <row r="67" spans="1:48" x14ac:dyDescent="0.25">
      <c r="A67">
        <v>0</v>
      </c>
      <c r="B67" t="s">
        <v>179</v>
      </c>
      <c r="C67" t="s">
        <v>110</v>
      </c>
      <c r="D67">
        <v>8960</v>
      </c>
      <c r="J67" t="s">
        <v>84</v>
      </c>
      <c r="L67" t="s">
        <v>84</v>
      </c>
      <c r="N67" t="s">
        <v>84</v>
      </c>
      <c r="T67" t="s">
        <v>84</v>
      </c>
      <c r="W67" t="s">
        <v>84</v>
      </c>
      <c r="X67" t="s">
        <v>84</v>
      </c>
      <c r="Y67" t="s">
        <v>84</v>
      </c>
      <c r="AA67" t="s">
        <v>84</v>
      </c>
      <c r="AH67" t="s">
        <v>84</v>
      </c>
      <c r="AK67" t="s">
        <v>84</v>
      </c>
      <c r="AL67" t="s">
        <v>84</v>
      </c>
      <c r="AN67" t="s">
        <v>84</v>
      </c>
      <c r="AT67" t="s">
        <v>84</v>
      </c>
      <c r="AU67" t="s">
        <v>84</v>
      </c>
      <c r="AV67">
        <v>11703.333333333334</v>
      </c>
    </row>
    <row r="68" spans="1:48" x14ac:dyDescent="0.25">
      <c r="A68">
        <v>0</v>
      </c>
      <c r="B68" t="s">
        <v>179</v>
      </c>
      <c r="C68" t="s">
        <v>106</v>
      </c>
      <c r="D68">
        <v>7010.9750000000004</v>
      </c>
      <c r="J68" t="s">
        <v>84</v>
      </c>
      <c r="L68" t="s">
        <v>84</v>
      </c>
      <c r="N68" t="s">
        <v>84</v>
      </c>
      <c r="T68" t="s">
        <v>84</v>
      </c>
      <c r="W68" t="s">
        <v>84</v>
      </c>
      <c r="X68" t="s">
        <v>84</v>
      </c>
      <c r="Y68" t="s">
        <v>84</v>
      </c>
      <c r="AA68" t="s">
        <v>84</v>
      </c>
      <c r="AH68" t="s">
        <v>84</v>
      </c>
      <c r="AK68" t="s">
        <v>84</v>
      </c>
      <c r="AL68" t="s">
        <v>84</v>
      </c>
      <c r="AN68" t="s">
        <v>84</v>
      </c>
      <c r="AT68" t="s">
        <v>84</v>
      </c>
      <c r="AU68" t="s">
        <v>84</v>
      </c>
      <c r="AV68">
        <v>7058.2400000000007</v>
      </c>
    </row>
    <row r="69" spans="1:48" x14ac:dyDescent="0.25">
      <c r="A69">
        <v>1</v>
      </c>
      <c r="B69" t="s">
        <v>179</v>
      </c>
      <c r="C69" t="s">
        <v>106</v>
      </c>
      <c r="D69">
        <v>5317.3125</v>
      </c>
      <c r="J69" t="s">
        <v>84</v>
      </c>
      <c r="K69">
        <v>1850</v>
      </c>
      <c r="L69" t="s">
        <v>84</v>
      </c>
      <c r="N69" t="s">
        <v>84</v>
      </c>
      <c r="T69" t="s">
        <v>84</v>
      </c>
      <c r="W69" t="s">
        <v>84</v>
      </c>
      <c r="X69" t="s">
        <v>84</v>
      </c>
      <c r="Y69" t="s">
        <v>84</v>
      </c>
      <c r="AA69" t="s">
        <v>84</v>
      </c>
      <c r="AF69">
        <v>1525</v>
      </c>
      <c r="AH69" t="s">
        <v>84</v>
      </c>
      <c r="AK69" t="s">
        <v>84</v>
      </c>
      <c r="AL69" t="s">
        <v>84</v>
      </c>
      <c r="AN69" t="s">
        <v>84</v>
      </c>
      <c r="AT69" t="s">
        <v>84</v>
      </c>
      <c r="AU69" t="s">
        <v>84</v>
      </c>
      <c r="AV69">
        <v>7058.2400000000007</v>
      </c>
    </row>
    <row r="70" spans="1:48" x14ac:dyDescent="0.25">
      <c r="A70">
        <v>0</v>
      </c>
      <c r="B70" t="s">
        <v>179</v>
      </c>
      <c r="C70" t="s">
        <v>106</v>
      </c>
      <c r="D70">
        <v>8846.4325000000008</v>
      </c>
      <c r="J70" t="s">
        <v>84</v>
      </c>
      <c r="L70" t="s">
        <v>84</v>
      </c>
      <c r="N70" t="s">
        <v>84</v>
      </c>
      <c r="T70" t="s">
        <v>84</v>
      </c>
      <c r="W70" t="s">
        <v>84</v>
      </c>
      <c r="X70" t="s">
        <v>84</v>
      </c>
      <c r="Y70" t="s">
        <v>84</v>
      </c>
      <c r="AA70" t="s">
        <v>84</v>
      </c>
      <c r="AH70" t="s">
        <v>84</v>
      </c>
      <c r="AK70" t="s">
        <v>84</v>
      </c>
      <c r="AL70" t="s">
        <v>84</v>
      </c>
      <c r="AN70" t="s">
        <v>84</v>
      </c>
      <c r="AT70" t="s">
        <v>84</v>
      </c>
      <c r="AU70" t="s">
        <v>84</v>
      </c>
      <c r="AV70">
        <v>7058.2400000000007</v>
      </c>
    </row>
    <row r="71" spans="1:48" x14ac:dyDescent="0.25">
      <c r="A71">
        <v>0</v>
      </c>
      <c r="B71" t="s">
        <v>179</v>
      </c>
      <c r="C71" t="s">
        <v>80</v>
      </c>
      <c r="D71">
        <v>748472.65919999999</v>
      </c>
      <c r="J71" t="s">
        <v>84</v>
      </c>
      <c r="L71" t="s">
        <v>84</v>
      </c>
      <c r="N71" t="s">
        <v>84</v>
      </c>
      <c r="T71" t="s">
        <v>84</v>
      </c>
      <c r="W71" t="s">
        <v>84</v>
      </c>
      <c r="X71" t="s">
        <v>84</v>
      </c>
      <c r="Y71" t="s">
        <v>84</v>
      </c>
      <c r="AA71" t="s">
        <v>84</v>
      </c>
      <c r="AH71" t="s">
        <v>84</v>
      </c>
      <c r="AK71" t="s">
        <v>84</v>
      </c>
      <c r="AL71" t="s">
        <v>84</v>
      </c>
      <c r="AN71" t="s">
        <v>84</v>
      </c>
      <c r="AT71" t="s">
        <v>84</v>
      </c>
      <c r="AU71" t="s">
        <v>84</v>
      </c>
      <c r="AV71">
        <v>835635.3772333333</v>
      </c>
    </row>
    <row r="72" spans="1:48" x14ac:dyDescent="0.25">
      <c r="A72">
        <v>1</v>
      </c>
      <c r="B72" t="s">
        <v>179</v>
      </c>
      <c r="C72" t="s">
        <v>80</v>
      </c>
      <c r="D72">
        <v>856318.5</v>
      </c>
      <c r="F72">
        <v>36536.5</v>
      </c>
      <c r="G72">
        <v>52700</v>
      </c>
      <c r="J72" t="s">
        <v>84</v>
      </c>
      <c r="L72" t="s">
        <v>84</v>
      </c>
      <c r="M72">
        <v>125000</v>
      </c>
      <c r="N72" t="s">
        <v>84</v>
      </c>
      <c r="O72">
        <v>0</v>
      </c>
      <c r="Q72">
        <v>0</v>
      </c>
      <c r="S72">
        <v>128200</v>
      </c>
      <c r="T72" t="s">
        <v>84</v>
      </c>
      <c r="U72">
        <v>2800</v>
      </c>
      <c r="W72" t="s">
        <v>84</v>
      </c>
      <c r="X72" t="s">
        <v>84</v>
      </c>
      <c r="Y72" t="s">
        <v>84</v>
      </c>
      <c r="Z72">
        <v>39121</v>
      </c>
      <c r="AA72" t="s">
        <v>84</v>
      </c>
      <c r="AB72">
        <v>12200</v>
      </c>
      <c r="AD72">
        <v>24500</v>
      </c>
      <c r="AE72">
        <v>121514.25</v>
      </c>
      <c r="AH72" t="s">
        <v>84</v>
      </c>
      <c r="AI72">
        <v>0</v>
      </c>
      <c r="AJ72">
        <v>113163.05</v>
      </c>
      <c r="AK72" t="s">
        <v>84</v>
      </c>
      <c r="AL72" t="s">
        <v>84</v>
      </c>
      <c r="AN72" t="s">
        <v>84</v>
      </c>
      <c r="AQ72">
        <v>29320</v>
      </c>
      <c r="AR72">
        <v>0</v>
      </c>
      <c r="AS72">
        <v>0</v>
      </c>
      <c r="AT72" t="s">
        <v>84</v>
      </c>
      <c r="AU72" t="s">
        <v>84</v>
      </c>
      <c r="AV72">
        <v>835635.3772333333</v>
      </c>
    </row>
    <row r="73" spans="1:48" x14ac:dyDescent="0.25">
      <c r="A73">
        <v>0</v>
      </c>
      <c r="B73" t="s">
        <v>179</v>
      </c>
      <c r="C73" t="s">
        <v>80</v>
      </c>
      <c r="D73">
        <v>902114.97250000003</v>
      </c>
      <c r="J73" t="s">
        <v>84</v>
      </c>
      <c r="L73" t="s">
        <v>84</v>
      </c>
      <c r="N73" t="s">
        <v>84</v>
      </c>
      <c r="T73" t="s">
        <v>84</v>
      </c>
      <c r="W73" t="s">
        <v>84</v>
      </c>
      <c r="X73" t="s">
        <v>84</v>
      </c>
      <c r="Y73" t="s">
        <v>84</v>
      </c>
      <c r="AA73" t="s">
        <v>84</v>
      </c>
      <c r="AH73" t="s">
        <v>84</v>
      </c>
      <c r="AK73" t="s">
        <v>84</v>
      </c>
      <c r="AL73" t="s">
        <v>84</v>
      </c>
      <c r="AN73" t="s">
        <v>84</v>
      </c>
      <c r="AT73" t="s">
        <v>84</v>
      </c>
      <c r="AU73" t="s">
        <v>84</v>
      </c>
      <c r="AV73">
        <v>835635.3772333333</v>
      </c>
    </row>
    <row r="74" spans="1:48" x14ac:dyDescent="0.25">
      <c r="A74">
        <v>0</v>
      </c>
      <c r="B74" t="s">
        <v>179</v>
      </c>
      <c r="C74" t="s">
        <v>92</v>
      </c>
      <c r="D74">
        <v>35540</v>
      </c>
      <c r="J74" t="s">
        <v>84</v>
      </c>
      <c r="L74" t="s">
        <v>84</v>
      </c>
      <c r="N74" t="s">
        <v>84</v>
      </c>
      <c r="T74" t="s">
        <v>84</v>
      </c>
      <c r="W74" t="s">
        <v>84</v>
      </c>
      <c r="X74" t="s">
        <v>84</v>
      </c>
      <c r="Y74" t="s">
        <v>84</v>
      </c>
      <c r="AA74" t="s">
        <v>84</v>
      </c>
      <c r="AH74" t="s">
        <v>84</v>
      </c>
      <c r="AK74" t="s">
        <v>84</v>
      </c>
      <c r="AL74" t="s">
        <v>84</v>
      </c>
      <c r="AN74" t="s">
        <v>84</v>
      </c>
      <c r="AT74" t="s">
        <v>84</v>
      </c>
      <c r="AU74" t="s">
        <v>84</v>
      </c>
      <c r="AV74">
        <v>52025</v>
      </c>
    </row>
    <row r="75" spans="1:48" x14ac:dyDescent="0.25">
      <c r="A75">
        <v>1</v>
      </c>
      <c r="B75" t="s">
        <v>179</v>
      </c>
      <c r="C75" t="s">
        <v>92</v>
      </c>
      <c r="D75">
        <v>68510</v>
      </c>
      <c r="H75">
        <v>68510</v>
      </c>
      <c r="J75" t="s">
        <v>84</v>
      </c>
      <c r="L75" t="s">
        <v>84</v>
      </c>
      <c r="N75" t="s">
        <v>84</v>
      </c>
      <c r="T75" t="s">
        <v>84</v>
      </c>
      <c r="W75" t="s">
        <v>84</v>
      </c>
      <c r="X75" t="s">
        <v>84</v>
      </c>
      <c r="Y75" t="s">
        <v>84</v>
      </c>
      <c r="AA75" t="s">
        <v>84</v>
      </c>
      <c r="AH75" t="s">
        <v>84</v>
      </c>
      <c r="AK75" t="s">
        <v>84</v>
      </c>
      <c r="AL75" t="s">
        <v>84</v>
      </c>
      <c r="AN75" t="s">
        <v>84</v>
      </c>
      <c r="AT75" t="s">
        <v>84</v>
      </c>
      <c r="AU75" t="s">
        <v>84</v>
      </c>
      <c r="AV75">
        <v>52025</v>
      </c>
    </row>
    <row r="76" spans="1:48" x14ac:dyDescent="0.25">
      <c r="A76">
        <v>0</v>
      </c>
      <c r="B76" t="s">
        <v>179</v>
      </c>
      <c r="C76" t="s">
        <v>125</v>
      </c>
      <c r="D76">
        <v>8600</v>
      </c>
      <c r="J76" t="s">
        <v>84</v>
      </c>
      <c r="L76" t="s">
        <v>84</v>
      </c>
      <c r="N76" t="s">
        <v>84</v>
      </c>
      <c r="T76" t="s">
        <v>84</v>
      </c>
      <c r="W76" t="s">
        <v>84</v>
      </c>
      <c r="X76" t="s">
        <v>84</v>
      </c>
      <c r="Y76" t="s">
        <v>84</v>
      </c>
      <c r="AA76" t="s">
        <v>84</v>
      </c>
      <c r="AH76" t="s">
        <v>84</v>
      </c>
      <c r="AK76" t="s">
        <v>84</v>
      </c>
      <c r="AL76" t="s">
        <v>84</v>
      </c>
      <c r="AN76" t="s">
        <v>84</v>
      </c>
      <c r="AT76" t="s">
        <v>84</v>
      </c>
      <c r="AU76" t="s">
        <v>84</v>
      </c>
      <c r="AV76">
        <v>40166.666666666672</v>
      </c>
    </row>
    <row r="77" spans="1:48" x14ac:dyDescent="0.25">
      <c r="A77">
        <v>1</v>
      </c>
      <c r="B77" t="s">
        <v>179</v>
      </c>
      <c r="C77" t="s">
        <v>125</v>
      </c>
      <c r="D77">
        <v>52150</v>
      </c>
      <c r="J77" t="s">
        <v>84</v>
      </c>
      <c r="L77" t="s">
        <v>84</v>
      </c>
      <c r="N77" t="s">
        <v>84</v>
      </c>
      <c r="T77" t="s">
        <v>84</v>
      </c>
      <c r="W77" t="s">
        <v>84</v>
      </c>
      <c r="X77" t="s">
        <v>84</v>
      </c>
      <c r="Y77" t="s">
        <v>84</v>
      </c>
      <c r="AA77" t="s">
        <v>84</v>
      </c>
      <c r="AC77">
        <v>52150</v>
      </c>
      <c r="AH77" t="s">
        <v>84</v>
      </c>
      <c r="AK77" t="s">
        <v>84</v>
      </c>
      <c r="AL77" t="s">
        <v>84</v>
      </c>
      <c r="AN77" t="s">
        <v>84</v>
      </c>
      <c r="AT77" t="s">
        <v>84</v>
      </c>
      <c r="AU77" t="s">
        <v>84</v>
      </c>
      <c r="AV77">
        <v>40166.666666666672</v>
      </c>
    </row>
    <row r="78" spans="1:48" x14ac:dyDescent="0.25">
      <c r="A78">
        <v>0</v>
      </c>
      <c r="B78" t="s">
        <v>179</v>
      </c>
      <c r="C78" t="s">
        <v>125</v>
      </c>
      <c r="D78">
        <v>59750</v>
      </c>
      <c r="J78" t="s">
        <v>84</v>
      </c>
      <c r="L78" t="s">
        <v>84</v>
      </c>
      <c r="N78" t="s">
        <v>84</v>
      </c>
      <c r="T78" t="s">
        <v>84</v>
      </c>
      <c r="W78" t="s">
        <v>84</v>
      </c>
      <c r="X78" t="s">
        <v>84</v>
      </c>
      <c r="Y78" t="s">
        <v>84</v>
      </c>
      <c r="AA78" t="s">
        <v>84</v>
      </c>
      <c r="AH78" t="s">
        <v>84</v>
      </c>
      <c r="AK78" t="s">
        <v>84</v>
      </c>
      <c r="AL78" t="s">
        <v>84</v>
      </c>
      <c r="AN78" t="s">
        <v>84</v>
      </c>
      <c r="AT78" t="s">
        <v>84</v>
      </c>
      <c r="AU78" t="s">
        <v>84</v>
      </c>
      <c r="AV78">
        <v>40166.666666666672</v>
      </c>
    </row>
    <row r="79" spans="1:48" x14ac:dyDescent="0.25">
      <c r="A79">
        <v>1</v>
      </c>
      <c r="B79" t="s">
        <v>179</v>
      </c>
      <c r="C79" t="s">
        <v>151</v>
      </c>
      <c r="D79">
        <v>80541.5</v>
      </c>
      <c r="E79">
        <v>44625</v>
      </c>
      <c r="J79" t="s">
        <v>84</v>
      </c>
      <c r="L79" t="s">
        <v>84</v>
      </c>
      <c r="N79" t="s">
        <v>84</v>
      </c>
      <c r="T79" t="s">
        <v>84</v>
      </c>
      <c r="U79">
        <v>6500</v>
      </c>
      <c r="V79">
        <v>5250</v>
      </c>
      <c r="W79" t="s">
        <v>84</v>
      </c>
      <c r="X79" t="s">
        <v>84</v>
      </c>
      <c r="Y79" t="s">
        <v>84</v>
      </c>
      <c r="AA79" t="s">
        <v>84</v>
      </c>
      <c r="AB79">
        <v>0</v>
      </c>
      <c r="AG79">
        <v>5580</v>
      </c>
      <c r="AH79" t="s">
        <v>84</v>
      </c>
      <c r="AK79" t="s">
        <v>84</v>
      </c>
      <c r="AL79" t="s">
        <v>84</v>
      </c>
      <c r="AN79" t="s">
        <v>84</v>
      </c>
      <c r="AT79" t="s">
        <v>84</v>
      </c>
      <c r="AU79" t="s">
        <v>84</v>
      </c>
      <c r="AV79">
        <v>79204.666666666672</v>
      </c>
    </row>
    <row r="80" spans="1:48" x14ac:dyDescent="0.25">
      <c r="A80">
        <v>0</v>
      </c>
      <c r="B80" t="s">
        <v>179</v>
      </c>
      <c r="C80" t="s">
        <v>151</v>
      </c>
      <c r="D80">
        <v>92170</v>
      </c>
      <c r="J80" t="s">
        <v>84</v>
      </c>
      <c r="L80" t="s">
        <v>84</v>
      </c>
      <c r="N80" t="s">
        <v>84</v>
      </c>
      <c r="T80" t="s">
        <v>84</v>
      </c>
      <c r="W80" t="s">
        <v>84</v>
      </c>
      <c r="X80" t="s">
        <v>84</v>
      </c>
      <c r="Y80" t="s">
        <v>84</v>
      </c>
      <c r="AA80" t="s">
        <v>84</v>
      </c>
      <c r="AH80" t="s">
        <v>84</v>
      </c>
      <c r="AK80" t="s">
        <v>84</v>
      </c>
      <c r="AL80" t="s">
        <v>84</v>
      </c>
      <c r="AN80" t="s">
        <v>84</v>
      </c>
      <c r="AT80" t="s">
        <v>84</v>
      </c>
      <c r="AU80" t="s">
        <v>84</v>
      </c>
      <c r="AV80">
        <v>79204.666666666672</v>
      </c>
    </row>
    <row r="81" spans="1:48" x14ac:dyDescent="0.25">
      <c r="A81">
        <v>0</v>
      </c>
      <c r="B81" t="s">
        <v>179</v>
      </c>
      <c r="C81" t="s">
        <v>151</v>
      </c>
      <c r="D81">
        <v>64902.5</v>
      </c>
      <c r="J81" t="s">
        <v>84</v>
      </c>
      <c r="L81" t="s">
        <v>84</v>
      </c>
      <c r="N81" t="s">
        <v>84</v>
      </c>
      <c r="T81" t="s">
        <v>84</v>
      </c>
      <c r="W81" t="s">
        <v>84</v>
      </c>
      <c r="X81" t="s">
        <v>84</v>
      </c>
      <c r="Y81" t="s">
        <v>84</v>
      </c>
      <c r="AA81" t="s">
        <v>84</v>
      </c>
      <c r="AH81" t="s">
        <v>84</v>
      </c>
      <c r="AK81" t="s">
        <v>84</v>
      </c>
      <c r="AL81" t="s">
        <v>84</v>
      </c>
      <c r="AN81" t="s">
        <v>84</v>
      </c>
      <c r="AT81" t="s">
        <v>84</v>
      </c>
      <c r="AU81" t="s">
        <v>84</v>
      </c>
      <c r="AV81">
        <v>79204.666666666672</v>
      </c>
    </row>
    <row r="82" spans="1:48" x14ac:dyDescent="0.25">
      <c r="A82">
        <v>0</v>
      </c>
      <c r="B82" t="s">
        <v>179</v>
      </c>
      <c r="C82" t="s">
        <v>98</v>
      </c>
      <c r="D82">
        <v>8850</v>
      </c>
      <c r="J82" t="s">
        <v>84</v>
      </c>
      <c r="L82" t="s">
        <v>84</v>
      </c>
      <c r="N82" t="s">
        <v>84</v>
      </c>
      <c r="T82" t="s">
        <v>84</v>
      </c>
      <c r="W82" t="s">
        <v>84</v>
      </c>
      <c r="X82" t="s">
        <v>84</v>
      </c>
      <c r="Y82" t="s">
        <v>84</v>
      </c>
      <c r="AA82" t="s">
        <v>84</v>
      </c>
      <c r="AH82" t="s">
        <v>84</v>
      </c>
      <c r="AK82" t="s">
        <v>84</v>
      </c>
      <c r="AL82" t="s">
        <v>84</v>
      </c>
      <c r="AN82" t="s">
        <v>84</v>
      </c>
      <c r="AT82" t="s">
        <v>84</v>
      </c>
      <c r="AU82" t="s">
        <v>84</v>
      </c>
      <c r="AV82">
        <v>18050</v>
      </c>
    </row>
    <row r="83" spans="1:48" x14ac:dyDescent="0.25">
      <c r="A83">
        <v>1</v>
      </c>
      <c r="B83" t="s">
        <v>179</v>
      </c>
      <c r="C83" t="s">
        <v>98</v>
      </c>
      <c r="D83">
        <v>28600</v>
      </c>
      <c r="J83" t="s">
        <v>84</v>
      </c>
      <c r="L83" t="s">
        <v>84</v>
      </c>
      <c r="N83" t="s">
        <v>84</v>
      </c>
      <c r="T83" t="s">
        <v>84</v>
      </c>
      <c r="V83">
        <v>28600</v>
      </c>
      <c r="W83" t="s">
        <v>84</v>
      </c>
      <c r="X83" t="s">
        <v>84</v>
      </c>
      <c r="Y83" t="s">
        <v>84</v>
      </c>
      <c r="AA83" t="s">
        <v>84</v>
      </c>
      <c r="AH83" t="s">
        <v>84</v>
      </c>
      <c r="AK83" t="s">
        <v>84</v>
      </c>
      <c r="AL83" t="s">
        <v>84</v>
      </c>
      <c r="AN83" t="s">
        <v>84</v>
      </c>
      <c r="AT83" t="s">
        <v>84</v>
      </c>
      <c r="AU83" t="s">
        <v>84</v>
      </c>
      <c r="AV83">
        <v>18050</v>
      </c>
    </row>
    <row r="84" spans="1:48" x14ac:dyDescent="0.25">
      <c r="A84">
        <v>0</v>
      </c>
      <c r="B84" t="s">
        <v>179</v>
      </c>
      <c r="C84" t="s">
        <v>98</v>
      </c>
      <c r="D84">
        <v>16700</v>
      </c>
      <c r="J84" t="s">
        <v>84</v>
      </c>
      <c r="L84" t="s">
        <v>84</v>
      </c>
      <c r="N84" t="s">
        <v>84</v>
      </c>
      <c r="T84" t="s">
        <v>84</v>
      </c>
      <c r="W84" t="s">
        <v>84</v>
      </c>
      <c r="X84" t="s">
        <v>84</v>
      </c>
      <c r="Y84" t="s">
        <v>84</v>
      </c>
      <c r="AA84" t="s">
        <v>84</v>
      </c>
      <c r="AH84" t="s">
        <v>84</v>
      </c>
      <c r="AK84" t="s">
        <v>84</v>
      </c>
      <c r="AL84" t="s">
        <v>84</v>
      </c>
      <c r="AN84" t="s">
        <v>84</v>
      </c>
      <c r="AT84" t="s">
        <v>84</v>
      </c>
      <c r="AU84" t="s">
        <v>84</v>
      </c>
      <c r="AV84">
        <v>18050</v>
      </c>
    </row>
    <row r="85" spans="1:48" x14ac:dyDescent="0.25">
      <c r="A85">
        <v>0</v>
      </c>
      <c r="B85" t="s">
        <v>179</v>
      </c>
      <c r="C85" t="s">
        <v>87</v>
      </c>
      <c r="D85">
        <v>112476.875</v>
      </c>
      <c r="J85" t="s">
        <v>84</v>
      </c>
      <c r="L85" t="s">
        <v>84</v>
      </c>
      <c r="N85" t="s">
        <v>84</v>
      </c>
      <c r="T85" t="s">
        <v>84</v>
      </c>
      <c r="W85" t="s">
        <v>84</v>
      </c>
      <c r="X85" t="s">
        <v>84</v>
      </c>
      <c r="Y85" t="s">
        <v>84</v>
      </c>
      <c r="AA85" t="s">
        <v>84</v>
      </c>
      <c r="AH85" t="s">
        <v>84</v>
      </c>
      <c r="AK85" t="s">
        <v>84</v>
      </c>
      <c r="AL85" t="s">
        <v>84</v>
      </c>
      <c r="AN85" t="s">
        <v>84</v>
      </c>
      <c r="AT85" t="s">
        <v>84</v>
      </c>
      <c r="AU85" t="s">
        <v>84</v>
      </c>
      <c r="AV85">
        <v>100943.59723333333</v>
      </c>
    </row>
    <row r="86" spans="1:48" x14ac:dyDescent="0.25">
      <c r="A86">
        <v>1</v>
      </c>
      <c r="B86" t="s">
        <v>179</v>
      </c>
      <c r="C86" t="s">
        <v>87</v>
      </c>
      <c r="D86">
        <v>111615.9917</v>
      </c>
      <c r="J86" t="s">
        <v>84</v>
      </c>
      <c r="L86" t="s">
        <v>84</v>
      </c>
      <c r="N86" t="s">
        <v>84</v>
      </c>
      <c r="O86">
        <v>34250</v>
      </c>
      <c r="P86">
        <v>15700</v>
      </c>
      <c r="Q86">
        <v>10700</v>
      </c>
      <c r="R86">
        <v>20772</v>
      </c>
      <c r="T86" t="s">
        <v>84</v>
      </c>
      <c r="W86" t="s">
        <v>84</v>
      </c>
      <c r="X86" t="s">
        <v>84</v>
      </c>
      <c r="Y86" t="s">
        <v>84</v>
      </c>
      <c r="AA86" t="s">
        <v>84</v>
      </c>
      <c r="AH86" t="s">
        <v>84</v>
      </c>
      <c r="AK86" t="s">
        <v>84</v>
      </c>
      <c r="AL86" t="s">
        <v>84</v>
      </c>
      <c r="AN86" t="s">
        <v>84</v>
      </c>
      <c r="AT86" t="s">
        <v>84</v>
      </c>
      <c r="AU86" t="s">
        <v>84</v>
      </c>
      <c r="AV86">
        <v>100943.59723333333</v>
      </c>
    </row>
    <row r="87" spans="1:48" x14ac:dyDescent="0.25">
      <c r="A87">
        <v>0</v>
      </c>
      <c r="B87" t="s">
        <v>179</v>
      </c>
      <c r="C87" t="s">
        <v>87</v>
      </c>
      <c r="D87">
        <v>78737.925000000003</v>
      </c>
      <c r="J87" t="s">
        <v>84</v>
      </c>
      <c r="L87" t="s">
        <v>84</v>
      </c>
      <c r="N87" t="s">
        <v>84</v>
      </c>
      <c r="T87" t="s">
        <v>84</v>
      </c>
      <c r="W87" t="s">
        <v>84</v>
      </c>
      <c r="X87" t="s">
        <v>84</v>
      </c>
      <c r="Y87" t="s">
        <v>84</v>
      </c>
      <c r="AA87" t="s">
        <v>84</v>
      </c>
      <c r="AH87" t="s">
        <v>84</v>
      </c>
      <c r="AK87" t="s">
        <v>84</v>
      </c>
      <c r="AL87" t="s">
        <v>84</v>
      </c>
      <c r="AN87" t="s">
        <v>84</v>
      </c>
      <c r="AT87" t="s">
        <v>84</v>
      </c>
      <c r="AU87" t="s">
        <v>84</v>
      </c>
      <c r="AV87">
        <v>100943.59723333333</v>
      </c>
    </row>
    <row r="88" spans="1:48" x14ac:dyDescent="0.25">
      <c r="A88">
        <v>0</v>
      </c>
      <c r="B88" t="s">
        <v>179</v>
      </c>
      <c r="C88" t="s">
        <v>110</v>
      </c>
      <c r="D88">
        <v>6875</v>
      </c>
      <c r="J88" t="s">
        <v>84</v>
      </c>
      <c r="L88" t="s">
        <v>84</v>
      </c>
      <c r="N88" t="s">
        <v>84</v>
      </c>
      <c r="T88" t="s">
        <v>84</v>
      </c>
      <c r="W88" t="s">
        <v>84</v>
      </c>
      <c r="X88" t="s">
        <v>84</v>
      </c>
      <c r="Y88" t="s">
        <v>84</v>
      </c>
      <c r="AA88" t="s">
        <v>84</v>
      </c>
      <c r="AH88" t="s">
        <v>84</v>
      </c>
      <c r="AK88" t="s">
        <v>84</v>
      </c>
      <c r="AL88" t="s">
        <v>84</v>
      </c>
      <c r="AN88" t="s">
        <v>84</v>
      </c>
      <c r="AT88" t="s">
        <v>84</v>
      </c>
      <c r="AU88" t="s">
        <v>84</v>
      </c>
      <c r="AV88">
        <v>8766.3333333333339</v>
      </c>
    </row>
    <row r="89" spans="1:48" x14ac:dyDescent="0.25">
      <c r="A89">
        <v>1</v>
      </c>
      <c r="B89" t="s">
        <v>179</v>
      </c>
      <c r="C89" t="s">
        <v>110</v>
      </c>
      <c r="D89">
        <v>8928</v>
      </c>
      <c r="F89">
        <v>0</v>
      </c>
      <c r="G89">
        <v>0</v>
      </c>
      <c r="J89" t="s">
        <v>84</v>
      </c>
      <c r="L89" t="s">
        <v>84</v>
      </c>
      <c r="M89">
        <v>0</v>
      </c>
      <c r="N89" t="s">
        <v>84</v>
      </c>
      <c r="O89">
        <v>0</v>
      </c>
      <c r="Q89">
        <v>0</v>
      </c>
      <c r="S89">
        <v>0</v>
      </c>
      <c r="T89" t="s">
        <v>84</v>
      </c>
      <c r="U89">
        <v>0</v>
      </c>
      <c r="W89" t="s">
        <v>84</v>
      </c>
      <c r="X89" t="s">
        <v>84</v>
      </c>
      <c r="Y89" t="s">
        <v>84</v>
      </c>
      <c r="Z89">
        <v>0</v>
      </c>
      <c r="AA89" t="s">
        <v>84</v>
      </c>
      <c r="AB89">
        <v>7200</v>
      </c>
      <c r="AD89">
        <v>0</v>
      </c>
      <c r="AE89">
        <v>0</v>
      </c>
      <c r="AH89" t="s">
        <v>84</v>
      </c>
      <c r="AI89">
        <v>0</v>
      </c>
      <c r="AJ89">
        <v>0</v>
      </c>
      <c r="AK89" t="s">
        <v>84</v>
      </c>
      <c r="AL89" t="s">
        <v>84</v>
      </c>
      <c r="AN89" t="s">
        <v>84</v>
      </c>
      <c r="AQ89">
        <v>0</v>
      </c>
      <c r="AR89">
        <v>0</v>
      </c>
      <c r="AS89">
        <v>0</v>
      </c>
      <c r="AT89" t="s">
        <v>84</v>
      </c>
      <c r="AU89" t="s">
        <v>84</v>
      </c>
      <c r="AV89">
        <v>8766.3333333333339</v>
      </c>
    </row>
    <row r="90" spans="1:48" x14ac:dyDescent="0.25">
      <c r="A90">
        <v>0</v>
      </c>
      <c r="B90" t="s">
        <v>179</v>
      </c>
      <c r="C90" t="s">
        <v>110</v>
      </c>
      <c r="D90">
        <v>10496</v>
      </c>
      <c r="J90" t="s">
        <v>84</v>
      </c>
      <c r="L90" t="s">
        <v>84</v>
      </c>
      <c r="N90" t="s">
        <v>84</v>
      </c>
      <c r="T90" t="s">
        <v>84</v>
      </c>
      <c r="W90" t="s">
        <v>84</v>
      </c>
      <c r="X90" t="s">
        <v>84</v>
      </c>
      <c r="Y90" t="s">
        <v>84</v>
      </c>
      <c r="AA90" t="s">
        <v>84</v>
      </c>
      <c r="AH90" t="s">
        <v>84</v>
      </c>
      <c r="AK90" t="s">
        <v>84</v>
      </c>
      <c r="AL90" t="s">
        <v>84</v>
      </c>
      <c r="AN90" t="s">
        <v>84</v>
      </c>
      <c r="AT90" t="s">
        <v>84</v>
      </c>
      <c r="AU90" t="s">
        <v>84</v>
      </c>
      <c r="AV90">
        <v>8766.3333333333339</v>
      </c>
    </row>
    <row r="91" spans="1:48" x14ac:dyDescent="0.25">
      <c r="A91">
        <v>0</v>
      </c>
      <c r="B91" t="s">
        <v>179</v>
      </c>
      <c r="C91" t="s">
        <v>106</v>
      </c>
      <c r="D91">
        <v>10484.952499999999</v>
      </c>
      <c r="J91" t="s">
        <v>84</v>
      </c>
      <c r="L91" t="s">
        <v>84</v>
      </c>
      <c r="N91" t="s">
        <v>84</v>
      </c>
      <c r="T91" t="s">
        <v>84</v>
      </c>
      <c r="W91" t="s">
        <v>84</v>
      </c>
      <c r="X91" t="s">
        <v>84</v>
      </c>
      <c r="Y91" t="s">
        <v>84</v>
      </c>
      <c r="AA91" t="s">
        <v>84</v>
      </c>
      <c r="AH91" t="s">
        <v>84</v>
      </c>
      <c r="AK91" t="s">
        <v>84</v>
      </c>
      <c r="AL91" t="s">
        <v>84</v>
      </c>
      <c r="AN91" t="s">
        <v>84</v>
      </c>
      <c r="AT91" t="s">
        <v>84</v>
      </c>
      <c r="AU91" t="s">
        <v>84</v>
      </c>
      <c r="AV91">
        <v>7291.939166666667</v>
      </c>
    </row>
    <row r="92" spans="1:48" x14ac:dyDescent="0.25">
      <c r="A92">
        <v>1</v>
      </c>
      <c r="B92" t="s">
        <v>179</v>
      </c>
      <c r="C92" t="s">
        <v>106</v>
      </c>
      <c r="D92">
        <v>6664.3649999999998</v>
      </c>
      <c r="J92" t="s">
        <v>84</v>
      </c>
      <c r="K92">
        <v>2700</v>
      </c>
      <c r="L92" t="s">
        <v>84</v>
      </c>
      <c r="N92" t="s">
        <v>84</v>
      </c>
      <c r="T92" t="s">
        <v>84</v>
      </c>
      <c r="W92" t="s">
        <v>84</v>
      </c>
      <c r="X92" t="s">
        <v>84</v>
      </c>
      <c r="Y92" t="s">
        <v>84</v>
      </c>
      <c r="AA92" t="s">
        <v>84</v>
      </c>
      <c r="AF92">
        <v>1530</v>
      </c>
      <c r="AH92" t="s">
        <v>84</v>
      </c>
      <c r="AK92" t="s">
        <v>84</v>
      </c>
      <c r="AL92" t="s">
        <v>84</v>
      </c>
      <c r="AN92" t="s">
        <v>84</v>
      </c>
      <c r="AT92" t="s">
        <v>84</v>
      </c>
      <c r="AU92" t="s">
        <v>84</v>
      </c>
      <c r="AV92">
        <v>7291.939166666667</v>
      </c>
    </row>
    <row r="93" spans="1:48" x14ac:dyDescent="0.25">
      <c r="A93">
        <v>0</v>
      </c>
      <c r="B93" t="s">
        <v>179</v>
      </c>
      <c r="C93" t="s">
        <v>106</v>
      </c>
      <c r="D93">
        <v>4726.5</v>
      </c>
      <c r="J93" t="s">
        <v>84</v>
      </c>
      <c r="L93" t="s">
        <v>84</v>
      </c>
      <c r="N93" t="s">
        <v>84</v>
      </c>
      <c r="T93" t="s">
        <v>84</v>
      </c>
      <c r="W93" t="s">
        <v>84</v>
      </c>
      <c r="X93" t="s">
        <v>84</v>
      </c>
      <c r="Y93" t="s">
        <v>84</v>
      </c>
      <c r="AA93" t="s">
        <v>84</v>
      </c>
      <c r="AH93" t="s">
        <v>84</v>
      </c>
      <c r="AK93" t="s">
        <v>84</v>
      </c>
      <c r="AL93" t="s">
        <v>84</v>
      </c>
      <c r="AN93" t="s">
        <v>84</v>
      </c>
      <c r="AT93" t="s">
        <v>84</v>
      </c>
      <c r="AU93" t="s">
        <v>84</v>
      </c>
      <c r="AV93">
        <v>7291.939166666667</v>
      </c>
    </row>
    <row r="94" spans="1:48" x14ac:dyDescent="0.25">
      <c r="A94">
        <v>0</v>
      </c>
      <c r="B94" t="s">
        <v>179</v>
      </c>
      <c r="C94" t="s">
        <v>80</v>
      </c>
      <c r="D94">
        <v>702418.88</v>
      </c>
      <c r="J94" t="s">
        <v>84</v>
      </c>
      <c r="L94" t="s">
        <v>84</v>
      </c>
      <c r="N94" t="s">
        <v>84</v>
      </c>
      <c r="T94" t="s">
        <v>84</v>
      </c>
      <c r="W94" t="s">
        <v>84</v>
      </c>
      <c r="X94" t="s">
        <v>84</v>
      </c>
      <c r="Y94" t="s">
        <v>84</v>
      </c>
      <c r="AA94" t="s">
        <v>84</v>
      </c>
      <c r="AH94" t="s">
        <v>84</v>
      </c>
      <c r="AK94" t="s">
        <v>84</v>
      </c>
      <c r="AL94" t="s">
        <v>84</v>
      </c>
      <c r="AN94" t="s">
        <v>84</v>
      </c>
      <c r="AT94" t="s">
        <v>84</v>
      </c>
      <c r="AU94" t="s">
        <v>84</v>
      </c>
      <c r="AV94">
        <v>656708.28960000002</v>
      </c>
    </row>
    <row r="95" spans="1:48" x14ac:dyDescent="0.25">
      <c r="A95">
        <v>1</v>
      </c>
      <c r="B95" t="s">
        <v>179</v>
      </c>
      <c r="C95" t="s">
        <v>80</v>
      </c>
      <c r="D95">
        <v>621332.42879999999</v>
      </c>
      <c r="F95">
        <v>31924.75</v>
      </c>
      <c r="G95">
        <v>33650</v>
      </c>
      <c r="J95" t="s">
        <v>84</v>
      </c>
      <c r="L95" t="s">
        <v>84</v>
      </c>
      <c r="M95">
        <v>90000</v>
      </c>
      <c r="N95" t="s">
        <v>84</v>
      </c>
      <c r="O95">
        <v>0</v>
      </c>
      <c r="Q95">
        <v>0</v>
      </c>
      <c r="S95">
        <v>29700</v>
      </c>
      <c r="T95" t="s">
        <v>84</v>
      </c>
      <c r="U95">
        <v>4200</v>
      </c>
      <c r="W95" t="s">
        <v>84</v>
      </c>
      <c r="X95" t="s">
        <v>84</v>
      </c>
      <c r="Y95" t="s">
        <v>84</v>
      </c>
      <c r="Z95">
        <v>41424</v>
      </c>
      <c r="AA95" t="s">
        <v>84</v>
      </c>
      <c r="AB95">
        <v>1200</v>
      </c>
      <c r="AD95">
        <v>31500</v>
      </c>
      <c r="AE95">
        <v>97204.25</v>
      </c>
      <c r="AH95" t="s">
        <v>84</v>
      </c>
      <c r="AI95">
        <v>10000</v>
      </c>
      <c r="AJ95">
        <v>87332.96</v>
      </c>
      <c r="AK95" t="s">
        <v>84</v>
      </c>
      <c r="AL95" t="s">
        <v>84</v>
      </c>
      <c r="AN95" t="s">
        <v>84</v>
      </c>
      <c r="AQ95">
        <v>27280</v>
      </c>
      <c r="AR95">
        <v>0</v>
      </c>
      <c r="AS95">
        <v>0</v>
      </c>
      <c r="AT95" t="s">
        <v>84</v>
      </c>
      <c r="AU95" t="s">
        <v>84</v>
      </c>
      <c r="AV95">
        <v>656708.28960000002</v>
      </c>
    </row>
    <row r="96" spans="1:48" x14ac:dyDescent="0.25">
      <c r="A96">
        <v>0</v>
      </c>
      <c r="B96" t="s">
        <v>179</v>
      </c>
      <c r="C96" t="s">
        <v>80</v>
      </c>
      <c r="D96">
        <v>646373.56000000006</v>
      </c>
      <c r="J96" t="s">
        <v>84</v>
      </c>
      <c r="L96" t="s">
        <v>84</v>
      </c>
      <c r="N96" t="s">
        <v>84</v>
      </c>
      <c r="T96" t="s">
        <v>84</v>
      </c>
      <c r="W96" t="s">
        <v>84</v>
      </c>
      <c r="X96" t="s">
        <v>84</v>
      </c>
      <c r="Y96" t="s">
        <v>84</v>
      </c>
      <c r="AA96" t="s">
        <v>84</v>
      </c>
      <c r="AH96" t="s">
        <v>84</v>
      </c>
      <c r="AK96" t="s">
        <v>84</v>
      </c>
      <c r="AL96" t="s">
        <v>84</v>
      </c>
      <c r="AN96" t="s">
        <v>84</v>
      </c>
      <c r="AT96" t="s">
        <v>84</v>
      </c>
      <c r="AU96" t="s">
        <v>84</v>
      </c>
      <c r="AV96">
        <v>656708.28960000002</v>
      </c>
    </row>
    <row r="97" spans="1:48" x14ac:dyDescent="0.25">
      <c r="A97">
        <v>0</v>
      </c>
      <c r="B97" t="s">
        <v>260</v>
      </c>
      <c r="C97" t="s">
        <v>92</v>
      </c>
      <c r="D97">
        <v>50580</v>
      </c>
      <c r="J97" t="s">
        <v>84</v>
      </c>
      <c r="L97" t="s">
        <v>84</v>
      </c>
      <c r="N97" t="s">
        <v>84</v>
      </c>
      <c r="T97" t="s">
        <v>84</v>
      </c>
      <c r="W97" t="s">
        <v>84</v>
      </c>
      <c r="X97" t="s">
        <v>84</v>
      </c>
      <c r="Y97" t="s">
        <v>84</v>
      </c>
      <c r="AA97" t="s">
        <v>84</v>
      </c>
      <c r="AH97" t="s">
        <v>84</v>
      </c>
      <c r="AK97" t="s">
        <v>84</v>
      </c>
      <c r="AL97" t="s">
        <v>84</v>
      </c>
      <c r="AN97" t="s">
        <v>84</v>
      </c>
      <c r="AT97" t="s">
        <v>84</v>
      </c>
      <c r="AU97" t="s">
        <v>84</v>
      </c>
      <c r="AV97">
        <v>36220</v>
      </c>
    </row>
    <row r="98" spans="1:48" x14ac:dyDescent="0.25">
      <c r="A98">
        <v>0</v>
      </c>
      <c r="B98" t="s">
        <v>260</v>
      </c>
      <c r="C98" t="s">
        <v>92</v>
      </c>
      <c r="D98">
        <v>18410</v>
      </c>
      <c r="J98" t="s">
        <v>84</v>
      </c>
      <c r="L98" t="s">
        <v>84</v>
      </c>
      <c r="N98" t="s">
        <v>84</v>
      </c>
      <c r="T98" t="s">
        <v>84</v>
      </c>
      <c r="W98" t="s">
        <v>84</v>
      </c>
      <c r="X98" t="s">
        <v>84</v>
      </c>
      <c r="Y98" t="s">
        <v>84</v>
      </c>
      <c r="AA98" t="s">
        <v>84</v>
      </c>
      <c r="AH98" t="s">
        <v>84</v>
      </c>
      <c r="AK98" t="s">
        <v>84</v>
      </c>
      <c r="AL98" t="s">
        <v>84</v>
      </c>
      <c r="AN98" t="s">
        <v>84</v>
      </c>
      <c r="AT98" t="s">
        <v>84</v>
      </c>
      <c r="AU98" t="s">
        <v>84</v>
      </c>
      <c r="AV98">
        <v>36220</v>
      </c>
    </row>
    <row r="99" spans="1:48" x14ac:dyDescent="0.25">
      <c r="A99">
        <v>1</v>
      </c>
      <c r="B99" t="s">
        <v>260</v>
      </c>
      <c r="C99" t="s">
        <v>92</v>
      </c>
      <c r="D99">
        <v>39670</v>
      </c>
      <c r="H99">
        <v>39670</v>
      </c>
      <c r="J99" t="s">
        <v>84</v>
      </c>
      <c r="L99" t="s">
        <v>84</v>
      </c>
      <c r="N99" t="s">
        <v>84</v>
      </c>
      <c r="T99" t="s">
        <v>84</v>
      </c>
      <c r="W99" t="s">
        <v>84</v>
      </c>
      <c r="X99" t="s">
        <v>84</v>
      </c>
      <c r="Y99" t="s">
        <v>84</v>
      </c>
      <c r="AA99" t="s">
        <v>84</v>
      </c>
      <c r="AH99" t="s">
        <v>84</v>
      </c>
      <c r="AK99" t="s">
        <v>84</v>
      </c>
      <c r="AL99" t="s">
        <v>84</v>
      </c>
      <c r="AN99" t="s">
        <v>84</v>
      </c>
      <c r="AT99" t="s">
        <v>84</v>
      </c>
      <c r="AU99" t="s">
        <v>84</v>
      </c>
      <c r="AV99">
        <v>36220</v>
      </c>
    </row>
    <row r="100" spans="1:48" x14ac:dyDescent="0.25">
      <c r="A100">
        <v>0</v>
      </c>
      <c r="B100" t="s">
        <v>260</v>
      </c>
      <c r="C100" t="s">
        <v>114</v>
      </c>
      <c r="D100">
        <v>21700</v>
      </c>
      <c r="J100" t="s">
        <v>84</v>
      </c>
      <c r="L100" t="s">
        <v>84</v>
      </c>
      <c r="N100" t="s">
        <v>84</v>
      </c>
      <c r="T100" t="s">
        <v>84</v>
      </c>
      <c r="W100" t="s">
        <v>84</v>
      </c>
      <c r="X100" t="s">
        <v>84</v>
      </c>
      <c r="Y100" t="s">
        <v>84</v>
      </c>
      <c r="AA100" t="s">
        <v>84</v>
      </c>
      <c r="AH100" t="s">
        <v>84</v>
      </c>
      <c r="AK100" t="s">
        <v>84</v>
      </c>
      <c r="AL100" t="s">
        <v>84</v>
      </c>
      <c r="AN100" t="s">
        <v>84</v>
      </c>
      <c r="AT100" t="s">
        <v>84</v>
      </c>
      <c r="AU100" t="s">
        <v>84</v>
      </c>
      <c r="AV100">
        <v>25166.666666666668</v>
      </c>
    </row>
    <row r="101" spans="1:48" x14ac:dyDescent="0.25">
      <c r="A101">
        <v>1</v>
      </c>
      <c r="B101" t="s">
        <v>260</v>
      </c>
      <c r="C101" t="s">
        <v>114</v>
      </c>
      <c r="D101">
        <v>18350</v>
      </c>
      <c r="J101" t="s">
        <v>84</v>
      </c>
      <c r="L101" t="s">
        <v>84</v>
      </c>
      <c r="N101" t="s">
        <v>84</v>
      </c>
      <c r="T101" t="s">
        <v>84</v>
      </c>
      <c r="W101" t="s">
        <v>84</v>
      </c>
      <c r="X101" t="s">
        <v>84</v>
      </c>
      <c r="Y101" t="s">
        <v>84</v>
      </c>
      <c r="AA101" t="s">
        <v>84</v>
      </c>
      <c r="AH101" t="s">
        <v>84</v>
      </c>
      <c r="AK101" t="s">
        <v>84</v>
      </c>
      <c r="AL101" t="s">
        <v>84</v>
      </c>
      <c r="AN101" t="s">
        <v>84</v>
      </c>
      <c r="AO101">
        <v>18350</v>
      </c>
      <c r="AT101" t="s">
        <v>84</v>
      </c>
      <c r="AU101" t="s">
        <v>84</v>
      </c>
      <c r="AV101">
        <v>25166.666666666668</v>
      </c>
    </row>
    <row r="102" spans="1:48" x14ac:dyDescent="0.25">
      <c r="A102">
        <v>0</v>
      </c>
      <c r="B102" t="s">
        <v>260</v>
      </c>
      <c r="C102" t="s">
        <v>114</v>
      </c>
      <c r="D102">
        <v>35450</v>
      </c>
      <c r="J102" t="s">
        <v>84</v>
      </c>
      <c r="L102" t="s">
        <v>84</v>
      </c>
      <c r="N102" t="s">
        <v>84</v>
      </c>
      <c r="T102" t="s">
        <v>84</v>
      </c>
      <c r="W102" t="s">
        <v>84</v>
      </c>
      <c r="X102" t="s">
        <v>84</v>
      </c>
      <c r="Y102" t="s">
        <v>84</v>
      </c>
      <c r="AA102" t="s">
        <v>84</v>
      </c>
      <c r="AH102" t="s">
        <v>84</v>
      </c>
      <c r="AK102" t="s">
        <v>84</v>
      </c>
      <c r="AL102" t="s">
        <v>84</v>
      </c>
      <c r="AN102" t="s">
        <v>84</v>
      </c>
      <c r="AT102" t="s">
        <v>84</v>
      </c>
      <c r="AU102" t="s">
        <v>84</v>
      </c>
      <c r="AV102">
        <v>25166.666666666668</v>
      </c>
    </row>
    <row r="103" spans="1:48" x14ac:dyDescent="0.25">
      <c r="A103">
        <v>0</v>
      </c>
      <c r="B103" t="s">
        <v>260</v>
      </c>
      <c r="C103" t="s">
        <v>121</v>
      </c>
      <c r="D103">
        <v>151338.10579999999</v>
      </c>
      <c r="J103" t="s">
        <v>84</v>
      </c>
      <c r="L103" t="s">
        <v>84</v>
      </c>
      <c r="N103" t="s">
        <v>84</v>
      </c>
      <c r="T103" t="s">
        <v>84</v>
      </c>
      <c r="W103" t="s">
        <v>84</v>
      </c>
      <c r="X103" t="s">
        <v>84</v>
      </c>
      <c r="Y103" t="s">
        <v>84</v>
      </c>
      <c r="AA103" t="s">
        <v>84</v>
      </c>
      <c r="AH103" t="s">
        <v>84</v>
      </c>
      <c r="AK103" t="s">
        <v>84</v>
      </c>
      <c r="AL103" t="s">
        <v>84</v>
      </c>
      <c r="AN103" t="s">
        <v>84</v>
      </c>
      <c r="AT103" t="s">
        <v>84</v>
      </c>
      <c r="AU103" t="s">
        <v>84</v>
      </c>
      <c r="AV103">
        <v>149975.39453333334</v>
      </c>
    </row>
    <row r="104" spans="1:48" x14ac:dyDescent="0.25">
      <c r="A104">
        <v>1</v>
      </c>
      <c r="B104" t="s">
        <v>260</v>
      </c>
      <c r="C104" t="s">
        <v>121</v>
      </c>
      <c r="D104">
        <v>146169.37580000001</v>
      </c>
      <c r="G104">
        <v>0</v>
      </c>
      <c r="I104">
        <v>7990</v>
      </c>
      <c r="J104" t="s">
        <v>84</v>
      </c>
      <c r="L104" t="s">
        <v>84</v>
      </c>
      <c r="N104" t="s">
        <v>84</v>
      </c>
      <c r="S104">
        <v>0</v>
      </c>
      <c r="T104" t="s">
        <v>84</v>
      </c>
      <c r="U104">
        <v>14220</v>
      </c>
      <c r="W104" t="s">
        <v>84</v>
      </c>
      <c r="X104" t="s">
        <v>84</v>
      </c>
      <c r="Y104" t="s">
        <v>84</v>
      </c>
      <c r="AA104" t="s">
        <v>84</v>
      </c>
      <c r="AB104">
        <v>0</v>
      </c>
      <c r="AD104">
        <v>14377</v>
      </c>
      <c r="AG104">
        <v>1356</v>
      </c>
      <c r="AH104" t="s">
        <v>84</v>
      </c>
      <c r="AI104">
        <v>13494</v>
      </c>
      <c r="AJ104">
        <v>42222</v>
      </c>
      <c r="AK104" t="s">
        <v>84</v>
      </c>
      <c r="AL104" t="s">
        <v>84</v>
      </c>
      <c r="AM104">
        <v>10946</v>
      </c>
      <c r="AN104" t="s">
        <v>84</v>
      </c>
      <c r="AP104">
        <v>2208</v>
      </c>
      <c r="AR104">
        <v>0</v>
      </c>
      <c r="AS104">
        <v>0</v>
      </c>
      <c r="AT104" t="s">
        <v>84</v>
      </c>
      <c r="AU104" t="s">
        <v>84</v>
      </c>
      <c r="AV104">
        <v>149975.39453333334</v>
      </c>
    </row>
    <row r="105" spans="1:48" x14ac:dyDescent="0.25">
      <c r="A105">
        <v>0</v>
      </c>
      <c r="B105" t="s">
        <v>260</v>
      </c>
      <c r="C105" t="s">
        <v>121</v>
      </c>
      <c r="D105">
        <v>152418.70199999999</v>
      </c>
      <c r="J105" t="s">
        <v>84</v>
      </c>
      <c r="L105" t="s">
        <v>84</v>
      </c>
      <c r="N105" t="s">
        <v>84</v>
      </c>
      <c r="T105" t="s">
        <v>84</v>
      </c>
      <c r="W105" t="s">
        <v>84</v>
      </c>
      <c r="X105" t="s">
        <v>84</v>
      </c>
      <c r="Y105" t="s">
        <v>84</v>
      </c>
      <c r="AA105" t="s">
        <v>84</v>
      </c>
      <c r="AH105" t="s">
        <v>84</v>
      </c>
      <c r="AK105" t="s">
        <v>84</v>
      </c>
      <c r="AL105" t="s">
        <v>84</v>
      </c>
      <c r="AN105" t="s">
        <v>84</v>
      </c>
      <c r="AT105" t="s">
        <v>84</v>
      </c>
      <c r="AU105" t="s">
        <v>84</v>
      </c>
      <c r="AV105">
        <v>149975.39453333334</v>
      </c>
    </row>
    <row r="106" spans="1:48" x14ac:dyDescent="0.25">
      <c r="A106">
        <v>0</v>
      </c>
      <c r="B106" t="s">
        <v>260</v>
      </c>
      <c r="C106" t="s">
        <v>80</v>
      </c>
      <c r="D106">
        <v>836827.74</v>
      </c>
      <c r="J106" t="s">
        <v>84</v>
      </c>
      <c r="L106" t="s">
        <v>84</v>
      </c>
      <c r="N106" t="s">
        <v>84</v>
      </c>
      <c r="T106" t="s">
        <v>84</v>
      </c>
      <c r="W106" t="s">
        <v>84</v>
      </c>
      <c r="X106" t="s">
        <v>84</v>
      </c>
      <c r="Y106" t="s">
        <v>84</v>
      </c>
      <c r="AA106" t="s">
        <v>84</v>
      </c>
      <c r="AH106" t="s">
        <v>84</v>
      </c>
      <c r="AK106" t="s">
        <v>84</v>
      </c>
      <c r="AL106" t="s">
        <v>84</v>
      </c>
      <c r="AN106" t="s">
        <v>84</v>
      </c>
      <c r="AT106" t="s">
        <v>84</v>
      </c>
      <c r="AU106" t="s">
        <v>84</v>
      </c>
      <c r="AV106">
        <v>689735.13113333331</v>
      </c>
    </row>
    <row r="107" spans="1:48" x14ac:dyDescent="0.25">
      <c r="A107">
        <v>1</v>
      </c>
      <c r="B107" t="s">
        <v>260</v>
      </c>
      <c r="C107" t="s">
        <v>80</v>
      </c>
      <c r="D107">
        <v>557667.92339999997</v>
      </c>
      <c r="F107">
        <v>14300</v>
      </c>
      <c r="G107">
        <v>87700</v>
      </c>
      <c r="J107" t="s">
        <v>84</v>
      </c>
      <c r="L107" t="s">
        <v>84</v>
      </c>
      <c r="M107">
        <v>0</v>
      </c>
      <c r="N107" t="s">
        <v>84</v>
      </c>
      <c r="O107">
        <v>0</v>
      </c>
      <c r="Q107">
        <v>0</v>
      </c>
      <c r="S107">
        <v>56600</v>
      </c>
      <c r="T107" t="s">
        <v>84</v>
      </c>
      <c r="U107">
        <v>4200</v>
      </c>
      <c r="W107" t="s">
        <v>84</v>
      </c>
      <c r="X107" t="s">
        <v>84</v>
      </c>
      <c r="Y107" t="s">
        <v>84</v>
      </c>
      <c r="Z107">
        <v>29923</v>
      </c>
      <c r="AA107" t="s">
        <v>84</v>
      </c>
      <c r="AB107">
        <v>2000</v>
      </c>
      <c r="AD107">
        <v>7000</v>
      </c>
      <c r="AE107">
        <v>87837.75</v>
      </c>
      <c r="AH107" t="s">
        <v>84</v>
      </c>
      <c r="AI107">
        <v>12500</v>
      </c>
      <c r="AJ107">
        <v>127252.84</v>
      </c>
      <c r="AK107" t="s">
        <v>84</v>
      </c>
      <c r="AL107" t="s">
        <v>84</v>
      </c>
      <c r="AN107" t="s">
        <v>84</v>
      </c>
      <c r="AQ107">
        <v>13280</v>
      </c>
      <c r="AR107">
        <v>0</v>
      </c>
      <c r="AS107">
        <v>0</v>
      </c>
      <c r="AT107" t="s">
        <v>84</v>
      </c>
      <c r="AU107" t="s">
        <v>84</v>
      </c>
      <c r="AV107">
        <v>689735.13113333331</v>
      </c>
    </row>
    <row r="108" spans="1:48" x14ac:dyDescent="0.25">
      <c r="A108">
        <v>0</v>
      </c>
      <c r="B108" t="s">
        <v>260</v>
      </c>
      <c r="C108" t="s">
        <v>80</v>
      </c>
      <c r="D108">
        <v>674709.73</v>
      </c>
      <c r="J108" t="s">
        <v>84</v>
      </c>
      <c r="L108" t="s">
        <v>84</v>
      </c>
      <c r="N108" t="s">
        <v>84</v>
      </c>
      <c r="T108" t="s">
        <v>84</v>
      </c>
      <c r="W108" t="s">
        <v>84</v>
      </c>
      <c r="X108" t="s">
        <v>84</v>
      </c>
      <c r="Y108" t="s">
        <v>84</v>
      </c>
      <c r="AA108" t="s">
        <v>84</v>
      </c>
      <c r="AH108" t="s">
        <v>84</v>
      </c>
      <c r="AK108" t="s">
        <v>84</v>
      </c>
      <c r="AL108" t="s">
        <v>84</v>
      </c>
      <c r="AN108" t="s">
        <v>84</v>
      </c>
      <c r="AT108" t="s">
        <v>84</v>
      </c>
      <c r="AU108" t="s">
        <v>84</v>
      </c>
      <c r="AV108">
        <v>689735.13113333331</v>
      </c>
    </row>
    <row r="109" spans="1:48" x14ac:dyDescent="0.25">
      <c r="A109">
        <v>0</v>
      </c>
      <c r="B109" t="s">
        <v>260</v>
      </c>
      <c r="C109" t="s">
        <v>106</v>
      </c>
      <c r="D109">
        <v>5136.13</v>
      </c>
      <c r="J109" t="s">
        <v>84</v>
      </c>
      <c r="L109" t="s">
        <v>84</v>
      </c>
      <c r="N109" t="s">
        <v>84</v>
      </c>
      <c r="T109" t="s">
        <v>84</v>
      </c>
      <c r="W109" t="s">
        <v>84</v>
      </c>
      <c r="X109" t="s">
        <v>84</v>
      </c>
      <c r="Y109" t="s">
        <v>84</v>
      </c>
      <c r="AA109" t="s">
        <v>84</v>
      </c>
      <c r="AH109" t="s">
        <v>84</v>
      </c>
      <c r="AK109" t="s">
        <v>84</v>
      </c>
      <c r="AL109" t="s">
        <v>84</v>
      </c>
      <c r="AN109" t="s">
        <v>84</v>
      </c>
      <c r="AT109" t="s">
        <v>84</v>
      </c>
      <c r="AU109" t="s">
        <v>84</v>
      </c>
      <c r="AV109">
        <v>5600.9025000000001</v>
      </c>
    </row>
    <row r="110" spans="1:48" x14ac:dyDescent="0.25">
      <c r="A110">
        <v>1</v>
      </c>
      <c r="B110" t="s">
        <v>260</v>
      </c>
      <c r="C110" t="s">
        <v>106</v>
      </c>
      <c r="D110">
        <v>2638.9625000000001</v>
      </c>
      <c r="J110" t="s">
        <v>84</v>
      </c>
      <c r="K110">
        <v>500</v>
      </c>
      <c r="L110" t="s">
        <v>84</v>
      </c>
      <c r="N110" t="s">
        <v>84</v>
      </c>
      <c r="T110" t="s">
        <v>84</v>
      </c>
      <c r="W110" t="s">
        <v>84</v>
      </c>
      <c r="X110" t="s">
        <v>84</v>
      </c>
      <c r="Y110" t="s">
        <v>84</v>
      </c>
      <c r="AA110" t="s">
        <v>84</v>
      </c>
      <c r="AF110">
        <v>1175</v>
      </c>
      <c r="AH110" t="s">
        <v>84</v>
      </c>
      <c r="AK110" t="s">
        <v>84</v>
      </c>
      <c r="AL110" t="s">
        <v>84</v>
      </c>
      <c r="AN110" t="s">
        <v>84</v>
      </c>
      <c r="AT110" t="s">
        <v>84</v>
      </c>
      <c r="AU110" t="s">
        <v>84</v>
      </c>
      <c r="AV110">
        <v>5600.9025000000001</v>
      </c>
    </row>
    <row r="111" spans="1:48" x14ac:dyDescent="0.25">
      <c r="A111">
        <v>0</v>
      </c>
      <c r="B111" t="s">
        <v>260</v>
      </c>
      <c r="C111" t="s">
        <v>106</v>
      </c>
      <c r="D111">
        <v>9027.6149999999998</v>
      </c>
      <c r="J111" t="s">
        <v>84</v>
      </c>
      <c r="L111" t="s">
        <v>84</v>
      </c>
      <c r="N111" t="s">
        <v>84</v>
      </c>
      <c r="T111" t="s">
        <v>84</v>
      </c>
      <c r="W111" t="s">
        <v>84</v>
      </c>
      <c r="X111" t="s">
        <v>84</v>
      </c>
      <c r="Y111" t="s">
        <v>84</v>
      </c>
      <c r="AA111" t="s">
        <v>84</v>
      </c>
      <c r="AH111" t="s">
        <v>84</v>
      </c>
      <c r="AK111" t="s">
        <v>84</v>
      </c>
      <c r="AL111" t="s">
        <v>84</v>
      </c>
      <c r="AN111" t="s">
        <v>84</v>
      </c>
      <c r="AT111" t="s">
        <v>84</v>
      </c>
      <c r="AU111" t="s">
        <v>84</v>
      </c>
      <c r="AV111">
        <v>5600.9025000000001</v>
      </c>
    </row>
    <row r="112" spans="1:48" x14ac:dyDescent="0.25">
      <c r="A112">
        <v>0</v>
      </c>
      <c r="B112" t="s">
        <v>260</v>
      </c>
      <c r="C112" t="s">
        <v>110</v>
      </c>
      <c r="D112">
        <v>7182</v>
      </c>
      <c r="J112" t="s">
        <v>84</v>
      </c>
      <c r="L112" t="s">
        <v>84</v>
      </c>
      <c r="N112" t="s">
        <v>84</v>
      </c>
      <c r="T112" t="s">
        <v>84</v>
      </c>
      <c r="W112" t="s">
        <v>84</v>
      </c>
      <c r="X112" t="s">
        <v>84</v>
      </c>
      <c r="Y112" t="s">
        <v>84</v>
      </c>
      <c r="AA112" t="s">
        <v>84</v>
      </c>
      <c r="AH112" t="s">
        <v>84</v>
      </c>
      <c r="AK112" t="s">
        <v>84</v>
      </c>
      <c r="AL112" t="s">
        <v>84</v>
      </c>
      <c r="AN112" t="s">
        <v>84</v>
      </c>
      <c r="AT112" t="s">
        <v>84</v>
      </c>
      <c r="AU112" t="s">
        <v>84</v>
      </c>
      <c r="AV112">
        <v>5023.3333333333339</v>
      </c>
    </row>
    <row r="113" spans="1:48" x14ac:dyDescent="0.25">
      <c r="A113">
        <v>1</v>
      </c>
      <c r="B113" t="s">
        <v>260</v>
      </c>
      <c r="C113" t="s">
        <v>110</v>
      </c>
      <c r="D113">
        <v>6400</v>
      </c>
      <c r="F113">
        <v>0</v>
      </c>
      <c r="G113">
        <v>0</v>
      </c>
      <c r="J113" t="s">
        <v>84</v>
      </c>
      <c r="L113" t="s">
        <v>84</v>
      </c>
      <c r="M113">
        <v>0</v>
      </c>
      <c r="N113" t="s">
        <v>84</v>
      </c>
      <c r="O113">
        <v>0</v>
      </c>
      <c r="Q113">
        <v>0</v>
      </c>
      <c r="S113">
        <v>0</v>
      </c>
      <c r="T113" t="s">
        <v>84</v>
      </c>
      <c r="U113">
        <v>0</v>
      </c>
      <c r="W113" t="s">
        <v>84</v>
      </c>
      <c r="X113" t="s">
        <v>84</v>
      </c>
      <c r="Y113" t="s">
        <v>84</v>
      </c>
      <c r="Z113">
        <v>0</v>
      </c>
      <c r="AA113" t="s">
        <v>84</v>
      </c>
      <c r="AB113">
        <v>5000</v>
      </c>
      <c r="AD113">
        <v>0</v>
      </c>
      <c r="AE113">
        <v>0</v>
      </c>
      <c r="AH113" t="s">
        <v>84</v>
      </c>
      <c r="AI113">
        <v>0</v>
      </c>
      <c r="AJ113">
        <v>0</v>
      </c>
      <c r="AK113" t="s">
        <v>84</v>
      </c>
      <c r="AL113" t="s">
        <v>84</v>
      </c>
      <c r="AN113" t="s">
        <v>84</v>
      </c>
      <c r="AQ113">
        <v>0</v>
      </c>
      <c r="AR113">
        <v>0</v>
      </c>
      <c r="AS113">
        <v>0</v>
      </c>
      <c r="AT113" t="s">
        <v>84</v>
      </c>
      <c r="AU113" t="s">
        <v>84</v>
      </c>
      <c r="AV113">
        <v>5023.3333333333339</v>
      </c>
    </row>
    <row r="114" spans="1:48" x14ac:dyDescent="0.25">
      <c r="A114">
        <v>0</v>
      </c>
      <c r="B114" t="s">
        <v>260</v>
      </c>
      <c r="C114" t="s">
        <v>110</v>
      </c>
      <c r="D114">
        <v>1488</v>
      </c>
      <c r="J114" t="s">
        <v>84</v>
      </c>
      <c r="L114" t="s">
        <v>84</v>
      </c>
      <c r="N114" t="s">
        <v>84</v>
      </c>
      <c r="T114" t="s">
        <v>84</v>
      </c>
      <c r="W114" t="s">
        <v>84</v>
      </c>
      <c r="X114" t="s">
        <v>84</v>
      </c>
      <c r="Y114" t="s">
        <v>84</v>
      </c>
      <c r="AA114" t="s">
        <v>84</v>
      </c>
      <c r="AH114" t="s">
        <v>84</v>
      </c>
      <c r="AK114" t="s">
        <v>84</v>
      </c>
      <c r="AL114" t="s">
        <v>84</v>
      </c>
      <c r="AN114" t="s">
        <v>84</v>
      </c>
      <c r="AT114" t="s">
        <v>84</v>
      </c>
      <c r="AU114" t="s">
        <v>84</v>
      </c>
      <c r="AV114">
        <v>5023.3333333333339</v>
      </c>
    </row>
    <row r="115" spans="1:48" x14ac:dyDescent="0.25">
      <c r="A115">
        <v>0</v>
      </c>
      <c r="B115" t="s">
        <v>260</v>
      </c>
      <c r="C115" t="s">
        <v>87</v>
      </c>
      <c r="D115">
        <v>123512.0833</v>
      </c>
      <c r="J115" t="s">
        <v>84</v>
      </c>
      <c r="L115" t="s">
        <v>84</v>
      </c>
      <c r="N115" t="s">
        <v>84</v>
      </c>
      <c r="T115" t="s">
        <v>84</v>
      </c>
      <c r="W115" t="s">
        <v>84</v>
      </c>
      <c r="X115" t="s">
        <v>84</v>
      </c>
      <c r="Y115" t="s">
        <v>84</v>
      </c>
      <c r="AA115" t="s">
        <v>84</v>
      </c>
      <c r="AH115" t="s">
        <v>84</v>
      </c>
      <c r="AK115" t="s">
        <v>84</v>
      </c>
      <c r="AL115" t="s">
        <v>84</v>
      </c>
      <c r="AN115" t="s">
        <v>84</v>
      </c>
      <c r="AT115" t="s">
        <v>84</v>
      </c>
      <c r="AU115" t="s">
        <v>84</v>
      </c>
      <c r="AV115">
        <v>123349.4111</v>
      </c>
    </row>
    <row r="116" spans="1:48" x14ac:dyDescent="0.25">
      <c r="A116">
        <v>1</v>
      </c>
      <c r="B116" t="s">
        <v>260</v>
      </c>
      <c r="C116" t="s">
        <v>87</v>
      </c>
      <c r="D116">
        <v>123923.3333</v>
      </c>
      <c r="J116" t="s">
        <v>84</v>
      </c>
      <c r="L116" t="s">
        <v>84</v>
      </c>
      <c r="N116" t="s">
        <v>84</v>
      </c>
      <c r="O116">
        <v>33650</v>
      </c>
      <c r="P116">
        <v>28600</v>
      </c>
      <c r="Q116">
        <v>13350</v>
      </c>
      <c r="R116">
        <v>14800</v>
      </c>
      <c r="T116" t="s">
        <v>84</v>
      </c>
      <c r="W116" t="s">
        <v>84</v>
      </c>
      <c r="X116" t="s">
        <v>84</v>
      </c>
      <c r="Y116" t="s">
        <v>84</v>
      </c>
      <c r="AA116" t="s">
        <v>84</v>
      </c>
      <c r="AH116" t="s">
        <v>84</v>
      </c>
      <c r="AK116" t="s">
        <v>84</v>
      </c>
      <c r="AL116" t="s">
        <v>84</v>
      </c>
      <c r="AN116" t="s">
        <v>84</v>
      </c>
      <c r="AT116" t="s">
        <v>84</v>
      </c>
      <c r="AU116" t="s">
        <v>84</v>
      </c>
      <c r="AV116">
        <v>123349.4111</v>
      </c>
    </row>
    <row r="117" spans="1:48" x14ac:dyDescent="0.25">
      <c r="A117">
        <v>0</v>
      </c>
      <c r="B117" t="s">
        <v>260</v>
      </c>
      <c r="C117" t="s">
        <v>87</v>
      </c>
      <c r="D117">
        <v>122612.8167</v>
      </c>
      <c r="J117" t="s">
        <v>84</v>
      </c>
      <c r="L117" t="s">
        <v>84</v>
      </c>
      <c r="N117" t="s">
        <v>84</v>
      </c>
      <c r="T117" t="s">
        <v>84</v>
      </c>
      <c r="W117" t="s">
        <v>84</v>
      </c>
      <c r="X117" t="s">
        <v>84</v>
      </c>
      <c r="Y117" t="s">
        <v>84</v>
      </c>
      <c r="AA117" t="s">
        <v>84</v>
      </c>
      <c r="AH117" t="s">
        <v>84</v>
      </c>
      <c r="AK117" t="s">
        <v>84</v>
      </c>
      <c r="AL117" t="s">
        <v>84</v>
      </c>
      <c r="AN117" t="s">
        <v>84</v>
      </c>
      <c r="AT117" t="s">
        <v>84</v>
      </c>
      <c r="AU117" t="s">
        <v>84</v>
      </c>
      <c r="AV117">
        <v>123349.4111</v>
      </c>
    </row>
    <row r="118" spans="1:48" x14ac:dyDescent="0.25">
      <c r="A118">
        <v>1</v>
      </c>
      <c r="B118" t="s">
        <v>260</v>
      </c>
      <c r="C118" t="s">
        <v>98</v>
      </c>
      <c r="D118">
        <v>41300</v>
      </c>
      <c r="J118" t="s">
        <v>84</v>
      </c>
      <c r="L118" t="s">
        <v>84</v>
      </c>
      <c r="N118" t="s">
        <v>84</v>
      </c>
      <c r="T118" t="s">
        <v>84</v>
      </c>
      <c r="V118">
        <v>41300</v>
      </c>
      <c r="W118" t="s">
        <v>84</v>
      </c>
      <c r="X118" t="s">
        <v>84</v>
      </c>
      <c r="Y118" t="s">
        <v>84</v>
      </c>
      <c r="AA118" t="s">
        <v>84</v>
      </c>
      <c r="AH118" t="s">
        <v>84</v>
      </c>
      <c r="AK118" t="s">
        <v>84</v>
      </c>
      <c r="AL118" t="s">
        <v>84</v>
      </c>
      <c r="AN118" t="s">
        <v>84</v>
      </c>
      <c r="AT118" t="s">
        <v>84</v>
      </c>
      <c r="AU118" t="s">
        <v>84</v>
      </c>
      <c r="AV118">
        <v>38500</v>
      </c>
    </row>
    <row r="119" spans="1:48" x14ac:dyDescent="0.25">
      <c r="A119">
        <v>0</v>
      </c>
      <c r="B119" t="s">
        <v>260</v>
      </c>
      <c r="C119" t="s">
        <v>98</v>
      </c>
      <c r="D119">
        <v>53600</v>
      </c>
      <c r="J119" t="s">
        <v>84</v>
      </c>
      <c r="L119" t="s">
        <v>84</v>
      </c>
      <c r="N119" t="s">
        <v>84</v>
      </c>
      <c r="T119" t="s">
        <v>84</v>
      </c>
      <c r="W119" t="s">
        <v>84</v>
      </c>
      <c r="X119" t="s">
        <v>84</v>
      </c>
      <c r="Y119" t="s">
        <v>84</v>
      </c>
      <c r="AA119" t="s">
        <v>84</v>
      </c>
      <c r="AH119" t="s">
        <v>84</v>
      </c>
      <c r="AK119" t="s">
        <v>84</v>
      </c>
      <c r="AL119" t="s">
        <v>84</v>
      </c>
      <c r="AN119" t="s">
        <v>84</v>
      </c>
      <c r="AT119" t="s">
        <v>84</v>
      </c>
      <c r="AU119" t="s">
        <v>84</v>
      </c>
      <c r="AV119">
        <v>38500</v>
      </c>
    </row>
    <row r="120" spans="1:48" x14ac:dyDescent="0.25">
      <c r="A120">
        <v>0</v>
      </c>
      <c r="B120" t="s">
        <v>260</v>
      </c>
      <c r="C120" t="s">
        <v>98</v>
      </c>
      <c r="D120">
        <v>20600</v>
      </c>
      <c r="J120" t="s">
        <v>84</v>
      </c>
      <c r="L120" t="s">
        <v>84</v>
      </c>
      <c r="N120" t="s">
        <v>84</v>
      </c>
      <c r="T120" t="s">
        <v>84</v>
      </c>
      <c r="W120" t="s">
        <v>84</v>
      </c>
      <c r="X120" t="s">
        <v>84</v>
      </c>
      <c r="Y120" t="s">
        <v>84</v>
      </c>
      <c r="AA120" t="s">
        <v>84</v>
      </c>
      <c r="AH120" t="s">
        <v>84</v>
      </c>
      <c r="AK120" t="s">
        <v>84</v>
      </c>
      <c r="AL120" t="s">
        <v>84</v>
      </c>
      <c r="AN120" t="s">
        <v>84</v>
      </c>
      <c r="AT120" t="s">
        <v>84</v>
      </c>
      <c r="AU120" t="s">
        <v>84</v>
      </c>
      <c r="AV120">
        <v>38500</v>
      </c>
    </row>
    <row r="121" spans="1:48" x14ac:dyDescent="0.25">
      <c r="A121">
        <v>0</v>
      </c>
      <c r="B121" t="s">
        <v>260</v>
      </c>
      <c r="C121" t="s">
        <v>92</v>
      </c>
      <c r="D121">
        <v>21500</v>
      </c>
      <c r="J121" t="s">
        <v>84</v>
      </c>
      <c r="L121" t="s">
        <v>84</v>
      </c>
      <c r="N121" t="s">
        <v>84</v>
      </c>
      <c r="T121" t="s">
        <v>84</v>
      </c>
      <c r="W121" t="s">
        <v>84</v>
      </c>
      <c r="X121" t="s">
        <v>84</v>
      </c>
      <c r="Y121" t="s">
        <v>84</v>
      </c>
      <c r="AA121" t="s">
        <v>84</v>
      </c>
      <c r="AH121" t="s">
        <v>84</v>
      </c>
      <c r="AK121" t="s">
        <v>84</v>
      </c>
      <c r="AL121" t="s">
        <v>84</v>
      </c>
      <c r="AN121" t="s">
        <v>84</v>
      </c>
      <c r="AT121" t="s">
        <v>84</v>
      </c>
      <c r="AU121" t="s">
        <v>84</v>
      </c>
      <c r="AV121">
        <v>31766.666666666664</v>
      </c>
    </row>
    <row r="122" spans="1:48" x14ac:dyDescent="0.25">
      <c r="A122">
        <v>1</v>
      </c>
      <c r="B122" t="s">
        <v>260</v>
      </c>
      <c r="C122" t="s">
        <v>92</v>
      </c>
      <c r="D122">
        <v>40400</v>
      </c>
      <c r="H122">
        <v>40400</v>
      </c>
      <c r="J122" t="s">
        <v>84</v>
      </c>
      <c r="L122" t="s">
        <v>84</v>
      </c>
      <c r="N122" t="s">
        <v>84</v>
      </c>
      <c r="T122" t="s">
        <v>84</v>
      </c>
      <c r="W122" t="s">
        <v>84</v>
      </c>
      <c r="X122" t="s">
        <v>84</v>
      </c>
      <c r="Y122" t="s">
        <v>84</v>
      </c>
      <c r="AA122" t="s">
        <v>84</v>
      </c>
      <c r="AH122" t="s">
        <v>84</v>
      </c>
      <c r="AK122" t="s">
        <v>84</v>
      </c>
      <c r="AL122" t="s">
        <v>84</v>
      </c>
      <c r="AN122" t="s">
        <v>84</v>
      </c>
      <c r="AT122" t="s">
        <v>84</v>
      </c>
      <c r="AU122" t="s">
        <v>84</v>
      </c>
      <c r="AV122">
        <v>31766.666666666664</v>
      </c>
    </row>
    <row r="123" spans="1:48" x14ac:dyDescent="0.25">
      <c r="A123">
        <v>0</v>
      </c>
      <c r="B123" t="s">
        <v>260</v>
      </c>
      <c r="C123" t="s">
        <v>92</v>
      </c>
      <c r="D123">
        <v>33400</v>
      </c>
      <c r="J123" t="s">
        <v>84</v>
      </c>
      <c r="L123" t="s">
        <v>84</v>
      </c>
      <c r="N123" t="s">
        <v>84</v>
      </c>
      <c r="T123" t="s">
        <v>84</v>
      </c>
      <c r="W123" t="s">
        <v>84</v>
      </c>
      <c r="X123" t="s">
        <v>84</v>
      </c>
      <c r="Y123" t="s">
        <v>84</v>
      </c>
      <c r="AA123" t="s">
        <v>84</v>
      </c>
      <c r="AH123" t="s">
        <v>84</v>
      </c>
      <c r="AK123" t="s">
        <v>84</v>
      </c>
      <c r="AL123" t="s">
        <v>84</v>
      </c>
      <c r="AN123" t="s">
        <v>84</v>
      </c>
      <c r="AT123" t="s">
        <v>84</v>
      </c>
      <c r="AU123" t="s">
        <v>84</v>
      </c>
      <c r="AV123">
        <v>31766.666666666664</v>
      </c>
    </row>
    <row r="124" spans="1:48" x14ac:dyDescent="0.25">
      <c r="A124">
        <v>0</v>
      </c>
      <c r="B124" t="s">
        <v>260</v>
      </c>
      <c r="C124" t="s">
        <v>80</v>
      </c>
      <c r="D124">
        <v>804309.03</v>
      </c>
      <c r="J124" t="s">
        <v>84</v>
      </c>
      <c r="L124" t="s">
        <v>84</v>
      </c>
      <c r="N124" t="s">
        <v>84</v>
      </c>
      <c r="T124" t="s">
        <v>84</v>
      </c>
      <c r="W124" t="s">
        <v>84</v>
      </c>
      <c r="X124" t="s">
        <v>84</v>
      </c>
      <c r="Y124" t="s">
        <v>84</v>
      </c>
      <c r="AA124" t="s">
        <v>84</v>
      </c>
      <c r="AH124" t="s">
        <v>84</v>
      </c>
      <c r="AK124" t="s">
        <v>84</v>
      </c>
      <c r="AL124" t="s">
        <v>84</v>
      </c>
      <c r="AN124" t="s">
        <v>84</v>
      </c>
      <c r="AT124" t="s">
        <v>84</v>
      </c>
      <c r="AU124" t="s">
        <v>84</v>
      </c>
      <c r="AV124">
        <v>827429.73420000006</v>
      </c>
    </row>
    <row r="125" spans="1:48" x14ac:dyDescent="0.25">
      <c r="A125">
        <v>1</v>
      </c>
      <c r="B125" t="s">
        <v>260</v>
      </c>
      <c r="C125" t="s">
        <v>80</v>
      </c>
      <c r="D125">
        <v>746158.29760000005</v>
      </c>
      <c r="F125">
        <v>34498.75</v>
      </c>
      <c r="G125">
        <v>55250</v>
      </c>
      <c r="J125" t="s">
        <v>84</v>
      </c>
      <c r="L125" t="s">
        <v>84</v>
      </c>
      <c r="M125">
        <v>5000</v>
      </c>
      <c r="N125" t="s">
        <v>84</v>
      </c>
      <c r="O125">
        <v>0</v>
      </c>
      <c r="Q125">
        <v>0</v>
      </c>
      <c r="S125">
        <v>53650</v>
      </c>
      <c r="T125" t="s">
        <v>84</v>
      </c>
      <c r="U125">
        <v>2800</v>
      </c>
      <c r="W125" t="s">
        <v>84</v>
      </c>
      <c r="X125" t="s">
        <v>84</v>
      </c>
      <c r="Y125" t="s">
        <v>84</v>
      </c>
      <c r="Z125">
        <v>30260</v>
      </c>
      <c r="AA125" t="s">
        <v>84</v>
      </c>
      <c r="AB125">
        <v>3600</v>
      </c>
      <c r="AD125">
        <v>9400</v>
      </c>
      <c r="AE125">
        <v>159588</v>
      </c>
      <c r="AH125" t="s">
        <v>84</v>
      </c>
      <c r="AI125">
        <v>40000</v>
      </c>
      <c r="AJ125">
        <v>161009.42000000001</v>
      </c>
      <c r="AK125" t="s">
        <v>84</v>
      </c>
      <c r="AL125" t="s">
        <v>84</v>
      </c>
      <c r="AN125" t="s">
        <v>84</v>
      </c>
      <c r="AQ125">
        <v>27880</v>
      </c>
      <c r="AR125">
        <v>0</v>
      </c>
      <c r="AS125">
        <v>0</v>
      </c>
      <c r="AT125" t="s">
        <v>84</v>
      </c>
      <c r="AU125" t="s">
        <v>84</v>
      </c>
      <c r="AV125">
        <v>827429.73420000006</v>
      </c>
    </row>
    <row r="126" spans="1:48" x14ac:dyDescent="0.25">
      <c r="A126">
        <v>0</v>
      </c>
      <c r="B126" t="s">
        <v>260</v>
      </c>
      <c r="C126" t="s">
        <v>80</v>
      </c>
      <c r="D126">
        <v>931821.875</v>
      </c>
      <c r="J126" t="s">
        <v>84</v>
      </c>
      <c r="L126" t="s">
        <v>84</v>
      </c>
      <c r="N126" t="s">
        <v>84</v>
      </c>
      <c r="T126" t="s">
        <v>84</v>
      </c>
      <c r="W126" t="s">
        <v>84</v>
      </c>
      <c r="X126" t="s">
        <v>84</v>
      </c>
      <c r="Y126" t="s">
        <v>84</v>
      </c>
      <c r="AA126" t="s">
        <v>84</v>
      </c>
      <c r="AH126" t="s">
        <v>84</v>
      </c>
      <c r="AK126" t="s">
        <v>84</v>
      </c>
      <c r="AL126" t="s">
        <v>84</v>
      </c>
      <c r="AN126" t="s">
        <v>84</v>
      </c>
      <c r="AT126" t="s">
        <v>84</v>
      </c>
      <c r="AU126" t="s">
        <v>84</v>
      </c>
      <c r="AV126">
        <v>827429.73420000006</v>
      </c>
    </row>
    <row r="127" spans="1:48" x14ac:dyDescent="0.25">
      <c r="A127">
        <v>0</v>
      </c>
      <c r="B127" t="s">
        <v>260</v>
      </c>
      <c r="C127" t="s">
        <v>106</v>
      </c>
      <c r="D127">
        <v>11871.3925</v>
      </c>
      <c r="J127" t="s">
        <v>84</v>
      </c>
      <c r="L127" t="s">
        <v>84</v>
      </c>
      <c r="N127" t="s">
        <v>84</v>
      </c>
      <c r="T127" t="s">
        <v>84</v>
      </c>
      <c r="W127" t="s">
        <v>84</v>
      </c>
      <c r="X127" t="s">
        <v>84</v>
      </c>
      <c r="Y127" t="s">
        <v>84</v>
      </c>
      <c r="AA127" t="s">
        <v>84</v>
      </c>
      <c r="AH127" t="s">
        <v>84</v>
      </c>
      <c r="AK127" t="s">
        <v>84</v>
      </c>
      <c r="AL127" t="s">
        <v>84</v>
      </c>
      <c r="AN127" t="s">
        <v>84</v>
      </c>
      <c r="AT127" t="s">
        <v>84</v>
      </c>
      <c r="AU127" t="s">
        <v>84</v>
      </c>
      <c r="AV127">
        <v>7782.9699999999993</v>
      </c>
    </row>
    <row r="128" spans="1:48" x14ac:dyDescent="0.25">
      <c r="A128">
        <v>1</v>
      </c>
      <c r="B128" t="s">
        <v>260</v>
      </c>
      <c r="C128" t="s">
        <v>106</v>
      </c>
      <c r="D128">
        <v>5537.8824999999997</v>
      </c>
      <c r="J128" t="s">
        <v>84</v>
      </c>
      <c r="K128">
        <v>2500</v>
      </c>
      <c r="L128" t="s">
        <v>84</v>
      </c>
      <c r="N128" t="s">
        <v>84</v>
      </c>
      <c r="T128" t="s">
        <v>84</v>
      </c>
      <c r="W128" t="s">
        <v>84</v>
      </c>
      <c r="X128" t="s">
        <v>84</v>
      </c>
      <c r="Y128" t="s">
        <v>84</v>
      </c>
      <c r="AA128" t="s">
        <v>84</v>
      </c>
      <c r="AF128">
        <v>1015</v>
      </c>
      <c r="AH128" t="s">
        <v>84</v>
      </c>
      <c r="AK128" t="s">
        <v>84</v>
      </c>
      <c r="AL128" t="s">
        <v>84</v>
      </c>
      <c r="AN128" t="s">
        <v>84</v>
      </c>
      <c r="AT128" t="s">
        <v>84</v>
      </c>
      <c r="AU128" t="s">
        <v>84</v>
      </c>
      <c r="AV128">
        <v>7782.9699999999993</v>
      </c>
    </row>
    <row r="129" spans="1:48" x14ac:dyDescent="0.25">
      <c r="A129">
        <v>0</v>
      </c>
      <c r="B129" t="s">
        <v>260</v>
      </c>
      <c r="C129" t="s">
        <v>106</v>
      </c>
      <c r="D129">
        <v>5939.6350000000002</v>
      </c>
      <c r="J129" t="s">
        <v>84</v>
      </c>
      <c r="L129" t="s">
        <v>84</v>
      </c>
      <c r="N129" t="s">
        <v>84</v>
      </c>
      <c r="T129" t="s">
        <v>84</v>
      </c>
      <c r="W129" t="s">
        <v>84</v>
      </c>
      <c r="X129" t="s">
        <v>84</v>
      </c>
      <c r="Y129" t="s">
        <v>84</v>
      </c>
      <c r="AA129" t="s">
        <v>84</v>
      </c>
      <c r="AH129" t="s">
        <v>84</v>
      </c>
      <c r="AK129" t="s">
        <v>84</v>
      </c>
      <c r="AL129" t="s">
        <v>84</v>
      </c>
      <c r="AN129" t="s">
        <v>84</v>
      </c>
      <c r="AT129" t="s">
        <v>84</v>
      </c>
      <c r="AU129" t="s">
        <v>84</v>
      </c>
      <c r="AV129">
        <v>7782.9699999999993</v>
      </c>
    </row>
    <row r="130" spans="1:48" x14ac:dyDescent="0.25">
      <c r="A130">
        <v>0</v>
      </c>
      <c r="B130" t="s">
        <v>260</v>
      </c>
      <c r="C130" t="s">
        <v>110</v>
      </c>
      <c r="D130">
        <v>6750</v>
      </c>
      <c r="J130" t="s">
        <v>84</v>
      </c>
      <c r="L130" t="s">
        <v>84</v>
      </c>
      <c r="N130" t="s">
        <v>84</v>
      </c>
      <c r="T130" t="s">
        <v>84</v>
      </c>
      <c r="W130" t="s">
        <v>84</v>
      </c>
      <c r="X130" t="s">
        <v>84</v>
      </c>
      <c r="Y130" t="s">
        <v>84</v>
      </c>
      <c r="AA130" t="s">
        <v>84</v>
      </c>
      <c r="AH130" t="s">
        <v>84</v>
      </c>
      <c r="AK130" t="s">
        <v>84</v>
      </c>
      <c r="AL130" t="s">
        <v>84</v>
      </c>
      <c r="AN130" t="s">
        <v>84</v>
      </c>
      <c r="AT130" t="s">
        <v>84</v>
      </c>
      <c r="AU130" t="s">
        <v>84</v>
      </c>
      <c r="AV130">
        <v>11750</v>
      </c>
    </row>
    <row r="131" spans="1:48" x14ac:dyDescent="0.25">
      <c r="A131">
        <v>1</v>
      </c>
      <c r="B131" t="s">
        <v>260</v>
      </c>
      <c r="C131" t="s">
        <v>110</v>
      </c>
      <c r="D131">
        <v>11214</v>
      </c>
      <c r="F131">
        <v>0</v>
      </c>
      <c r="G131">
        <v>0</v>
      </c>
      <c r="J131" t="s">
        <v>84</v>
      </c>
      <c r="L131" t="s">
        <v>84</v>
      </c>
      <c r="M131">
        <v>0</v>
      </c>
      <c r="N131" t="s">
        <v>84</v>
      </c>
      <c r="O131">
        <v>0</v>
      </c>
      <c r="Q131">
        <v>0</v>
      </c>
      <c r="S131">
        <v>0</v>
      </c>
      <c r="T131" t="s">
        <v>84</v>
      </c>
      <c r="U131">
        <v>0</v>
      </c>
      <c r="W131" t="s">
        <v>84</v>
      </c>
      <c r="X131" t="s">
        <v>84</v>
      </c>
      <c r="Y131" t="s">
        <v>84</v>
      </c>
      <c r="Z131">
        <v>0</v>
      </c>
      <c r="AA131" t="s">
        <v>84</v>
      </c>
      <c r="AB131">
        <v>8900</v>
      </c>
      <c r="AD131">
        <v>0</v>
      </c>
      <c r="AE131">
        <v>0</v>
      </c>
      <c r="AH131" t="s">
        <v>84</v>
      </c>
      <c r="AI131">
        <v>0</v>
      </c>
      <c r="AJ131">
        <v>0</v>
      </c>
      <c r="AK131" t="s">
        <v>84</v>
      </c>
      <c r="AL131" t="s">
        <v>84</v>
      </c>
      <c r="AN131" t="s">
        <v>84</v>
      </c>
      <c r="AQ131">
        <v>0</v>
      </c>
      <c r="AR131">
        <v>0</v>
      </c>
      <c r="AS131">
        <v>0</v>
      </c>
      <c r="AT131" t="s">
        <v>84</v>
      </c>
      <c r="AU131" t="s">
        <v>84</v>
      </c>
      <c r="AV131">
        <v>11750</v>
      </c>
    </row>
    <row r="132" spans="1:48" x14ac:dyDescent="0.25">
      <c r="A132">
        <v>0</v>
      </c>
      <c r="B132" t="s">
        <v>260</v>
      </c>
      <c r="C132" t="s">
        <v>110</v>
      </c>
      <c r="D132">
        <v>17286</v>
      </c>
      <c r="J132" t="s">
        <v>84</v>
      </c>
      <c r="L132" t="s">
        <v>84</v>
      </c>
      <c r="N132" t="s">
        <v>84</v>
      </c>
      <c r="T132" t="s">
        <v>84</v>
      </c>
      <c r="W132" t="s">
        <v>84</v>
      </c>
      <c r="X132" t="s">
        <v>84</v>
      </c>
      <c r="Y132" t="s">
        <v>84</v>
      </c>
      <c r="AA132" t="s">
        <v>84</v>
      </c>
      <c r="AH132" t="s">
        <v>84</v>
      </c>
      <c r="AK132" t="s">
        <v>84</v>
      </c>
      <c r="AL132" t="s">
        <v>84</v>
      </c>
      <c r="AN132" t="s">
        <v>84</v>
      </c>
      <c r="AT132" t="s">
        <v>84</v>
      </c>
      <c r="AU132" t="s">
        <v>84</v>
      </c>
      <c r="AV132">
        <v>11750</v>
      </c>
    </row>
    <row r="133" spans="1:48" x14ac:dyDescent="0.25">
      <c r="A133">
        <v>0</v>
      </c>
      <c r="B133" t="s">
        <v>260</v>
      </c>
      <c r="C133" t="s">
        <v>87</v>
      </c>
      <c r="D133">
        <v>119193.9583</v>
      </c>
      <c r="J133" t="s">
        <v>84</v>
      </c>
      <c r="L133" t="s">
        <v>84</v>
      </c>
      <c r="N133" t="s">
        <v>84</v>
      </c>
      <c r="T133" t="s">
        <v>84</v>
      </c>
      <c r="W133" t="s">
        <v>84</v>
      </c>
      <c r="X133" t="s">
        <v>84</v>
      </c>
      <c r="Y133" t="s">
        <v>84</v>
      </c>
      <c r="AA133" t="s">
        <v>84</v>
      </c>
      <c r="AH133" t="s">
        <v>84</v>
      </c>
      <c r="AK133" t="s">
        <v>84</v>
      </c>
      <c r="AL133" t="s">
        <v>84</v>
      </c>
      <c r="AN133" t="s">
        <v>84</v>
      </c>
      <c r="AT133" t="s">
        <v>84</v>
      </c>
      <c r="AU133" t="s">
        <v>84</v>
      </c>
      <c r="AV133">
        <v>114895.93886666666</v>
      </c>
    </row>
    <row r="134" spans="1:48" x14ac:dyDescent="0.25">
      <c r="A134">
        <v>1</v>
      </c>
      <c r="B134" t="s">
        <v>260</v>
      </c>
      <c r="C134" t="s">
        <v>87</v>
      </c>
      <c r="D134">
        <v>130914.5833</v>
      </c>
      <c r="J134" t="s">
        <v>84</v>
      </c>
      <c r="L134" t="s">
        <v>84</v>
      </c>
      <c r="N134" t="s">
        <v>84</v>
      </c>
      <c r="O134">
        <v>16850</v>
      </c>
      <c r="P134">
        <v>22000</v>
      </c>
      <c r="Q134">
        <v>42100</v>
      </c>
      <c r="R134">
        <v>14550</v>
      </c>
      <c r="T134" t="s">
        <v>84</v>
      </c>
      <c r="W134" t="s">
        <v>84</v>
      </c>
      <c r="X134" t="s">
        <v>84</v>
      </c>
      <c r="Y134" t="s">
        <v>84</v>
      </c>
      <c r="AA134" t="s">
        <v>84</v>
      </c>
      <c r="AH134" t="s">
        <v>84</v>
      </c>
      <c r="AK134" t="s">
        <v>84</v>
      </c>
      <c r="AL134" t="s">
        <v>84</v>
      </c>
      <c r="AN134" t="s">
        <v>84</v>
      </c>
      <c r="AT134" t="s">
        <v>84</v>
      </c>
      <c r="AU134" t="s">
        <v>84</v>
      </c>
      <c r="AV134">
        <v>114895.93886666666</v>
      </c>
    </row>
    <row r="135" spans="1:48" x14ac:dyDescent="0.25">
      <c r="A135">
        <v>0</v>
      </c>
      <c r="B135" t="s">
        <v>260</v>
      </c>
      <c r="C135" t="s">
        <v>87</v>
      </c>
      <c r="D135">
        <v>94579.274999999994</v>
      </c>
      <c r="J135" t="s">
        <v>84</v>
      </c>
      <c r="L135" t="s">
        <v>84</v>
      </c>
      <c r="N135" t="s">
        <v>84</v>
      </c>
      <c r="T135" t="s">
        <v>84</v>
      </c>
      <c r="W135" t="s">
        <v>84</v>
      </c>
      <c r="X135" t="s">
        <v>84</v>
      </c>
      <c r="Y135" t="s">
        <v>84</v>
      </c>
      <c r="AA135" t="s">
        <v>84</v>
      </c>
      <c r="AH135" t="s">
        <v>84</v>
      </c>
      <c r="AK135" t="s">
        <v>84</v>
      </c>
      <c r="AL135" t="s">
        <v>84</v>
      </c>
      <c r="AN135" t="s">
        <v>84</v>
      </c>
      <c r="AT135" t="s">
        <v>84</v>
      </c>
      <c r="AU135" t="s">
        <v>84</v>
      </c>
      <c r="AV135">
        <v>114895.93886666666</v>
      </c>
    </row>
    <row r="136" spans="1:48" x14ac:dyDescent="0.25">
      <c r="A136">
        <v>0</v>
      </c>
      <c r="B136" t="s">
        <v>260</v>
      </c>
      <c r="C136" t="s">
        <v>98</v>
      </c>
      <c r="D136">
        <v>29850</v>
      </c>
      <c r="J136" t="s">
        <v>84</v>
      </c>
      <c r="L136" t="s">
        <v>84</v>
      </c>
      <c r="N136" t="s">
        <v>84</v>
      </c>
      <c r="T136" t="s">
        <v>84</v>
      </c>
      <c r="W136" t="s">
        <v>84</v>
      </c>
      <c r="X136" t="s">
        <v>84</v>
      </c>
      <c r="Y136" t="s">
        <v>84</v>
      </c>
      <c r="AA136" t="s">
        <v>84</v>
      </c>
      <c r="AH136" t="s">
        <v>84</v>
      </c>
      <c r="AK136" t="s">
        <v>84</v>
      </c>
      <c r="AL136" t="s">
        <v>84</v>
      </c>
      <c r="AN136" t="s">
        <v>84</v>
      </c>
      <c r="AT136" t="s">
        <v>84</v>
      </c>
      <c r="AU136" t="s">
        <v>84</v>
      </c>
      <c r="AV136">
        <v>36283.333333333336</v>
      </c>
    </row>
    <row r="137" spans="1:48" x14ac:dyDescent="0.25">
      <c r="A137">
        <v>1</v>
      </c>
      <c r="B137" t="s">
        <v>260</v>
      </c>
      <c r="C137" t="s">
        <v>98</v>
      </c>
      <c r="D137">
        <v>62100</v>
      </c>
      <c r="J137" t="s">
        <v>84</v>
      </c>
      <c r="L137" t="s">
        <v>84</v>
      </c>
      <c r="N137" t="s">
        <v>84</v>
      </c>
      <c r="T137" t="s">
        <v>84</v>
      </c>
      <c r="V137">
        <v>62100</v>
      </c>
      <c r="W137" t="s">
        <v>84</v>
      </c>
      <c r="X137" t="s">
        <v>84</v>
      </c>
      <c r="Y137" t="s">
        <v>84</v>
      </c>
      <c r="AA137" t="s">
        <v>84</v>
      </c>
      <c r="AH137" t="s">
        <v>84</v>
      </c>
      <c r="AK137" t="s">
        <v>84</v>
      </c>
      <c r="AL137" t="s">
        <v>84</v>
      </c>
      <c r="AN137" t="s">
        <v>84</v>
      </c>
      <c r="AT137" t="s">
        <v>84</v>
      </c>
      <c r="AU137" t="s">
        <v>84</v>
      </c>
      <c r="AV137">
        <v>36283.333333333336</v>
      </c>
    </row>
    <row r="138" spans="1:48" x14ac:dyDescent="0.25">
      <c r="A138">
        <v>0</v>
      </c>
      <c r="B138" t="s">
        <v>260</v>
      </c>
      <c r="C138" t="s">
        <v>98</v>
      </c>
      <c r="D138">
        <v>16900</v>
      </c>
      <c r="J138" t="s">
        <v>84</v>
      </c>
      <c r="L138" t="s">
        <v>84</v>
      </c>
      <c r="N138" t="s">
        <v>84</v>
      </c>
      <c r="T138" t="s">
        <v>84</v>
      </c>
      <c r="W138" t="s">
        <v>84</v>
      </c>
      <c r="X138" t="s">
        <v>84</v>
      </c>
      <c r="Y138" t="s">
        <v>84</v>
      </c>
      <c r="AA138" t="s">
        <v>84</v>
      </c>
      <c r="AH138" t="s">
        <v>84</v>
      </c>
      <c r="AK138" t="s">
        <v>84</v>
      </c>
      <c r="AL138" t="s">
        <v>84</v>
      </c>
      <c r="AN138" t="s">
        <v>84</v>
      </c>
      <c r="AT138" t="s">
        <v>84</v>
      </c>
      <c r="AU138" t="s">
        <v>84</v>
      </c>
      <c r="AV138">
        <v>36283.333333333336</v>
      </c>
    </row>
    <row r="139" spans="1:48" x14ac:dyDescent="0.25">
      <c r="A139">
        <v>0</v>
      </c>
      <c r="B139" t="s">
        <v>260</v>
      </c>
      <c r="C139" t="s">
        <v>121</v>
      </c>
      <c r="D139">
        <v>192655.61499999999</v>
      </c>
      <c r="J139" t="s">
        <v>84</v>
      </c>
      <c r="L139" t="s">
        <v>84</v>
      </c>
      <c r="N139" t="s">
        <v>84</v>
      </c>
      <c r="T139" t="s">
        <v>84</v>
      </c>
      <c r="W139" t="s">
        <v>84</v>
      </c>
      <c r="X139" t="s">
        <v>84</v>
      </c>
      <c r="Y139" t="s">
        <v>84</v>
      </c>
      <c r="AA139" t="s">
        <v>84</v>
      </c>
      <c r="AH139" t="s">
        <v>84</v>
      </c>
      <c r="AK139" t="s">
        <v>84</v>
      </c>
      <c r="AL139" t="s">
        <v>84</v>
      </c>
      <c r="AN139" t="s">
        <v>84</v>
      </c>
      <c r="AT139" t="s">
        <v>84</v>
      </c>
      <c r="AU139" t="s">
        <v>84</v>
      </c>
      <c r="AV139">
        <v>158633.04393333333</v>
      </c>
    </row>
    <row r="140" spans="1:48" x14ac:dyDescent="0.25">
      <c r="A140">
        <v>1</v>
      </c>
      <c r="B140" t="s">
        <v>260</v>
      </c>
      <c r="C140" t="s">
        <v>121</v>
      </c>
      <c r="D140">
        <v>139549.23199999999</v>
      </c>
      <c r="G140">
        <v>0</v>
      </c>
      <c r="I140">
        <v>5329</v>
      </c>
      <c r="J140" t="s">
        <v>84</v>
      </c>
      <c r="L140" t="s">
        <v>84</v>
      </c>
      <c r="N140" t="s">
        <v>84</v>
      </c>
      <c r="S140">
        <v>3352</v>
      </c>
      <c r="T140" t="s">
        <v>84</v>
      </c>
      <c r="U140">
        <v>1370</v>
      </c>
      <c r="W140" t="s">
        <v>84</v>
      </c>
      <c r="X140" t="s">
        <v>84</v>
      </c>
      <c r="Y140" t="s">
        <v>84</v>
      </c>
      <c r="AA140" t="s">
        <v>84</v>
      </c>
      <c r="AB140">
        <v>0</v>
      </c>
      <c r="AD140">
        <v>11385</v>
      </c>
      <c r="AG140">
        <v>6936</v>
      </c>
      <c r="AH140" t="s">
        <v>84</v>
      </c>
      <c r="AI140">
        <v>7416</v>
      </c>
      <c r="AJ140">
        <v>32890</v>
      </c>
      <c r="AK140" t="s">
        <v>84</v>
      </c>
      <c r="AL140" t="s">
        <v>84</v>
      </c>
      <c r="AM140">
        <v>19794</v>
      </c>
      <c r="AN140" t="s">
        <v>84</v>
      </c>
      <c r="AP140">
        <v>6228</v>
      </c>
      <c r="AR140">
        <v>4408</v>
      </c>
      <c r="AS140">
        <v>3792</v>
      </c>
      <c r="AT140" t="s">
        <v>84</v>
      </c>
      <c r="AU140" t="s">
        <v>84</v>
      </c>
      <c r="AV140">
        <v>158633.04393333333</v>
      </c>
    </row>
    <row r="141" spans="1:48" x14ac:dyDescent="0.25">
      <c r="A141">
        <v>0</v>
      </c>
      <c r="B141" t="s">
        <v>260</v>
      </c>
      <c r="C141" t="s">
        <v>121</v>
      </c>
      <c r="D141">
        <v>143694.28479999999</v>
      </c>
      <c r="J141" t="s">
        <v>84</v>
      </c>
      <c r="L141" t="s">
        <v>84</v>
      </c>
      <c r="N141" t="s">
        <v>84</v>
      </c>
      <c r="T141" t="s">
        <v>84</v>
      </c>
      <c r="W141" t="s">
        <v>84</v>
      </c>
      <c r="X141" t="s">
        <v>84</v>
      </c>
      <c r="Y141" t="s">
        <v>84</v>
      </c>
      <c r="AA141" t="s">
        <v>84</v>
      </c>
      <c r="AH141" t="s">
        <v>84</v>
      </c>
      <c r="AK141" t="s">
        <v>84</v>
      </c>
      <c r="AL141" t="s">
        <v>84</v>
      </c>
      <c r="AN141" t="s">
        <v>84</v>
      </c>
      <c r="AT141" t="s">
        <v>84</v>
      </c>
      <c r="AU141" t="s">
        <v>84</v>
      </c>
      <c r="AV141">
        <v>158633.04393333333</v>
      </c>
    </row>
    <row r="142" spans="1:48" x14ac:dyDescent="0.25">
      <c r="A142">
        <v>0</v>
      </c>
      <c r="B142" t="s">
        <v>260</v>
      </c>
      <c r="C142" t="s">
        <v>114</v>
      </c>
      <c r="D142">
        <v>38300</v>
      </c>
      <c r="J142" t="s">
        <v>84</v>
      </c>
      <c r="L142" t="s">
        <v>84</v>
      </c>
      <c r="N142" t="s">
        <v>84</v>
      </c>
      <c r="T142" t="s">
        <v>84</v>
      </c>
      <c r="W142" t="s">
        <v>84</v>
      </c>
      <c r="X142" t="s">
        <v>84</v>
      </c>
      <c r="Y142" t="s">
        <v>84</v>
      </c>
      <c r="AA142" t="s">
        <v>84</v>
      </c>
      <c r="AH142" t="s">
        <v>84</v>
      </c>
      <c r="AK142" t="s">
        <v>84</v>
      </c>
      <c r="AL142" t="s">
        <v>84</v>
      </c>
      <c r="AN142" t="s">
        <v>84</v>
      </c>
      <c r="AT142" t="s">
        <v>84</v>
      </c>
      <c r="AU142" t="s">
        <v>84</v>
      </c>
      <c r="AV142">
        <v>29616.666666666664</v>
      </c>
    </row>
    <row r="143" spans="1:48" x14ac:dyDescent="0.25">
      <c r="A143">
        <v>1</v>
      </c>
      <c r="B143" t="s">
        <v>260</v>
      </c>
      <c r="C143" t="s">
        <v>114</v>
      </c>
      <c r="D143">
        <v>23000</v>
      </c>
      <c r="J143" t="s">
        <v>84</v>
      </c>
      <c r="L143" t="s">
        <v>84</v>
      </c>
      <c r="N143" t="s">
        <v>84</v>
      </c>
      <c r="T143" t="s">
        <v>84</v>
      </c>
      <c r="W143" t="s">
        <v>84</v>
      </c>
      <c r="X143" t="s">
        <v>84</v>
      </c>
      <c r="Y143" t="s">
        <v>84</v>
      </c>
      <c r="AA143" t="s">
        <v>84</v>
      </c>
      <c r="AH143" t="s">
        <v>84</v>
      </c>
      <c r="AK143" t="s">
        <v>84</v>
      </c>
      <c r="AL143" t="s">
        <v>84</v>
      </c>
      <c r="AN143" t="s">
        <v>84</v>
      </c>
      <c r="AO143">
        <v>23000</v>
      </c>
      <c r="AT143" t="s">
        <v>84</v>
      </c>
      <c r="AU143" t="s">
        <v>84</v>
      </c>
      <c r="AV143">
        <v>29616.666666666664</v>
      </c>
    </row>
    <row r="144" spans="1:48" x14ac:dyDescent="0.25">
      <c r="A144">
        <v>0</v>
      </c>
      <c r="B144" t="s">
        <v>260</v>
      </c>
      <c r="C144" t="s">
        <v>114</v>
      </c>
      <c r="D144">
        <v>27550</v>
      </c>
      <c r="J144" t="s">
        <v>84</v>
      </c>
      <c r="L144" t="s">
        <v>84</v>
      </c>
      <c r="N144" t="s">
        <v>84</v>
      </c>
      <c r="T144" t="s">
        <v>84</v>
      </c>
      <c r="W144" t="s">
        <v>84</v>
      </c>
      <c r="X144" t="s">
        <v>84</v>
      </c>
      <c r="Y144" t="s">
        <v>84</v>
      </c>
      <c r="AA144" t="s">
        <v>84</v>
      </c>
      <c r="AH144" t="s">
        <v>84</v>
      </c>
      <c r="AK144" t="s">
        <v>84</v>
      </c>
      <c r="AL144" t="s">
        <v>84</v>
      </c>
      <c r="AN144" t="s">
        <v>84</v>
      </c>
      <c r="AT144" t="s">
        <v>84</v>
      </c>
      <c r="AU144" t="s">
        <v>84</v>
      </c>
      <c r="AV144">
        <v>29616.666666666664</v>
      </c>
    </row>
    <row r="145" spans="1:48" x14ac:dyDescent="0.25">
      <c r="A145">
        <v>0</v>
      </c>
      <c r="B145" t="s">
        <v>260</v>
      </c>
      <c r="C145" t="s">
        <v>185</v>
      </c>
      <c r="D145">
        <v>17251.724999999999</v>
      </c>
      <c r="J145" t="s">
        <v>84</v>
      </c>
      <c r="L145" t="s">
        <v>84</v>
      </c>
      <c r="N145" t="s">
        <v>84</v>
      </c>
      <c r="T145" t="s">
        <v>84</v>
      </c>
      <c r="W145" t="s">
        <v>84</v>
      </c>
      <c r="X145" t="s">
        <v>84</v>
      </c>
      <c r="Y145" t="s">
        <v>84</v>
      </c>
      <c r="AA145" t="s">
        <v>84</v>
      </c>
      <c r="AH145" t="s">
        <v>84</v>
      </c>
      <c r="AK145" t="s">
        <v>84</v>
      </c>
      <c r="AL145" t="s">
        <v>84</v>
      </c>
      <c r="AN145" t="s">
        <v>84</v>
      </c>
      <c r="AT145" t="s">
        <v>84</v>
      </c>
      <c r="AU145" t="s">
        <v>84</v>
      </c>
      <c r="AV145">
        <v>18144.508333333331</v>
      </c>
    </row>
    <row r="146" spans="1:48" x14ac:dyDescent="0.25">
      <c r="A146">
        <v>1</v>
      </c>
      <c r="B146" t="s">
        <v>260</v>
      </c>
      <c r="C146" t="s">
        <v>185</v>
      </c>
      <c r="D146">
        <v>18827.224999999999</v>
      </c>
      <c r="J146" t="s">
        <v>84</v>
      </c>
      <c r="L146" t="s">
        <v>84</v>
      </c>
      <c r="N146" t="s">
        <v>84</v>
      </c>
      <c r="T146" t="s">
        <v>84</v>
      </c>
      <c r="W146" t="s">
        <v>84</v>
      </c>
      <c r="X146" t="s">
        <v>84</v>
      </c>
      <c r="Y146" t="s">
        <v>84</v>
      </c>
      <c r="AA146" t="s">
        <v>84</v>
      </c>
      <c r="AH146" t="s">
        <v>84</v>
      </c>
      <c r="AK146" t="s">
        <v>84</v>
      </c>
      <c r="AL146" t="s">
        <v>84</v>
      </c>
      <c r="AN146" t="s">
        <v>84</v>
      </c>
      <c r="AT146" t="s">
        <v>84</v>
      </c>
      <c r="AU146" t="s">
        <v>84</v>
      </c>
      <c r="AV146">
        <v>18144.508333333331</v>
      </c>
    </row>
    <row r="147" spans="1:48" x14ac:dyDescent="0.25">
      <c r="A147">
        <v>0</v>
      </c>
      <c r="B147" t="s">
        <v>260</v>
      </c>
      <c r="C147" t="s">
        <v>185</v>
      </c>
      <c r="D147">
        <v>18354.575000000001</v>
      </c>
      <c r="J147" t="s">
        <v>84</v>
      </c>
      <c r="L147" t="s">
        <v>84</v>
      </c>
      <c r="N147" t="s">
        <v>84</v>
      </c>
      <c r="T147" t="s">
        <v>84</v>
      </c>
      <c r="W147" t="s">
        <v>84</v>
      </c>
      <c r="X147" t="s">
        <v>84</v>
      </c>
      <c r="Y147" t="s">
        <v>84</v>
      </c>
      <c r="AA147" t="s">
        <v>84</v>
      </c>
      <c r="AH147" t="s">
        <v>84</v>
      </c>
      <c r="AK147" t="s">
        <v>84</v>
      </c>
      <c r="AL147" t="s">
        <v>84</v>
      </c>
      <c r="AN147" t="s">
        <v>84</v>
      </c>
      <c r="AT147" t="s">
        <v>84</v>
      </c>
      <c r="AU147" t="s">
        <v>84</v>
      </c>
      <c r="AV147">
        <v>18144.508333333331</v>
      </c>
    </row>
    <row r="148" spans="1:48" x14ac:dyDescent="0.25">
      <c r="A148">
        <v>1</v>
      </c>
      <c r="B148" t="s">
        <v>338</v>
      </c>
      <c r="C148" t="s">
        <v>92</v>
      </c>
      <c r="D148">
        <v>48690</v>
      </c>
      <c r="H148">
        <v>48690</v>
      </c>
      <c r="J148" t="s">
        <v>84</v>
      </c>
      <c r="L148" t="s">
        <v>84</v>
      </c>
      <c r="N148" t="s">
        <v>84</v>
      </c>
      <c r="T148" t="s">
        <v>84</v>
      </c>
      <c r="W148" t="s">
        <v>84</v>
      </c>
      <c r="X148" t="s">
        <v>84</v>
      </c>
      <c r="Y148" t="s">
        <v>84</v>
      </c>
      <c r="AA148" t="s">
        <v>84</v>
      </c>
      <c r="AH148" t="s">
        <v>84</v>
      </c>
      <c r="AK148" t="s">
        <v>84</v>
      </c>
      <c r="AL148" t="s">
        <v>84</v>
      </c>
      <c r="AN148" t="s">
        <v>84</v>
      </c>
      <c r="AT148" t="s">
        <v>84</v>
      </c>
      <c r="AU148" t="s">
        <v>84</v>
      </c>
      <c r="AV148">
        <v>31286.666666666668</v>
      </c>
    </row>
    <row r="149" spans="1:48" x14ac:dyDescent="0.25">
      <c r="A149">
        <v>0</v>
      </c>
      <c r="B149" t="s">
        <v>338</v>
      </c>
      <c r="C149" t="s">
        <v>92</v>
      </c>
      <c r="D149">
        <v>20890</v>
      </c>
      <c r="J149" t="s">
        <v>84</v>
      </c>
      <c r="L149" t="s">
        <v>84</v>
      </c>
      <c r="N149" t="s">
        <v>84</v>
      </c>
      <c r="T149" t="s">
        <v>84</v>
      </c>
      <c r="W149" t="s">
        <v>84</v>
      </c>
      <c r="X149" t="s">
        <v>84</v>
      </c>
      <c r="Y149" t="s">
        <v>84</v>
      </c>
      <c r="AA149" t="s">
        <v>84</v>
      </c>
      <c r="AH149" t="s">
        <v>84</v>
      </c>
      <c r="AK149" t="s">
        <v>84</v>
      </c>
      <c r="AL149" t="s">
        <v>84</v>
      </c>
      <c r="AN149" t="s">
        <v>84</v>
      </c>
      <c r="AT149" t="s">
        <v>84</v>
      </c>
      <c r="AU149" t="s">
        <v>84</v>
      </c>
      <c r="AV149">
        <v>31286.666666666668</v>
      </c>
    </row>
    <row r="150" spans="1:48" x14ac:dyDescent="0.25">
      <c r="A150">
        <v>0</v>
      </c>
      <c r="B150" t="s">
        <v>338</v>
      </c>
      <c r="C150" t="s">
        <v>92</v>
      </c>
      <c r="D150">
        <v>24280</v>
      </c>
      <c r="J150" t="s">
        <v>84</v>
      </c>
      <c r="L150" t="s">
        <v>84</v>
      </c>
      <c r="N150" t="s">
        <v>84</v>
      </c>
      <c r="T150" t="s">
        <v>84</v>
      </c>
      <c r="W150" t="s">
        <v>84</v>
      </c>
      <c r="X150" t="s">
        <v>84</v>
      </c>
      <c r="Y150" t="s">
        <v>84</v>
      </c>
      <c r="AA150" t="s">
        <v>84</v>
      </c>
      <c r="AH150" t="s">
        <v>84</v>
      </c>
      <c r="AK150" t="s">
        <v>84</v>
      </c>
      <c r="AL150" t="s">
        <v>84</v>
      </c>
      <c r="AN150" t="s">
        <v>84</v>
      </c>
      <c r="AT150" t="s">
        <v>84</v>
      </c>
      <c r="AU150" t="s">
        <v>84</v>
      </c>
      <c r="AV150">
        <v>31286.666666666668</v>
      </c>
    </row>
    <row r="151" spans="1:48" x14ac:dyDescent="0.25">
      <c r="A151">
        <v>0</v>
      </c>
      <c r="B151" t="s">
        <v>338</v>
      </c>
      <c r="C151" t="s">
        <v>80</v>
      </c>
      <c r="D151">
        <v>861318.65</v>
      </c>
      <c r="J151" t="s">
        <v>84</v>
      </c>
      <c r="L151" t="s">
        <v>84</v>
      </c>
      <c r="N151" t="s">
        <v>84</v>
      </c>
      <c r="T151" t="s">
        <v>84</v>
      </c>
      <c r="W151" t="s">
        <v>84</v>
      </c>
      <c r="X151" t="s">
        <v>84</v>
      </c>
      <c r="Y151" t="s">
        <v>84</v>
      </c>
      <c r="AA151" t="s">
        <v>84</v>
      </c>
      <c r="AH151" t="s">
        <v>84</v>
      </c>
      <c r="AK151" t="s">
        <v>84</v>
      </c>
      <c r="AL151" t="s">
        <v>84</v>
      </c>
      <c r="AN151" t="s">
        <v>84</v>
      </c>
      <c r="AT151" t="s">
        <v>84</v>
      </c>
      <c r="AU151" t="s">
        <v>84</v>
      </c>
      <c r="AV151">
        <v>837017.14029999997</v>
      </c>
    </row>
    <row r="152" spans="1:48" x14ac:dyDescent="0.25">
      <c r="A152">
        <v>0</v>
      </c>
      <c r="B152" t="s">
        <v>338</v>
      </c>
      <c r="C152" t="s">
        <v>80</v>
      </c>
      <c r="D152">
        <v>850434.76089999999</v>
      </c>
      <c r="J152" t="s">
        <v>84</v>
      </c>
      <c r="L152" t="s">
        <v>84</v>
      </c>
      <c r="N152" t="s">
        <v>84</v>
      </c>
      <c r="T152" t="s">
        <v>84</v>
      </c>
      <c r="W152" t="s">
        <v>84</v>
      </c>
      <c r="X152" t="s">
        <v>84</v>
      </c>
      <c r="Y152" t="s">
        <v>84</v>
      </c>
      <c r="AA152" t="s">
        <v>84</v>
      </c>
      <c r="AH152" t="s">
        <v>84</v>
      </c>
      <c r="AK152" t="s">
        <v>84</v>
      </c>
      <c r="AL152" t="s">
        <v>84</v>
      </c>
      <c r="AN152" t="s">
        <v>84</v>
      </c>
      <c r="AT152" t="s">
        <v>84</v>
      </c>
      <c r="AU152" t="s">
        <v>84</v>
      </c>
      <c r="AV152">
        <v>837017.14029999997</v>
      </c>
    </row>
    <row r="153" spans="1:48" x14ac:dyDescent="0.25">
      <c r="A153">
        <v>1</v>
      </c>
      <c r="B153" t="s">
        <v>338</v>
      </c>
      <c r="C153" t="s">
        <v>80</v>
      </c>
      <c r="D153">
        <v>799298.01</v>
      </c>
      <c r="F153">
        <v>60846.5</v>
      </c>
      <c r="G153">
        <v>54600</v>
      </c>
      <c r="J153" t="s">
        <v>84</v>
      </c>
      <c r="L153" t="s">
        <v>84</v>
      </c>
      <c r="M153">
        <v>50000</v>
      </c>
      <c r="N153" t="s">
        <v>84</v>
      </c>
      <c r="O153">
        <v>0</v>
      </c>
      <c r="Q153">
        <v>0</v>
      </c>
      <c r="S153">
        <v>80800</v>
      </c>
      <c r="T153" t="s">
        <v>84</v>
      </c>
      <c r="U153">
        <v>3000</v>
      </c>
      <c r="W153" t="s">
        <v>84</v>
      </c>
      <c r="X153" t="s">
        <v>84</v>
      </c>
      <c r="Y153" t="s">
        <v>84</v>
      </c>
      <c r="Z153">
        <v>26644</v>
      </c>
      <c r="AA153" t="s">
        <v>84</v>
      </c>
      <c r="AB153">
        <v>8000</v>
      </c>
      <c r="AD153">
        <v>17600</v>
      </c>
      <c r="AE153">
        <v>136743.75</v>
      </c>
      <c r="AH153" t="s">
        <v>84</v>
      </c>
      <c r="AI153">
        <v>30000</v>
      </c>
      <c r="AJ153">
        <v>136529.25</v>
      </c>
      <c r="AK153" t="s">
        <v>84</v>
      </c>
      <c r="AL153" t="s">
        <v>84</v>
      </c>
      <c r="AN153" t="s">
        <v>84</v>
      </c>
      <c r="AQ153">
        <v>29600</v>
      </c>
      <c r="AR153">
        <v>0</v>
      </c>
      <c r="AS153">
        <v>0</v>
      </c>
      <c r="AT153" t="s">
        <v>84</v>
      </c>
      <c r="AU153" t="s">
        <v>84</v>
      </c>
      <c r="AV153">
        <v>837017.14029999997</v>
      </c>
    </row>
    <row r="154" spans="1:48" x14ac:dyDescent="0.25">
      <c r="A154">
        <v>0</v>
      </c>
      <c r="B154" t="s">
        <v>338</v>
      </c>
      <c r="C154" t="s">
        <v>106</v>
      </c>
      <c r="D154">
        <v>9846.875</v>
      </c>
      <c r="J154" t="s">
        <v>84</v>
      </c>
      <c r="L154" t="s">
        <v>84</v>
      </c>
      <c r="N154" t="s">
        <v>84</v>
      </c>
      <c r="T154" t="s">
        <v>84</v>
      </c>
      <c r="W154" t="s">
        <v>84</v>
      </c>
      <c r="X154" t="s">
        <v>84</v>
      </c>
      <c r="Y154" t="s">
        <v>84</v>
      </c>
      <c r="AA154" t="s">
        <v>84</v>
      </c>
      <c r="AH154" t="s">
        <v>84</v>
      </c>
      <c r="AK154" t="s">
        <v>84</v>
      </c>
      <c r="AL154" t="s">
        <v>84</v>
      </c>
      <c r="AN154" t="s">
        <v>84</v>
      </c>
      <c r="AT154" t="s">
        <v>84</v>
      </c>
      <c r="AU154" t="s">
        <v>84</v>
      </c>
      <c r="AV154">
        <v>7549.2708333333339</v>
      </c>
    </row>
    <row r="155" spans="1:48" x14ac:dyDescent="0.25">
      <c r="A155">
        <v>0</v>
      </c>
      <c r="B155" t="s">
        <v>338</v>
      </c>
      <c r="C155" t="s">
        <v>106</v>
      </c>
      <c r="D155">
        <v>8783.4125000000004</v>
      </c>
      <c r="J155" t="s">
        <v>84</v>
      </c>
      <c r="L155" t="s">
        <v>84</v>
      </c>
      <c r="N155" t="s">
        <v>84</v>
      </c>
      <c r="T155" t="s">
        <v>84</v>
      </c>
      <c r="W155" t="s">
        <v>84</v>
      </c>
      <c r="X155" t="s">
        <v>84</v>
      </c>
      <c r="Y155" t="s">
        <v>84</v>
      </c>
      <c r="AA155" t="s">
        <v>84</v>
      </c>
      <c r="AH155" t="s">
        <v>84</v>
      </c>
      <c r="AK155" t="s">
        <v>84</v>
      </c>
      <c r="AL155" t="s">
        <v>84</v>
      </c>
      <c r="AN155" t="s">
        <v>84</v>
      </c>
      <c r="AT155" t="s">
        <v>84</v>
      </c>
      <c r="AU155" t="s">
        <v>84</v>
      </c>
      <c r="AV155">
        <v>7549.2708333333339</v>
      </c>
    </row>
    <row r="156" spans="1:48" x14ac:dyDescent="0.25">
      <c r="A156">
        <v>1</v>
      </c>
      <c r="B156" t="s">
        <v>338</v>
      </c>
      <c r="C156" t="s">
        <v>106</v>
      </c>
      <c r="D156">
        <v>4017.5250000000001</v>
      </c>
      <c r="J156" t="s">
        <v>84</v>
      </c>
      <c r="K156">
        <v>500</v>
      </c>
      <c r="L156" t="s">
        <v>84</v>
      </c>
      <c r="N156" t="s">
        <v>84</v>
      </c>
      <c r="T156" t="s">
        <v>84</v>
      </c>
      <c r="W156" t="s">
        <v>84</v>
      </c>
      <c r="X156" t="s">
        <v>84</v>
      </c>
      <c r="Y156" t="s">
        <v>84</v>
      </c>
      <c r="AA156" t="s">
        <v>84</v>
      </c>
      <c r="AF156">
        <v>2050</v>
      </c>
      <c r="AH156" t="s">
        <v>84</v>
      </c>
      <c r="AK156" t="s">
        <v>84</v>
      </c>
      <c r="AL156" t="s">
        <v>84</v>
      </c>
      <c r="AN156" t="s">
        <v>84</v>
      </c>
      <c r="AT156" t="s">
        <v>84</v>
      </c>
      <c r="AU156" t="s">
        <v>84</v>
      </c>
      <c r="AV156">
        <v>7549.2708333333339</v>
      </c>
    </row>
    <row r="157" spans="1:48" x14ac:dyDescent="0.25">
      <c r="A157">
        <v>0</v>
      </c>
      <c r="B157" t="s">
        <v>338</v>
      </c>
      <c r="C157" t="s">
        <v>110</v>
      </c>
      <c r="D157">
        <v>11008</v>
      </c>
      <c r="J157" t="s">
        <v>84</v>
      </c>
      <c r="L157" t="s">
        <v>84</v>
      </c>
      <c r="N157" t="s">
        <v>84</v>
      </c>
      <c r="T157" t="s">
        <v>84</v>
      </c>
      <c r="W157" t="s">
        <v>84</v>
      </c>
      <c r="X157" t="s">
        <v>84</v>
      </c>
      <c r="Y157" t="s">
        <v>84</v>
      </c>
      <c r="AA157" t="s">
        <v>84</v>
      </c>
      <c r="AH157" t="s">
        <v>84</v>
      </c>
      <c r="AK157" t="s">
        <v>84</v>
      </c>
      <c r="AL157" t="s">
        <v>84</v>
      </c>
      <c r="AN157" t="s">
        <v>84</v>
      </c>
      <c r="AT157" t="s">
        <v>84</v>
      </c>
      <c r="AU157" t="s">
        <v>84</v>
      </c>
      <c r="AV157">
        <v>12020</v>
      </c>
    </row>
    <row r="158" spans="1:48" x14ac:dyDescent="0.25">
      <c r="A158">
        <v>0</v>
      </c>
      <c r="B158" t="s">
        <v>338</v>
      </c>
      <c r="C158" t="s">
        <v>110</v>
      </c>
      <c r="D158">
        <v>11844</v>
      </c>
      <c r="J158" t="s">
        <v>84</v>
      </c>
      <c r="L158" t="s">
        <v>84</v>
      </c>
      <c r="N158" t="s">
        <v>84</v>
      </c>
      <c r="T158" t="s">
        <v>84</v>
      </c>
      <c r="W158" t="s">
        <v>84</v>
      </c>
      <c r="X158" t="s">
        <v>84</v>
      </c>
      <c r="Y158" t="s">
        <v>84</v>
      </c>
      <c r="AA158" t="s">
        <v>84</v>
      </c>
      <c r="AH158" t="s">
        <v>84</v>
      </c>
      <c r="AK158" t="s">
        <v>84</v>
      </c>
      <c r="AL158" t="s">
        <v>84</v>
      </c>
      <c r="AN158" t="s">
        <v>84</v>
      </c>
      <c r="AT158" t="s">
        <v>84</v>
      </c>
      <c r="AU158" t="s">
        <v>84</v>
      </c>
      <c r="AV158">
        <v>12020</v>
      </c>
    </row>
    <row r="159" spans="1:48" x14ac:dyDescent="0.25">
      <c r="A159">
        <v>1</v>
      </c>
      <c r="B159" t="s">
        <v>338</v>
      </c>
      <c r="C159" t="s">
        <v>110</v>
      </c>
      <c r="D159">
        <v>13208</v>
      </c>
      <c r="F159">
        <v>0</v>
      </c>
      <c r="G159">
        <v>0</v>
      </c>
      <c r="J159" t="s">
        <v>84</v>
      </c>
      <c r="L159" t="s">
        <v>84</v>
      </c>
      <c r="M159">
        <v>0</v>
      </c>
      <c r="N159" t="s">
        <v>84</v>
      </c>
      <c r="O159">
        <v>0</v>
      </c>
      <c r="Q159">
        <v>0</v>
      </c>
      <c r="S159">
        <v>0</v>
      </c>
      <c r="T159" t="s">
        <v>84</v>
      </c>
      <c r="U159">
        <v>0</v>
      </c>
      <c r="W159" t="s">
        <v>84</v>
      </c>
      <c r="X159" t="s">
        <v>84</v>
      </c>
      <c r="Y159" t="s">
        <v>84</v>
      </c>
      <c r="Z159">
        <v>0</v>
      </c>
      <c r="AA159" t="s">
        <v>84</v>
      </c>
      <c r="AB159">
        <v>10400</v>
      </c>
      <c r="AD159">
        <v>0</v>
      </c>
      <c r="AE159">
        <v>0</v>
      </c>
      <c r="AH159" t="s">
        <v>84</v>
      </c>
      <c r="AI159">
        <v>0</v>
      </c>
      <c r="AJ159">
        <v>0</v>
      </c>
      <c r="AK159" t="s">
        <v>84</v>
      </c>
      <c r="AL159" t="s">
        <v>84</v>
      </c>
      <c r="AN159" t="s">
        <v>84</v>
      </c>
      <c r="AQ159">
        <v>0</v>
      </c>
      <c r="AR159">
        <v>0</v>
      </c>
      <c r="AS159">
        <v>0</v>
      </c>
      <c r="AT159" t="s">
        <v>84</v>
      </c>
      <c r="AU159" t="s">
        <v>84</v>
      </c>
      <c r="AV159">
        <v>12020</v>
      </c>
    </row>
    <row r="160" spans="1:48" x14ac:dyDescent="0.25">
      <c r="A160">
        <v>0</v>
      </c>
      <c r="B160" t="s">
        <v>338</v>
      </c>
      <c r="C160" t="s">
        <v>87</v>
      </c>
      <c r="D160">
        <v>93795.158330000006</v>
      </c>
      <c r="J160" t="s">
        <v>84</v>
      </c>
      <c r="L160" t="s">
        <v>84</v>
      </c>
      <c r="N160" t="s">
        <v>84</v>
      </c>
      <c r="T160" t="s">
        <v>84</v>
      </c>
      <c r="W160" t="s">
        <v>84</v>
      </c>
      <c r="X160" t="s">
        <v>84</v>
      </c>
      <c r="Y160" t="s">
        <v>84</v>
      </c>
      <c r="AA160" t="s">
        <v>84</v>
      </c>
      <c r="AH160" t="s">
        <v>84</v>
      </c>
      <c r="AK160" t="s">
        <v>84</v>
      </c>
      <c r="AL160" t="s">
        <v>84</v>
      </c>
      <c r="AN160" t="s">
        <v>84</v>
      </c>
      <c r="AT160" t="s">
        <v>84</v>
      </c>
      <c r="AU160" t="s">
        <v>84</v>
      </c>
      <c r="AV160">
        <v>108474.041665</v>
      </c>
    </row>
    <row r="161" spans="1:48" x14ac:dyDescent="0.25">
      <c r="A161">
        <v>1</v>
      </c>
      <c r="B161" t="s">
        <v>338</v>
      </c>
      <c r="C161" t="s">
        <v>87</v>
      </c>
      <c r="D161">
        <v>123152.925</v>
      </c>
      <c r="J161" t="s">
        <v>84</v>
      </c>
      <c r="L161" t="s">
        <v>84</v>
      </c>
      <c r="N161" t="s">
        <v>84</v>
      </c>
      <c r="O161">
        <v>8800</v>
      </c>
      <c r="P161">
        <v>49050</v>
      </c>
      <c r="Q161">
        <v>16750</v>
      </c>
      <c r="R161">
        <v>15238</v>
      </c>
      <c r="T161" t="s">
        <v>84</v>
      </c>
      <c r="W161" t="s">
        <v>84</v>
      </c>
      <c r="X161" t="s">
        <v>84</v>
      </c>
      <c r="Y161" t="s">
        <v>84</v>
      </c>
      <c r="AA161" t="s">
        <v>84</v>
      </c>
      <c r="AH161" t="s">
        <v>84</v>
      </c>
      <c r="AK161" t="s">
        <v>84</v>
      </c>
      <c r="AL161" t="s">
        <v>84</v>
      </c>
      <c r="AN161" t="s">
        <v>84</v>
      </c>
      <c r="AT161" t="s">
        <v>84</v>
      </c>
      <c r="AU161" t="s">
        <v>84</v>
      </c>
      <c r="AV161">
        <v>108474.041665</v>
      </c>
    </row>
    <row r="162" spans="1:48" x14ac:dyDescent="0.25">
      <c r="A162">
        <v>0</v>
      </c>
      <c r="B162" t="s">
        <v>338</v>
      </c>
      <c r="C162" t="s">
        <v>98</v>
      </c>
      <c r="D162">
        <v>40900</v>
      </c>
      <c r="J162" t="s">
        <v>84</v>
      </c>
      <c r="L162" t="s">
        <v>84</v>
      </c>
      <c r="N162" t="s">
        <v>84</v>
      </c>
      <c r="T162" t="s">
        <v>84</v>
      </c>
      <c r="W162" t="s">
        <v>84</v>
      </c>
      <c r="X162" t="s">
        <v>84</v>
      </c>
      <c r="Y162" t="s">
        <v>84</v>
      </c>
      <c r="AA162" t="s">
        <v>84</v>
      </c>
      <c r="AH162" t="s">
        <v>84</v>
      </c>
      <c r="AK162" t="s">
        <v>84</v>
      </c>
      <c r="AL162" t="s">
        <v>84</v>
      </c>
      <c r="AN162" t="s">
        <v>84</v>
      </c>
      <c r="AT162" t="s">
        <v>84</v>
      </c>
      <c r="AU162" t="s">
        <v>84</v>
      </c>
      <c r="AV162">
        <v>31766.666666666664</v>
      </c>
    </row>
    <row r="163" spans="1:48" x14ac:dyDescent="0.25">
      <c r="A163">
        <v>1</v>
      </c>
      <c r="B163" t="s">
        <v>338</v>
      </c>
      <c r="C163" t="s">
        <v>98</v>
      </c>
      <c r="D163">
        <v>35150</v>
      </c>
      <c r="J163" t="s">
        <v>84</v>
      </c>
      <c r="L163" t="s">
        <v>84</v>
      </c>
      <c r="N163" t="s">
        <v>84</v>
      </c>
      <c r="T163" t="s">
        <v>84</v>
      </c>
      <c r="V163">
        <v>35150</v>
      </c>
      <c r="W163" t="s">
        <v>84</v>
      </c>
      <c r="X163" t="s">
        <v>84</v>
      </c>
      <c r="Y163" t="s">
        <v>84</v>
      </c>
      <c r="AA163" t="s">
        <v>84</v>
      </c>
      <c r="AH163" t="s">
        <v>84</v>
      </c>
      <c r="AK163" t="s">
        <v>84</v>
      </c>
      <c r="AL163" t="s">
        <v>84</v>
      </c>
      <c r="AN163" t="s">
        <v>84</v>
      </c>
      <c r="AT163" t="s">
        <v>84</v>
      </c>
      <c r="AU163" t="s">
        <v>84</v>
      </c>
      <c r="AV163">
        <v>31766.666666666664</v>
      </c>
    </row>
    <row r="164" spans="1:48" x14ac:dyDescent="0.25">
      <c r="A164">
        <v>0</v>
      </c>
      <c r="B164" t="s">
        <v>338</v>
      </c>
      <c r="C164" t="s">
        <v>98</v>
      </c>
      <c r="D164">
        <v>19250</v>
      </c>
      <c r="J164" t="s">
        <v>84</v>
      </c>
      <c r="L164" t="s">
        <v>84</v>
      </c>
      <c r="N164" t="s">
        <v>84</v>
      </c>
      <c r="T164" t="s">
        <v>84</v>
      </c>
      <c r="W164" t="s">
        <v>84</v>
      </c>
      <c r="X164" t="s">
        <v>84</v>
      </c>
      <c r="Y164" t="s">
        <v>84</v>
      </c>
      <c r="AA164" t="s">
        <v>84</v>
      </c>
      <c r="AH164" t="s">
        <v>84</v>
      </c>
      <c r="AK164" t="s">
        <v>84</v>
      </c>
      <c r="AL164" t="s">
        <v>84</v>
      </c>
      <c r="AN164" t="s">
        <v>84</v>
      </c>
      <c r="AT164" t="s">
        <v>84</v>
      </c>
      <c r="AU164" t="s">
        <v>84</v>
      </c>
      <c r="AV164">
        <v>31766.666666666664</v>
      </c>
    </row>
    <row r="165" spans="1:48" x14ac:dyDescent="0.25">
      <c r="A165">
        <v>0</v>
      </c>
      <c r="B165" t="s">
        <v>338</v>
      </c>
      <c r="C165" t="s">
        <v>185</v>
      </c>
      <c r="D165">
        <v>12604</v>
      </c>
      <c r="J165" t="s">
        <v>84</v>
      </c>
      <c r="L165" t="s">
        <v>84</v>
      </c>
      <c r="N165" t="s">
        <v>84</v>
      </c>
      <c r="T165" t="s">
        <v>84</v>
      </c>
      <c r="W165" t="s">
        <v>84</v>
      </c>
      <c r="X165" t="s">
        <v>84</v>
      </c>
      <c r="Y165" t="s">
        <v>84</v>
      </c>
      <c r="AA165" t="s">
        <v>84</v>
      </c>
      <c r="AH165" t="s">
        <v>84</v>
      </c>
      <c r="AK165" t="s">
        <v>84</v>
      </c>
      <c r="AL165" t="s">
        <v>84</v>
      </c>
      <c r="AN165" t="s">
        <v>84</v>
      </c>
      <c r="AT165" t="s">
        <v>84</v>
      </c>
      <c r="AU165" t="s">
        <v>84</v>
      </c>
      <c r="AV165">
        <v>16726.558333333334</v>
      </c>
    </row>
    <row r="166" spans="1:48" x14ac:dyDescent="0.25">
      <c r="A166">
        <v>0</v>
      </c>
      <c r="B166" t="s">
        <v>338</v>
      </c>
      <c r="C166" t="s">
        <v>185</v>
      </c>
      <c r="D166">
        <v>20166.400000000001</v>
      </c>
      <c r="J166" t="s">
        <v>84</v>
      </c>
      <c r="L166" t="s">
        <v>84</v>
      </c>
      <c r="N166" t="s">
        <v>84</v>
      </c>
      <c r="T166" t="s">
        <v>84</v>
      </c>
      <c r="W166" t="s">
        <v>84</v>
      </c>
      <c r="X166" t="s">
        <v>84</v>
      </c>
      <c r="Y166" t="s">
        <v>84</v>
      </c>
      <c r="AA166" t="s">
        <v>84</v>
      </c>
      <c r="AH166" t="s">
        <v>84</v>
      </c>
      <c r="AK166" t="s">
        <v>84</v>
      </c>
      <c r="AL166" t="s">
        <v>84</v>
      </c>
      <c r="AN166" t="s">
        <v>84</v>
      </c>
      <c r="AT166" t="s">
        <v>84</v>
      </c>
      <c r="AU166" t="s">
        <v>84</v>
      </c>
      <c r="AV166">
        <v>16726.558333333334</v>
      </c>
    </row>
    <row r="167" spans="1:48" x14ac:dyDescent="0.25">
      <c r="A167">
        <v>1</v>
      </c>
      <c r="B167" t="s">
        <v>338</v>
      </c>
      <c r="C167" t="s">
        <v>185</v>
      </c>
      <c r="D167">
        <v>17409.275000000001</v>
      </c>
      <c r="J167" t="s">
        <v>84</v>
      </c>
      <c r="L167" t="s">
        <v>84</v>
      </c>
      <c r="N167" t="s">
        <v>84</v>
      </c>
      <c r="T167" t="s">
        <v>84</v>
      </c>
      <c r="W167" t="s">
        <v>84</v>
      </c>
      <c r="X167" t="s">
        <v>84</v>
      </c>
      <c r="Y167" t="s">
        <v>84</v>
      </c>
      <c r="AA167" t="s">
        <v>84</v>
      </c>
      <c r="AH167" t="s">
        <v>84</v>
      </c>
      <c r="AK167" t="s">
        <v>84</v>
      </c>
      <c r="AL167" t="s">
        <v>84</v>
      </c>
      <c r="AN167" t="s">
        <v>84</v>
      </c>
      <c r="AT167" t="s">
        <v>84</v>
      </c>
      <c r="AU167" t="s">
        <v>84</v>
      </c>
      <c r="AV167">
        <v>16726.558333333334</v>
      </c>
    </row>
    <row r="168" spans="1:48" x14ac:dyDescent="0.25">
      <c r="A168">
        <v>1</v>
      </c>
      <c r="B168" t="s">
        <v>338</v>
      </c>
      <c r="C168" t="s">
        <v>92</v>
      </c>
      <c r="D168">
        <v>28010</v>
      </c>
      <c r="H168">
        <v>28010</v>
      </c>
      <c r="J168" t="s">
        <v>84</v>
      </c>
      <c r="L168" t="s">
        <v>84</v>
      </c>
      <c r="N168" t="s">
        <v>84</v>
      </c>
      <c r="T168" t="s">
        <v>84</v>
      </c>
      <c r="W168" t="s">
        <v>84</v>
      </c>
      <c r="X168" t="s">
        <v>84</v>
      </c>
      <c r="Y168" t="s">
        <v>84</v>
      </c>
      <c r="AA168" t="s">
        <v>84</v>
      </c>
      <c r="AH168" t="s">
        <v>84</v>
      </c>
      <c r="AK168" t="s">
        <v>84</v>
      </c>
      <c r="AL168" t="s">
        <v>84</v>
      </c>
      <c r="AN168" t="s">
        <v>84</v>
      </c>
      <c r="AT168" t="s">
        <v>84</v>
      </c>
      <c r="AU168" t="s">
        <v>84</v>
      </c>
      <c r="AV168">
        <v>27166.666666666668</v>
      </c>
    </row>
    <row r="169" spans="1:48" x14ac:dyDescent="0.25">
      <c r="A169">
        <v>0</v>
      </c>
      <c r="B169" t="s">
        <v>338</v>
      </c>
      <c r="C169" t="s">
        <v>92</v>
      </c>
      <c r="D169">
        <v>23450</v>
      </c>
      <c r="J169" t="s">
        <v>84</v>
      </c>
      <c r="L169" t="s">
        <v>84</v>
      </c>
      <c r="N169" t="s">
        <v>84</v>
      </c>
      <c r="T169" t="s">
        <v>84</v>
      </c>
      <c r="W169" t="s">
        <v>84</v>
      </c>
      <c r="X169" t="s">
        <v>84</v>
      </c>
      <c r="Y169" t="s">
        <v>84</v>
      </c>
      <c r="AA169" t="s">
        <v>84</v>
      </c>
      <c r="AH169" t="s">
        <v>84</v>
      </c>
      <c r="AK169" t="s">
        <v>84</v>
      </c>
      <c r="AL169" t="s">
        <v>84</v>
      </c>
      <c r="AN169" t="s">
        <v>84</v>
      </c>
      <c r="AT169" t="s">
        <v>84</v>
      </c>
      <c r="AU169" t="s">
        <v>84</v>
      </c>
      <c r="AV169">
        <v>27166.666666666668</v>
      </c>
    </row>
    <row r="170" spans="1:48" x14ac:dyDescent="0.25">
      <c r="A170">
        <v>0</v>
      </c>
      <c r="B170" t="s">
        <v>338</v>
      </c>
      <c r="C170" t="s">
        <v>92</v>
      </c>
      <c r="D170">
        <v>30040</v>
      </c>
      <c r="J170" t="s">
        <v>84</v>
      </c>
      <c r="L170" t="s">
        <v>84</v>
      </c>
      <c r="N170" t="s">
        <v>84</v>
      </c>
      <c r="T170" t="s">
        <v>84</v>
      </c>
      <c r="W170" t="s">
        <v>84</v>
      </c>
      <c r="X170" t="s">
        <v>84</v>
      </c>
      <c r="Y170" t="s">
        <v>84</v>
      </c>
      <c r="AA170" t="s">
        <v>84</v>
      </c>
      <c r="AH170" t="s">
        <v>84</v>
      </c>
      <c r="AK170" t="s">
        <v>84</v>
      </c>
      <c r="AL170" t="s">
        <v>84</v>
      </c>
      <c r="AN170" t="s">
        <v>84</v>
      </c>
      <c r="AT170" t="s">
        <v>84</v>
      </c>
      <c r="AU170" t="s">
        <v>84</v>
      </c>
      <c r="AV170">
        <v>27166.666666666668</v>
      </c>
    </row>
    <row r="171" spans="1:48" x14ac:dyDescent="0.25">
      <c r="A171">
        <v>0</v>
      </c>
      <c r="B171" t="s">
        <v>338</v>
      </c>
      <c r="C171" t="s">
        <v>80</v>
      </c>
      <c r="D171">
        <v>724100.86499999999</v>
      </c>
      <c r="J171" t="s">
        <v>84</v>
      </c>
      <c r="L171" t="s">
        <v>84</v>
      </c>
      <c r="N171" t="s">
        <v>84</v>
      </c>
      <c r="T171" t="s">
        <v>84</v>
      </c>
      <c r="W171" t="s">
        <v>84</v>
      </c>
      <c r="X171" t="s">
        <v>84</v>
      </c>
      <c r="Y171" t="s">
        <v>84</v>
      </c>
      <c r="AA171" t="s">
        <v>84</v>
      </c>
      <c r="AH171" t="s">
        <v>84</v>
      </c>
      <c r="AK171" t="s">
        <v>84</v>
      </c>
      <c r="AL171" t="s">
        <v>84</v>
      </c>
      <c r="AN171" t="s">
        <v>84</v>
      </c>
      <c r="AT171" t="s">
        <v>84</v>
      </c>
      <c r="AU171" t="s">
        <v>84</v>
      </c>
      <c r="AV171">
        <v>836563.7093333333</v>
      </c>
    </row>
    <row r="172" spans="1:48" x14ac:dyDescent="0.25">
      <c r="A172">
        <v>1</v>
      </c>
      <c r="B172" t="s">
        <v>338</v>
      </c>
      <c r="C172" t="s">
        <v>80</v>
      </c>
      <c r="D172">
        <v>879045.36300000001</v>
      </c>
      <c r="F172">
        <v>45045</v>
      </c>
      <c r="G172">
        <v>91200</v>
      </c>
      <c r="J172" t="s">
        <v>84</v>
      </c>
      <c r="L172" t="s">
        <v>84</v>
      </c>
      <c r="M172">
        <v>150000</v>
      </c>
      <c r="N172" t="s">
        <v>84</v>
      </c>
      <c r="O172">
        <v>0</v>
      </c>
      <c r="Q172">
        <v>0</v>
      </c>
      <c r="S172">
        <v>37400</v>
      </c>
      <c r="T172" t="s">
        <v>84</v>
      </c>
      <c r="U172">
        <v>2000</v>
      </c>
      <c r="W172" t="s">
        <v>84</v>
      </c>
      <c r="X172" t="s">
        <v>84</v>
      </c>
      <c r="Y172" t="s">
        <v>84</v>
      </c>
      <c r="Z172">
        <v>23170</v>
      </c>
      <c r="AA172" t="s">
        <v>84</v>
      </c>
      <c r="AB172">
        <v>12000</v>
      </c>
      <c r="AD172">
        <v>27000</v>
      </c>
      <c r="AE172">
        <v>141713</v>
      </c>
      <c r="AH172" t="s">
        <v>84</v>
      </c>
      <c r="AI172">
        <v>8500</v>
      </c>
      <c r="AJ172">
        <v>114307.05</v>
      </c>
      <c r="AK172" t="s">
        <v>84</v>
      </c>
      <c r="AL172" t="s">
        <v>84</v>
      </c>
      <c r="AN172" t="s">
        <v>84</v>
      </c>
      <c r="AQ172">
        <v>45320</v>
      </c>
      <c r="AR172">
        <v>0</v>
      </c>
      <c r="AS172">
        <v>0</v>
      </c>
      <c r="AT172" t="s">
        <v>84</v>
      </c>
      <c r="AU172" t="s">
        <v>84</v>
      </c>
      <c r="AV172">
        <v>836563.7093333333</v>
      </c>
    </row>
    <row r="173" spans="1:48" x14ac:dyDescent="0.25">
      <c r="A173">
        <v>0</v>
      </c>
      <c r="B173" t="s">
        <v>338</v>
      </c>
      <c r="C173" t="s">
        <v>80</v>
      </c>
      <c r="D173">
        <v>906544.9</v>
      </c>
      <c r="J173" t="s">
        <v>84</v>
      </c>
      <c r="L173" t="s">
        <v>84</v>
      </c>
      <c r="N173" t="s">
        <v>84</v>
      </c>
      <c r="T173" t="s">
        <v>84</v>
      </c>
      <c r="W173" t="s">
        <v>84</v>
      </c>
      <c r="X173" t="s">
        <v>84</v>
      </c>
      <c r="Y173" t="s">
        <v>84</v>
      </c>
      <c r="AA173" t="s">
        <v>84</v>
      </c>
      <c r="AH173" t="s">
        <v>84</v>
      </c>
      <c r="AK173" t="s">
        <v>84</v>
      </c>
      <c r="AL173" t="s">
        <v>84</v>
      </c>
      <c r="AN173" t="s">
        <v>84</v>
      </c>
      <c r="AT173" t="s">
        <v>84</v>
      </c>
      <c r="AU173" t="s">
        <v>84</v>
      </c>
      <c r="AV173">
        <v>836563.7093333333</v>
      </c>
    </row>
    <row r="174" spans="1:48" x14ac:dyDescent="0.25">
      <c r="A174">
        <v>0</v>
      </c>
      <c r="B174" t="s">
        <v>338</v>
      </c>
      <c r="C174" t="s">
        <v>106</v>
      </c>
      <c r="D174">
        <v>11382.987499999999</v>
      </c>
      <c r="J174" t="s">
        <v>84</v>
      </c>
      <c r="L174" t="s">
        <v>84</v>
      </c>
      <c r="N174" t="s">
        <v>84</v>
      </c>
      <c r="T174" t="s">
        <v>84</v>
      </c>
      <c r="W174" t="s">
        <v>84</v>
      </c>
      <c r="X174" t="s">
        <v>84</v>
      </c>
      <c r="Y174" t="s">
        <v>84</v>
      </c>
      <c r="AA174" t="s">
        <v>84</v>
      </c>
      <c r="AH174" t="s">
        <v>84</v>
      </c>
      <c r="AK174" t="s">
        <v>84</v>
      </c>
      <c r="AL174" t="s">
        <v>84</v>
      </c>
      <c r="AN174" t="s">
        <v>84</v>
      </c>
      <c r="AT174" t="s">
        <v>84</v>
      </c>
      <c r="AU174" t="s">
        <v>84</v>
      </c>
      <c r="AV174">
        <v>10274.885833333334</v>
      </c>
    </row>
    <row r="175" spans="1:48" x14ac:dyDescent="0.25">
      <c r="A175">
        <v>1</v>
      </c>
      <c r="B175" t="s">
        <v>338</v>
      </c>
      <c r="C175" t="s">
        <v>106</v>
      </c>
      <c r="D175">
        <v>10303.77</v>
      </c>
      <c r="J175" t="s">
        <v>84</v>
      </c>
      <c r="K175">
        <v>5050</v>
      </c>
      <c r="L175" t="s">
        <v>84</v>
      </c>
      <c r="N175" t="s">
        <v>84</v>
      </c>
      <c r="T175" t="s">
        <v>84</v>
      </c>
      <c r="W175" t="s">
        <v>84</v>
      </c>
      <c r="X175" t="s">
        <v>84</v>
      </c>
      <c r="Y175" t="s">
        <v>84</v>
      </c>
      <c r="AA175" t="s">
        <v>84</v>
      </c>
      <c r="AF175">
        <v>1490</v>
      </c>
      <c r="AH175" t="s">
        <v>84</v>
      </c>
      <c r="AK175" t="s">
        <v>84</v>
      </c>
      <c r="AL175" t="s">
        <v>84</v>
      </c>
      <c r="AN175" t="s">
        <v>84</v>
      </c>
      <c r="AT175" t="s">
        <v>84</v>
      </c>
      <c r="AU175" t="s">
        <v>84</v>
      </c>
      <c r="AV175">
        <v>10274.885833333334</v>
      </c>
    </row>
    <row r="176" spans="1:48" x14ac:dyDescent="0.25">
      <c r="A176">
        <v>0</v>
      </c>
      <c r="B176" t="s">
        <v>338</v>
      </c>
      <c r="C176" t="s">
        <v>106</v>
      </c>
      <c r="D176">
        <v>9137.9</v>
      </c>
      <c r="J176" t="s">
        <v>84</v>
      </c>
      <c r="L176" t="s">
        <v>84</v>
      </c>
      <c r="N176" t="s">
        <v>84</v>
      </c>
      <c r="T176" t="s">
        <v>84</v>
      </c>
      <c r="W176" t="s">
        <v>84</v>
      </c>
      <c r="X176" t="s">
        <v>84</v>
      </c>
      <c r="Y176" t="s">
        <v>84</v>
      </c>
      <c r="AA176" t="s">
        <v>84</v>
      </c>
      <c r="AH176" t="s">
        <v>84</v>
      </c>
      <c r="AK176" t="s">
        <v>84</v>
      </c>
      <c r="AL176" t="s">
        <v>84</v>
      </c>
      <c r="AN176" t="s">
        <v>84</v>
      </c>
      <c r="AT176" t="s">
        <v>84</v>
      </c>
      <c r="AU176" t="s">
        <v>84</v>
      </c>
      <c r="AV176">
        <v>10274.885833333334</v>
      </c>
    </row>
    <row r="177" spans="1:48" x14ac:dyDescent="0.25">
      <c r="A177">
        <v>0</v>
      </c>
      <c r="B177" t="s">
        <v>338</v>
      </c>
      <c r="C177" t="s">
        <v>110</v>
      </c>
      <c r="D177">
        <v>13696</v>
      </c>
      <c r="J177" t="s">
        <v>84</v>
      </c>
      <c r="L177" t="s">
        <v>84</v>
      </c>
      <c r="N177" t="s">
        <v>84</v>
      </c>
      <c r="T177" t="s">
        <v>84</v>
      </c>
      <c r="W177" t="s">
        <v>84</v>
      </c>
      <c r="X177" t="s">
        <v>84</v>
      </c>
      <c r="Y177" t="s">
        <v>84</v>
      </c>
      <c r="AA177" t="s">
        <v>84</v>
      </c>
      <c r="AH177" t="s">
        <v>84</v>
      </c>
      <c r="AK177" t="s">
        <v>84</v>
      </c>
      <c r="AL177" t="s">
        <v>84</v>
      </c>
      <c r="AN177" t="s">
        <v>84</v>
      </c>
      <c r="AT177" t="s">
        <v>84</v>
      </c>
      <c r="AU177" t="s">
        <v>84</v>
      </c>
      <c r="AV177">
        <v>8960</v>
      </c>
    </row>
    <row r="178" spans="1:48" x14ac:dyDescent="0.25">
      <c r="A178">
        <v>1</v>
      </c>
      <c r="B178" t="s">
        <v>338</v>
      </c>
      <c r="C178" t="s">
        <v>110</v>
      </c>
      <c r="D178">
        <v>6656</v>
      </c>
      <c r="F178">
        <v>0</v>
      </c>
      <c r="G178">
        <v>0</v>
      </c>
      <c r="J178" t="s">
        <v>84</v>
      </c>
      <c r="L178" t="s">
        <v>84</v>
      </c>
      <c r="M178">
        <v>0</v>
      </c>
      <c r="N178" t="s">
        <v>84</v>
      </c>
      <c r="O178">
        <v>0</v>
      </c>
      <c r="Q178">
        <v>0</v>
      </c>
      <c r="S178">
        <v>0</v>
      </c>
      <c r="T178" t="s">
        <v>84</v>
      </c>
      <c r="U178">
        <v>0</v>
      </c>
      <c r="W178" t="s">
        <v>84</v>
      </c>
      <c r="X178" t="s">
        <v>84</v>
      </c>
      <c r="Y178" t="s">
        <v>84</v>
      </c>
      <c r="Z178">
        <v>0</v>
      </c>
      <c r="AA178" t="s">
        <v>84</v>
      </c>
      <c r="AB178">
        <v>5200</v>
      </c>
      <c r="AD178">
        <v>0</v>
      </c>
      <c r="AE178">
        <v>0</v>
      </c>
      <c r="AH178" t="s">
        <v>84</v>
      </c>
      <c r="AI178">
        <v>0</v>
      </c>
      <c r="AJ178">
        <v>0</v>
      </c>
      <c r="AK178" t="s">
        <v>84</v>
      </c>
      <c r="AL178" t="s">
        <v>84</v>
      </c>
      <c r="AN178" t="s">
        <v>84</v>
      </c>
      <c r="AQ178">
        <v>0</v>
      </c>
      <c r="AR178">
        <v>0</v>
      </c>
      <c r="AS178">
        <v>0</v>
      </c>
      <c r="AT178" t="s">
        <v>84</v>
      </c>
      <c r="AU178" t="s">
        <v>84</v>
      </c>
      <c r="AV178">
        <v>8960</v>
      </c>
    </row>
    <row r="179" spans="1:48" x14ac:dyDescent="0.25">
      <c r="A179">
        <v>0</v>
      </c>
      <c r="B179" t="s">
        <v>338</v>
      </c>
      <c r="C179" t="s">
        <v>110</v>
      </c>
      <c r="D179">
        <v>6528</v>
      </c>
      <c r="J179" t="s">
        <v>84</v>
      </c>
      <c r="L179" t="s">
        <v>84</v>
      </c>
      <c r="N179" t="s">
        <v>84</v>
      </c>
      <c r="T179" t="s">
        <v>84</v>
      </c>
      <c r="W179" t="s">
        <v>84</v>
      </c>
      <c r="X179" t="s">
        <v>84</v>
      </c>
      <c r="Y179" t="s">
        <v>84</v>
      </c>
      <c r="AA179" t="s">
        <v>84</v>
      </c>
      <c r="AH179" t="s">
        <v>84</v>
      </c>
      <c r="AK179" t="s">
        <v>84</v>
      </c>
      <c r="AL179" t="s">
        <v>84</v>
      </c>
      <c r="AN179" t="s">
        <v>84</v>
      </c>
      <c r="AT179" t="s">
        <v>84</v>
      </c>
      <c r="AU179" t="s">
        <v>84</v>
      </c>
      <c r="AV179">
        <v>8960</v>
      </c>
    </row>
    <row r="180" spans="1:48" x14ac:dyDescent="0.25">
      <c r="A180">
        <v>0</v>
      </c>
      <c r="B180" t="s">
        <v>338</v>
      </c>
      <c r="C180" t="s">
        <v>87</v>
      </c>
      <c r="D180">
        <v>131904.32500000001</v>
      </c>
      <c r="J180" t="s">
        <v>84</v>
      </c>
      <c r="L180" t="s">
        <v>84</v>
      </c>
      <c r="N180" t="s">
        <v>84</v>
      </c>
      <c r="T180" t="s">
        <v>84</v>
      </c>
      <c r="W180" t="s">
        <v>84</v>
      </c>
      <c r="X180" t="s">
        <v>84</v>
      </c>
      <c r="Y180" t="s">
        <v>84</v>
      </c>
      <c r="AA180" t="s">
        <v>84</v>
      </c>
      <c r="AH180" t="s">
        <v>84</v>
      </c>
      <c r="AK180" t="s">
        <v>84</v>
      </c>
      <c r="AL180" t="s">
        <v>84</v>
      </c>
      <c r="AN180" t="s">
        <v>84</v>
      </c>
      <c r="AT180" t="s">
        <v>84</v>
      </c>
      <c r="AU180" t="s">
        <v>84</v>
      </c>
      <c r="AV180">
        <v>108672.35555666668</v>
      </c>
    </row>
    <row r="181" spans="1:48" x14ac:dyDescent="0.25">
      <c r="A181">
        <v>0</v>
      </c>
      <c r="B181" t="s">
        <v>338</v>
      </c>
      <c r="C181" t="s">
        <v>87</v>
      </c>
      <c r="D181">
        <v>85172.616670000003</v>
      </c>
      <c r="J181" t="s">
        <v>84</v>
      </c>
      <c r="L181" t="s">
        <v>84</v>
      </c>
      <c r="N181" t="s">
        <v>84</v>
      </c>
      <c r="T181" t="s">
        <v>84</v>
      </c>
      <c r="W181" t="s">
        <v>84</v>
      </c>
      <c r="X181" t="s">
        <v>84</v>
      </c>
      <c r="Y181" t="s">
        <v>84</v>
      </c>
      <c r="AA181" t="s">
        <v>84</v>
      </c>
      <c r="AH181" t="s">
        <v>84</v>
      </c>
      <c r="AK181" t="s">
        <v>84</v>
      </c>
      <c r="AL181" t="s">
        <v>84</v>
      </c>
      <c r="AN181" t="s">
        <v>84</v>
      </c>
      <c r="AT181" t="s">
        <v>84</v>
      </c>
      <c r="AU181" t="s">
        <v>84</v>
      </c>
      <c r="AV181">
        <v>108672.35555666668</v>
      </c>
    </row>
    <row r="182" spans="1:48" x14ac:dyDescent="0.25">
      <c r="A182">
        <v>1</v>
      </c>
      <c r="B182" t="s">
        <v>338</v>
      </c>
      <c r="C182" t="s">
        <v>87</v>
      </c>
      <c r="D182">
        <v>108940.125</v>
      </c>
      <c r="J182" t="s">
        <v>84</v>
      </c>
      <c r="L182" t="s">
        <v>84</v>
      </c>
      <c r="N182" t="s">
        <v>84</v>
      </c>
      <c r="O182">
        <v>18100</v>
      </c>
      <c r="P182">
        <v>27700</v>
      </c>
      <c r="Q182">
        <v>22750</v>
      </c>
      <c r="R182">
        <v>10920</v>
      </c>
      <c r="T182" t="s">
        <v>84</v>
      </c>
      <c r="W182" t="s">
        <v>84</v>
      </c>
      <c r="X182" t="s">
        <v>84</v>
      </c>
      <c r="Y182" t="s">
        <v>84</v>
      </c>
      <c r="AA182" t="s">
        <v>84</v>
      </c>
      <c r="AH182" t="s">
        <v>84</v>
      </c>
      <c r="AK182" t="s">
        <v>84</v>
      </c>
      <c r="AL182" t="s">
        <v>84</v>
      </c>
      <c r="AN182" t="s">
        <v>84</v>
      </c>
      <c r="AT182" t="s">
        <v>84</v>
      </c>
      <c r="AU182" t="s">
        <v>84</v>
      </c>
      <c r="AV182">
        <v>108672.35555666668</v>
      </c>
    </row>
    <row r="183" spans="1:48" x14ac:dyDescent="0.25">
      <c r="A183">
        <v>0</v>
      </c>
      <c r="B183" t="s">
        <v>338</v>
      </c>
      <c r="C183" t="s">
        <v>98</v>
      </c>
      <c r="D183">
        <v>19100</v>
      </c>
      <c r="J183" t="s">
        <v>84</v>
      </c>
      <c r="L183" t="s">
        <v>84</v>
      </c>
      <c r="N183" t="s">
        <v>84</v>
      </c>
      <c r="T183" t="s">
        <v>84</v>
      </c>
      <c r="W183" t="s">
        <v>84</v>
      </c>
      <c r="X183" t="s">
        <v>84</v>
      </c>
      <c r="Y183" t="s">
        <v>84</v>
      </c>
      <c r="AA183" t="s">
        <v>84</v>
      </c>
      <c r="AH183" t="s">
        <v>84</v>
      </c>
      <c r="AK183" t="s">
        <v>84</v>
      </c>
      <c r="AL183" t="s">
        <v>84</v>
      </c>
      <c r="AN183" t="s">
        <v>84</v>
      </c>
      <c r="AT183" t="s">
        <v>84</v>
      </c>
      <c r="AU183" t="s">
        <v>84</v>
      </c>
      <c r="AV183">
        <v>24616.666666666668</v>
      </c>
    </row>
    <row r="184" spans="1:48" x14ac:dyDescent="0.25">
      <c r="A184">
        <v>0</v>
      </c>
      <c r="B184" t="s">
        <v>338</v>
      </c>
      <c r="C184" t="s">
        <v>98</v>
      </c>
      <c r="D184">
        <v>24250</v>
      </c>
      <c r="J184" t="s">
        <v>84</v>
      </c>
      <c r="L184" t="s">
        <v>84</v>
      </c>
      <c r="N184" t="s">
        <v>84</v>
      </c>
      <c r="T184" t="s">
        <v>84</v>
      </c>
      <c r="W184" t="s">
        <v>84</v>
      </c>
      <c r="X184" t="s">
        <v>84</v>
      </c>
      <c r="Y184" t="s">
        <v>84</v>
      </c>
      <c r="AA184" t="s">
        <v>84</v>
      </c>
      <c r="AH184" t="s">
        <v>84</v>
      </c>
      <c r="AK184" t="s">
        <v>84</v>
      </c>
      <c r="AL184" t="s">
        <v>84</v>
      </c>
      <c r="AN184" t="s">
        <v>84</v>
      </c>
      <c r="AT184" t="s">
        <v>84</v>
      </c>
      <c r="AU184" t="s">
        <v>84</v>
      </c>
      <c r="AV184">
        <v>24616.666666666668</v>
      </c>
    </row>
    <row r="185" spans="1:48" x14ac:dyDescent="0.25">
      <c r="A185">
        <v>1</v>
      </c>
      <c r="B185" t="s">
        <v>260</v>
      </c>
      <c r="C185" t="s">
        <v>98</v>
      </c>
      <c r="D185">
        <v>30500</v>
      </c>
      <c r="J185" t="s">
        <v>84</v>
      </c>
      <c r="L185" t="s">
        <v>84</v>
      </c>
      <c r="N185" t="s">
        <v>84</v>
      </c>
      <c r="T185" t="s">
        <v>84</v>
      </c>
      <c r="V185">
        <v>30500</v>
      </c>
      <c r="W185" t="s">
        <v>84</v>
      </c>
      <c r="X185" t="s">
        <v>84</v>
      </c>
      <c r="Y185" t="s">
        <v>84</v>
      </c>
      <c r="AA185" t="s">
        <v>84</v>
      </c>
      <c r="AH185" t="s">
        <v>84</v>
      </c>
      <c r="AK185" t="s">
        <v>84</v>
      </c>
      <c r="AL185" t="s">
        <v>84</v>
      </c>
      <c r="AN185" t="s">
        <v>84</v>
      </c>
      <c r="AT185" t="s">
        <v>84</v>
      </c>
      <c r="AU185" t="s">
        <v>84</v>
      </c>
      <c r="AV185">
        <v>24616.666666666668</v>
      </c>
    </row>
    <row r="186" spans="1:48" x14ac:dyDescent="0.25">
      <c r="A186">
        <v>0</v>
      </c>
      <c r="B186" t="s">
        <v>260</v>
      </c>
      <c r="C186" t="s">
        <v>125</v>
      </c>
      <c r="D186">
        <v>52050</v>
      </c>
      <c r="J186" t="s">
        <v>84</v>
      </c>
      <c r="L186" t="s">
        <v>84</v>
      </c>
      <c r="N186" t="s">
        <v>84</v>
      </c>
      <c r="T186" t="s">
        <v>84</v>
      </c>
      <c r="W186" t="s">
        <v>84</v>
      </c>
      <c r="X186" t="s">
        <v>84</v>
      </c>
      <c r="Y186" t="s">
        <v>84</v>
      </c>
      <c r="AA186" t="s">
        <v>84</v>
      </c>
      <c r="AH186" t="s">
        <v>84</v>
      </c>
      <c r="AK186" t="s">
        <v>84</v>
      </c>
      <c r="AL186" t="s">
        <v>84</v>
      </c>
      <c r="AN186" t="s">
        <v>84</v>
      </c>
      <c r="AT186" t="s">
        <v>84</v>
      </c>
      <c r="AU186" t="s">
        <v>84</v>
      </c>
      <c r="AV186">
        <v>45025</v>
      </c>
    </row>
    <row r="187" spans="1:48" x14ac:dyDescent="0.25">
      <c r="A187">
        <v>1</v>
      </c>
      <c r="B187" t="s">
        <v>260</v>
      </c>
      <c r="C187" t="s">
        <v>125</v>
      </c>
      <c r="D187">
        <v>38000</v>
      </c>
      <c r="J187" t="s">
        <v>84</v>
      </c>
      <c r="L187" t="s">
        <v>84</v>
      </c>
      <c r="N187" t="s">
        <v>84</v>
      </c>
      <c r="T187" t="s">
        <v>84</v>
      </c>
      <c r="W187" t="s">
        <v>84</v>
      </c>
      <c r="X187" t="s">
        <v>84</v>
      </c>
      <c r="Y187" t="s">
        <v>84</v>
      </c>
      <c r="AA187" t="s">
        <v>84</v>
      </c>
      <c r="AC187">
        <v>38000</v>
      </c>
      <c r="AH187" t="s">
        <v>84</v>
      </c>
      <c r="AK187" t="s">
        <v>84</v>
      </c>
      <c r="AL187" t="s">
        <v>84</v>
      </c>
      <c r="AN187" t="s">
        <v>84</v>
      </c>
      <c r="AT187" t="s">
        <v>84</v>
      </c>
      <c r="AU187" t="s">
        <v>84</v>
      </c>
      <c r="AV187">
        <v>45025</v>
      </c>
    </row>
    <row r="188" spans="1:48" x14ac:dyDescent="0.25">
      <c r="A188">
        <v>0</v>
      </c>
      <c r="B188" t="s">
        <v>260</v>
      </c>
      <c r="C188" t="s">
        <v>185</v>
      </c>
      <c r="D188">
        <v>19693.75</v>
      </c>
      <c r="J188" t="s">
        <v>84</v>
      </c>
      <c r="L188" t="s">
        <v>84</v>
      </c>
      <c r="N188" t="s">
        <v>84</v>
      </c>
      <c r="T188" t="s">
        <v>84</v>
      </c>
      <c r="W188" t="s">
        <v>84</v>
      </c>
      <c r="X188" t="s">
        <v>84</v>
      </c>
      <c r="Y188" t="s">
        <v>84</v>
      </c>
      <c r="AA188" t="s">
        <v>84</v>
      </c>
      <c r="AH188" t="s">
        <v>84</v>
      </c>
      <c r="AK188" t="s">
        <v>84</v>
      </c>
      <c r="AL188" t="s">
        <v>84</v>
      </c>
      <c r="AN188" t="s">
        <v>84</v>
      </c>
      <c r="AT188" t="s">
        <v>84</v>
      </c>
      <c r="AU188" t="s">
        <v>84</v>
      </c>
      <c r="AV188">
        <v>15807.516666666666</v>
      </c>
    </row>
    <row r="189" spans="1:48" x14ac:dyDescent="0.25">
      <c r="A189">
        <v>1</v>
      </c>
      <c r="B189" t="s">
        <v>260</v>
      </c>
      <c r="C189" t="s">
        <v>185</v>
      </c>
      <c r="D189">
        <v>13155.424999999999</v>
      </c>
      <c r="J189" t="s">
        <v>84</v>
      </c>
      <c r="L189" t="s">
        <v>84</v>
      </c>
      <c r="N189" t="s">
        <v>84</v>
      </c>
      <c r="T189" t="s">
        <v>84</v>
      </c>
      <c r="W189" t="s">
        <v>84</v>
      </c>
      <c r="X189" t="s">
        <v>84</v>
      </c>
      <c r="Y189" t="s">
        <v>84</v>
      </c>
      <c r="AA189" t="s">
        <v>84</v>
      </c>
      <c r="AH189" t="s">
        <v>84</v>
      </c>
      <c r="AK189" t="s">
        <v>84</v>
      </c>
      <c r="AL189" t="s">
        <v>84</v>
      </c>
      <c r="AN189" t="s">
        <v>84</v>
      </c>
      <c r="AT189" t="s">
        <v>84</v>
      </c>
      <c r="AU189" t="s">
        <v>84</v>
      </c>
      <c r="AV189">
        <v>15807.516666666666</v>
      </c>
    </row>
    <row r="190" spans="1:48" x14ac:dyDescent="0.25">
      <c r="A190">
        <v>0</v>
      </c>
      <c r="B190" t="s">
        <v>260</v>
      </c>
      <c r="C190" t="s">
        <v>185</v>
      </c>
      <c r="D190">
        <v>14573.375</v>
      </c>
      <c r="J190" t="s">
        <v>84</v>
      </c>
      <c r="L190" t="s">
        <v>84</v>
      </c>
      <c r="N190" t="s">
        <v>84</v>
      </c>
      <c r="T190" t="s">
        <v>84</v>
      </c>
      <c r="W190" t="s">
        <v>84</v>
      </c>
      <c r="X190" t="s">
        <v>84</v>
      </c>
      <c r="Y190" t="s">
        <v>84</v>
      </c>
      <c r="AA190" t="s">
        <v>84</v>
      </c>
      <c r="AH190" t="s">
        <v>84</v>
      </c>
      <c r="AK190" t="s">
        <v>84</v>
      </c>
      <c r="AL190" t="s">
        <v>84</v>
      </c>
      <c r="AN190" t="s">
        <v>84</v>
      </c>
      <c r="AT190" t="s">
        <v>84</v>
      </c>
      <c r="AU190" t="s">
        <v>84</v>
      </c>
      <c r="AV190">
        <v>15807.516666666666</v>
      </c>
    </row>
    <row r="191" spans="1:48" x14ac:dyDescent="0.25">
      <c r="A191">
        <v>0</v>
      </c>
      <c r="B191" t="s">
        <v>260</v>
      </c>
      <c r="C191" t="s">
        <v>92</v>
      </c>
      <c r="D191">
        <v>68240</v>
      </c>
      <c r="J191" t="s">
        <v>84</v>
      </c>
      <c r="L191" t="s">
        <v>84</v>
      </c>
      <c r="N191" t="s">
        <v>84</v>
      </c>
      <c r="T191" t="s">
        <v>84</v>
      </c>
      <c r="W191" t="s">
        <v>84</v>
      </c>
      <c r="X191" t="s">
        <v>84</v>
      </c>
      <c r="Y191" t="s">
        <v>84</v>
      </c>
      <c r="AA191" t="s">
        <v>84</v>
      </c>
      <c r="AH191" t="s">
        <v>84</v>
      </c>
      <c r="AK191" t="s">
        <v>84</v>
      </c>
      <c r="AL191" t="s">
        <v>84</v>
      </c>
      <c r="AN191" t="s">
        <v>84</v>
      </c>
      <c r="AT191" t="s">
        <v>84</v>
      </c>
      <c r="AU191" t="s">
        <v>84</v>
      </c>
      <c r="AV191">
        <v>42320</v>
      </c>
    </row>
    <row r="192" spans="1:48" x14ac:dyDescent="0.25">
      <c r="A192">
        <v>1</v>
      </c>
      <c r="B192" t="s">
        <v>260</v>
      </c>
      <c r="C192" t="s">
        <v>92</v>
      </c>
      <c r="D192">
        <v>28520</v>
      </c>
      <c r="H192">
        <v>28520</v>
      </c>
      <c r="J192" t="s">
        <v>84</v>
      </c>
      <c r="L192" t="s">
        <v>84</v>
      </c>
      <c r="N192" t="s">
        <v>84</v>
      </c>
      <c r="T192" t="s">
        <v>84</v>
      </c>
      <c r="W192" t="s">
        <v>84</v>
      </c>
      <c r="X192" t="s">
        <v>84</v>
      </c>
      <c r="Y192" t="s">
        <v>84</v>
      </c>
      <c r="AA192" t="s">
        <v>84</v>
      </c>
      <c r="AH192" t="s">
        <v>84</v>
      </c>
      <c r="AK192" t="s">
        <v>84</v>
      </c>
      <c r="AL192" t="s">
        <v>84</v>
      </c>
      <c r="AN192" t="s">
        <v>84</v>
      </c>
      <c r="AT192" t="s">
        <v>84</v>
      </c>
      <c r="AU192" t="s">
        <v>84</v>
      </c>
      <c r="AV192">
        <v>42320</v>
      </c>
    </row>
    <row r="193" spans="1:48" x14ac:dyDescent="0.25">
      <c r="A193">
        <v>0</v>
      </c>
      <c r="B193" t="s">
        <v>260</v>
      </c>
      <c r="C193" t="s">
        <v>92</v>
      </c>
      <c r="D193">
        <v>30200</v>
      </c>
      <c r="J193" t="s">
        <v>84</v>
      </c>
      <c r="L193" t="s">
        <v>84</v>
      </c>
      <c r="N193" t="s">
        <v>84</v>
      </c>
      <c r="T193" t="s">
        <v>84</v>
      </c>
      <c r="W193" t="s">
        <v>84</v>
      </c>
      <c r="X193" t="s">
        <v>84</v>
      </c>
      <c r="Y193" t="s">
        <v>84</v>
      </c>
      <c r="AA193" t="s">
        <v>84</v>
      </c>
      <c r="AH193" t="s">
        <v>84</v>
      </c>
      <c r="AK193" t="s">
        <v>84</v>
      </c>
      <c r="AL193" t="s">
        <v>84</v>
      </c>
      <c r="AN193" t="s">
        <v>84</v>
      </c>
      <c r="AT193" t="s">
        <v>84</v>
      </c>
      <c r="AU193" t="s">
        <v>84</v>
      </c>
      <c r="AV193">
        <v>42320</v>
      </c>
    </row>
    <row r="194" spans="1:48" x14ac:dyDescent="0.25">
      <c r="A194">
        <v>0</v>
      </c>
      <c r="B194" t="s">
        <v>260</v>
      </c>
      <c r="C194" t="s">
        <v>80</v>
      </c>
      <c r="D194">
        <v>828919.11840000004</v>
      </c>
      <c r="J194" t="s">
        <v>84</v>
      </c>
      <c r="L194" t="s">
        <v>84</v>
      </c>
      <c r="N194" t="s">
        <v>84</v>
      </c>
      <c r="T194" t="s">
        <v>84</v>
      </c>
      <c r="W194" t="s">
        <v>84</v>
      </c>
      <c r="X194" t="s">
        <v>84</v>
      </c>
      <c r="Y194" t="s">
        <v>84</v>
      </c>
      <c r="AA194" t="s">
        <v>84</v>
      </c>
      <c r="AH194" t="s">
        <v>84</v>
      </c>
      <c r="AK194" t="s">
        <v>84</v>
      </c>
      <c r="AL194" t="s">
        <v>84</v>
      </c>
      <c r="AN194" t="s">
        <v>84</v>
      </c>
      <c r="AT194" t="s">
        <v>84</v>
      </c>
      <c r="AU194" t="s">
        <v>84</v>
      </c>
      <c r="AV194">
        <v>786422.47120000003</v>
      </c>
    </row>
    <row r="195" spans="1:48" x14ac:dyDescent="0.25">
      <c r="A195">
        <v>1</v>
      </c>
      <c r="B195" t="s">
        <v>260</v>
      </c>
      <c r="C195" t="s">
        <v>80</v>
      </c>
      <c r="D195">
        <v>743925.82400000002</v>
      </c>
      <c r="F195">
        <v>40397.5</v>
      </c>
      <c r="G195">
        <v>53600</v>
      </c>
      <c r="J195" t="s">
        <v>84</v>
      </c>
      <c r="L195" t="s">
        <v>84</v>
      </c>
      <c r="M195">
        <v>60000</v>
      </c>
      <c r="N195" t="s">
        <v>84</v>
      </c>
      <c r="O195">
        <v>0</v>
      </c>
      <c r="Q195">
        <v>0</v>
      </c>
      <c r="S195">
        <v>96250</v>
      </c>
      <c r="T195" t="s">
        <v>84</v>
      </c>
      <c r="U195">
        <v>3000</v>
      </c>
      <c r="W195" t="s">
        <v>84</v>
      </c>
      <c r="X195" t="s">
        <v>84</v>
      </c>
      <c r="Y195" t="s">
        <v>84</v>
      </c>
      <c r="Z195">
        <v>39130</v>
      </c>
      <c r="AA195" t="s">
        <v>84</v>
      </c>
      <c r="AB195">
        <v>8400</v>
      </c>
      <c r="AD195">
        <v>11700</v>
      </c>
      <c r="AE195">
        <v>125911.5</v>
      </c>
      <c r="AH195" t="s">
        <v>84</v>
      </c>
      <c r="AI195">
        <v>8000</v>
      </c>
      <c r="AJ195">
        <v>81703.05</v>
      </c>
      <c r="AK195" t="s">
        <v>84</v>
      </c>
      <c r="AL195" t="s">
        <v>84</v>
      </c>
      <c r="AN195" t="s">
        <v>84</v>
      </c>
      <c r="AQ195">
        <v>53100</v>
      </c>
      <c r="AR195">
        <v>0</v>
      </c>
      <c r="AS195">
        <v>0</v>
      </c>
      <c r="AT195" t="s">
        <v>84</v>
      </c>
      <c r="AU195" t="s">
        <v>84</v>
      </c>
      <c r="AV195">
        <v>786422.47120000003</v>
      </c>
    </row>
    <row r="196" spans="1:48" x14ac:dyDescent="0.25">
      <c r="A196">
        <v>0</v>
      </c>
      <c r="B196" t="s">
        <v>260</v>
      </c>
      <c r="C196" t="s">
        <v>106</v>
      </c>
      <c r="D196">
        <v>12273.145</v>
      </c>
      <c r="J196" t="s">
        <v>84</v>
      </c>
      <c r="L196" t="s">
        <v>84</v>
      </c>
      <c r="N196" t="s">
        <v>84</v>
      </c>
      <c r="T196" t="s">
        <v>84</v>
      </c>
      <c r="W196" t="s">
        <v>84</v>
      </c>
      <c r="X196" t="s">
        <v>84</v>
      </c>
      <c r="Y196" t="s">
        <v>84</v>
      </c>
      <c r="AA196" t="s">
        <v>84</v>
      </c>
      <c r="AH196" t="s">
        <v>84</v>
      </c>
      <c r="AK196" t="s">
        <v>84</v>
      </c>
      <c r="AL196" t="s">
        <v>84</v>
      </c>
      <c r="AN196" t="s">
        <v>84</v>
      </c>
      <c r="AT196" t="s">
        <v>84</v>
      </c>
      <c r="AU196" t="s">
        <v>84</v>
      </c>
      <c r="AV196">
        <v>8015.3562500000007</v>
      </c>
    </row>
    <row r="197" spans="1:48" x14ac:dyDescent="0.25">
      <c r="A197">
        <v>1</v>
      </c>
      <c r="B197" t="s">
        <v>260</v>
      </c>
      <c r="C197" t="s">
        <v>106</v>
      </c>
      <c r="D197">
        <v>3757.5675000000001</v>
      </c>
      <c r="J197" t="s">
        <v>84</v>
      </c>
      <c r="K197">
        <v>1700</v>
      </c>
      <c r="L197" t="s">
        <v>84</v>
      </c>
      <c r="N197" t="s">
        <v>84</v>
      </c>
      <c r="T197" t="s">
        <v>84</v>
      </c>
      <c r="W197" t="s">
        <v>84</v>
      </c>
      <c r="X197" t="s">
        <v>84</v>
      </c>
      <c r="Y197" t="s">
        <v>84</v>
      </c>
      <c r="AA197" t="s">
        <v>84</v>
      </c>
      <c r="AF197">
        <v>685</v>
      </c>
      <c r="AH197" t="s">
        <v>84</v>
      </c>
      <c r="AK197" t="s">
        <v>84</v>
      </c>
      <c r="AL197" t="s">
        <v>84</v>
      </c>
      <c r="AN197" t="s">
        <v>84</v>
      </c>
      <c r="AT197" t="s">
        <v>84</v>
      </c>
      <c r="AU197" t="s">
        <v>84</v>
      </c>
      <c r="AV197">
        <v>8015.3562500000007</v>
      </c>
    </row>
    <row r="198" spans="1:48" x14ac:dyDescent="0.25">
      <c r="A198">
        <v>0</v>
      </c>
      <c r="B198" t="s">
        <v>260</v>
      </c>
      <c r="C198" t="s">
        <v>110</v>
      </c>
      <c r="D198">
        <v>17766</v>
      </c>
      <c r="J198" t="s">
        <v>84</v>
      </c>
      <c r="L198" t="s">
        <v>84</v>
      </c>
      <c r="N198" t="s">
        <v>84</v>
      </c>
      <c r="T198" t="s">
        <v>84</v>
      </c>
      <c r="W198" t="s">
        <v>84</v>
      </c>
      <c r="X198" t="s">
        <v>84</v>
      </c>
      <c r="Y198" t="s">
        <v>84</v>
      </c>
      <c r="AA198" t="s">
        <v>84</v>
      </c>
      <c r="AH198" t="s">
        <v>84</v>
      </c>
      <c r="AK198" t="s">
        <v>84</v>
      </c>
      <c r="AL198" t="s">
        <v>84</v>
      </c>
      <c r="AN198" t="s">
        <v>84</v>
      </c>
      <c r="AT198" t="s">
        <v>84</v>
      </c>
      <c r="AU198" t="s">
        <v>84</v>
      </c>
      <c r="AV198">
        <v>15561</v>
      </c>
    </row>
    <row r="199" spans="1:48" x14ac:dyDescent="0.25">
      <c r="A199">
        <v>1</v>
      </c>
      <c r="B199" t="s">
        <v>260</v>
      </c>
      <c r="C199" t="s">
        <v>110</v>
      </c>
      <c r="D199">
        <v>13356</v>
      </c>
      <c r="F199">
        <v>0</v>
      </c>
      <c r="G199">
        <v>0</v>
      </c>
      <c r="J199" t="s">
        <v>84</v>
      </c>
      <c r="L199" t="s">
        <v>84</v>
      </c>
      <c r="M199">
        <v>0</v>
      </c>
      <c r="N199" t="s">
        <v>84</v>
      </c>
      <c r="O199">
        <v>0</v>
      </c>
      <c r="Q199">
        <v>0</v>
      </c>
      <c r="S199">
        <v>0</v>
      </c>
      <c r="T199" t="s">
        <v>84</v>
      </c>
      <c r="U199">
        <v>0</v>
      </c>
      <c r="W199" t="s">
        <v>84</v>
      </c>
      <c r="X199" t="s">
        <v>84</v>
      </c>
      <c r="Y199" t="s">
        <v>84</v>
      </c>
      <c r="Z199">
        <v>0</v>
      </c>
      <c r="AA199" t="s">
        <v>84</v>
      </c>
      <c r="AB199">
        <v>10600</v>
      </c>
      <c r="AD199">
        <v>0</v>
      </c>
      <c r="AE199">
        <v>0</v>
      </c>
      <c r="AH199" t="s">
        <v>84</v>
      </c>
      <c r="AI199">
        <v>0</v>
      </c>
      <c r="AJ199">
        <v>0</v>
      </c>
      <c r="AK199" t="s">
        <v>84</v>
      </c>
      <c r="AL199" t="s">
        <v>84</v>
      </c>
      <c r="AN199" t="s">
        <v>84</v>
      </c>
      <c r="AQ199">
        <v>0</v>
      </c>
      <c r="AR199">
        <v>0</v>
      </c>
      <c r="AS199">
        <v>0</v>
      </c>
      <c r="AT199" t="s">
        <v>84</v>
      </c>
      <c r="AU199" t="s">
        <v>84</v>
      </c>
      <c r="AV199">
        <v>15561</v>
      </c>
    </row>
    <row r="200" spans="1:48" x14ac:dyDescent="0.25">
      <c r="A200">
        <v>0</v>
      </c>
      <c r="B200" t="s">
        <v>260</v>
      </c>
      <c r="C200" t="s">
        <v>87</v>
      </c>
      <c r="D200">
        <v>111646.15</v>
      </c>
      <c r="J200" t="s">
        <v>84</v>
      </c>
      <c r="L200" t="s">
        <v>84</v>
      </c>
      <c r="N200" t="s">
        <v>84</v>
      </c>
      <c r="T200" t="s">
        <v>84</v>
      </c>
      <c r="W200" t="s">
        <v>84</v>
      </c>
      <c r="X200" t="s">
        <v>84</v>
      </c>
      <c r="Y200" t="s">
        <v>84</v>
      </c>
      <c r="AA200" t="s">
        <v>84</v>
      </c>
      <c r="AH200" t="s">
        <v>84</v>
      </c>
      <c r="AK200" t="s">
        <v>84</v>
      </c>
      <c r="AL200" t="s">
        <v>84</v>
      </c>
      <c r="AN200" t="s">
        <v>84</v>
      </c>
      <c r="AT200" t="s">
        <v>84</v>
      </c>
      <c r="AU200" t="s">
        <v>84</v>
      </c>
      <c r="AV200">
        <v>131253.17914999998</v>
      </c>
    </row>
    <row r="201" spans="1:48" x14ac:dyDescent="0.25">
      <c r="A201">
        <v>1</v>
      </c>
      <c r="B201" t="s">
        <v>260</v>
      </c>
      <c r="C201" t="s">
        <v>87</v>
      </c>
      <c r="D201">
        <v>150860.2083</v>
      </c>
      <c r="J201" t="s">
        <v>84</v>
      </c>
      <c r="L201" t="s">
        <v>84</v>
      </c>
      <c r="N201" t="s">
        <v>84</v>
      </c>
      <c r="O201">
        <v>47350</v>
      </c>
      <c r="P201">
        <v>33450</v>
      </c>
      <c r="Q201">
        <v>10500</v>
      </c>
      <c r="R201">
        <v>18750</v>
      </c>
      <c r="T201" t="s">
        <v>84</v>
      </c>
      <c r="W201" t="s">
        <v>84</v>
      </c>
      <c r="X201" t="s">
        <v>84</v>
      </c>
      <c r="Y201" t="s">
        <v>84</v>
      </c>
      <c r="AA201" t="s">
        <v>84</v>
      </c>
      <c r="AH201" t="s">
        <v>84</v>
      </c>
      <c r="AK201" t="s">
        <v>84</v>
      </c>
      <c r="AL201" t="s">
        <v>84</v>
      </c>
      <c r="AN201" t="s">
        <v>84</v>
      </c>
      <c r="AT201" t="s">
        <v>84</v>
      </c>
      <c r="AU201" t="s">
        <v>84</v>
      </c>
      <c r="AV201">
        <v>131253.17914999998</v>
      </c>
    </row>
    <row r="202" spans="1:48" x14ac:dyDescent="0.25">
      <c r="A202">
        <v>0</v>
      </c>
      <c r="B202" t="s">
        <v>260</v>
      </c>
      <c r="C202" t="s">
        <v>98</v>
      </c>
      <c r="D202">
        <v>37350</v>
      </c>
      <c r="J202" t="s">
        <v>84</v>
      </c>
      <c r="L202" t="s">
        <v>84</v>
      </c>
      <c r="N202" t="s">
        <v>84</v>
      </c>
      <c r="T202" t="s">
        <v>84</v>
      </c>
      <c r="W202" t="s">
        <v>84</v>
      </c>
      <c r="X202" t="s">
        <v>84</v>
      </c>
      <c r="Y202" t="s">
        <v>84</v>
      </c>
      <c r="AA202" t="s">
        <v>84</v>
      </c>
      <c r="AH202" t="s">
        <v>84</v>
      </c>
      <c r="AK202" t="s">
        <v>84</v>
      </c>
      <c r="AL202" t="s">
        <v>84</v>
      </c>
      <c r="AN202" t="s">
        <v>84</v>
      </c>
      <c r="AT202" t="s">
        <v>84</v>
      </c>
      <c r="AU202" t="s">
        <v>84</v>
      </c>
      <c r="AV202">
        <v>36783.333333333336</v>
      </c>
    </row>
    <row r="203" spans="1:48" x14ac:dyDescent="0.25">
      <c r="A203">
        <v>1</v>
      </c>
      <c r="B203" t="s">
        <v>260</v>
      </c>
      <c r="C203" t="s">
        <v>98</v>
      </c>
      <c r="D203">
        <v>47650</v>
      </c>
      <c r="J203" t="s">
        <v>84</v>
      </c>
      <c r="L203" t="s">
        <v>84</v>
      </c>
      <c r="N203" t="s">
        <v>84</v>
      </c>
      <c r="T203" t="s">
        <v>84</v>
      </c>
      <c r="V203">
        <v>47650</v>
      </c>
      <c r="W203" t="s">
        <v>84</v>
      </c>
      <c r="X203" t="s">
        <v>84</v>
      </c>
      <c r="Y203" t="s">
        <v>84</v>
      </c>
      <c r="AA203" t="s">
        <v>84</v>
      </c>
      <c r="AH203" t="s">
        <v>84</v>
      </c>
      <c r="AK203" t="s">
        <v>84</v>
      </c>
      <c r="AL203" t="s">
        <v>84</v>
      </c>
      <c r="AN203" t="s">
        <v>84</v>
      </c>
      <c r="AT203" t="s">
        <v>84</v>
      </c>
      <c r="AU203" t="s">
        <v>84</v>
      </c>
      <c r="AV203">
        <v>36783.333333333336</v>
      </c>
    </row>
    <row r="204" spans="1:48" x14ac:dyDescent="0.25">
      <c r="A204">
        <v>0</v>
      </c>
      <c r="B204" t="s">
        <v>260</v>
      </c>
      <c r="C204" t="s">
        <v>98</v>
      </c>
      <c r="D204">
        <v>25350</v>
      </c>
      <c r="J204" t="s">
        <v>84</v>
      </c>
      <c r="L204" t="s">
        <v>84</v>
      </c>
      <c r="N204" t="s">
        <v>84</v>
      </c>
      <c r="T204" t="s">
        <v>84</v>
      </c>
      <c r="W204" t="s">
        <v>84</v>
      </c>
      <c r="X204" t="s">
        <v>84</v>
      </c>
      <c r="Y204" t="s">
        <v>84</v>
      </c>
      <c r="AA204" t="s">
        <v>84</v>
      </c>
      <c r="AH204" t="s">
        <v>84</v>
      </c>
      <c r="AK204" t="s">
        <v>84</v>
      </c>
      <c r="AL204" t="s">
        <v>84</v>
      </c>
      <c r="AN204" t="s">
        <v>84</v>
      </c>
      <c r="AT204" t="s">
        <v>84</v>
      </c>
      <c r="AU204" t="s">
        <v>84</v>
      </c>
      <c r="AV204">
        <v>36783.333333333336</v>
      </c>
    </row>
    <row r="205" spans="1:48" x14ac:dyDescent="0.25">
      <c r="A205">
        <v>0</v>
      </c>
      <c r="B205" t="s">
        <v>260</v>
      </c>
      <c r="C205" t="s">
        <v>92</v>
      </c>
      <c r="D205">
        <v>25640</v>
      </c>
      <c r="J205" t="s">
        <v>84</v>
      </c>
      <c r="L205" t="s">
        <v>84</v>
      </c>
      <c r="N205" t="s">
        <v>84</v>
      </c>
      <c r="T205" t="s">
        <v>84</v>
      </c>
      <c r="W205" t="s">
        <v>84</v>
      </c>
      <c r="X205" t="s">
        <v>84</v>
      </c>
      <c r="Y205" t="s">
        <v>84</v>
      </c>
      <c r="AA205" t="s">
        <v>84</v>
      </c>
      <c r="AH205" t="s">
        <v>84</v>
      </c>
      <c r="AK205" t="s">
        <v>84</v>
      </c>
      <c r="AL205" t="s">
        <v>84</v>
      </c>
      <c r="AN205" t="s">
        <v>84</v>
      </c>
      <c r="AT205" t="s">
        <v>84</v>
      </c>
      <c r="AU205" t="s">
        <v>84</v>
      </c>
      <c r="AV205">
        <v>26493.333333333332</v>
      </c>
    </row>
    <row r="206" spans="1:48" x14ac:dyDescent="0.25">
      <c r="A206">
        <v>0</v>
      </c>
      <c r="B206" t="s">
        <v>260</v>
      </c>
      <c r="C206" t="s">
        <v>92</v>
      </c>
      <c r="D206">
        <v>31420</v>
      </c>
      <c r="J206" t="s">
        <v>84</v>
      </c>
      <c r="L206" t="s">
        <v>84</v>
      </c>
      <c r="N206" t="s">
        <v>84</v>
      </c>
      <c r="T206" t="s">
        <v>84</v>
      </c>
      <c r="W206" t="s">
        <v>84</v>
      </c>
      <c r="X206" t="s">
        <v>84</v>
      </c>
      <c r="Y206" t="s">
        <v>84</v>
      </c>
      <c r="AA206" t="s">
        <v>84</v>
      </c>
      <c r="AH206" t="s">
        <v>84</v>
      </c>
      <c r="AK206" t="s">
        <v>84</v>
      </c>
      <c r="AL206" t="s">
        <v>84</v>
      </c>
      <c r="AN206" t="s">
        <v>84</v>
      </c>
      <c r="AT206" t="s">
        <v>84</v>
      </c>
      <c r="AU206" t="s">
        <v>84</v>
      </c>
      <c r="AV206">
        <v>26493.333333333332</v>
      </c>
    </row>
    <row r="207" spans="1:48" x14ac:dyDescent="0.25">
      <c r="A207">
        <v>1</v>
      </c>
      <c r="B207" t="s">
        <v>260</v>
      </c>
      <c r="C207" t="s">
        <v>92</v>
      </c>
      <c r="D207">
        <v>22420</v>
      </c>
      <c r="H207">
        <v>22420</v>
      </c>
      <c r="J207" t="s">
        <v>84</v>
      </c>
      <c r="L207" t="s">
        <v>84</v>
      </c>
      <c r="N207" t="s">
        <v>84</v>
      </c>
      <c r="T207" t="s">
        <v>84</v>
      </c>
      <c r="W207" t="s">
        <v>84</v>
      </c>
      <c r="X207" t="s">
        <v>84</v>
      </c>
      <c r="Y207" t="s">
        <v>84</v>
      </c>
      <c r="AA207" t="s">
        <v>84</v>
      </c>
      <c r="AH207" t="s">
        <v>84</v>
      </c>
      <c r="AK207" t="s">
        <v>84</v>
      </c>
      <c r="AL207" t="s">
        <v>84</v>
      </c>
      <c r="AN207" t="s">
        <v>84</v>
      </c>
      <c r="AT207" t="s">
        <v>84</v>
      </c>
      <c r="AU207" t="s">
        <v>84</v>
      </c>
      <c r="AV207">
        <v>26493.333333333332</v>
      </c>
    </row>
    <row r="208" spans="1:48" x14ac:dyDescent="0.25">
      <c r="A208">
        <v>0</v>
      </c>
      <c r="B208" t="s">
        <v>260</v>
      </c>
      <c r="C208" t="s">
        <v>125</v>
      </c>
      <c r="D208">
        <v>41950</v>
      </c>
      <c r="J208" t="s">
        <v>84</v>
      </c>
      <c r="L208" t="s">
        <v>84</v>
      </c>
      <c r="N208" t="s">
        <v>84</v>
      </c>
      <c r="T208" t="s">
        <v>84</v>
      </c>
      <c r="W208" t="s">
        <v>84</v>
      </c>
      <c r="X208" t="s">
        <v>84</v>
      </c>
      <c r="Y208" t="s">
        <v>84</v>
      </c>
      <c r="AA208" t="s">
        <v>84</v>
      </c>
      <c r="AH208" t="s">
        <v>84</v>
      </c>
      <c r="AK208" t="s">
        <v>84</v>
      </c>
      <c r="AL208" t="s">
        <v>84</v>
      </c>
      <c r="AN208" t="s">
        <v>84</v>
      </c>
      <c r="AT208" t="s">
        <v>84</v>
      </c>
      <c r="AU208" t="s">
        <v>84</v>
      </c>
      <c r="AV208">
        <v>33925</v>
      </c>
    </row>
    <row r="209" spans="1:48" x14ac:dyDescent="0.25">
      <c r="A209">
        <v>1</v>
      </c>
      <c r="B209" t="s">
        <v>260</v>
      </c>
      <c r="C209" t="s">
        <v>125</v>
      </c>
      <c r="D209">
        <v>25900</v>
      </c>
      <c r="J209" t="s">
        <v>84</v>
      </c>
      <c r="L209" t="s">
        <v>84</v>
      </c>
      <c r="N209" t="s">
        <v>84</v>
      </c>
      <c r="T209" t="s">
        <v>84</v>
      </c>
      <c r="W209" t="s">
        <v>84</v>
      </c>
      <c r="X209" t="s">
        <v>84</v>
      </c>
      <c r="Y209" t="s">
        <v>84</v>
      </c>
      <c r="AA209" t="s">
        <v>84</v>
      </c>
      <c r="AC209">
        <v>25900</v>
      </c>
      <c r="AH209" t="s">
        <v>84</v>
      </c>
      <c r="AK209" t="s">
        <v>84</v>
      </c>
      <c r="AL209" t="s">
        <v>84</v>
      </c>
      <c r="AN209" t="s">
        <v>84</v>
      </c>
      <c r="AT209" t="s">
        <v>84</v>
      </c>
      <c r="AU209" t="s">
        <v>84</v>
      </c>
      <c r="AV209">
        <v>33925</v>
      </c>
    </row>
    <row r="210" spans="1:48" x14ac:dyDescent="0.25">
      <c r="A210">
        <v>0</v>
      </c>
      <c r="B210" t="s">
        <v>260</v>
      </c>
      <c r="C210" t="s">
        <v>121</v>
      </c>
      <c r="D210">
        <v>175300.40669999999</v>
      </c>
      <c r="J210" t="s">
        <v>84</v>
      </c>
      <c r="L210" t="s">
        <v>84</v>
      </c>
      <c r="N210" t="s">
        <v>84</v>
      </c>
      <c r="T210" t="s">
        <v>84</v>
      </c>
      <c r="W210" t="s">
        <v>84</v>
      </c>
      <c r="X210" t="s">
        <v>84</v>
      </c>
      <c r="Y210" t="s">
        <v>84</v>
      </c>
      <c r="AA210" t="s">
        <v>84</v>
      </c>
      <c r="AH210" t="s">
        <v>84</v>
      </c>
      <c r="AK210" t="s">
        <v>84</v>
      </c>
      <c r="AL210" t="s">
        <v>84</v>
      </c>
      <c r="AN210" t="s">
        <v>84</v>
      </c>
      <c r="AT210" t="s">
        <v>84</v>
      </c>
      <c r="AU210" t="s">
        <v>84</v>
      </c>
      <c r="AV210">
        <v>169276.77456666666</v>
      </c>
    </row>
    <row r="211" spans="1:48" x14ac:dyDescent="0.25">
      <c r="A211">
        <v>0</v>
      </c>
      <c r="B211" t="s">
        <v>260</v>
      </c>
      <c r="C211" t="s">
        <v>121</v>
      </c>
      <c r="D211">
        <v>147033.4357</v>
      </c>
      <c r="J211" t="s">
        <v>84</v>
      </c>
      <c r="L211" t="s">
        <v>84</v>
      </c>
      <c r="N211" t="s">
        <v>84</v>
      </c>
      <c r="T211" t="s">
        <v>84</v>
      </c>
      <c r="W211" t="s">
        <v>84</v>
      </c>
      <c r="X211" t="s">
        <v>84</v>
      </c>
      <c r="Y211" t="s">
        <v>84</v>
      </c>
      <c r="AA211" t="s">
        <v>84</v>
      </c>
      <c r="AH211" t="s">
        <v>84</v>
      </c>
      <c r="AK211" t="s">
        <v>84</v>
      </c>
      <c r="AL211" t="s">
        <v>84</v>
      </c>
      <c r="AN211" t="s">
        <v>84</v>
      </c>
      <c r="AT211" t="s">
        <v>84</v>
      </c>
      <c r="AU211" t="s">
        <v>84</v>
      </c>
      <c r="AV211">
        <v>169276.77456666666</v>
      </c>
    </row>
    <row r="212" spans="1:48" x14ac:dyDescent="0.25">
      <c r="A212">
        <v>1</v>
      </c>
      <c r="B212" t="s">
        <v>260</v>
      </c>
      <c r="C212" t="s">
        <v>121</v>
      </c>
      <c r="D212">
        <v>185496.48130000001</v>
      </c>
      <c r="G212">
        <v>0</v>
      </c>
      <c r="I212">
        <v>3392</v>
      </c>
      <c r="J212" t="s">
        <v>84</v>
      </c>
      <c r="L212" t="s">
        <v>84</v>
      </c>
      <c r="N212" t="s">
        <v>84</v>
      </c>
      <c r="S212">
        <v>2020</v>
      </c>
      <c r="T212" t="s">
        <v>84</v>
      </c>
      <c r="U212">
        <v>12844</v>
      </c>
      <c r="W212" t="s">
        <v>84</v>
      </c>
      <c r="X212" t="s">
        <v>84</v>
      </c>
      <c r="Y212" t="s">
        <v>84</v>
      </c>
      <c r="AA212" t="s">
        <v>84</v>
      </c>
      <c r="AB212">
        <v>0</v>
      </c>
      <c r="AD212">
        <v>24828</v>
      </c>
      <c r="AG212">
        <v>11772</v>
      </c>
      <c r="AH212" t="s">
        <v>84</v>
      </c>
      <c r="AI212">
        <v>16110</v>
      </c>
      <c r="AJ212">
        <v>48507</v>
      </c>
      <c r="AK212" t="s">
        <v>84</v>
      </c>
      <c r="AL212" t="s">
        <v>84</v>
      </c>
      <c r="AM212">
        <v>6252</v>
      </c>
      <c r="AN212" t="s">
        <v>84</v>
      </c>
      <c r="AP212">
        <v>2352</v>
      </c>
      <c r="AR212">
        <v>1963</v>
      </c>
      <c r="AS212">
        <v>4364</v>
      </c>
      <c r="AT212" t="s">
        <v>84</v>
      </c>
      <c r="AU212" t="s">
        <v>84</v>
      </c>
      <c r="AV212">
        <v>169276.77456666666</v>
      </c>
    </row>
    <row r="213" spans="1:48" x14ac:dyDescent="0.25">
      <c r="A213">
        <v>0</v>
      </c>
      <c r="B213" t="s">
        <v>260</v>
      </c>
      <c r="C213" t="s">
        <v>151</v>
      </c>
      <c r="D213">
        <v>131202.5</v>
      </c>
      <c r="J213" t="s">
        <v>84</v>
      </c>
      <c r="L213" t="s">
        <v>84</v>
      </c>
      <c r="N213" t="s">
        <v>84</v>
      </c>
      <c r="T213" t="s">
        <v>84</v>
      </c>
      <c r="W213" t="s">
        <v>84</v>
      </c>
      <c r="X213" t="s">
        <v>84</v>
      </c>
      <c r="Y213" t="s">
        <v>84</v>
      </c>
      <c r="AA213" t="s">
        <v>84</v>
      </c>
      <c r="AH213" t="s">
        <v>84</v>
      </c>
      <c r="AK213" t="s">
        <v>84</v>
      </c>
      <c r="AL213" t="s">
        <v>84</v>
      </c>
      <c r="AN213" t="s">
        <v>84</v>
      </c>
      <c r="AT213" t="s">
        <v>84</v>
      </c>
      <c r="AU213" t="s">
        <v>84</v>
      </c>
      <c r="AV213">
        <v>116983.75</v>
      </c>
    </row>
    <row r="214" spans="1:48" x14ac:dyDescent="0.25">
      <c r="A214">
        <v>1</v>
      </c>
      <c r="B214" t="s">
        <v>260</v>
      </c>
      <c r="C214" t="s">
        <v>151</v>
      </c>
      <c r="D214">
        <v>102765</v>
      </c>
      <c r="E214">
        <v>64250</v>
      </c>
      <c r="J214" t="s">
        <v>84</v>
      </c>
      <c r="L214" t="s">
        <v>84</v>
      </c>
      <c r="N214" t="s">
        <v>84</v>
      </c>
      <c r="T214" t="s">
        <v>84</v>
      </c>
      <c r="U214">
        <v>1300</v>
      </c>
      <c r="V214">
        <v>0</v>
      </c>
      <c r="W214" t="s">
        <v>84</v>
      </c>
      <c r="X214" t="s">
        <v>84</v>
      </c>
      <c r="Y214" t="s">
        <v>84</v>
      </c>
      <c r="AA214" t="s">
        <v>84</v>
      </c>
      <c r="AB214">
        <v>6000</v>
      </c>
      <c r="AG214">
        <v>7500</v>
      </c>
      <c r="AH214" t="s">
        <v>84</v>
      </c>
      <c r="AK214" t="s">
        <v>84</v>
      </c>
      <c r="AL214" t="s">
        <v>84</v>
      </c>
      <c r="AN214" t="s">
        <v>84</v>
      </c>
      <c r="AT214" t="s">
        <v>84</v>
      </c>
      <c r="AU214" t="s">
        <v>84</v>
      </c>
      <c r="AV214">
        <v>116983.75</v>
      </c>
    </row>
    <row r="215" spans="1:48" x14ac:dyDescent="0.25">
      <c r="A215">
        <v>0</v>
      </c>
      <c r="B215" t="s">
        <v>260</v>
      </c>
      <c r="C215" t="s">
        <v>80</v>
      </c>
      <c r="D215">
        <v>651508.09499999997</v>
      </c>
      <c r="J215" t="s">
        <v>84</v>
      </c>
      <c r="L215" t="s">
        <v>84</v>
      </c>
      <c r="N215" t="s">
        <v>84</v>
      </c>
      <c r="T215" t="s">
        <v>84</v>
      </c>
      <c r="W215" t="s">
        <v>84</v>
      </c>
      <c r="X215" t="s">
        <v>84</v>
      </c>
      <c r="Y215" t="s">
        <v>84</v>
      </c>
      <c r="AA215" t="s">
        <v>84</v>
      </c>
      <c r="AH215" t="s">
        <v>84</v>
      </c>
      <c r="AK215" t="s">
        <v>84</v>
      </c>
      <c r="AL215" t="s">
        <v>84</v>
      </c>
      <c r="AN215" t="s">
        <v>84</v>
      </c>
      <c r="AT215" t="s">
        <v>84</v>
      </c>
      <c r="AU215" t="s">
        <v>84</v>
      </c>
      <c r="AV215">
        <v>758314.41500000004</v>
      </c>
    </row>
    <row r="216" spans="1:48" x14ac:dyDescent="0.25">
      <c r="A216">
        <v>1</v>
      </c>
      <c r="B216" t="s">
        <v>260</v>
      </c>
      <c r="C216" t="s">
        <v>80</v>
      </c>
      <c r="D216">
        <v>746640.52500000002</v>
      </c>
      <c r="F216">
        <v>45045</v>
      </c>
      <c r="G216">
        <v>53050</v>
      </c>
      <c r="J216" t="s">
        <v>84</v>
      </c>
      <c r="L216" t="s">
        <v>84</v>
      </c>
      <c r="M216">
        <v>50000</v>
      </c>
      <c r="N216" t="s">
        <v>84</v>
      </c>
      <c r="O216">
        <v>0</v>
      </c>
      <c r="Q216">
        <v>0</v>
      </c>
      <c r="S216">
        <v>100200</v>
      </c>
      <c r="T216" t="s">
        <v>84</v>
      </c>
      <c r="U216">
        <v>3600</v>
      </c>
      <c r="W216" t="s">
        <v>84</v>
      </c>
      <c r="X216" t="s">
        <v>84</v>
      </c>
      <c r="Y216" t="s">
        <v>84</v>
      </c>
      <c r="Z216">
        <v>28164</v>
      </c>
      <c r="AA216" t="s">
        <v>84</v>
      </c>
      <c r="AB216">
        <v>12000</v>
      </c>
      <c r="AD216">
        <v>18500</v>
      </c>
      <c r="AE216">
        <v>137709</v>
      </c>
      <c r="AH216" t="s">
        <v>84</v>
      </c>
      <c r="AI216">
        <v>38000</v>
      </c>
      <c r="AJ216">
        <v>81644.42</v>
      </c>
      <c r="AK216" t="s">
        <v>84</v>
      </c>
      <c r="AL216" t="s">
        <v>84</v>
      </c>
      <c r="AN216" t="s">
        <v>84</v>
      </c>
      <c r="AQ216">
        <v>29400</v>
      </c>
      <c r="AR216">
        <v>0</v>
      </c>
      <c r="AS216">
        <v>0</v>
      </c>
      <c r="AT216" t="s">
        <v>84</v>
      </c>
      <c r="AU216" t="s">
        <v>84</v>
      </c>
      <c r="AV216">
        <v>758314.41500000004</v>
      </c>
    </row>
    <row r="217" spans="1:48" x14ac:dyDescent="0.25">
      <c r="A217">
        <v>0</v>
      </c>
      <c r="B217" t="s">
        <v>260</v>
      </c>
      <c r="C217" t="s">
        <v>80</v>
      </c>
      <c r="D217">
        <v>876794.625</v>
      </c>
      <c r="J217" t="s">
        <v>84</v>
      </c>
      <c r="L217" t="s">
        <v>84</v>
      </c>
      <c r="N217" t="s">
        <v>84</v>
      </c>
      <c r="T217" t="s">
        <v>84</v>
      </c>
      <c r="W217" t="s">
        <v>84</v>
      </c>
      <c r="X217" t="s">
        <v>84</v>
      </c>
      <c r="Y217" t="s">
        <v>84</v>
      </c>
      <c r="AA217" t="s">
        <v>84</v>
      </c>
      <c r="AH217" t="s">
        <v>84</v>
      </c>
      <c r="AK217" t="s">
        <v>84</v>
      </c>
      <c r="AL217" t="s">
        <v>84</v>
      </c>
      <c r="AN217" t="s">
        <v>84</v>
      </c>
      <c r="AT217" t="s">
        <v>84</v>
      </c>
      <c r="AU217" t="s">
        <v>84</v>
      </c>
      <c r="AV217">
        <v>758314.41500000004</v>
      </c>
    </row>
    <row r="218" spans="1:48" x14ac:dyDescent="0.25">
      <c r="A218">
        <v>0</v>
      </c>
      <c r="B218" t="s">
        <v>260</v>
      </c>
      <c r="C218" t="s">
        <v>106</v>
      </c>
      <c r="D218">
        <v>6207.47</v>
      </c>
      <c r="J218" t="s">
        <v>84</v>
      </c>
      <c r="L218" t="s">
        <v>84</v>
      </c>
      <c r="N218" t="s">
        <v>84</v>
      </c>
      <c r="T218" t="s">
        <v>84</v>
      </c>
      <c r="W218" t="s">
        <v>84</v>
      </c>
      <c r="X218" t="s">
        <v>84</v>
      </c>
      <c r="Y218" t="s">
        <v>84</v>
      </c>
      <c r="AA218" t="s">
        <v>84</v>
      </c>
      <c r="AH218" t="s">
        <v>84</v>
      </c>
      <c r="AK218" t="s">
        <v>84</v>
      </c>
      <c r="AL218" t="s">
        <v>84</v>
      </c>
      <c r="AN218" t="s">
        <v>84</v>
      </c>
      <c r="AT218" t="s">
        <v>84</v>
      </c>
      <c r="AU218" t="s">
        <v>84</v>
      </c>
      <c r="AV218">
        <v>4912.9341666666669</v>
      </c>
    </row>
    <row r="219" spans="1:48" x14ac:dyDescent="0.25">
      <c r="A219">
        <v>1</v>
      </c>
      <c r="B219" t="s">
        <v>260</v>
      </c>
      <c r="C219" t="s">
        <v>106</v>
      </c>
      <c r="D219">
        <v>5356.7</v>
      </c>
      <c r="J219" t="s">
        <v>84</v>
      </c>
      <c r="K219">
        <v>2350</v>
      </c>
      <c r="L219" t="s">
        <v>84</v>
      </c>
      <c r="N219" t="s">
        <v>84</v>
      </c>
      <c r="T219" t="s">
        <v>84</v>
      </c>
      <c r="W219" t="s">
        <v>84</v>
      </c>
      <c r="X219" t="s">
        <v>84</v>
      </c>
      <c r="Y219" t="s">
        <v>84</v>
      </c>
      <c r="AA219" t="s">
        <v>84</v>
      </c>
      <c r="AF219">
        <v>1050</v>
      </c>
      <c r="AH219" t="s">
        <v>84</v>
      </c>
      <c r="AK219" t="s">
        <v>84</v>
      </c>
      <c r="AL219" t="s">
        <v>84</v>
      </c>
      <c r="AN219" t="s">
        <v>84</v>
      </c>
      <c r="AT219" t="s">
        <v>84</v>
      </c>
      <c r="AU219" t="s">
        <v>84</v>
      </c>
      <c r="AV219">
        <v>4912.9341666666669</v>
      </c>
    </row>
    <row r="220" spans="1:48" x14ac:dyDescent="0.25">
      <c r="A220">
        <v>0</v>
      </c>
      <c r="B220" t="s">
        <v>260</v>
      </c>
      <c r="C220" t="s">
        <v>106</v>
      </c>
      <c r="D220">
        <v>3174.6325000000002</v>
      </c>
      <c r="J220" t="s">
        <v>84</v>
      </c>
      <c r="L220" t="s">
        <v>84</v>
      </c>
      <c r="N220" t="s">
        <v>84</v>
      </c>
      <c r="T220" t="s">
        <v>84</v>
      </c>
      <c r="W220" t="s">
        <v>84</v>
      </c>
      <c r="X220" t="s">
        <v>84</v>
      </c>
      <c r="Y220" t="s">
        <v>84</v>
      </c>
      <c r="AA220" t="s">
        <v>84</v>
      </c>
      <c r="AH220" t="s">
        <v>84</v>
      </c>
      <c r="AK220" t="s">
        <v>84</v>
      </c>
      <c r="AL220" t="s">
        <v>84</v>
      </c>
      <c r="AN220" t="s">
        <v>84</v>
      </c>
      <c r="AT220" t="s">
        <v>84</v>
      </c>
      <c r="AU220" t="s">
        <v>84</v>
      </c>
      <c r="AV220">
        <v>4912.9341666666669</v>
      </c>
    </row>
    <row r="221" spans="1:48" x14ac:dyDescent="0.25">
      <c r="A221">
        <v>0</v>
      </c>
      <c r="B221" t="s">
        <v>260</v>
      </c>
      <c r="C221" t="s">
        <v>110</v>
      </c>
      <c r="D221">
        <v>19592</v>
      </c>
      <c r="J221" t="s">
        <v>84</v>
      </c>
      <c r="L221" t="s">
        <v>84</v>
      </c>
      <c r="N221" t="s">
        <v>84</v>
      </c>
      <c r="T221" t="s">
        <v>84</v>
      </c>
      <c r="W221" t="s">
        <v>84</v>
      </c>
      <c r="X221" t="s">
        <v>84</v>
      </c>
      <c r="Y221" t="s">
        <v>84</v>
      </c>
      <c r="AA221" t="s">
        <v>84</v>
      </c>
      <c r="AH221" t="s">
        <v>84</v>
      </c>
      <c r="AK221" t="s">
        <v>84</v>
      </c>
      <c r="AL221" t="s">
        <v>84</v>
      </c>
      <c r="AN221" t="s">
        <v>84</v>
      </c>
      <c r="AT221" t="s">
        <v>84</v>
      </c>
      <c r="AU221" t="s">
        <v>84</v>
      </c>
      <c r="AV221">
        <v>14893</v>
      </c>
    </row>
    <row r="222" spans="1:48" x14ac:dyDescent="0.25">
      <c r="A222">
        <v>1</v>
      </c>
      <c r="B222" t="s">
        <v>260</v>
      </c>
      <c r="C222" t="s">
        <v>110</v>
      </c>
      <c r="D222">
        <v>8704</v>
      </c>
      <c r="F222">
        <v>0</v>
      </c>
      <c r="G222">
        <v>0</v>
      </c>
      <c r="J222" t="s">
        <v>84</v>
      </c>
      <c r="L222" t="s">
        <v>84</v>
      </c>
      <c r="M222">
        <v>0</v>
      </c>
      <c r="N222" t="s">
        <v>84</v>
      </c>
      <c r="O222">
        <v>0</v>
      </c>
      <c r="Q222">
        <v>0</v>
      </c>
      <c r="S222">
        <v>0</v>
      </c>
      <c r="T222" t="s">
        <v>84</v>
      </c>
      <c r="U222">
        <v>0</v>
      </c>
      <c r="W222" t="s">
        <v>84</v>
      </c>
      <c r="X222" t="s">
        <v>84</v>
      </c>
      <c r="Y222" t="s">
        <v>84</v>
      </c>
      <c r="Z222">
        <v>0</v>
      </c>
      <c r="AA222" t="s">
        <v>84</v>
      </c>
      <c r="AB222">
        <v>6800</v>
      </c>
      <c r="AD222">
        <v>0</v>
      </c>
      <c r="AE222">
        <v>0</v>
      </c>
      <c r="AH222" t="s">
        <v>84</v>
      </c>
      <c r="AI222">
        <v>0</v>
      </c>
      <c r="AJ222">
        <v>0</v>
      </c>
      <c r="AK222" t="s">
        <v>84</v>
      </c>
      <c r="AL222" t="s">
        <v>84</v>
      </c>
      <c r="AN222" t="s">
        <v>84</v>
      </c>
      <c r="AQ222">
        <v>0</v>
      </c>
      <c r="AR222">
        <v>0</v>
      </c>
      <c r="AS222">
        <v>0</v>
      </c>
      <c r="AT222" t="s">
        <v>84</v>
      </c>
      <c r="AU222" t="s">
        <v>84</v>
      </c>
      <c r="AV222">
        <v>14893</v>
      </c>
    </row>
    <row r="223" spans="1:48" x14ac:dyDescent="0.25">
      <c r="A223">
        <v>0</v>
      </c>
      <c r="B223" t="s">
        <v>260</v>
      </c>
      <c r="C223" t="s">
        <v>110</v>
      </c>
      <c r="D223">
        <v>16383</v>
      </c>
      <c r="J223" t="s">
        <v>84</v>
      </c>
      <c r="L223" t="s">
        <v>84</v>
      </c>
      <c r="N223" t="s">
        <v>84</v>
      </c>
      <c r="T223" t="s">
        <v>84</v>
      </c>
      <c r="W223" t="s">
        <v>84</v>
      </c>
      <c r="X223" t="s">
        <v>84</v>
      </c>
      <c r="Y223" t="s">
        <v>84</v>
      </c>
      <c r="AA223" t="s">
        <v>84</v>
      </c>
      <c r="AH223" t="s">
        <v>84</v>
      </c>
      <c r="AK223" t="s">
        <v>84</v>
      </c>
      <c r="AL223" t="s">
        <v>84</v>
      </c>
      <c r="AN223" t="s">
        <v>84</v>
      </c>
      <c r="AT223" t="s">
        <v>84</v>
      </c>
      <c r="AU223" t="s">
        <v>84</v>
      </c>
      <c r="AV223">
        <v>14893</v>
      </c>
    </row>
    <row r="224" spans="1:48" x14ac:dyDescent="0.25">
      <c r="A224">
        <v>0</v>
      </c>
      <c r="B224" t="s">
        <v>260</v>
      </c>
      <c r="C224" t="s">
        <v>114</v>
      </c>
      <c r="D224">
        <v>38700</v>
      </c>
      <c r="J224" t="s">
        <v>84</v>
      </c>
      <c r="L224" t="s">
        <v>84</v>
      </c>
      <c r="N224" t="s">
        <v>84</v>
      </c>
      <c r="T224" t="s">
        <v>84</v>
      </c>
      <c r="W224" t="s">
        <v>84</v>
      </c>
      <c r="X224" t="s">
        <v>84</v>
      </c>
      <c r="Y224" t="s">
        <v>84</v>
      </c>
      <c r="AA224" t="s">
        <v>84</v>
      </c>
      <c r="AH224" t="s">
        <v>84</v>
      </c>
      <c r="AK224" t="s">
        <v>84</v>
      </c>
      <c r="AL224" t="s">
        <v>84</v>
      </c>
      <c r="AN224" t="s">
        <v>84</v>
      </c>
      <c r="AT224" t="s">
        <v>84</v>
      </c>
      <c r="AU224" t="s">
        <v>84</v>
      </c>
      <c r="AV224">
        <v>47966.666666666664</v>
      </c>
    </row>
    <row r="225" spans="1:48" x14ac:dyDescent="0.25">
      <c r="A225">
        <v>0</v>
      </c>
      <c r="B225" t="s">
        <v>260</v>
      </c>
      <c r="C225" t="s">
        <v>114</v>
      </c>
      <c r="D225">
        <v>50000</v>
      </c>
      <c r="J225" t="s">
        <v>84</v>
      </c>
      <c r="L225" t="s">
        <v>84</v>
      </c>
      <c r="N225" t="s">
        <v>84</v>
      </c>
      <c r="T225" t="s">
        <v>84</v>
      </c>
      <c r="W225" t="s">
        <v>84</v>
      </c>
      <c r="X225" t="s">
        <v>84</v>
      </c>
      <c r="Y225" t="s">
        <v>84</v>
      </c>
      <c r="AA225" t="s">
        <v>84</v>
      </c>
      <c r="AH225" t="s">
        <v>84</v>
      </c>
      <c r="AK225" t="s">
        <v>84</v>
      </c>
      <c r="AL225" t="s">
        <v>84</v>
      </c>
      <c r="AN225" t="s">
        <v>84</v>
      </c>
      <c r="AT225" t="s">
        <v>84</v>
      </c>
      <c r="AU225" t="s">
        <v>84</v>
      </c>
      <c r="AV225">
        <v>47966.666666666664</v>
      </c>
    </row>
    <row r="226" spans="1:48" x14ac:dyDescent="0.25">
      <c r="A226">
        <v>1</v>
      </c>
      <c r="B226" t="s">
        <v>260</v>
      </c>
      <c r="C226" t="s">
        <v>114</v>
      </c>
      <c r="D226">
        <v>55200</v>
      </c>
      <c r="J226" t="s">
        <v>84</v>
      </c>
      <c r="L226" t="s">
        <v>84</v>
      </c>
      <c r="N226" t="s">
        <v>84</v>
      </c>
      <c r="T226" t="s">
        <v>84</v>
      </c>
      <c r="W226" t="s">
        <v>84</v>
      </c>
      <c r="X226" t="s">
        <v>84</v>
      </c>
      <c r="Y226" t="s">
        <v>84</v>
      </c>
      <c r="AA226" t="s">
        <v>84</v>
      </c>
      <c r="AH226" t="s">
        <v>84</v>
      </c>
      <c r="AK226" t="s">
        <v>84</v>
      </c>
      <c r="AL226" t="s">
        <v>84</v>
      </c>
      <c r="AN226" t="s">
        <v>84</v>
      </c>
      <c r="AO226">
        <v>55200</v>
      </c>
      <c r="AT226" t="s">
        <v>84</v>
      </c>
      <c r="AU226" t="s">
        <v>84</v>
      </c>
      <c r="AV226">
        <v>47966.666666666664</v>
      </c>
    </row>
    <row r="227" spans="1:48" x14ac:dyDescent="0.25">
      <c r="A227">
        <v>0</v>
      </c>
      <c r="B227" t="s">
        <v>260</v>
      </c>
      <c r="C227" t="s">
        <v>92</v>
      </c>
      <c r="D227">
        <v>24500</v>
      </c>
      <c r="J227" t="s">
        <v>84</v>
      </c>
      <c r="L227" t="s">
        <v>84</v>
      </c>
      <c r="N227" t="s">
        <v>84</v>
      </c>
      <c r="T227" t="s">
        <v>84</v>
      </c>
      <c r="W227" t="s">
        <v>84</v>
      </c>
      <c r="X227" t="s">
        <v>84</v>
      </c>
      <c r="Y227" t="s">
        <v>84</v>
      </c>
      <c r="AA227" t="s">
        <v>84</v>
      </c>
      <c r="AH227" t="s">
        <v>84</v>
      </c>
      <c r="AK227" t="s">
        <v>84</v>
      </c>
      <c r="AL227" t="s">
        <v>84</v>
      </c>
      <c r="AN227" t="s">
        <v>84</v>
      </c>
      <c r="AT227" t="s">
        <v>84</v>
      </c>
      <c r="AU227" t="s">
        <v>84</v>
      </c>
      <c r="AV227">
        <v>25766.666666666668</v>
      </c>
    </row>
    <row r="228" spans="1:48" x14ac:dyDescent="0.25">
      <c r="A228">
        <v>1</v>
      </c>
      <c r="B228" t="s">
        <v>260</v>
      </c>
      <c r="C228" t="s">
        <v>92</v>
      </c>
      <c r="D228">
        <v>20690</v>
      </c>
      <c r="H228">
        <v>20690</v>
      </c>
      <c r="J228" t="s">
        <v>84</v>
      </c>
      <c r="L228" t="s">
        <v>84</v>
      </c>
      <c r="N228" t="s">
        <v>84</v>
      </c>
      <c r="T228" t="s">
        <v>84</v>
      </c>
      <c r="W228" t="s">
        <v>84</v>
      </c>
      <c r="X228" t="s">
        <v>84</v>
      </c>
      <c r="Y228" t="s">
        <v>84</v>
      </c>
      <c r="AA228" t="s">
        <v>84</v>
      </c>
      <c r="AH228" t="s">
        <v>84</v>
      </c>
      <c r="AK228" t="s">
        <v>84</v>
      </c>
      <c r="AL228" t="s">
        <v>84</v>
      </c>
      <c r="AN228" t="s">
        <v>84</v>
      </c>
      <c r="AT228" t="s">
        <v>84</v>
      </c>
      <c r="AU228" t="s">
        <v>84</v>
      </c>
      <c r="AV228">
        <v>25766.666666666668</v>
      </c>
    </row>
    <row r="229" spans="1:48" x14ac:dyDescent="0.25">
      <c r="A229">
        <v>0</v>
      </c>
      <c r="B229" t="s">
        <v>260</v>
      </c>
      <c r="C229" t="s">
        <v>92</v>
      </c>
      <c r="D229">
        <v>32110</v>
      </c>
      <c r="J229" t="s">
        <v>84</v>
      </c>
      <c r="L229" t="s">
        <v>84</v>
      </c>
      <c r="N229" t="s">
        <v>84</v>
      </c>
      <c r="T229" t="s">
        <v>84</v>
      </c>
      <c r="W229" t="s">
        <v>84</v>
      </c>
      <c r="X229" t="s">
        <v>84</v>
      </c>
      <c r="Y229" t="s">
        <v>84</v>
      </c>
      <c r="AA229" t="s">
        <v>84</v>
      </c>
      <c r="AH229" t="s">
        <v>84</v>
      </c>
      <c r="AK229" t="s">
        <v>84</v>
      </c>
      <c r="AL229" t="s">
        <v>84</v>
      </c>
      <c r="AN229" t="s">
        <v>84</v>
      </c>
      <c r="AT229" t="s">
        <v>84</v>
      </c>
      <c r="AU229" t="s">
        <v>84</v>
      </c>
      <c r="AV229">
        <v>25766.666666666668</v>
      </c>
    </row>
    <row r="230" spans="1:48" x14ac:dyDescent="0.25">
      <c r="A230">
        <v>0</v>
      </c>
      <c r="B230" t="s">
        <v>260</v>
      </c>
      <c r="C230" t="s">
        <v>80</v>
      </c>
      <c r="D230">
        <v>783241.875</v>
      </c>
      <c r="J230" t="s">
        <v>84</v>
      </c>
      <c r="L230" t="s">
        <v>84</v>
      </c>
      <c r="N230" t="s">
        <v>84</v>
      </c>
      <c r="T230" t="s">
        <v>84</v>
      </c>
      <c r="W230" t="s">
        <v>84</v>
      </c>
      <c r="X230" t="s">
        <v>84</v>
      </c>
      <c r="Y230" t="s">
        <v>84</v>
      </c>
      <c r="AA230" t="s">
        <v>84</v>
      </c>
      <c r="AH230" t="s">
        <v>84</v>
      </c>
      <c r="AK230" t="s">
        <v>84</v>
      </c>
      <c r="AL230" t="s">
        <v>84</v>
      </c>
      <c r="AN230" t="s">
        <v>84</v>
      </c>
      <c r="AT230" t="s">
        <v>84</v>
      </c>
      <c r="AU230" t="s">
        <v>84</v>
      </c>
      <c r="AV230">
        <v>711043.51246666664</v>
      </c>
    </row>
    <row r="231" spans="1:48" x14ac:dyDescent="0.25">
      <c r="A231">
        <v>1</v>
      </c>
      <c r="B231" t="s">
        <v>260</v>
      </c>
      <c r="C231" t="s">
        <v>80</v>
      </c>
      <c r="D231">
        <v>613851.47239999997</v>
      </c>
      <c r="F231">
        <v>20377.5</v>
      </c>
      <c r="G231">
        <v>5300</v>
      </c>
      <c r="J231" t="s">
        <v>84</v>
      </c>
      <c r="L231" t="s">
        <v>84</v>
      </c>
      <c r="M231">
        <v>55000</v>
      </c>
      <c r="N231" t="s">
        <v>84</v>
      </c>
      <c r="O231">
        <v>0</v>
      </c>
      <c r="Q231">
        <v>0</v>
      </c>
      <c r="S231">
        <v>85100</v>
      </c>
      <c r="T231" t="s">
        <v>84</v>
      </c>
      <c r="U231">
        <v>2400</v>
      </c>
      <c r="W231" t="s">
        <v>84</v>
      </c>
      <c r="X231" t="s">
        <v>84</v>
      </c>
      <c r="Y231" t="s">
        <v>84</v>
      </c>
      <c r="Z231">
        <v>20825</v>
      </c>
      <c r="AA231" t="s">
        <v>84</v>
      </c>
      <c r="AB231">
        <v>7000</v>
      </c>
      <c r="AD231">
        <v>10600</v>
      </c>
      <c r="AE231">
        <v>165451</v>
      </c>
      <c r="AH231" t="s">
        <v>84</v>
      </c>
      <c r="AI231">
        <v>2900</v>
      </c>
      <c r="AJ231">
        <v>96678.01</v>
      </c>
      <c r="AK231" t="s">
        <v>84</v>
      </c>
      <c r="AL231" t="s">
        <v>84</v>
      </c>
      <c r="AN231" t="s">
        <v>84</v>
      </c>
      <c r="AQ231">
        <v>23410</v>
      </c>
      <c r="AR231">
        <v>0</v>
      </c>
      <c r="AS231">
        <v>0</v>
      </c>
      <c r="AT231" t="s">
        <v>84</v>
      </c>
      <c r="AU231" t="s">
        <v>84</v>
      </c>
      <c r="AV231">
        <v>711043.51246666664</v>
      </c>
    </row>
    <row r="232" spans="1:48" x14ac:dyDescent="0.25">
      <c r="A232">
        <v>0</v>
      </c>
      <c r="B232" t="s">
        <v>260</v>
      </c>
      <c r="C232" t="s">
        <v>80</v>
      </c>
      <c r="D232">
        <v>736037.19</v>
      </c>
      <c r="J232" t="s">
        <v>84</v>
      </c>
      <c r="L232" t="s">
        <v>84</v>
      </c>
      <c r="N232" t="s">
        <v>84</v>
      </c>
      <c r="T232" t="s">
        <v>84</v>
      </c>
      <c r="W232" t="s">
        <v>84</v>
      </c>
      <c r="X232" t="s">
        <v>84</v>
      </c>
      <c r="Y232" t="s">
        <v>84</v>
      </c>
      <c r="AA232" t="s">
        <v>84</v>
      </c>
      <c r="AH232" t="s">
        <v>84</v>
      </c>
      <c r="AK232" t="s">
        <v>84</v>
      </c>
      <c r="AL232" t="s">
        <v>84</v>
      </c>
      <c r="AN232" t="s">
        <v>84</v>
      </c>
      <c r="AT232" t="s">
        <v>84</v>
      </c>
      <c r="AU232" t="s">
        <v>84</v>
      </c>
      <c r="AV232">
        <v>711043.51246666664</v>
      </c>
    </row>
    <row r="233" spans="1:48" x14ac:dyDescent="0.25">
      <c r="A233">
        <v>0</v>
      </c>
      <c r="B233" t="s">
        <v>260</v>
      </c>
      <c r="C233" t="s">
        <v>106</v>
      </c>
      <c r="D233">
        <v>3883.6075000000001</v>
      </c>
      <c r="J233" t="s">
        <v>84</v>
      </c>
      <c r="L233" t="s">
        <v>84</v>
      </c>
      <c r="N233" t="s">
        <v>84</v>
      </c>
      <c r="T233" t="s">
        <v>84</v>
      </c>
      <c r="W233" t="s">
        <v>84</v>
      </c>
      <c r="X233" t="s">
        <v>84</v>
      </c>
      <c r="Y233" t="s">
        <v>84</v>
      </c>
      <c r="AA233" t="s">
        <v>84</v>
      </c>
      <c r="AH233" t="s">
        <v>84</v>
      </c>
      <c r="AK233" t="s">
        <v>84</v>
      </c>
      <c r="AL233" t="s">
        <v>84</v>
      </c>
      <c r="AN233" t="s">
        <v>84</v>
      </c>
      <c r="AT233" t="s">
        <v>84</v>
      </c>
      <c r="AU233" t="s">
        <v>84</v>
      </c>
      <c r="AV233">
        <v>5621.9091666666673</v>
      </c>
    </row>
    <row r="234" spans="1:48" x14ac:dyDescent="0.25">
      <c r="A234">
        <v>1</v>
      </c>
      <c r="B234" t="s">
        <v>260</v>
      </c>
      <c r="C234" t="s">
        <v>106</v>
      </c>
      <c r="D234">
        <v>7207.9125000000004</v>
      </c>
      <c r="J234" t="s">
        <v>84</v>
      </c>
      <c r="K234">
        <v>2500</v>
      </c>
      <c r="L234" t="s">
        <v>84</v>
      </c>
      <c r="N234" t="s">
        <v>84</v>
      </c>
      <c r="T234" t="s">
        <v>84</v>
      </c>
      <c r="W234" t="s">
        <v>84</v>
      </c>
      <c r="X234" t="s">
        <v>84</v>
      </c>
      <c r="Y234" t="s">
        <v>84</v>
      </c>
      <c r="AA234" t="s">
        <v>84</v>
      </c>
      <c r="AF234">
        <v>2075</v>
      </c>
      <c r="AH234" t="s">
        <v>84</v>
      </c>
      <c r="AK234" t="s">
        <v>84</v>
      </c>
      <c r="AL234" t="s">
        <v>84</v>
      </c>
      <c r="AN234" t="s">
        <v>84</v>
      </c>
      <c r="AT234" t="s">
        <v>84</v>
      </c>
      <c r="AU234" t="s">
        <v>84</v>
      </c>
      <c r="AV234">
        <v>5621.9091666666673</v>
      </c>
    </row>
    <row r="235" spans="1:48" x14ac:dyDescent="0.25">
      <c r="A235">
        <v>0</v>
      </c>
      <c r="B235" t="s">
        <v>260</v>
      </c>
      <c r="C235" t="s">
        <v>106</v>
      </c>
      <c r="D235">
        <v>5774.2075000000004</v>
      </c>
      <c r="J235" t="s">
        <v>84</v>
      </c>
      <c r="L235" t="s">
        <v>84</v>
      </c>
      <c r="N235" t="s">
        <v>84</v>
      </c>
      <c r="T235" t="s">
        <v>84</v>
      </c>
      <c r="W235" t="s">
        <v>84</v>
      </c>
      <c r="X235" t="s">
        <v>84</v>
      </c>
      <c r="Y235" t="s">
        <v>84</v>
      </c>
      <c r="AA235" t="s">
        <v>84</v>
      </c>
      <c r="AH235" t="s">
        <v>84</v>
      </c>
      <c r="AK235" t="s">
        <v>84</v>
      </c>
      <c r="AL235" t="s">
        <v>84</v>
      </c>
      <c r="AN235" t="s">
        <v>84</v>
      </c>
      <c r="AT235" t="s">
        <v>84</v>
      </c>
      <c r="AU235" t="s">
        <v>84</v>
      </c>
      <c r="AV235">
        <v>5621.9091666666673</v>
      </c>
    </row>
    <row r="236" spans="1:48" x14ac:dyDescent="0.25">
      <c r="A236">
        <v>0</v>
      </c>
      <c r="B236" t="s">
        <v>260</v>
      </c>
      <c r="C236" t="s">
        <v>110</v>
      </c>
      <c r="D236">
        <v>9271</v>
      </c>
      <c r="J236" t="s">
        <v>84</v>
      </c>
      <c r="L236" t="s">
        <v>84</v>
      </c>
      <c r="N236" t="s">
        <v>84</v>
      </c>
      <c r="T236" t="s">
        <v>84</v>
      </c>
      <c r="W236" t="s">
        <v>84</v>
      </c>
      <c r="X236" t="s">
        <v>84</v>
      </c>
      <c r="Y236" t="s">
        <v>84</v>
      </c>
      <c r="AA236" t="s">
        <v>84</v>
      </c>
      <c r="AH236" t="s">
        <v>84</v>
      </c>
      <c r="AK236" t="s">
        <v>84</v>
      </c>
      <c r="AL236" t="s">
        <v>84</v>
      </c>
      <c r="AN236" t="s">
        <v>84</v>
      </c>
      <c r="AT236" t="s">
        <v>84</v>
      </c>
      <c r="AU236" t="s">
        <v>84</v>
      </c>
      <c r="AV236">
        <v>16903.666666666668</v>
      </c>
    </row>
    <row r="237" spans="1:48" x14ac:dyDescent="0.25">
      <c r="A237">
        <v>1</v>
      </c>
      <c r="B237" t="s">
        <v>260</v>
      </c>
      <c r="C237" t="s">
        <v>110</v>
      </c>
      <c r="D237">
        <v>20320</v>
      </c>
      <c r="F237">
        <v>0</v>
      </c>
      <c r="G237">
        <v>0</v>
      </c>
      <c r="J237" t="s">
        <v>84</v>
      </c>
      <c r="L237" t="s">
        <v>84</v>
      </c>
      <c r="M237">
        <v>0</v>
      </c>
      <c r="N237" t="s">
        <v>84</v>
      </c>
      <c r="O237">
        <v>0</v>
      </c>
      <c r="Q237">
        <v>0</v>
      </c>
      <c r="S237">
        <v>0</v>
      </c>
      <c r="T237" t="s">
        <v>84</v>
      </c>
      <c r="U237">
        <v>0</v>
      </c>
      <c r="W237" t="s">
        <v>84</v>
      </c>
      <c r="X237" t="s">
        <v>84</v>
      </c>
      <c r="Y237" t="s">
        <v>84</v>
      </c>
      <c r="Z237">
        <v>0</v>
      </c>
      <c r="AA237" t="s">
        <v>84</v>
      </c>
      <c r="AB237">
        <v>16000</v>
      </c>
      <c r="AD237">
        <v>0</v>
      </c>
      <c r="AE237">
        <v>0</v>
      </c>
      <c r="AH237" t="s">
        <v>84</v>
      </c>
      <c r="AI237">
        <v>0</v>
      </c>
      <c r="AJ237">
        <v>0</v>
      </c>
      <c r="AK237" t="s">
        <v>84</v>
      </c>
      <c r="AL237" t="s">
        <v>84</v>
      </c>
      <c r="AN237" t="s">
        <v>84</v>
      </c>
      <c r="AQ237">
        <v>0</v>
      </c>
      <c r="AR237">
        <v>0</v>
      </c>
      <c r="AS237">
        <v>0</v>
      </c>
      <c r="AT237" t="s">
        <v>84</v>
      </c>
      <c r="AU237" t="s">
        <v>84</v>
      </c>
      <c r="AV237">
        <v>16903.666666666668</v>
      </c>
    </row>
    <row r="238" spans="1:48" x14ac:dyDescent="0.25">
      <c r="A238">
        <v>0</v>
      </c>
      <c r="B238" t="s">
        <v>260</v>
      </c>
      <c r="C238" t="s">
        <v>110</v>
      </c>
      <c r="D238">
        <v>21120</v>
      </c>
      <c r="J238" t="s">
        <v>84</v>
      </c>
      <c r="L238" t="s">
        <v>84</v>
      </c>
      <c r="N238" t="s">
        <v>84</v>
      </c>
      <c r="T238" t="s">
        <v>84</v>
      </c>
      <c r="W238" t="s">
        <v>84</v>
      </c>
      <c r="X238" t="s">
        <v>84</v>
      </c>
      <c r="Y238" t="s">
        <v>84</v>
      </c>
      <c r="AA238" t="s">
        <v>84</v>
      </c>
      <c r="AH238" t="s">
        <v>84</v>
      </c>
      <c r="AK238" t="s">
        <v>84</v>
      </c>
      <c r="AL238" t="s">
        <v>84</v>
      </c>
      <c r="AN238" t="s">
        <v>84</v>
      </c>
      <c r="AT238" t="s">
        <v>84</v>
      </c>
      <c r="AU238" t="s">
        <v>84</v>
      </c>
      <c r="AV238">
        <v>16903.666666666668</v>
      </c>
    </row>
    <row r="239" spans="1:48" x14ac:dyDescent="0.25">
      <c r="A239">
        <v>0</v>
      </c>
      <c r="B239" t="s">
        <v>260</v>
      </c>
      <c r="C239" t="s">
        <v>87</v>
      </c>
      <c r="D239">
        <v>115561.25</v>
      </c>
      <c r="J239" t="s">
        <v>84</v>
      </c>
      <c r="L239" t="s">
        <v>84</v>
      </c>
      <c r="N239" t="s">
        <v>84</v>
      </c>
      <c r="T239" t="s">
        <v>84</v>
      </c>
      <c r="W239" t="s">
        <v>84</v>
      </c>
      <c r="X239" t="s">
        <v>84</v>
      </c>
      <c r="Y239" t="s">
        <v>84</v>
      </c>
      <c r="AA239" t="s">
        <v>84</v>
      </c>
      <c r="AH239" t="s">
        <v>84</v>
      </c>
      <c r="AK239" t="s">
        <v>84</v>
      </c>
      <c r="AL239" t="s">
        <v>84</v>
      </c>
      <c r="AN239" t="s">
        <v>84</v>
      </c>
      <c r="AT239" t="s">
        <v>84</v>
      </c>
      <c r="AU239" t="s">
        <v>84</v>
      </c>
      <c r="AV239">
        <v>147026.44443333332</v>
      </c>
    </row>
    <row r="240" spans="1:48" x14ac:dyDescent="0.25">
      <c r="A240">
        <v>1</v>
      </c>
      <c r="B240" t="s">
        <v>260</v>
      </c>
      <c r="C240" t="s">
        <v>87</v>
      </c>
      <c r="D240">
        <v>173646.2</v>
      </c>
      <c r="J240" t="s">
        <v>84</v>
      </c>
      <c r="L240" t="s">
        <v>84</v>
      </c>
      <c r="N240" t="s">
        <v>84</v>
      </c>
      <c r="O240">
        <v>34000</v>
      </c>
      <c r="P240">
        <v>56000</v>
      </c>
      <c r="Q240">
        <v>29500</v>
      </c>
      <c r="R240">
        <v>7172</v>
      </c>
      <c r="T240" t="s">
        <v>84</v>
      </c>
      <c r="W240" t="s">
        <v>84</v>
      </c>
      <c r="X240" t="s">
        <v>84</v>
      </c>
      <c r="Y240" t="s">
        <v>84</v>
      </c>
      <c r="AA240" t="s">
        <v>84</v>
      </c>
      <c r="AH240" t="s">
        <v>84</v>
      </c>
      <c r="AK240" t="s">
        <v>84</v>
      </c>
      <c r="AL240" t="s">
        <v>84</v>
      </c>
      <c r="AN240" t="s">
        <v>84</v>
      </c>
      <c r="AT240" t="s">
        <v>84</v>
      </c>
      <c r="AU240" t="s">
        <v>84</v>
      </c>
      <c r="AV240">
        <v>147026.44443333332</v>
      </c>
    </row>
    <row r="241" spans="1:48" x14ac:dyDescent="0.25">
      <c r="A241">
        <v>0</v>
      </c>
      <c r="B241" t="s">
        <v>472</v>
      </c>
      <c r="C241" t="s">
        <v>87</v>
      </c>
      <c r="D241">
        <v>151871.88329999999</v>
      </c>
      <c r="J241" t="s">
        <v>84</v>
      </c>
      <c r="L241" t="s">
        <v>84</v>
      </c>
      <c r="N241" t="s">
        <v>84</v>
      </c>
      <c r="T241" t="s">
        <v>84</v>
      </c>
      <c r="W241" t="s">
        <v>84</v>
      </c>
      <c r="X241" t="s">
        <v>84</v>
      </c>
      <c r="Y241" t="s">
        <v>84</v>
      </c>
      <c r="AA241" t="s">
        <v>84</v>
      </c>
      <c r="AH241" t="s">
        <v>84</v>
      </c>
      <c r="AK241" t="s">
        <v>84</v>
      </c>
      <c r="AL241" t="s">
        <v>84</v>
      </c>
      <c r="AN241" t="s">
        <v>84</v>
      </c>
      <c r="AT241" t="s">
        <v>84</v>
      </c>
      <c r="AU241" t="s">
        <v>84</v>
      </c>
      <c r="AV241">
        <v>147026.44443333332</v>
      </c>
    </row>
    <row r="242" spans="1:48" x14ac:dyDescent="0.25">
      <c r="A242">
        <v>1</v>
      </c>
      <c r="B242" t="s">
        <v>472</v>
      </c>
      <c r="C242" t="s">
        <v>98</v>
      </c>
      <c r="D242">
        <v>56650</v>
      </c>
      <c r="J242" t="s">
        <v>84</v>
      </c>
      <c r="L242" t="s">
        <v>84</v>
      </c>
      <c r="N242" t="s">
        <v>84</v>
      </c>
      <c r="T242" t="s">
        <v>84</v>
      </c>
      <c r="V242">
        <v>56650</v>
      </c>
      <c r="W242" t="s">
        <v>84</v>
      </c>
      <c r="X242" t="s">
        <v>84</v>
      </c>
      <c r="Y242" t="s">
        <v>84</v>
      </c>
      <c r="AA242" t="s">
        <v>84</v>
      </c>
      <c r="AH242" t="s">
        <v>84</v>
      </c>
      <c r="AK242" t="s">
        <v>84</v>
      </c>
      <c r="AL242" t="s">
        <v>84</v>
      </c>
      <c r="AN242" t="s">
        <v>84</v>
      </c>
      <c r="AT242" t="s">
        <v>84</v>
      </c>
      <c r="AU242" t="s">
        <v>84</v>
      </c>
      <c r="AV242">
        <v>36483.333333333328</v>
      </c>
    </row>
    <row r="243" spans="1:48" x14ac:dyDescent="0.25">
      <c r="A243">
        <v>0</v>
      </c>
      <c r="B243" t="s">
        <v>472</v>
      </c>
      <c r="C243" t="s">
        <v>98</v>
      </c>
      <c r="D243">
        <v>21950</v>
      </c>
      <c r="J243" t="s">
        <v>84</v>
      </c>
      <c r="L243" t="s">
        <v>84</v>
      </c>
      <c r="N243" t="s">
        <v>84</v>
      </c>
      <c r="T243" t="s">
        <v>84</v>
      </c>
      <c r="W243" t="s">
        <v>84</v>
      </c>
      <c r="X243" t="s">
        <v>84</v>
      </c>
      <c r="Y243" t="s">
        <v>84</v>
      </c>
      <c r="AA243" t="s">
        <v>84</v>
      </c>
      <c r="AH243" t="s">
        <v>84</v>
      </c>
      <c r="AK243" t="s">
        <v>84</v>
      </c>
      <c r="AL243" t="s">
        <v>84</v>
      </c>
      <c r="AN243" t="s">
        <v>84</v>
      </c>
      <c r="AT243" t="s">
        <v>84</v>
      </c>
      <c r="AU243" t="s">
        <v>84</v>
      </c>
      <c r="AV243">
        <v>36483.333333333328</v>
      </c>
    </row>
    <row r="244" spans="1:48" x14ac:dyDescent="0.25">
      <c r="A244">
        <v>0</v>
      </c>
      <c r="B244" t="s">
        <v>472</v>
      </c>
      <c r="C244" t="s">
        <v>98</v>
      </c>
      <c r="D244">
        <v>30850</v>
      </c>
      <c r="J244" t="s">
        <v>84</v>
      </c>
      <c r="L244" t="s">
        <v>84</v>
      </c>
      <c r="N244" t="s">
        <v>84</v>
      </c>
      <c r="T244" t="s">
        <v>84</v>
      </c>
      <c r="W244" t="s">
        <v>84</v>
      </c>
      <c r="X244" t="s">
        <v>84</v>
      </c>
      <c r="Y244" t="s">
        <v>84</v>
      </c>
      <c r="AA244" t="s">
        <v>84</v>
      </c>
      <c r="AH244" t="s">
        <v>84</v>
      </c>
      <c r="AK244" t="s">
        <v>84</v>
      </c>
      <c r="AL244" t="s">
        <v>84</v>
      </c>
      <c r="AN244" t="s">
        <v>84</v>
      </c>
      <c r="AT244" t="s">
        <v>84</v>
      </c>
      <c r="AU244" t="s">
        <v>84</v>
      </c>
      <c r="AV244">
        <v>36483.333333333328</v>
      </c>
    </row>
    <row r="245" spans="1:48" x14ac:dyDescent="0.25">
      <c r="A245">
        <v>1</v>
      </c>
      <c r="B245" t="s">
        <v>472</v>
      </c>
      <c r="C245" t="s">
        <v>80</v>
      </c>
      <c r="D245">
        <v>1025091.738</v>
      </c>
      <c r="F245">
        <v>46260.5</v>
      </c>
      <c r="G245">
        <v>61000</v>
      </c>
      <c r="J245" t="s">
        <v>84</v>
      </c>
      <c r="L245" t="s">
        <v>84</v>
      </c>
      <c r="M245">
        <v>150000</v>
      </c>
      <c r="N245" t="s">
        <v>84</v>
      </c>
      <c r="O245">
        <v>0</v>
      </c>
      <c r="Q245">
        <v>0</v>
      </c>
      <c r="S245">
        <v>83600</v>
      </c>
      <c r="T245" t="s">
        <v>84</v>
      </c>
      <c r="U245">
        <v>2400</v>
      </c>
      <c r="W245" t="s">
        <v>84</v>
      </c>
      <c r="X245" t="s">
        <v>84</v>
      </c>
      <c r="Y245" t="s">
        <v>84</v>
      </c>
      <c r="Z245">
        <v>34390</v>
      </c>
      <c r="AA245" t="s">
        <v>84</v>
      </c>
      <c r="AB245">
        <v>16400</v>
      </c>
      <c r="AD245">
        <v>16900</v>
      </c>
      <c r="AE245">
        <v>186865.25</v>
      </c>
      <c r="AH245" t="s">
        <v>84</v>
      </c>
      <c r="AI245">
        <v>30000</v>
      </c>
      <c r="AJ245">
        <v>144457.17000000001</v>
      </c>
      <c r="AK245" t="s">
        <v>84</v>
      </c>
      <c r="AL245" t="s">
        <v>84</v>
      </c>
      <c r="AN245" t="s">
        <v>84</v>
      </c>
      <c r="AQ245">
        <v>28580</v>
      </c>
      <c r="AR245">
        <v>0</v>
      </c>
      <c r="AS245">
        <v>0</v>
      </c>
      <c r="AT245" t="s">
        <v>84</v>
      </c>
      <c r="AU245" t="s">
        <v>84</v>
      </c>
      <c r="AV245">
        <v>791032.91916666669</v>
      </c>
    </row>
    <row r="246" spans="1:48" x14ac:dyDescent="0.25">
      <c r="A246">
        <v>0</v>
      </c>
      <c r="B246" t="s">
        <v>472</v>
      </c>
      <c r="C246" t="s">
        <v>80</v>
      </c>
      <c r="D246">
        <v>726861.22089999996</v>
      </c>
      <c r="J246" t="s">
        <v>84</v>
      </c>
      <c r="L246" t="s">
        <v>84</v>
      </c>
      <c r="N246" t="s">
        <v>84</v>
      </c>
      <c r="T246" t="s">
        <v>84</v>
      </c>
      <c r="W246" t="s">
        <v>84</v>
      </c>
      <c r="X246" t="s">
        <v>84</v>
      </c>
      <c r="Y246" t="s">
        <v>84</v>
      </c>
      <c r="AA246" t="s">
        <v>84</v>
      </c>
      <c r="AH246" t="s">
        <v>84</v>
      </c>
      <c r="AK246" t="s">
        <v>84</v>
      </c>
      <c r="AL246" t="s">
        <v>84</v>
      </c>
      <c r="AN246" t="s">
        <v>84</v>
      </c>
      <c r="AT246" t="s">
        <v>84</v>
      </c>
      <c r="AU246" t="s">
        <v>84</v>
      </c>
      <c r="AV246">
        <v>791032.91916666669</v>
      </c>
    </row>
    <row r="247" spans="1:48" x14ac:dyDescent="0.25">
      <c r="A247">
        <v>0</v>
      </c>
      <c r="B247" t="s">
        <v>472</v>
      </c>
      <c r="C247" t="s">
        <v>80</v>
      </c>
      <c r="D247">
        <v>621145.79859999998</v>
      </c>
      <c r="J247" t="s">
        <v>84</v>
      </c>
      <c r="L247" t="s">
        <v>84</v>
      </c>
      <c r="N247" t="s">
        <v>84</v>
      </c>
      <c r="T247" t="s">
        <v>84</v>
      </c>
      <c r="W247" t="s">
        <v>84</v>
      </c>
      <c r="X247" t="s">
        <v>84</v>
      </c>
      <c r="Y247" t="s">
        <v>84</v>
      </c>
      <c r="AA247" t="s">
        <v>84</v>
      </c>
      <c r="AH247" t="s">
        <v>84</v>
      </c>
      <c r="AK247" t="s">
        <v>84</v>
      </c>
      <c r="AL247" t="s">
        <v>84</v>
      </c>
      <c r="AN247" t="s">
        <v>84</v>
      </c>
      <c r="AT247" t="s">
        <v>84</v>
      </c>
      <c r="AU247" t="s">
        <v>84</v>
      </c>
      <c r="AV247">
        <v>791032.91916666669</v>
      </c>
    </row>
    <row r="248" spans="1:48" x14ac:dyDescent="0.25">
      <c r="A248">
        <v>1</v>
      </c>
      <c r="B248" t="s">
        <v>472</v>
      </c>
      <c r="C248" t="s">
        <v>92</v>
      </c>
      <c r="D248">
        <v>27850</v>
      </c>
      <c r="H248">
        <v>27850</v>
      </c>
      <c r="J248" t="s">
        <v>84</v>
      </c>
      <c r="L248" t="s">
        <v>84</v>
      </c>
      <c r="N248" t="s">
        <v>84</v>
      </c>
      <c r="T248" t="s">
        <v>84</v>
      </c>
      <c r="W248" t="s">
        <v>84</v>
      </c>
      <c r="X248" t="s">
        <v>84</v>
      </c>
      <c r="Y248" t="s">
        <v>84</v>
      </c>
      <c r="AA248" t="s">
        <v>84</v>
      </c>
      <c r="AH248" t="s">
        <v>84</v>
      </c>
      <c r="AK248" t="s">
        <v>84</v>
      </c>
      <c r="AL248" t="s">
        <v>84</v>
      </c>
      <c r="AN248" t="s">
        <v>84</v>
      </c>
      <c r="AT248" t="s">
        <v>84</v>
      </c>
      <c r="AU248" t="s">
        <v>84</v>
      </c>
      <c r="AV248">
        <v>38780</v>
      </c>
    </row>
    <row r="249" spans="1:48" x14ac:dyDescent="0.25">
      <c r="A249">
        <v>0</v>
      </c>
      <c r="B249" t="s">
        <v>472</v>
      </c>
      <c r="C249" t="s">
        <v>92</v>
      </c>
      <c r="D249">
        <v>49710</v>
      </c>
      <c r="J249" t="s">
        <v>84</v>
      </c>
      <c r="L249" t="s">
        <v>84</v>
      </c>
      <c r="N249" t="s">
        <v>84</v>
      </c>
      <c r="T249" t="s">
        <v>84</v>
      </c>
      <c r="W249" t="s">
        <v>84</v>
      </c>
      <c r="X249" t="s">
        <v>84</v>
      </c>
      <c r="Y249" t="s">
        <v>84</v>
      </c>
      <c r="AA249" t="s">
        <v>84</v>
      </c>
      <c r="AH249" t="s">
        <v>84</v>
      </c>
      <c r="AK249" t="s">
        <v>84</v>
      </c>
      <c r="AL249" t="s">
        <v>84</v>
      </c>
      <c r="AN249" t="s">
        <v>84</v>
      </c>
      <c r="AT249" t="s">
        <v>84</v>
      </c>
      <c r="AU249" t="s">
        <v>84</v>
      </c>
      <c r="AV249">
        <v>38780</v>
      </c>
    </row>
    <row r="250" spans="1:48" x14ac:dyDescent="0.25">
      <c r="A250">
        <v>1</v>
      </c>
      <c r="B250" t="s">
        <v>472</v>
      </c>
      <c r="C250" t="s">
        <v>106</v>
      </c>
      <c r="D250">
        <v>10327.4025</v>
      </c>
      <c r="J250" t="s">
        <v>84</v>
      </c>
      <c r="K250">
        <v>5900</v>
      </c>
      <c r="L250" t="s">
        <v>84</v>
      </c>
      <c r="N250" t="s">
        <v>84</v>
      </c>
      <c r="T250" t="s">
        <v>84</v>
      </c>
      <c r="W250" t="s">
        <v>84</v>
      </c>
      <c r="X250" t="s">
        <v>84</v>
      </c>
      <c r="Y250" t="s">
        <v>84</v>
      </c>
      <c r="AA250" t="s">
        <v>84</v>
      </c>
      <c r="AF250">
        <v>655</v>
      </c>
      <c r="AH250" t="s">
        <v>84</v>
      </c>
      <c r="AK250" t="s">
        <v>84</v>
      </c>
      <c r="AL250" t="s">
        <v>84</v>
      </c>
      <c r="AN250" t="s">
        <v>84</v>
      </c>
      <c r="AT250" t="s">
        <v>84</v>
      </c>
      <c r="AU250" t="s">
        <v>84</v>
      </c>
      <c r="AV250">
        <v>10028.057500000001</v>
      </c>
    </row>
    <row r="251" spans="1:48" x14ac:dyDescent="0.25">
      <c r="A251">
        <v>0</v>
      </c>
      <c r="B251" t="s">
        <v>472</v>
      </c>
      <c r="C251" t="s">
        <v>106</v>
      </c>
      <c r="D251">
        <v>6168.0825000000004</v>
      </c>
      <c r="J251" t="s">
        <v>84</v>
      </c>
      <c r="L251" t="s">
        <v>84</v>
      </c>
      <c r="N251" t="s">
        <v>84</v>
      </c>
      <c r="T251" t="s">
        <v>84</v>
      </c>
      <c r="W251" t="s">
        <v>84</v>
      </c>
      <c r="X251" t="s">
        <v>84</v>
      </c>
      <c r="Y251" t="s">
        <v>84</v>
      </c>
      <c r="AA251" t="s">
        <v>84</v>
      </c>
      <c r="AH251" t="s">
        <v>84</v>
      </c>
      <c r="AK251" t="s">
        <v>84</v>
      </c>
      <c r="AL251" t="s">
        <v>84</v>
      </c>
      <c r="AN251" t="s">
        <v>84</v>
      </c>
      <c r="AT251" t="s">
        <v>84</v>
      </c>
      <c r="AU251" t="s">
        <v>84</v>
      </c>
      <c r="AV251">
        <v>10028.057500000001</v>
      </c>
    </row>
    <row r="252" spans="1:48" x14ac:dyDescent="0.25">
      <c r="A252">
        <v>0</v>
      </c>
      <c r="B252" t="s">
        <v>338</v>
      </c>
      <c r="C252" t="s">
        <v>106</v>
      </c>
      <c r="D252">
        <v>13588.6875</v>
      </c>
      <c r="J252" t="s">
        <v>84</v>
      </c>
      <c r="L252" t="s">
        <v>84</v>
      </c>
      <c r="N252" t="s">
        <v>84</v>
      </c>
      <c r="T252" t="s">
        <v>84</v>
      </c>
      <c r="W252" t="s">
        <v>84</v>
      </c>
      <c r="X252" t="s">
        <v>84</v>
      </c>
      <c r="Y252" t="s">
        <v>84</v>
      </c>
      <c r="AA252" t="s">
        <v>84</v>
      </c>
      <c r="AH252" t="s">
        <v>84</v>
      </c>
      <c r="AK252" t="s">
        <v>84</v>
      </c>
      <c r="AL252" t="s">
        <v>84</v>
      </c>
      <c r="AN252" t="s">
        <v>84</v>
      </c>
      <c r="AT252" t="s">
        <v>84</v>
      </c>
      <c r="AU252" t="s">
        <v>84</v>
      </c>
      <c r="AV252">
        <v>10028.057500000001</v>
      </c>
    </row>
    <row r="253" spans="1:48" x14ac:dyDescent="0.25">
      <c r="A253">
        <v>1</v>
      </c>
      <c r="B253" t="s">
        <v>338</v>
      </c>
      <c r="C253" t="s">
        <v>110</v>
      </c>
      <c r="D253">
        <v>18576</v>
      </c>
      <c r="F253">
        <v>0</v>
      </c>
      <c r="G253">
        <v>0</v>
      </c>
      <c r="J253" t="s">
        <v>84</v>
      </c>
      <c r="L253" t="s">
        <v>84</v>
      </c>
      <c r="M253">
        <v>0</v>
      </c>
      <c r="N253" t="s">
        <v>84</v>
      </c>
      <c r="O253">
        <v>0</v>
      </c>
      <c r="Q253">
        <v>0</v>
      </c>
      <c r="S253">
        <v>0</v>
      </c>
      <c r="T253" t="s">
        <v>84</v>
      </c>
      <c r="U253">
        <v>0</v>
      </c>
      <c r="W253" t="s">
        <v>84</v>
      </c>
      <c r="X253" t="s">
        <v>84</v>
      </c>
      <c r="Y253" t="s">
        <v>84</v>
      </c>
      <c r="Z253">
        <v>0</v>
      </c>
      <c r="AA253" t="s">
        <v>84</v>
      </c>
      <c r="AB253">
        <v>14400</v>
      </c>
      <c r="AD253">
        <v>0</v>
      </c>
      <c r="AE253">
        <v>0</v>
      </c>
      <c r="AH253" t="s">
        <v>84</v>
      </c>
      <c r="AI253">
        <v>0</v>
      </c>
      <c r="AJ253">
        <v>0</v>
      </c>
      <c r="AK253" t="s">
        <v>84</v>
      </c>
      <c r="AL253" t="s">
        <v>84</v>
      </c>
      <c r="AN253" t="s">
        <v>84</v>
      </c>
      <c r="AQ253">
        <v>0</v>
      </c>
      <c r="AR253">
        <v>0</v>
      </c>
      <c r="AS253">
        <v>0</v>
      </c>
      <c r="AT253" t="s">
        <v>84</v>
      </c>
      <c r="AU253" t="s">
        <v>84</v>
      </c>
      <c r="AV253">
        <v>16579.333333333332</v>
      </c>
    </row>
    <row r="254" spans="1:48" x14ac:dyDescent="0.25">
      <c r="A254">
        <v>0</v>
      </c>
      <c r="B254" t="s">
        <v>338</v>
      </c>
      <c r="C254" t="s">
        <v>110</v>
      </c>
      <c r="D254">
        <v>12474</v>
      </c>
      <c r="J254" t="s">
        <v>84</v>
      </c>
      <c r="L254" t="s">
        <v>84</v>
      </c>
      <c r="N254" t="s">
        <v>84</v>
      </c>
      <c r="T254" t="s">
        <v>84</v>
      </c>
      <c r="W254" t="s">
        <v>84</v>
      </c>
      <c r="X254" t="s">
        <v>84</v>
      </c>
      <c r="Y254" t="s">
        <v>84</v>
      </c>
      <c r="AA254" t="s">
        <v>84</v>
      </c>
      <c r="AH254" t="s">
        <v>84</v>
      </c>
      <c r="AK254" t="s">
        <v>84</v>
      </c>
      <c r="AL254" t="s">
        <v>84</v>
      </c>
      <c r="AN254" t="s">
        <v>84</v>
      </c>
      <c r="AT254" t="s">
        <v>84</v>
      </c>
      <c r="AU254" t="s">
        <v>84</v>
      </c>
      <c r="AV254">
        <v>16579.333333333332</v>
      </c>
    </row>
    <row r="255" spans="1:48" x14ac:dyDescent="0.25">
      <c r="A255">
        <v>0</v>
      </c>
      <c r="B255" t="s">
        <v>338</v>
      </c>
      <c r="C255" t="s">
        <v>110</v>
      </c>
      <c r="D255">
        <v>18688</v>
      </c>
      <c r="J255" t="s">
        <v>84</v>
      </c>
      <c r="L255" t="s">
        <v>84</v>
      </c>
      <c r="N255" t="s">
        <v>84</v>
      </c>
      <c r="T255" t="s">
        <v>84</v>
      </c>
      <c r="W255" t="s">
        <v>84</v>
      </c>
      <c r="X255" t="s">
        <v>84</v>
      </c>
      <c r="Y255" t="s">
        <v>84</v>
      </c>
      <c r="AA255" t="s">
        <v>84</v>
      </c>
      <c r="AH255" t="s">
        <v>84</v>
      </c>
      <c r="AK255" t="s">
        <v>84</v>
      </c>
      <c r="AL255" t="s">
        <v>84</v>
      </c>
      <c r="AN255" t="s">
        <v>84</v>
      </c>
      <c r="AT255" t="s">
        <v>84</v>
      </c>
      <c r="AU255" t="s">
        <v>84</v>
      </c>
      <c r="AV255">
        <v>16579.333333333332</v>
      </c>
    </row>
    <row r="256" spans="1:48" x14ac:dyDescent="0.25">
      <c r="A256">
        <v>1</v>
      </c>
      <c r="B256" t="s">
        <v>338</v>
      </c>
      <c r="C256" t="s">
        <v>87</v>
      </c>
      <c r="D256">
        <v>86910.833329999994</v>
      </c>
      <c r="J256" t="s">
        <v>84</v>
      </c>
      <c r="L256" t="s">
        <v>84</v>
      </c>
      <c r="N256" t="s">
        <v>84</v>
      </c>
      <c r="O256">
        <v>28650</v>
      </c>
      <c r="P256">
        <v>18700</v>
      </c>
      <c r="Q256">
        <v>4250</v>
      </c>
      <c r="R256">
        <v>11800</v>
      </c>
      <c r="T256" t="s">
        <v>84</v>
      </c>
      <c r="W256" t="s">
        <v>84</v>
      </c>
      <c r="X256" t="s">
        <v>84</v>
      </c>
      <c r="Y256" t="s">
        <v>84</v>
      </c>
      <c r="AA256" t="s">
        <v>84</v>
      </c>
      <c r="AH256" t="s">
        <v>84</v>
      </c>
      <c r="AK256" t="s">
        <v>84</v>
      </c>
      <c r="AL256" t="s">
        <v>84</v>
      </c>
      <c r="AN256" t="s">
        <v>84</v>
      </c>
      <c r="AT256" t="s">
        <v>84</v>
      </c>
      <c r="AU256" t="s">
        <v>84</v>
      </c>
      <c r="AV256">
        <v>91396.2</v>
      </c>
    </row>
    <row r="257" spans="1:48" x14ac:dyDescent="0.25">
      <c r="A257">
        <v>0</v>
      </c>
      <c r="B257" t="s">
        <v>338</v>
      </c>
      <c r="C257" t="s">
        <v>87</v>
      </c>
      <c r="D257">
        <v>95881.56667</v>
      </c>
      <c r="J257" t="s">
        <v>84</v>
      </c>
      <c r="L257" t="s">
        <v>84</v>
      </c>
      <c r="N257" t="s">
        <v>84</v>
      </c>
      <c r="T257" t="s">
        <v>84</v>
      </c>
      <c r="W257" t="s">
        <v>84</v>
      </c>
      <c r="X257" t="s">
        <v>84</v>
      </c>
      <c r="Y257" t="s">
        <v>84</v>
      </c>
      <c r="AA257" t="s">
        <v>84</v>
      </c>
      <c r="AH257" t="s">
        <v>84</v>
      </c>
      <c r="AK257" t="s">
        <v>84</v>
      </c>
      <c r="AL257" t="s">
        <v>84</v>
      </c>
      <c r="AN257" t="s">
        <v>84</v>
      </c>
      <c r="AT257" t="s">
        <v>84</v>
      </c>
      <c r="AU257" t="s">
        <v>84</v>
      </c>
      <c r="AV257">
        <v>91396.2</v>
      </c>
    </row>
    <row r="258" spans="1:48" x14ac:dyDescent="0.25">
      <c r="A258">
        <v>0</v>
      </c>
      <c r="B258" t="s">
        <v>338</v>
      </c>
      <c r="C258" t="s">
        <v>98</v>
      </c>
      <c r="D258">
        <v>36850</v>
      </c>
      <c r="J258" t="s">
        <v>84</v>
      </c>
      <c r="L258" t="s">
        <v>84</v>
      </c>
      <c r="N258" t="s">
        <v>84</v>
      </c>
      <c r="T258" t="s">
        <v>84</v>
      </c>
      <c r="W258" t="s">
        <v>84</v>
      </c>
      <c r="X258" t="s">
        <v>84</v>
      </c>
      <c r="Y258" t="s">
        <v>84</v>
      </c>
      <c r="AA258" t="s">
        <v>84</v>
      </c>
      <c r="AH258" t="s">
        <v>84</v>
      </c>
      <c r="AK258" t="s">
        <v>84</v>
      </c>
      <c r="AL258" t="s">
        <v>84</v>
      </c>
      <c r="AN258" t="s">
        <v>84</v>
      </c>
      <c r="AT258" t="s">
        <v>84</v>
      </c>
      <c r="AU258" t="s">
        <v>84</v>
      </c>
      <c r="AV258">
        <v>28966.666666666668</v>
      </c>
    </row>
    <row r="259" spans="1:48" x14ac:dyDescent="0.25">
      <c r="A259">
        <v>1</v>
      </c>
      <c r="B259" t="s">
        <v>338</v>
      </c>
      <c r="C259" t="s">
        <v>98</v>
      </c>
      <c r="D259">
        <v>29550</v>
      </c>
      <c r="J259" t="s">
        <v>84</v>
      </c>
      <c r="L259" t="s">
        <v>84</v>
      </c>
      <c r="N259" t="s">
        <v>84</v>
      </c>
      <c r="T259" t="s">
        <v>84</v>
      </c>
      <c r="V259">
        <v>29550</v>
      </c>
      <c r="W259" t="s">
        <v>84</v>
      </c>
      <c r="X259" t="s">
        <v>84</v>
      </c>
      <c r="Y259" t="s">
        <v>84</v>
      </c>
      <c r="AA259" t="s">
        <v>84</v>
      </c>
      <c r="AH259" t="s">
        <v>84</v>
      </c>
      <c r="AK259" t="s">
        <v>84</v>
      </c>
      <c r="AL259" t="s">
        <v>84</v>
      </c>
      <c r="AN259" t="s">
        <v>84</v>
      </c>
      <c r="AT259" t="s">
        <v>84</v>
      </c>
      <c r="AU259" t="s">
        <v>84</v>
      </c>
      <c r="AV259">
        <v>28966.666666666668</v>
      </c>
    </row>
    <row r="260" spans="1:48" x14ac:dyDescent="0.25">
      <c r="A260">
        <v>0</v>
      </c>
      <c r="B260" t="s">
        <v>338</v>
      </c>
      <c r="C260" t="s">
        <v>98</v>
      </c>
      <c r="D260">
        <v>20500</v>
      </c>
      <c r="J260" t="s">
        <v>84</v>
      </c>
      <c r="L260" t="s">
        <v>84</v>
      </c>
      <c r="N260" t="s">
        <v>84</v>
      </c>
      <c r="T260" t="s">
        <v>84</v>
      </c>
      <c r="W260" t="s">
        <v>84</v>
      </c>
      <c r="X260" t="s">
        <v>84</v>
      </c>
      <c r="Y260" t="s">
        <v>84</v>
      </c>
      <c r="AA260" t="s">
        <v>84</v>
      </c>
      <c r="AH260" t="s">
        <v>84</v>
      </c>
      <c r="AK260" t="s">
        <v>84</v>
      </c>
      <c r="AL260" t="s">
        <v>84</v>
      </c>
      <c r="AN260" t="s">
        <v>84</v>
      </c>
      <c r="AT260" t="s">
        <v>84</v>
      </c>
      <c r="AU260" t="s">
        <v>84</v>
      </c>
      <c r="AV260">
        <v>28966.666666666668</v>
      </c>
    </row>
    <row r="261" spans="1:48" x14ac:dyDescent="0.25">
      <c r="A261">
        <v>0</v>
      </c>
      <c r="B261" t="s">
        <v>338</v>
      </c>
      <c r="C261" t="s">
        <v>87</v>
      </c>
      <c r="D261">
        <v>153774.6</v>
      </c>
      <c r="J261" t="s">
        <v>84</v>
      </c>
      <c r="L261" t="s">
        <v>84</v>
      </c>
      <c r="N261" t="s">
        <v>84</v>
      </c>
      <c r="T261" t="s">
        <v>84</v>
      </c>
      <c r="W261" t="s">
        <v>84</v>
      </c>
      <c r="X261" t="s">
        <v>84</v>
      </c>
      <c r="Y261" t="s">
        <v>84</v>
      </c>
      <c r="AA261" t="s">
        <v>84</v>
      </c>
      <c r="AH261" t="s">
        <v>84</v>
      </c>
      <c r="AK261" t="s">
        <v>84</v>
      </c>
      <c r="AL261" t="s">
        <v>84</v>
      </c>
      <c r="AN261" t="s">
        <v>84</v>
      </c>
      <c r="AT261" t="s">
        <v>84</v>
      </c>
      <c r="AU261" t="s">
        <v>84</v>
      </c>
      <c r="AV261">
        <v>143791.27776666667</v>
      </c>
    </row>
    <row r="262" spans="1:48" x14ac:dyDescent="0.25">
      <c r="A262">
        <v>0</v>
      </c>
      <c r="B262" t="s">
        <v>338</v>
      </c>
      <c r="C262" t="s">
        <v>87</v>
      </c>
      <c r="D262">
        <v>145154.79999999999</v>
      </c>
      <c r="J262" t="s">
        <v>84</v>
      </c>
      <c r="L262" t="s">
        <v>84</v>
      </c>
      <c r="N262" t="s">
        <v>84</v>
      </c>
      <c r="T262" t="s">
        <v>84</v>
      </c>
      <c r="W262" t="s">
        <v>84</v>
      </c>
      <c r="X262" t="s">
        <v>84</v>
      </c>
      <c r="Y262" t="s">
        <v>84</v>
      </c>
      <c r="AA262" t="s">
        <v>84</v>
      </c>
      <c r="AH262" t="s">
        <v>84</v>
      </c>
      <c r="AK262" t="s">
        <v>84</v>
      </c>
      <c r="AL262" t="s">
        <v>84</v>
      </c>
      <c r="AN262" t="s">
        <v>84</v>
      </c>
      <c r="AT262" t="s">
        <v>84</v>
      </c>
      <c r="AU262" t="s">
        <v>84</v>
      </c>
      <c r="AV262">
        <v>143791.27776666667</v>
      </c>
    </row>
    <row r="263" spans="1:48" x14ac:dyDescent="0.25">
      <c r="A263">
        <v>1</v>
      </c>
      <c r="B263" t="s">
        <v>338</v>
      </c>
      <c r="C263" t="s">
        <v>87</v>
      </c>
      <c r="D263">
        <v>132444.4333</v>
      </c>
      <c r="J263" t="s">
        <v>84</v>
      </c>
      <c r="L263" t="s">
        <v>84</v>
      </c>
      <c r="N263" t="s">
        <v>84</v>
      </c>
      <c r="O263">
        <v>21250</v>
      </c>
      <c r="P263">
        <v>56450</v>
      </c>
      <c r="Q263">
        <v>11600</v>
      </c>
      <c r="R263">
        <v>7316</v>
      </c>
      <c r="T263" t="s">
        <v>84</v>
      </c>
      <c r="W263" t="s">
        <v>84</v>
      </c>
      <c r="X263" t="s">
        <v>84</v>
      </c>
      <c r="Y263" t="s">
        <v>84</v>
      </c>
      <c r="AA263" t="s">
        <v>84</v>
      </c>
      <c r="AH263" t="s">
        <v>84</v>
      </c>
      <c r="AK263" t="s">
        <v>84</v>
      </c>
      <c r="AL263" t="s">
        <v>84</v>
      </c>
      <c r="AN263" t="s">
        <v>84</v>
      </c>
      <c r="AT263" t="s">
        <v>84</v>
      </c>
      <c r="AU263" t="s">
        <v>84</v>
      </c>
      <c r="AV263">
        <v>143791.27776666667</v>
      </c>
    </row>
    <row r="264" spans="1:48" x14ac:dyDescent="0.25">
      <c r="A264">
        <v>0</v>
      </c>
      <c r="B264" t="s">
        <v>338</v>
      </c>
      <c r="C264" t="s">
        <v>92</v>
      </c>
      <c r="D264">
        <v>50780</v>
      </c>
      <c r="J264" t="s">
        <v>84</v>
      </c>
      <c r="L264" t="s">
        <v>84</v>
      </c>
      <c r="N264" t="s">
        <v>84</v>
      </c>
      <c r="T264" t="s">
        <v>84</v>
      </c>
      <c r="W264" t="s">
        <v>84</v>
      </c>
      <c r="X264" t="s">
        <v>84</v>
      </c>
      <c r="Y264" t="s">
        <v>84</v>
      </c>
      <c r="AA264" t="s">
        <v>84</v>
      </c>
      <c r="AH264" t="s">
        <v>84</v>
      </c>
      <c r="AK264" t="s">
        <v>84</v>
      </c>
      <c r="AL264" t="s">
        <v>84</v>
      </c>
      <c r="AN264" t="s">
        <v>84</v>
      </c>
      <c r="AT264" t="s">
        <v>84</v>
      </c>
      <c r="AU264" t="s">
        <v>84</v>
      </c>
      <c r="AV264">
        <v>52585</v>
      </c>
    </row>
    <row r="265" spans="1:48" x14ac:dyDescent="0.25">
      <c r="A265">
        <v>1</v>
      </c>
      <c r="B265" t="s">
        <v>338</v>
      </c>
      <c r="C265" t="s">
        <v>92</v>
      </c>
      <c r="D265">
        <v>54390</v>
      </c>
      <c r="H265">
        <v>54390</v>
      </c>
      <c r="J265" t="s">
        <v>84</v>
      </c>
      <c r="L265" t="s">
        <v>84</v>
      </c>
      <c r="N265" t="s">
        <v>84</v>
      </c>
      <c r="T265" t="s">
        <v>84</v>
      </c>
      <c r="W265" t="s">
        <v>84</v>
      </c>
      <c r="X265" t="s">
        <v>84</v>
      </c>
      <c r="Y265" t="s">
        <v>84</v>
      </c>
      <c r="AA265" t="s">
        <v>84</v>
      </c>
      <c r="AH265" t="s">
        <v>84</v>
      </c>
      <c r="AK265" t="s">
        <v>84</v>
      </c>
      <c r="AL265" t="s">
        <v>84</v>
      </c>
      <c r="AN265" t="s">
        <v>84</v>
      </c>
      <c r="AT265" t="s">
        <v>84</v>
      </c>
      <c r="AU265" t="s">
        <v>84</v>
      </c>
      <c r="AV265">
        <v>52585</v>
      </c>
    </row>
    <row r="266" spans="1:48" x14ac:dyDescent="0.25">
      <c r="A266">
        <v>0</v>
      </c>
      <c r="B266" t="s">
        <v>338</v>
      </c>
      <c r="C266" t="s">
        <v>80</v>
      </c>
      <c r="D266">
        <v>766626.6825</v>
      </c>
      <c r="J266" t="s">
        <v>84</v>
      </c>
      <c r="L266" t="s">
        <v>84</v>
      </c>
      <c r="N266" t="s">
        <v>84</v>
      </c>
      <c r="T266" t="s">
        <v>84</v>
      </c>
      <c r="W266" t="s">
        <v>84</v>
      </c>
      <c r="X266" t="s">
        <v>84</v>
      </c>
      <c r="Y266" t="s">
        <v>84</v>
      </c>
      <c r="AA266" t="s">
        <v>84</v>
      </c>
      <c r="AH266" t="s">
        <v>84</v>
      </c>
      <c r="AK266" t="s">
        <v>84</v>
      </c>
      <c r="AL266" t="s">
        <v>84</v>
      </c>
      <c r="AN266" t="s">
        <v>84</v>
      </c>
      <c r="AT266" t="s">
        <v>84</v>
      </c>
      <c r="AU266" t="s">
        <v>84</v>
      </c>
      <c r="AV266">
        <v>825872.91529999999</v>
      </c>
    </row>
    <row r="267" spans="1:48" x14ac:dyDescent="0.25">
      <c r="A267">
        <v>0</v>
      </c>
      <c r="B267" t="s">
        <v>338</v>
      </c>
      <c r="C267" t="s">
        <v>80</v>
      </c>
      <c r="D267">
        <v>942912.96</v>
      </c>
      <c r="J267" t="s">
        <v>84</v>
      </c>
      <c r="L267" t="s">
        <v>84</v>
      </c>
      <c r="N267" t="s">
        <v>84</v>
      </c>
      <c r="T267" t="s">
        <v>84</v>
      </c>
      <c r="W267" t="s">
        <v>84</v>
      </c>
      <c r="X267" t="s">
        <v>84</v>
      </c>
      <c r="Y267" t="s">
        <v>84</v>
      </c>
      <c r="AA267" t="s">
        <v>84</v>
      </c>
      <c r="AH267" t="s">
        <v>84</v>
      </c>
      <c r="AK267" t="s">
        <v>84</v>
      </c>
      <c r="AL267" t="s">
        <v>84</v>
      </c>
      <c r="AN267" t="s">
        <v>84</v>
      </c>
      <c r="AT267" t="s">
        <v>84</v>
      </c>
      <c r="AU267" t="s">
        <v>84</v>
      </c>
      <c r="AV267">
        <v>825872.91529999999</v>
      </c>
    </row>
    <row r="268" spans="1:48" x14ac:dyDescent="0.25">
      <c r="A268">
        <v>1</v>
      </c>
      <c r="B268" t="s">
        <v>338</v>
      </c>
      <c r="C268" t="s">
        <v>80</v>
      </c>
      <c r="D268">
        <v>768079.10340000002</v>
      </c>
      <c r="F268">
        <v>59345</v>
      </c>
      <c r="G268">
        <v>55900</v>
      </c>
      <c r="J268" t="s">
        <v>84</v>
      </c>
      <c r="L268" t="s">
        <v>84</v>
      </c>
      <c r="M268">
        <v>30000</v>
      </c>
      <c r="N268" t="s">
        <v>84</v>
      </c>
      <c r="O268">
        <v>0</v>
      </c>
      <c r="Q268">
        <v>0</v>
      </c>
      <c r="S268">
        <v>62400</v>
      </c>
      <c r="T268" t="s">
        <v>84</v>
      </c>
      <c r="U268">
        <v>2000</v>
      </c>
      <c r="W268" t="s">
        <v>84</v>
      </c>
      <c r="X268" t="s">
        <v>84</v>
      </c>
      <c r="Y268" t="s">
        <v>84</v>
      </c>
      <c r="Z268">
        <v>15462</v>
      </c>
      <c r="AA268" t="s">
        <v>84</v>
      </c>
      <c r="AB268">
        <v>12400</v>
      </c>
      <c r="AD268">
        <v>38500</v>
      </c>
      <c r="AE268">
        <v>97490.25</v>
      </c>
      <c r="AH268" t="s">
        <v>84</v>
      </c>
      <c r="AI268">
        <v>7800</v>
      </c>
      <c r="AJ268">
        <v>192389.34</v>
      </c>
      <c r="AK268" t="s">
        <v>84</v>
      </c>
      <c r="AL268" t="s">
        <v>84</v>
      </c>
      <c r="AN268" t="s">
        <v>84</v>
      </c>
      <c r="AQ268">
        <v>35900</v>
      </c>
      <c r="AR268">
        <v>0</v>
      </c>
      <c r="AS268">
        <v>0</v>
      </c>
      <c r="AT268" t="s">
        <v>84</v>
      </c>
      <c r="AU268" t="s">
        <v>84</v>
      </c>
      <c r="AV268">
        <v>825872.91529999999</v>
      </c>
    </row>
    <row r="269" spans="1:48" x14ac:dyDescent="0.25">
      <c r="A269">
        <v>0</v>
      </c>
      <c r="B269" t="s">
        <v>338</v>
      </c>
      <c r="C269" t="s">
        <v>106</v>
      </c>
      <c r="D269">
        <v>11107.275</v>
      </c>
      <c r="J269" t="s">
        <v>84</v>
      </c>
      <c r="L269" t="s">
        <v>84</v>
      </c>
      <c r="N269" t="s">
        <v>84</v>
      </c>
      <c r="T269" t="s">
        <v>84</v>
      </c>
      <c r="W269" t="s">
        <v>84</v>
      </c>
      <c r="X269" t="s">
        <v>84</v>
      </c>
      <c r="Y269" t="s">
        <v>84</v>
      </c>
      <c r="AA269" t="s">
        <v>84</v>
      </c>
      <c r="AH269" t="s">
        <v>84</v>
      </c>
      <c r="AK269" t="s">
        <v>84</v>
      </c>
      <c r="AL269" t="s">
        <v>84</v>
      </c>
      <c r="AN269" t="s">
        <v>84</v>
      </c>
      <c r="AT269" t="s">
        <v>84</v>
      </c>
      <c r="AU269" t="s">
        <v>84</v>
      </c>
      <c r="AV269">
        <v>7738.3308333333334</v>
      </c>
    </row>
    <row r="270" spans="1:48" x14ac:dyDescent="0.25">
      <c r="A270">
        <v>0</v>
      </c>
      <c r="B270" t="s">
        <v>338</v>
      </c>
      <c r="C270" t="s">
        <v>106</v>
      </c>
      <c r="D270">
        <v>4852.54</v>
      </c>
      <c r="J270" t="s">
        <v>84</v>
      </c>
      <c r="L270" t="s">
        <v>84</v>
      </c>
      <c r="N270" t="s">
        <v>84</v>
      </c>
      <c r="T270" t="s">
        <v>84</v>
      </c>
      <c r="W270" t="s">
        <v>84</v>
      </c>
      <c r="X270" t="s">
        <v>84</v>
      </c>
      <c r="Y270" t="s">
        <v>84</v>
      </c>
      <c r="AA270" t="s">
        <v>84</v>
      </c>
      <c r="AH270" t="s">
        <v>84</v>
      </c>
      <c r="AK270" t="s">
        <v>84</v>
      </c>
      <c r="AL270" t="s">
        <v>84</v>
      </c>
      <c r="AN270" t="s">
        <v>84</v>
      </c>
      <c r="AT270" t="s">
        <v>84</v>
      </c>
      <c r="AU270" t="s">
        <v>84</v>
      </c>
      <c r="AV270">
        <v>7738.3308333333334</v>
      </c>
    </row>
    <row r="271" spans="1:48" x14ac:dyDescent="0.25">
      <c r="A271">
        <v>1</v>
      </c>
      <c r="B271" t="s">
        <v>338</v>
      </c>
      <c r="C271" t="s">
        <v>106</v>
      </c>
      <c r="D271">
        <v>7255.1774999999998</v>
      </c>
      <c r="J271" t="s">
        <v>84</v>
      </c>
      <c r="K271">
        <v>3200</v>
      </c>
      <c r="L271" t="s">
        <v>84</v>
      </c>
      <c r="N271" t="s">
        <v>84</v>
      </c>
      <c r="T271" t="s">
        <v>84</v>
      </c>
      <c r="W271" t="s">
        <v>84</v>
      </c>
      <c r="X271" t="s">
        <v>84</v>
      </c>
      <c r="Y271" t="s">
        <v>84</v>
      </c>
      <c r="AA271" t="s">
        <v>84</v>
      </c>
      <c r="AF271">
        <v>1405</v>
      </c>
      <c r="AH271" t="s">
        <v>84</v>
      </c>
      <c r="AK271" t="s">
        <v>84</v>
      </c>
      <c r="AL271" t="s">
        <v>84</v>
      </c>
      <c r="AN271" t="s">
        <v>84</v>
      </c>
      <c r="AT271" t="s">
        <v>84</v>
      </c>
      <c r="AU271" t="s">
        <v>84</v>
      </c>
      <c r="AV271">
        <v>7738.3308333333334</v>
      </c>
    </row>
    <row r="272" spans="1:48" x14ac:dyDescent="0.25">
      <c r="A272">
        <v>0</v>
      </c>
      <c r="B272" t="s">
        <v>338</v>
      </c>
      <c r="C272" t="s">
        <v>87</v>
      </c>
      <c r="D272">
        <v>122741.675</v>
      </c>
      <c r="J272" t="s">
        <v>84</v>
      </c>
      <c r="L272" t="s">
        <v>84</v>
      </c>
      <c r="N272" t="s">
        <v>84</v>
      </c>
      <c r="T272" t="s">
        <v>84</v>
      </c>
      <c r="W272" t="s">
        <v>84</v>
      </c>
      <c r="X272" t="s">
        <v>84</v>
      </c>
      <c r="Y272" t="s">
        <v>84</v>
      </c>
      <c r="AA272" t="s">
        <v>84</v>
      </c>
      <c r="AH272" t="s">
        <v>84</v>
      </c>
      <c r="AK272" t="s">
        <v>84</v>
      </c>
      <c r="AL272" t="s">
        <v>84</v>
      </c>
      <c r="AN272" t="s">
        <v>84</v>
      </c>
      <c r="AT272" t="s">
        <v>84</v>
      </c>
      <c r="AU272" t="s">
        <v>84</v>
      </c>
      <c r="AV272">
        <v>133351.01110999999</v>
      </c>
    </row>
    <row r="273" spans="1:48" x14ac:dyDescent="0.25">
      <c r="A273">
        <v>1</v>
      </c>
      <c r="B273" t="s">
        <v>338</v>
      </c>
      <c r="C273" t="s">
        <v>87</v>
      </c>
      <c r="D273">
        <v>95547.083329999994</v>
      </c>
      <c r="J273" t="s">
        <v>84</v>
      </c>
      <c r="L273" t="s">
        <v>84</v>
      </c>
      <c r="N273" t="s">
        <v>84</v>
      </c>
      <c r="O273">
        <v>21250</v>
      </c>
      <c r="P273">
        <v>22000</v>
      </c>
      <c r="Q273">
        <v>13300</v>
      </c>
      <c r="R273">
        <v>13150</v>
      </c>
      <c r="T273" t="s">
        <v>84</v>
      </c>
      <c r="W273" t="s">
        <v>84</v>
      </c>
      <c r="X273" t="s">
        <v>84</v>
      </c>
      <c r="Y273" t="s">
        <v>84</v>
      </c>
      <c r="AA273" t="s">
        <v>84</v>
      </c>
      <c r="AH273" t="s">
        <v>84</v>
      </c>
      <c r="AK273" t="s">
        <v>84</v>
      </c>
      <c r="AL273" t="s">
        <v>84</v>
      </c>
      <c r="AN273" t="s">
        <v>84</v>
      </c>
      <c r="AT273" t="s">
        <v>84</v>
      </c>
      <c r="AU273" t="s">
        <v>84</v>
      </c>
      <c r="AV273">
        <v>133351.01110999999</v>
      </c>
    </row>
    <row r="274" spans="1:48" x14ac:dyDescent="0.25">
      <c r="A274">
        <v>0</v>
      </c>
      <c r="B274" t="s">
        <v>338</v>
      </c>
      <c r="C274" t="s">
        <v>87</v>
      </c>
      <c r="D274">
        <v>181764.27499999999</v>
      </c>
      <c r="J274" t="s">
        <v>84</v>
      </c>
      <c r="L274" t="s">
        <v>84</v>
      </c>
      <c r="N274" t="s">
        <v>84</v>
      </c>
      <c r="T274" t="s">
        <v>84</v>
      </c>
      <c r="W274" t="s">
        <v>84</v>
      </c>
      <c r="X274" t="s">
        <v>84</v>
      </c>
      <c r="Y274" t="s">
        <v>84</v>
      </c>
      <c r="AA274" t="s">
        <v>84</v>
      </c>
      <c r="AH274" t="s">
        <v>84</v>
      </c>
      <c r="AK274" t="s">
        <v>84</v>
      </c>
      <c r="AL274" t="s">
        <v>84</v>
      </c>
      <c r="AN274" t="s">
        <v>84</v>
      </c>
      <c r="AT274" t="s">
        <v>84</v>
      </c>
      <c r="AU274" t="s">
        <v>84</v>
      </c>
      <c r="AV274">
        <v>133351.01110999999</v>
      </c>
    </row>
    <row r="275" spans="1:48" x14ac:dyDescent="0.25">
      <c r="A275">
        <v>1</v>
      </c>
      <c r="B275" t="s">
        <v>338</v>
      </c>
      <c r="C275" t="s">
        <v>98</v>
      </c>
      <c r="D275">
        <v>32300</v>
      </c>
      <c r="J275" t="s">
        <v>84</v>
      </c>
      <c r="L275" t="s">
        <v>84</v>
      </c>
      <c r="N275" t="s">
        <v>84</v>
      </c>
      <c r="T275" t="s">
        <v>84</v>
      </c>
      <c r="V275">
        <v>32300</v>
      </c>
      <c r="W275" t="s">
        <v>84</v>
      </c>
      <c r="X275" t="s">
        <v>84</v>
      </c>
      <c r="Y275" t="s">
        <v>84</v>
      </c>
      <c r="AA275" t="s">
        <v>84</v>
      </c>
      <c r="AH275" t="s">
        <v>84</v>
      </c>
      <c r="AK275" t="s">
        <v>84</v>
      </c>
      <c r="AL275" t="s">
        <v>84</v>
      </c>
      <c r="AN275" t="s">
        <v>84</v>
      </c>
      <c r="AT275" t="s">
        <v>84</v>
      </c>
      <c r="AU275" t="s">
        <v>84</v>
      </c>
      <c r="AV275">
        <v>30325</v>
      </c>
    </row>
    <row r="276" spans="1:48" x14ac:dyDescent="0.25">
      <c r="A276">
        <v>0</v>
      </c>
      <c r="B276" t="s">
        <v>338</v>
      </c>
      <c r="C276" t="s">
        <v>98</v>
      </c>
      <c r="D276">
        <v>28350</v>
      </c>
      <c r="J276" t="s">
        <v>84</v>
      </c>
      <c r="L276" t="s">
        <v>84</v>
      </c>
      <c r="N276" t="s">
        <v>84</v>
      </c>
      <c r="T276" t="s">
        <v>84</v>
      </c>
      <c r="W276" t="s">
        <v>84</v>
      </c>
      <c r="X276" t="s">
        <v>84</v>
      </c>
      <c r="Y276" t="s">
        <v>84</v>
      </c>
      <c r="AA276" t="s">
        <v>84</v>
      </c>
      <c r="AH276" t="s">
        <v>84</v>
      </c>
      <c r="AK276" t="s">
        <v>84</v>
      </c>
      <c r="AL276" t="s">
        <v>84</v>
      </c>
      <c r="AN276" t="s">
        <v>84</v>
      </c>
      <c r="AT276" t="s">
        <v>84</v>
      </c>
      <c r="AU276" t="s">
        <v>84</v>
      </c>
      <c r="AV276">
        <v>30325</v>
      </c>
    </row>
    <row r="277" spans="1:48" x14ac:dyDescent="0.25">
      <c r="A277">
        <v>0</v>
      </c>
      <c r="B277" t="s">
        <v>338</v>
      </c>
      <c r="C277" t="s">
        <v>87</v>
      </c>
      <c r="D277">
        <v>144247.3083</v>
      </c>
      <c r="J277" t="s">
        <v>84</v>
      </c>
      <c r="L277" t="s">
        <v>84</v>
      </c>
      <c r="N277" t="s">
        <v>84</v>
      </c>
      <c r="T277" t="s">
        <v>84</v>
      </c>
      <c r="W277" t="s">
        <v>84</v>
      </c>
      <c r="X277" t="s">
        <v>84</v>
      </c>
      <c r="Y277" t="s">
        <v>84</v>
      </c>
      <c r="AA277" t="s">
        <v>84</v>
      </c>
      <c r="AH277" t="s">
        <v>84</v>
      </c>
      <c r="AK277" t="s">
        <v>84</v>
      </c>
      <c r="AL277" t="s">
        <v>84</v>
      </c>
      <c r="AN277" t="s">
        <v>84</v>
      </c>
      <c r="AT277" t="s">
        <v>84</v>
      </c>
      <c r="AU277" t="s">
        <v>84</v>
      </c>
      <c r="AV277">
        <v>138920.25</v>
      </c>
    </row>
    <row r="278" spans="1:48" x14ac:dyDescent="0.25">
      <c r="A278">
        <v>1</v>
      </c>
      <c r="B278" t="s">
        <v>338</v>
      </c>
      <c r="C278" t="s">
        <v>87</v>
      </c>
      <c r="D278">
        <v>161621.25</v>
      </c>
      <c r="J278" t="s">
        <v>84</v>
      </c>
      <c r="L278" t="s">
        <v>84</v>
      </c>
      <c r="N278" t="s">
        <v>84</v>
      </c>
      <c r="O278">
        <v>53150</v>
      </c>
      <c r="P278">
        <v>27900</v>
      </c>
      <c r="Q278">
        <v>22600</v>
      </c>
      <c r="R278">
        <v>14250</v>
      </c>
      <c r="T278" t="s">
        <v>84</v>
      </c>
      <c r="W278" t="s">
        <v>84</v>
      </c>
      <c r="X278" t="s">
        <v>84</v>
      </c>
      <c r="Y278" t="s">
        <v>84</v>
      </c>
      <c r="AA278" t="s">
        <v>84</v>
      </c>
      <c r="AH278" t="s">
        <v>84</v>
      </c>
      <c r="AK278" t="s">
        <v>84</v>
      </c>
      <c r="AL278" t="s">
        <v>84</v>
      </c>
      <c r="AN278" t="s">
        <v>84</v>
      </c>
      <c r="AT278" t="s">
        <v>84</v>
      </c>
      <c r="AU278" t="s">
        <v>84</v>
      </c>
      <c r="AV278">
        <v>138920.25</v>
      </c>
    </row>
    <row r="279" spans="1:48" x14ac:dyDescent="0.25">
      <c r="A279">
        <v>0</v>
      </c>
      <c r="B279" t="s">
        <v>338</v>
      </c>
      <c r="C279" t="s">
        <v>87</v>
      </c>
      <c r="D279">
        <v>110892.1917</v>
      </c>
      <c r="J279" t="s">
        <v>84</v>
      </c>
      <c r="L279" t="s">
        <v>84</v>
      </c>
      <c r="N279" t="s">
        <v>84</v>
      </c>
      <c r="T279" t="s">
        <v>84</v>
      </c>
      <c r="W279" t="s">
        <v>84</v>
      </c>
      <c r="X279" t="s">
        <v>84</v>
      </c>
      <c r="Y279" t="s">
        <v>84</v>
      </c>
      <c r="AA279" t="s">
        <v>84</v>
      </c>
      <c r="AH279" t="s">
        <v>84</v>
      </c>
      <c r="AK279" t="s">
        <v>84</v>
      </c>
      <c r="AL279" t="s">
        <v>84</v>
      </c>
      <c r="AN279" t="s">
        <v>84</v>
      </c>
      <c r="AT279" t="s">
        <v>84</v>
      </c>
      <c r="AU279" t="s">
        <v>84</v>
      </c>
      <c r="AV279">
        <v>138920.25</v>
      </c>
    </row>
    <row r="280" spans="1:48" x14ac:dyDescent="0.25">
      <c r="A280">
        <v>0</v>
      </c>
      <c r="B280" t="s">
        <v>338</v>
      </c>
      <c r="C280" t="s">
        <v>92</v>
      </c>
      <c r="D280">
        <v>13050</v>
      </c>
      <c r="J280" t="s">
        <v>84</v>
      </c>
      <c r="L280" t="s">
        <v>84</v>
      </c>
      <c r="N280" t="s">
        <v>84</v>
      </c>
      <c r="T280" t="s">
        <v>84</v>
      </c>
      <c r="W280" t="s">
        <v>84</v>
      </c>
      <c r="X280" t="s">
        <v>84</v>
      </c>
      <c r="Y280" t="s">
        <v>84</v>
      </c>
      <c r="AA280" t="s">
        <v>84</v>
      </c>
      <c r="AH280" t="s">
        <v>84</v>
      </c>
      <c r="AK280" t="s">
        <v>84</v>
      </c>
      <c r="AL280" t="s">
        <v>84</v>
      </c>
      <c r="AN280" t="s">
        <v>84</v>
      </c>
      <c r="AT280" t="s">
        <v>84</v>
      </c>
      <c r="AU280" t="s">
        <v>84</v>
      </c>
      <c r="AV280">
        <v>28613.333333333336</v>
      </c>
    </row>
    <row r="281" spans="1:48" x14ac:dyDescent="0.25">
      <c r="A281">
        <v>1</v>
      </c>
      <c r="B281" t="s">
        <v>338</v>
      </c>
      <c r="C281" t="s">
        <v>92</v>
      </c>
      <c r="D281">
        <v>27240</v>
      </c>
      <c r="H281">
        <v>27240</v>
      </c>
      <c r="J281" t="s">
        <v>84</v>
      </c>
      <c r="L281" t="s">
        <v>84</v>
      </c>
      <c r="N281" t="s">
        <v>84</v>
      </c>
      <c r="T281" t="s">
        <v>84</v>
      </c>
      <c r="W281" t="s">
        <v>84</v>
      </c>
      <c r="X281" t="s">
        <v>84</v>
      </c>
      <c r="Y281" t="s">
        <v>84</v>
      </c>
      <c r="AA281" t="s">
        <v>84</v>
      </c>
      <c r="AH281" t="s">
        <v>84</v>
      </c>
      <c r="AK281" t="s">
        <v>84</v>
      </c>
      <c r="AL281" t="s">
        <v>84</v>
      </c>
      <c r="AN281" t="s">
        <v>84</v>
      </c>
      <c r="AT281" t="s">
        <v>84</v>
      </c>
      <c r="AU281" t="s">
        <v>84</v>
      </c>
      <c r="AV281">
        <v>28613.333333333336</v>
      </c>
    </row>
    <row r="282" spans="1:48" x14ac:dyDescent="0.25">
      <c r="A282">
        <v>0</v>
      </c>
      <c r="B282" t="s">
        <v>338</v>
      </c>
      <c r="C282" t="s">
        <v>92</v>
      </c>
      <c r="D282">
        <v>45550</v>
      </c>
      <c r="J282" t="s">
        <v>84</v>
      </c>
      <c r="L282" t="s">
        <v>84</v>
      </c>
      <c r="N282" t="s">
        <v>84</v>
      </c>
      <c r="T282" t="s">
        <v>84</v>
      </c>
      <c r="W282" t="s">
        <v>84</v>
      </c>
      <c r="X282" t="s">
        <v>84</v>
      </c>
      <c r="Y282" t="s">
        <v>84</v>
      </c>
      <c r="AA282" t="s">
        <v>84</v>
      </c>
      <c r="AH282" t="s">
        <v>84</v>
      </c>
      <c r="AK282" t="s">
        <v>84</v>
      </c>
      <c r="AL282" t="s">
        <v>84</v>
      </c>
      <c r="AN282" t="s">
        <v>84</v>
      </c>
      <c r="AT282" t="s">
        <v>84</v>
      </c>
      <c r="AU282" t="s">
        <v>84</v>
      </c>
      <c r="AV282">
        <v>28613.333333333336</v>
      </c>
    </row>
    <row r="283" spans="1:48" x14ac:dyDescent="0.25">
      <c r="A283">
        <v>1</v>
      </c>
      <c r="B283" t="s">
        <v>338</v>
      </c>
      <c r="C283" t="s">
        <v>98</v>
      </c>
      <c r="D283">
        <v>14200</v>
      </c>
      <c r="J283" t="s">
        <v>84</v>
      </c>
      <c r="L283" t="s">
        <v>84</v>
      </c>
      <c r="N283" t="s">
        <v>84</v>
      </c>
      <c r="T283" t="s">
        <v>84</v>
      </c>
      <c r="V283">
        <v>14200</v>
      </c>
      <c r="W283" t="s">
        <v>84</v>
      </c>
      <c r="X283" t="s">
        <v>84</v>
      </c>
      <c r="Y283" t="s">
        <v>84</v>
      </c>
      <c r="AA283" t="s">
        <v>84</v>
      </c>
      <c r="AH283" t="s">
        <v>84</v>
      </c>
      <c r="AK283" t="s">
        <v>84</v>
      </c>
      <c r="AL283" t="s">
        <v>84</v>
      </c>
      <c r="AN283" t="s">
        <v>84</v>
      </c>
      <c r="AT283" t="s">
        <v>84</v>
      </c>
      <c r="AU283" t="s">
        <v>84</v>
      </c>
      <c r="AV283">
        <v>23825</v>
      </c>
    </row>
    <row r="284" spans="1:48" x14ac:dyDescent="0.25">
      <c r="A284">
        <v>0</v>
      </c>
      <c r="B284" t="s">
        <v>338</v>
      </c>
      <c r="C284" t="s">
        <v>98</v>
      </c>
      <c r="D284">
        <v>33450</v>
      </c>
      <c r="J284" t="s">
        <v>84</v>
      </c>
      <c r="L284" t="s">
        <v>84</v>
      </c>
      <c r="N284" t="s">
        <v>84</v>
      </c>
      <c r="T284" t="s">
        <v>84</v>
      </c>
      <c r="W284" t="s">
        <v>84</v>
      </c>
      <c r="X284" t="s">
        <v>84</v>
      </c>
      <c r="Y284" t="s">
        <v>84</v>
      </c>
      <c r="AA284" t="s">
        <v>84</v>
      </c>
      <c r="AH284" t="s">
        <v>84</v>
      </c>
      <c r="AK284" t="s">
        <v>84</v>
      </c>
      <c r="AL284" t="s">
        <v>84</v>
      </c>
      <c r="AN284" t="s">
        <v>84</v>
      </c>
      <c r="AT284" t="s">
        <v>84</v>
      </c>
      <c r="AU284" t="s">
        <v>84</v>
      </c>
      <c r="AV284">
        <v>23825</v>
      </c>
    </row>
    <row r="285" spans="1:48" x14ac:dyDescent="0.25">
      <c r="A285">
        <v>1</v>
      </c>
      <c r="B285" t="s">
        <v>338</v>
      </c>
      <c r="C285" t="s">
        <v>87</v>
      </c>
      <c r="D285">
        <v>145993.75</v>
      </c>
      <c r="J285" t="s">
        <v>84</v>
      </c>
      <c r="L285" t="s">
        <v>84</v>
      </c>
      <c r="N285" t="s">
        <v>84</v>
      </c>
      <c r="O285">
        <v>16350</v>
      </c>
      <c r="P285">
        <v>51900</v>
      </c>
      <c r="Q285">
        <v>24950</v>
      </c>
      <c r="R285">
        <v>13300</v>
      </c>
      <c r="T285" t="s">
        <v>84</v>
      </c>
      <c r="W285" t="s">
        <v>84</v>
      </c>
      <c r="X285" t="s">
        <v>84</v>
      </c>
      <c r="Y285" t="s">
        <v>84</v>
      </c>
      <c r="AA285" t="s">
        <v>84</v>
      </c>
      <c r="AH285" t="s">
        <v>84</v>
      </c>
      <c r="AK285" t="s">
        <v>84</v>
      </c>
      <c r="AL285" t="s">
        <v>84</v>
      </c>
      <c r="AN285" t="s">
        <v>84</v>
      </c>
      <c r="AT285" t="s">
        <v>84</v>
      </c>
      <c r="AU285" t="s">
        <v>84</v>
      </c>
      <c r="AV285">
        <v>127258.57084999999</v>
      </c>
    </row>
    <row r="286" spans="1:48" x14ac:dyDescent="0.25">
      <c r="A286">
        <v>0</v>
      </c>
      <c r="B286" t="s">
        <v>338</v>
      </c>
      <c r="C286" t="s">
        <v>87</v>
      </c>
      <c r="D286">
        <v>108523.39169999999</v>
      </c>
      <c r="J286" t="s">
        <v>84</v>
      </c>
      <c r="L286" t="s">
        <v>84</v>
      </c>
      <c r="N286" t="s">
        <v>84</v>
      </c>
      <c r="T286" t="s">
        <v>84</v>
      </c>
      <c r="W286" t="s">
        <v>84</v>
      </c>
      <c r="X286" t="s">
        <v>84</v>
      </c>
      <c r="Y286" t="s">
        <v>84</v>
      </c>
      <c r="AA286" t="s">
        <v>84</v>
      </c>
      <c r="AH286" t="s">
        <v>84</v>
      </c>
      <c r="AK286" t="s">
        <v>84</v>
      </c>
      <c r="AL286" t="s">
        <v>84</v>
      </c>
      <c r="AN286" t="s">
        <v>84</v>
      </c>
      <c r="AT286" t="s">
        <v>84</v>
      </c>
      <c r="AU286" t="s">
        <v>84</v>
      </c>
      <c r="AV286">
        <v>127258.57084999999</v>
      </c>
    </row>
    <row r="287" spans="1:48" x14ac:dyDescent="0.25">
      <c r="A287">
        <v>1</v>
      </c>
      <c r="B287" t="s">
        <v>338</v>
      </c>
      <c r="C287" t="s">
        <v>106</v>
      </c>
      <c r="D287">
        <v>9350.5925000000007</v>
      </c>
      <c r="J287" t="s">
        <v>84</v>
      </c>
      <c r="K287">
        <v>3400</v>
      </c>
      <c r="L287" t="s">
        <v>84</v>
      </c>
      <c r="N287" t="s">
        <v>84</v>
      </c>
      <c r="T287" t="s">
        <v>84</v>
      </c>
      <c r="W287" t="s">
        <v>84</v>
      </c>
      <c r="X287" t="s">
        <v>84</v>
      </c>
      <c r="Y287" t="s">
        <v>84</v>
      </c>
      <c r="AA287" t="s">
        <v>84</v>
      </c>
      <c r="AF287">
        <v>2535</v>
      </c>
      <c r="AH287" t="s">
        <v>84</v>
      </c>
      <c r="AK287" t="s">
        <v>84</v>
      </c>
      <c r="AL287" t="s">
        <v>84</v>
      </c>
      <c r="AN287" t="s">
        <v>84</v>
      </c>
      <c r="AT287" t="s">
        <v>84</v>
      </c>
      <c r="AU287" t="s">
        <v>84</v>
      </c>
      <c r="AV287">
        <v>8098.07</v>
      </c>
    </row>
    <row r="288" spans="1:48" x14ac:dyDescent="0.25">
      <c r="A288">
        <v>0</v>
      </c>
      <c r="B288" t="s">
        <v>552</v>
      </c>
      <c r="C288" t="s">
        <v>106</v>
      </c>
      <c r="D288">
        <v>6845.5474999999997</v>
      </c>
      <c r="J288" t="s">
        <v>84</v>
      </c>
      <c r="L288" t="s">
        <v>84</v>
      </c>
      <c r="N288" t="s">
        <v>84</v>
      </c>
      <c r="T288" t="s">
        <v>84</v>
      </c>
      <c r="W288" t="s">
        <v>84</v>
      </c>
      <c r="X288" t="s">
        <v>84</v>
      </c>
      <c r="Y288" t="s">
        <v>84</v>
      </c>
      <c r="AA288" t="s">
        <v>84</v>
      </c>
      <c r="AH288" t="s">
        <v>84</v>
      </c>
      <c r="AK288" t="s">
        <v>84</v>
      </c>
      <c r="AL288" t="s">
        <v>84</v>
      </c>
      <c r="AN288" t="s">
        <v>84</v>
      </c>
      <c r="AT288" t="s">
        <v>84</v>
      </c>
      <c r="AU288" t="s">
        <v>84</v>
      </c>
      <c r="AV288">
        <v>8098.07</v>
      </c>
    </row>
    <row r="289" spans="1:48" x14ac:dyDescent="0.25">
      <c r="A289">
        <v>1</v>
      </c>
      <c r="B289" t="s">
        <v>552</v>
      </c>
      <c r="C289" t="s">
        <v>80</v>
      </c>
      <c r="D289">
        <v>895921.25</v>
      </c>
      <c r="F289">
        <v>19090.5</v>
      </c>
      <c r="G289">
        <v>139400</v>
      </c>
      <c r="J289" t="s">
        <v>84</v>
      </c>
      <c r="L289" t="s">
        <v>84</v>
      </c>
      <c r="M289">
        <v>195000</v>
      </c>
      <c r="N289" t="s">
        <v>84</v>
      </c>
      <c r="O289">
        <v>0</v>
      </c>
      <c r="Q289">
        <v>0</v>
      </c>
      <c r="S289">
        <v>21900</v>
      </c>
      <c r="T289" t="s">
        <v>84</v>
      </c>
      <c r="U289">
        <v>2000</v>
      </c>
      <c r="W289" t="s">
        <v>84</v>
      </c>
      <c r="X289" t="s">
        <v>84</v>
      </c>
      <c r="Y289" t="s">
        <v>84</v>
      </c>
      <c r="Z289">
        <v>22252</v>
      </c>
      <c r="AA289" t="s">
        <v>84</v>
      </c>
      <c r="AB289">
        <v>10700</v>
      </c>
      <c r="AD289">
        <v>11050</v>
      </c>
      <c r="AE289">
        <v>154368.5</v>
      </c>
      <c r="AH289" t="s">
        <v>84</v>
      </c>
      <c r="AI289">
        <v>23000</v>
      </c>
      <c r="AJ289">
        <v>94666</v>
      </c>
      <c r="AK289" t="s">
        <v>84</v>
      </c>
      <c r="AL289" t="s">
        <v>84</v>
      </c>
      <c r="AN289" t="s">
        <v>84</v>
      </c>
      <c r="AQ289">
        <v>23310</v>
      </c>
      <c r="AR289">
        <v>0</v>
      </c>
      <c r="AS289">
        <v>0</v>
      </c>
      <c r="AT289" t="s">
        <v>84</v>
      </c>
      <c r="AU289" t="s">
        <v>84</v>
      </c>
      <c r="AV289">
        <v>775087.81499999994</v>
      </c>
    </row>
    <row r="290" spans="1:48" x14ac:dyDescent="0.25">
      <c r="A290">
        <v>0</v>
      </c>
      <c r="B290" t="s">
        <v>552</v>
      </c>
      <c r="C290" t="s">
        <v>80</v>
      </c>
      <c r="D290">
        <v>654254.38</v>
      </c>
      <c r="J290" t="s">
        <v>84</v>
      </c>
      <c r="L290" t="s">
        <v>84</v>
      </c>
      <c r="N290" t="s">
        <v>84</v>
      </c>
      <c r="T290" t="s">
        <v>84</v>
      </c>
      <c r="W290" t="s">
        <v>84</v>
      </c>
      <c r="X290" t="s">
        <v>84</v>
      </c>
      <c r="Y290" t="s">
        <v>84</v>
      </c>
      <c r="AA290" t="s">
        <v>84</v>
      </c>
      <c r="AH290" t="s">
        <v>84</v>
      </c>
      <c r="AK290" t="s">
        <v>84</v>
      </c>
      <c r="AL290" t="s">
        <v>84</v>
      </c>
      <c r="AN290" t="s">
        <v>84</v>
      </c>
      <c r="AT290" t="s">
        <v>84</v>
      </c>
      <c r="AU290" t="s">
        <v>84</v>
      </c>
      <c r="AV290">
        <v>775087.81499999994</v>
      </c>
    </row>
    <row r="291" spans="1:48" x14ac:dyDescent="0.25">
      <c r="A291">
        <v>0</v>
      </c>
      <c r="B291" t="s">
        <v>552</v>
      </c>
      <c r="C291" t="s">
        <v>92</v>
      </c>
      <c r="D291">
        <v>34420</v>
      </c>
      <c r="J291" t="s">
        <v>84</v>
      </c>
      <c r="L291" t="s">
        <v>84</v>
      </c>
      <c r="N291" t="s">
        <v>84</v>
      </c>
      <c r="T291" t="s">
        <v>84</v>
      </c>
      <c r="W291" t="s">
        <v>84</v>
      </c>
      <c r="X291" t="s">
        <v>84</v>
      </c>
      <c r="Y291" t="s">
        <v>84</v>
      </c>
      <c r="AA291" t="s">
        <v>84</v>
      </c>
      <c r="AH291" t="s">
        <v>84</v>
      </c>
      <c r="AK291" t="s">
        <v>84</v>
      </c>
      <c r="AL291" t="s">
        <v>84</v>
      </c>
      <c r="AN291" t="s">
        <v>84</v>
      </c>
      <c r="AT291" t="s">
        <v>84</v>
      </c>
      <c r="AU291" t="s">
        <v>84</v>
      </c>
      <c r="AV291">
        <v>32550</v>
      </c>
    </row>
    <row r="292" spans="1:48" x14ac:dyDescent="0.25">
      <c r="A292">
        <v>0</v>
      </c>
      <c r="B292" t="s">
        <v>552</v>
      </c>
      <c r="C292" t="s">
        <v>92</v>
      </c>
      <c r="D292">
        <v>34780</v>
      </c>
      <c r="J292" t="s">
        <v>84</v>
      </c>
      <c r="L292" t="s">
        <v>84</v>
      </c>
      <c r="N292" t="s">
        <v>84</v>
      </c>
      <c r="T292" t="s">
        <v>84</v>
      </c>
      <c r="W292" t="s">
        <v>84</v>
      </c>
      <c r="X292" t="s">
        <v>84</v>
      </c>
      <c r="Y292" t="s">
        <v>84</v>
      </c>
      <c r="AA292" t="s">
        <v>84</v>
      </c>
      <c r="AH292" t="s">
        <v>84</v>
      </c>
      <c r="AK292" t="s">
        <v>84</v>
      </c>
      <c r="AL292" t="s">
        <v>84</v>
      </c>
      <c r="AN292" t="s">
        <v>84</v>
      </c>
      <c r="AT292" t="s">
        <v>84</v>
      </c>
      <c r="AU292" t="s">
        <v>84</v>
      </c>
      <c r="AV292">
        <v>32550</v>
      </c>
    </row>
    <row r="293" spans="1:48" x14ac:dyDescent="0.25">
      <c r="A293">
        <v>1</v>
      </c>
      <c r="B293" t="s">
        <v>552</v>
      </c>
      <c r="C293" t="s">
        <v>92</v>
      </c>
      <c r="D293">
        <v>28450</v>
      </c>
      <c r="H293">
        <v>28450</v>
      </c>
      <c r="J293" t="s">
        <v>84</v>
      </c>
      <c r="L293" t="s">
        <v>84</v>
      </c>
      <c r="N293" t="s">
        <v>84</v>
      </c>
      <c r="T293" t="s">
        <v>84</v>
      </c>
      <c r="W293" t="s">
        <v>84</v>
      </c>
      <c r="X293" t="s">
        <v>84</v>
      </c>
      <c r="Y293" t="s">
        <v>84</v>
      </c>
      <c r="AA293" t="s">
        <v>84</v>
      </c>
      <c r="AH293" t="s">
        <v>84</v>
      </c>
      <c r="AK293" t="s">
        <v>84</v>
      </c>
      <c r="AL293" t="s">
        <v>84</v>
      </c>
      <c r="AN293" t="s">
        <v>84</v>
      </c>
      <c r="AT293" t="s">
        <v>84</v>
      </c>
      <c r="AU293" t="s">
        <v>84</v>
      </c>
      <c r="AV293">
        <v>32550</v>
      </c>
    </row>
    <row r="294" spans="1:48" x14ac:dyDescent="0.25">
      <c r="A294">
        <v>0</v>
      </c>
      <c r="B294" t="s">
        <v>552</v>
      </c>
      <c r="C294" t="s">
        <v>185</v>
      </c>
      <c r="D294">
        <v>15439.9</v>
      </c>
      <c r="J294" t="s">
        <v>84</v>
      </c>
      <c r="L294" t="s">
        <v>84</v>
      </c>
      <c r="N294" t="s">
        <v>84</v>
      </c>
      <c r="T294" t="s">
        <v>84</v>
      </c>
      <c r="W294" t="s">
        <v>84</v>
      </c>
      <c r="X294" t="s">
        <v>84</v>
      </c>
      <c r="Y294" t="s">
        <v>84</v>
      </c>
      <c r="AA294" t="s">
        <v>84</v>
      </c>
      <c r="AH294" t="s">
        <v>84</v>
      </c>
      <c r="AK294" t="s">
        <v>84</v>
      </c>
      <c r="AL294" t="s">
        <v>84</v>
      </c>
      <c r="AN294" t="s">
        <v>84</v>
      </c>
      <c r="AT294" t="s">
        <v>84</v>
      </c>
      <c r="AU294" t="s">
        <v>84</v>
      </c>
      <c r="AV294">
        <v>16175.133333333333</v>
      </c>
    </row>
    <row r="295" spans="1:48" x14ac:dyDescent="0.25">
      <c r="A295">
        <v>1</v>
      </c>
      <c r="B295" t="s">
        <v>552</v>
      </c>
      <c r="C295" t="s">
        <v>185</v>
      </c>
      <c r="D295">
        <v>13549.3</v>
      </c>
      <c r="J295" t="s">
        <v>84</v>
      </c>
      <c r="L295" t="s">
        <v>84</v>
      </c>
      <c r="N295" t="s">
        <v>84</v>
      </c>
      <c r="T295" t="s">
        <v>84</v>
      </c>
      <c r="W295" t="s">
        <v>84</v>
      </c>
      <c r="X295" t="s">
        <v>84</v>
      </c>
      <c r="Y295" t="s">
        <v>84</v>
      </c>
      <c r="AA295" t="s">
        <v>84</v>
      </c>
      <c r="AH295" t="s">
        <v>84</v>
      </c>
      <c r="AK295" t="s">
        <v>84</v>
      </c>
      <c r="AL295" t="s">
        <v>84</v>
      </c>
      <c r="AN295" t="s">
        <v>84</v>
      </c>
      <c r="AT295" t="s">
        <v>84</v>
      </c>
      <c r="AU295" t="s">
        <v>84</v>
      </c>
      <c r="AV295">
        <v>16175.133333333333</v>
      </c>
    </row>
    <row r="296" spans="1:48" x14ac:dyDescent="0.25">
      <c r="A296">
        <v>0</v>
      </c>
      <c r="B296" t="s">
        <v>552</v>
      </c>
      <c r="C296" t="s">
        <v>185</v>
      </c>
      <c r="D296">
        <v>19536.2</v>
      </c>
      <c r="J296" t="s">
        <v>84</v>
      </c>
      <c r="L296" t="s">
        <v>84</v>
      </c>
      <c r="N296" t="s">
        <v>84</v>
      </c>
      <c r="T296" t="s">
        <v>84</v>
      </c>
      <c r="W296" t="s">
        <v>84</v>
      </c>
      <c r="X296" t="s">
        <v>84</v>
      </c>
      <c r="Y296" t="s">
        <v>84</v>
      </c>
      <c r="AA296" t="s">
        <v>84</v>
      </c>
      <c r="AH296" t="s">
        <v>84</v>
      </c>
      <c r="AK296" t="s">
        <v>84</v>
      </c>
      <c r="AL296" t="s">
        <v>84</v>
      </c>
      <c r="AN296" t="s">
        <v>84</v>
      </c>
      <c r="AT296" t="s">
        <v>84</v>
      </c>
      <c r="AU296" t="s">
        <v>84</v>
      </c>
      <c r="AV296">
        <v>16175.133333333333</v>
      </c>
    </row>
    <row r="297" spans="1:48" x14ac:dyDescent="0.25">
      <c r="A297">
        <v>1</v>
      </c>
      <c r="B297" t="s">
        <v>552</v>
      </c>
      <c r="C297" t="s">
        <v>98</v>
      </c>
      <c r="D297">
        <v>34400</v>
      </c>
      <c r="J297" t="s">
        <v>84</v>
      </c>
      <c r="L297" t="s">
        <v>84</v>
      </c>
      <c r="N297" t="s">
        <v>84</v>
      </c>
      <c r="T297" t="s">
        <v>84</v>
      </c>
      <c r="V297">
        <v>34400</v>
      </c>
      <c r="W297" t="s">
        <v>84</v>
      </c>
      <c r="X297" t="s">
        <v>84</v>
      </c>
      <c r="Y297" t="s">
        <v>84</v>
      </c>
      <c r="AA297" t="s">
        <v>84</v>
      </c>
      <c r="AH297" t="s">
        <v>84</v>
      </c>
      <c r="AK297" t="s">
        <v>84</v>
      </c>
      <c r="AL297" t="s">
        <v>84</v>
      </c>
      <c r="AN297" t="s">
        <v>84</v>
      </c>
      <c r="AT297" t="s">
        <v>84</v>
      </c>
      <c r="AU297" t="s">
        <v>84</v>
      </c>
      <c r="AV297">
        <v>30133.333333333332</v>
      </c>
    </row>
    <row r="298" spans="1:48" x14ac:dyDescent="0.25">
      <c r="A298">
        <v>0</v>
      </c>
      <c r="B298" t="s">
        <v>552</v>
      </c>
      <c r="C298" t="s">
        <v>98</v>
      </c>
      <c r="D298">
        <v>23350</v>
      </c>
      <c r="J298" t="s">
        <v>84</v>
      </c>
      <c r="L298" t="s">
        <v>84</v>
      </c>
      <c r="N298" t="s">
        <v>84</v>
      </c>
      <c r="T298" t="s">
        <v>84</v>
      </c>
      <c r="W298" t="s">
        <v>84</v>
      </c>
      <c r="X298" t="s">
        <v>84</v>
      </c>
      <c r="Y298" t="s">
        <v>84</v>
      </c>
      <c r="AA298" t="s">
        <v>84</v>
      </c>
      <c r="AH298" t="s">
        <v>84</v>
      </c>
      <c r="AK298" t="s">
        <v>84</v>
      </c>
      <c r="AL298" t="s">
        <v>84</v>
      </c>
      <c r="AN298" t="s">
        <v>84</v>
      </c>
      <c r="AT298" t="s">
        <v>84</v>
      </c>
      <c r="AU298" t="s">
        <v>84</v>
      </c>
      <c r="AV298">
        <v>30133.333333333332</v>
      </c>
    </row>
    <row r="299" spans="1:48" x14ac:dyDescent="0.25">
      <c r="A299">
        <v>0</v>
      </c>
      <c r="B299" t="s">
        <v>552</v>
      </c>
      <c r="C299" t="s">
        <v>98</v>
      </c>
      <c r="D299">
        <v>32650</v>
      </c>
      <c r="J299" t="s">
        <v>84</v>
      </c>
      <c r="L299" t="s">
        <v>84</v>
      </c>
      <c r="N299" t="s">
        <v>84</v>
      </c>
      <c r="T299" t="s">
        <v>84</v>
      </c>
      <c r="W299" t="s">
        <v>84</v>
      </c>
      <c r="X299" t="s">
        <v>84</v>
      </c>
      <c r="Y299" t="s">
        <v>84</v>
      </c>
      <c r="AA299" t="s">
        <v>84</v>
      </c>
      <c r="AH299" t="s">
        <v>84</v>
      </c>
      <c r="AK299" t="s">
        <v>84</v>
      </c>
      <c r="AL299" t="s">
        <v>84</v>
      </c>
      <c r="AN299" t="s">
        <v>84</v>
      </c>
      <c r="AT299" t="s">
        <v>84</v>
      </c>
      <c r="AU299" t="s">
        <v>84</v>
      </c>
      <c r="AV299">
        <v>30133.333333333332</v>
      </c>
    </row>
    <row r="300" spans="1:48" x14ac:dyDescent="0.25">
      <c r="A300">
        <v>1</v>
      </c>
      <c r="B300" t="s">
        <v>552</v>
      </c>
      <c r="C300" t="s">
        <v>87</v>
      </c>
      <c r="D300">
        <v>76794.083329999994</v>
      </c>
      <c r="J300" t="s">
        <v>84</v>
      </c>
      <c r="L300" t="s">
        <v>84</v>
      </c>
      <c r="N300" t="s">
        <v>84</v>
      </c>
      <c r="O300">
        <v>21200</v>
      </c>
      <c r="P300">
        <v>19950</v>
      </c>
      <c r="Q300">
        <v>11900</v>
      </c>
      <c r="R300">
        <v>2970</v>
      </c>
      <c r="T300" t="s">
        <v>84</v>
      </c>
      <c r="W300" t="s">
        <v>84</v>
      </c>
      <c r="X300" t="s">
        <v>84</v>
      </c>
      <c r="Y300" t="s">
        <v>84</v>
      </c>
      <c r="AA300" t="s">
        <v>84</v>
      </c>
      <c r="AH300" t="s">
        <v>84</v>
      </c>
      <c r="AK300" t="s">
        <v>84</v>
      </c>
      <c r="AL300" t="s">
        <v>84</v>
      </c>
      <c r="AN300" t="s">
        <v>84</v>
      </c>
      <c r="AT300" t="s">
        <v>84</v>
      </c>
      <c r="AU300" t="s">
        <v>84</v>
      </c>
      <c r="AV300">
        <v>87986.9375</v>
      </c>
    </row>
    <row r="301" spans="1:48" x14ac:dyDescent="0.25">
      <c r="A301">
        <v>0</v>
      </c>
      <c r="B301" t="s">
        <v>552</v>
      </c>
      <c r="C301" t="s">
        <v>87</v>
      </c>
      <c r="D301">
        <v>99179.791670000006</v>
      </c>
      <c r="J301" t="s">
        <v>84</v>
      </c>
      <c r="L301" t="s">
        <v>84</v>
      </c>
      <c r="N301" t="s">
        <v>84</v>
      </c>
      <c r="T301" t="s">
        <v>84</v>
      </c>
      <c r="W301" t="s">
        <v>84</v>
      </c>
      <c r="X301" t="s">
        <v>84</v>
      </c>
      <c r="Y301" t="s">
        <v>84</v>
      </c>
      <c r="AA301" t="s">
        <v>84</v>
      </c>
      <c r="AH301" t="s">
        <v>84</v>
      </c>
      <c r="AK301" t="s">
        <v>84</v>
      </c>
      <c r="AL301" t="s">
        <v>84</v>
      </c>
      <c r="AN301" t="s">
        <v>84</v>
      </c>
      <c r="AT301" t="s">
        <v>84</v>
      </c>
      <c r="AU301" t="s">
        <v>84</v>
      </c>
      <c r="AV301">
        <v>87986.9375</v>
      </c>
    </row>
    <row r="302" spans="1:48" x14ac:dyDescent="0.25">
      <c r="A302">
        <v>0</v>
      </c>
      <c r="B302" t="s">
        <v>552</v>
      </c>
      <c r="C302" t="s">
        <v>110</v>
      </c>
      <c r="D302">
        <v>12065</v>
      </c>
      <c r="J302" t="s">
        <v>84</v>
      </c>
      <c r="L302" t="s">
        <v>84</v>
      </c>
      <c r="N302" t="s">
        <v>84</v>
      </c>
      <c r="T302" t="s">
        <v>84</v>
      </c>
      <c r="W302" t="s">
        <v>84</v>
      </c>
      <c r="X302" t="s">
        <v>84</v>
      </c>
      <c r="Y302" t="s">
        <v>84</v>
      </c>
      <c r="AA302" t="s">
        <v>84</v>
      </c>
      <c r="AH302" t="s">
        <v>84</v>
      </c>
      <c r="AK302" t="s">
        <v>84</v>
      </c>
      <c r="AL302" t="s">
        <v>84</v>
      </c>
      <c r="AN302" t="s">
        <v>84</v>
      </c>
      <c r="AT302" t="s">
        <v>84</v>
      </c>
      <c r="AU302" t="s">
        <v>84</v>
      </c>
      <c r="AV302">
        <v>14816.666666666666</v>
      </c>
    </row>
    <row r="303" spans="1:48" x14ac:dyDescent="0.25">
      <c r="A303">
        <v>1</v>
      </c>
      <c r="B303" t="s">
        <v>552</v>
      </c>
      <c r="C303" t="s">
        <v>110</v>
      </c>
      <c r="D303">
        <v>18288</v>
      </c>
      <c r="F303">
        <v>0</v>
      </c>
      <c r="G303">
        <v>0</v>
      </c>
      <c r="J303" t="s">
        <v>84</v>
      </c>
      <c r="L303" t="s">
        <v>84</v>
      </c>
      <c r="M303">
        <v>0</v>
      </c>
      <c r="N303" t="s">
        <v>84</v>
      </c>
      <c r="O303">
        <v>0</v>
      </c>
      <c r="Q303">
        <v>0</v>
      </c>
      <c r="S303">
        <v>0</v>
      </c>
      <c r="T303" t="s">
        <v>84</v>
      </c>
      <c r="U303">
        <v>0</v>
      </c>
      <c r="W303" t="s">
        <v>84</v>
      </c>
      <c r="X303" t="s">
        <v>84</v>
      </c>
      <c r="Y303" t="s">
        <v>84</v>
      </c>
      <c r="Z303">
        <v>0</v>
      </c>
      <c r="AA303" t="s">
        <v>84</v>
      </c>
      <c r="AB303">
        <v>14400</v>
      </c>
      <c r="AD303">
        <v>0</v>
      </c>
      <c r="AE303">
        <v>0</v>
      </c>
      <c r="AH303" t="s">
        <v>84</v>
      </c>
      <c r="AI303">
        <v>0</v>
      </c>
      <c r="AJ303">
        <v>0</v>
      </c>
      <c r="AK303" t="s">
        <v>84</v>
      </c>
      <c r="AL303" t="s">
        <v>84</v>
      </c>
      <c r="AN303" t="s">
        <v>84</v>
      </c>
      <c r="AQ303">
        <v>0</v>
      </c>
      <c r="AR303">
        <v>0</v>
      </c>
      <c r="AS303">
        <v>0</v>
      </c>
      <c r="AT303" t="s">
        <v>84</v>
      </c>
      <c r="AU303" t="s">
        <v>84</v>
      </c>
      <c r="AV303">
        <v>14816.666666666666</v>
      </c>
    </row>
    <row r="304" spans="1:48" x14ac:dyDescent="0.25">
      <c r="A304">
        <v>0</v>
      </c>
      <c r="B304" t="s">
        <v>552</v>
      </c>
      <c r="C304" t="s">
        <v>110</v>
      </c>
      <c r="D304">
        <v>14097</v>
      </c>
      <c r="J304" t="s">
        <v>84</v>
      </c>
      <c r="L304" t="s">
        <v>84</v>
      </c>
      <c r="N304" t="s">
        <v>84</v>
      </c>
      <c r="T304" t="s">
        <v>84</v>
      </c>
      <c r="W304" t="s">
        <v>84</v>
      </c>
      <c r="X304" t="s">
        <v>84</v>
      </c>
      <c r="Y304" t="s">
        <v>84</v>
      </c>
      <c r="AA304" t="s">
        <v>84</v>
      </c>
      <c r="AH304" t="s">
        <v>84</v>
      </c>
      <c r="AK304" t="s">
        <v>84</v>
      </c>
      <c r="AL304" t="s">
        <v>84</v>
      </c>
      <c r="AN304" t="s">
        <v>84</v>
      </c>
      <c r="AT304" t="s">
        <v>84</v>
      </c>
      <c r="AU304" t="s">
        <v>84</v>
      </c>
      <c r="AV304">
        <v>14816.666666666666</v>
      </c>
    </row>
    <row r="305" spans="1:48" x14ac:dyDescent="0.25">
      <c r="A305">
        <v>0</v>
      </c>
      <c r="B305" t="s">
        <v>552</v>
      </c>
      <c r="C305" t="s">
        <v>106</v>
      </c>
      <c r="D305">
        <v>10083.200000000001</v>
      </c>
      <c r="J305" t="s">
        <v>84</v>
      </c>
      <c r="L305" t="s">
        <v>84</v>
      </c>
      <c r="N305" t="s">
        <v>84</v>
      </c>
      <c r="T305" t="s">
        <v>84</v>
      </c>
      <c r="W305" t="s">
        <v>84</v>
      </c>
      <c r="X305" t="s">
        <v>84</v>
      </c>
      <c r="Y305" t="s">
        <v>84</v>
      </c>
      <c r="AA305" t="s">
        <v>84</v>
      </c>
      <c r="AH305" t="s">
        <v>84</v>
      </c>
      <c r="AK305" t="s">
        <v>84</v>
      </c>
      <c r="AL305" t="s">
        <v>84</v>
      </c>
      <c r="AN305" t="s">
        <v>84</v>
      </c>
      <c r="AT305" t="s">
        <v>84</v>
      </c>
      <c r="AU305" t="s">
        <v>84</v>
      </c>
      <c r="AV305">
        <v>7780.3441666666668</v>
      </c>
    </row>
    <row r="306" spans="1:48" x14ac:dyDescent="0.25">
      <c r="A306">
        <v>1</v>
      </c>
      <c r="B306" t="s">
        <v>552</v>
      </c>
      <c r="C306" t="s">
        <v>106</v>
      </c>
      <c r="D306">
        <v>8736.1474999999991</v>
      </c>
      <c r="J306" t="s">
        <v>84</v>
      </c>
      <c r="K306">
        <v>4050</v>
      </c>
      <c r="L306" t="s">
        <v>84</v>
      </c>
      <c r="N306" t="s">
        <v>84</v>
      </c>
      <c r="T306" t="s">
        <v>84</v>
      </c>
      <c r="W306" t="s">
        <v>84</v>
      </c>
      <c r="X306" t="s">
        <v>84</v>
      </c>
      <c r="Y306" t="s">
        <v>84</v>
      </c>
      <c r="AA306" t="s">
        <v>84</v>
      </c>
      <c r="AF306">
        <v>1495</v>
      </c>
      <c r="AH306" t="s">
        <v>84</v>
      </c>
      <c r="AK306" t="s">
        <v>84</v>
      </c>
      <c r="AL306" t="s">
        <v>84</v>
      </c>
      <c r="AN306" t="s">
        <v>84</v>
      </c>
      <c r="AT306" t="s">
        <v>84</v>
      </c>
      <c r="AU306" t="s">
        <v>84</v>
      </c>
      <c r="AV306">
        <v>7780.3441666666668</v>
      </c>
    </row>
    <row r="307" spans="1:48" x14ac:dyDescent="0.25">
      <c r="A307">
        <v>0</v>
      </c>
      <c r="B307" t="s">
        <v>552</v>
      </c>
      <c r="C307" t="s">
        <v>106</v>
      </c>
      <c r="D307">
        <v>4521.6850000000004</v>
      </c>
      <c r="J307" t="s">
        <v>84</v>
      </c>
      <c r="L307" t="s">
        <v>84</v>
      </c>
      <c r="N307" t="s">
        <v>84</v>
      </c>
      <c r="T307" t="s">
        <v>84</v>
      </c>
      <c r="W307" t="s">
        <v>84</v>
      </c>
      <c r="X307" t="s">
        <v>84</v>
      </c>
      <c r="Y307" t="s">
        <v>84</v>
      </c>
      <c r="AA307" t="s">
        <v>84</v>
      </c>
      <c r="AH307" t="s">
        <v>84</v>
      </c>
      <c r="AK307" t="s">
        <v>84</v>
      </c>
      <c r="AL307" t="s">
        <v>84</v>
      </c>
      <c r="AN307" t="s">
        <v>84</v>
      </c>
      <c r="AT307" t="s">
        <v>84</v>
      </c>
      <c r="AU307" t="s">
        <v>84</v>
      </c>
      <c r="AV307">
        <v>7780.3441666666668</v>
      </c>
    </row>
    <row r="308" spans="1:48" x14ac:dyDescent="0.25">
      <c r="A308">
        <v>0</v>
      </c>
      <c r="B308" t="s">
        <v>552</v>
      </c>
      <c r="C308" t="s">
        <v>80</v>
      </c>
      <c r="D308">
        <v>891654.0625</v>
      </c>
      <c r="J308" t="s">
        <v>84</v>
      </c>
      <c r="L308" t="s">
        <v>84</v>
      </c>
      <c r="N308" t="s">
        <v>84</v>
      </c>
      <c r="T308" t="s">
        <v>84</v>
      </c>
      <c r="W308" t="s">
        <v>84</v>
      </c>
      <c r="X308" t="s">
        <v>84</v>
      </c>
      <c r="Y308" t="s">
        <v>84</v>
      </c>
      <c r="AA308" t="s">
        <v>84</v>
      </c>
      <c r="AH308" t="s">
        <v>84</v>
      </c>
      <c r="AK308" t="s">
        <v>84</v>
      </c>
      <c r="AL308" t="s">
        <v>84</v>
      </c>
      <c r="AN308" t="s">
        <v>84</v>
      </c>
      <c r="AT308" t="s">
        <v>84</v>
      </c>
      <c r="AU308" t="s">
        <v>84</v>
      </c>
      <c r="AV308">
        <v>834064.01939999999</v>
      </c>
    </row>
    <row r="309" spans="1:48" x14ac:dyDescent="0.25">
      <c r="A309">
        <v>1</v>
      </c>
      <c r="B309" t="s">
        <v>552</v>
      </c>
      <c r="C309" t="s">
        <v>80</v>
      </c>
      <c r="D309">
        <v>805591.46250000002</v>
      </c>
      <c r="F309">
        <v>34177</v>
      </c>
      <c r="G309">
        <v>15350</v>
      </c>
      <c r="J309" t="s">
        <v>84</v>
      </c>
      <c r="L309" t="s">
        <v>84</v>
      </c>
      <c r="M309">
        <v>95000</v>
      </c>
      <c r="N309" t="s">
        <v>84</v>
      </c>
      <c r="O309">
        <v>0</v>
      </c>
      <c r="Q309">
        <v>0</v>
      </c>
      <c r="S309">
        <v>81850</v>
      </c>
      <c r="T309" t="s">
        <v>84</v>
      </c>
      <c r="U309">
        <v>2000</v>
      </c>
      <c r="W309" t="s">
        <v>84</v>
      </c>
      <c r="X309" t="s">
        <v>84</v>
      </c>
      <c r="Y309" t="s">
        <v>84</v>
      </c>
      <c r="Z309">
        <v>39334</v>
      </c>
      <c r="AA309" t="s">
        <v>84</v>
      </c>
      <c r="AB309">
        <v>0</v>
      </c>
      <c r="AD309">
        <v>18050</v>
      </c>
      <c r="AE309">
        <v>165236.5</v>
      </c>
      <c r="AH309" t="s">
        <v>84</v>
      </c>
      <c r="AI309">
        <v>30000</v>
      </c>
      <c r="AJ309">
        <v>155825.67000000001</v>
      </c>
      <c r="AK309" t="s">
        <v>84</v>
      </c>
      <c r="AL309" t="s">
        <v>84</v>
      </c>
      <c r="AN309" t="s">
        <v>84</v>
      </c>
      <c r="AQ309">
        <v>7650</v>
      </c>
      <c r="AR309">
        <v>0</v>
      </c>
      <c r="AS309">
        <v>0</v>
      </c>
      <c r="AT309" t="s">
        <v>84</v>
      </c>
      <c r="AU309" t="s">
        <v>84</v>
      </c>
      <c r="AV309">
        <v>834064.01939999999</v>
      </c>
    </row>
    <row r="310" spans="1:48" x14ac:dyDescent="0.25">
      <c r="A310">
        <v>0</v>
      </c>
      <c r="B310" t="s">
        <v>552</v>
      </c>
      <c r="C310" t="s">
        <v>80</v>
      </c>
      <c r="D310">
        <v>804946.53319999995</v>
      </c>
      <c r="J310" t="s">
        <v>84</v>
      </c>
      <c r="L310" t="s">
        <v>84</v>
      </c>
      <c r="N310" t="s">
        <v>84</v>
      </c>
      <c r="T310" t="s">
        <v>84</v>
      </c>
      <c r="W310" t="s">
        <v>84</v>
      </c>
      <c r="X310" t="s">
        <v>84</v>
      </c>
      <c r="Y310" t="s">
        <v>84</v>
      </c>
      <c r="AA310" t="s">
        <v>84</v>
      </c>
      <c r="AH310" t="s">
        <v>84</v>
      </c>
      <c r="AK310" t="s">
        <v>84</v>
      </c>
      <c r="AL310" t="s">
        <v>84</v>
      </c>
      <c r="AN310" t="s">
        <v>84</v>
      </c>
      <c r="AT310" t="s">
        <v>84</v>
      </c>
      <c r="AU310" t="s">
        <v>84</v>
      </c>
      <c r="AV310">
        <v>834064.01939999999</v>
      </c>
    </row>
    <row r="311" spans="1:48" x14ac:dyDescent="0.25">
      <c r="A311">
        <v>1</v>
      </c>
      <c r="B311" t="s">
        <v>552</v>
      </c>
      <c r="C311" t="s">
        <v>92</v>
      </c>
      <c r="D311">
        <v>30170</v>
      </c>
      <c r="H311">
        <v>30170</v>
      </c>
      <c r="J311" t="s">
        <v>84</v>
      </c>
      <c r="L311" t="s">
        <v>84</v>
      </c>
      <c r="N311" t="s">
        <v>84</v>
      </c>
      <c r="T311" t="s">
        <v>84</v>
      </c>
      <c r="W311" t="s">
        <v>84</v>
      </c>
      <c r="X311" t="s">
        <v>84</v>
      </c>
      <c r="Y311" t="s">
        <v>84</v>
      </c>
      <c r="AA311" t="s">
        <v>84</v>
      </c>
      <c r="AH311" t="s">
        <v>84</v>
      </c>
      <c r="AK311" t="s">
        <v>84</v>
      </c>
      <c r="AL311" t="s">
        <v>84</v>
      </c>
      <c r="AN311" t="s">
        <v>84</v>
      </c>
      <c r="AT311" t="s">
        <v>84</v>
      </c>
      <c r="AU311" t="s">
        <v>84</v>
      </c>
      <c r="AV311">
        <v>38485</v>
      </c>
    </row>
    <row r="312" spans="1:48" x14ac:dyDescent="0.25">
      <c r="A312">
        <v>0</v>
      </c>
      <c r="B312" t="s">
        <v>552</v>
      </c>
      <c r="C312" t="s">
        <v>92</v>
      </c>
      <c r="D312">
        <v>46800</v>
      </c>
      <c r="J312" t="s">
        <v>84</v>
      </c>
      <c r="L312" t="s">
        <v>84</v>
      </c>
      <c r="N312" t="s">
        <v>84</v>
      </c>
      <c r="T312" t="s">
        <v>84</v>
      </c>
      <c r="W312" t="s">
        <v>84</v>
      </c>
      <c r="X312" t="s">
        <v>84</v>
      </c>
      <c r="Y312" t="s">
        <v>84</v>
      </c>
      <c r="AA312" t="s">
        <v>84</v>
      </c>
      <c r="AH312" t="s">
        <v>84</v>
      </c>
      <c r="AK312" t="s">
        <v>84</v>
      </c>
      <c r="AL312" t="s">
        <v>84</v>
      </c>
      <c r="AN312" t="s">
        <v>84</v>
      </c>
      <c r="AT312" t="s">
        <v>84</v>
      </c>
      <c r="AU312" t="s">
        <v>84</v>
      </c>
      <c r="AV312">
        <v>38485</v>
      </c>
    </row>
    <row r="313" spans="1:48" x14ac:dyDescent="0.25">
      <c r="A313">
        <v>0</v>
      </c>
      <c r="B313" t="s">
        <v>552</v>
      </c>
      <c r="C313" t="s">
        <v>80</v>
      </c>
      <c r="D313">
        <v>767907.3125</v>
      </c>
      <c r="J313" t="s">
        <v>84</v>
      </c>
      <c r="L313" t="s">
        <v>84</v>
      </c>
      <c r="N313" t="s">
        <v>84</v>
      </c>
      <c r="T313" t="s">
        <v>84</v>
      </c>
      <c r="W313" t="s">
        <v>84</v>
      </c>
      <c r="X313" t="s">
        <v>84</v>
      </c>
      <c r="Y313" t="s">
        <v>84</v>
      </c>
      <c r="AA313" t="s">
        <v>84</v>
      </c>
      <c r="AH313" t="s">
        <v>84</v>
      </c>
      <c r="AK313" t="s">
        <v>84</v>
      </c>
      <c r="AL313" t="s">
        <v>84</v>
      </c>
      <c r="AN313" t="s">
        <v>84</v>
      </c>
      <c r="AT313" t="s">
        <v>84</v>
      </c>
      <c r="AU313" t="s">
        <v>84</v>
      </c>
      <c r="AV313">
        <v>831311.73625000007</v>
      </c>
    </row>
    <row r="314" spans="1:48" x14ac:dyDescent="0.25">
      <c r="A314">
        <v>1</v>
      </c>
      <c r="B314" t="s">
        <v>552</v>
      </c>
      <c r="C314" t="s">
        <v>80</v>
      </c>
      <c r="D314">
        <v>894716.16</v>
      </c>
      <c r="F314">
        <v>50050</v>
      </c>
      <c r="G314">
        <v>85850</v>
      </c>
      <c r="J314" t="s">
        <v>84</v>
      </c>
      <c r="L314" t="s">
        <v>84</v>
      </c>
      <c r="M314">
        <v>90000</v>
      </c>
      <c r="N314" t="s">
        <v>84</v>
      </c>
      <c r="O314">
        <v>0</v>
      </c>
      <c r="Q314">
        <v>0</v>
      </c>
      <c r="S314">
        <v>51500</v>
      </c>
      <c r="T314" t="s">
        <v>84</v>
      </c>
      <c r="U314">
        <v>2400</v>
      </c>
      <c r="W314" t="s">
        <v>84</v>
      </c>
      <c r="X314" t="s">
        <v>84</v>
      </c>
      <c r="Y314" t="s">
        <v>84</v>
      </c>
      <c r="Z314">
        <v>17899</v>
      </c>
      <c r="AA314" t="s">
        <v>84</v>
      </c>
      <c r="AB314">
        <v>7600</v>
      </c>
      <c r="AD314">
        <v>26400</v>
      </c>
      <c r="AE314">
        <v>187866.25</v>
      </c>
      <c r="AH314" t="s">
        <v>84</v>
      </c>
      <c r="AI314">
        <v>4000</v>
      </c>
      <c r="AJ314">
        <v>160481.75</v>
      </c>
      <c r="AK314" t="s">
        <v>84</v>
      </c>
      <c r="AL314" t="s">
        <v>84</v>
      </c>
      <c r="AN314" t="s">
        <v>84</v>
      </c>
      <c r="AQ314">
        <v>14950</v>
      </c>
      <c r="AR314">
        <v>0</v>
      </c>
      <c r="AS314">
        <v>0</v>
      </c>
      <c r="AT314" t="s">
        <v>84</v>
      </c>
      <c r="AU314" t="s">
        <v>84</v>
      </c>
      <c r="AV314">
        <v>831311.73625000007</v>
      </c>
    </row>
    <row r="315" spans="1:48" x14ac:dyDescent="0.25">
      <c r="A315">
        <v>0</v>
      </c>
      <c r="B315" t="s">
        <v>552</v>
      </c>
      <c r="C315" t="s">
        <v>87</v>
      </c>
      <c r="D315">
        <v>103909.1667</v>
      </c>
      <c r="J315" t="s">
        <v>84</v>
      </c>
      <c r="L315" t="s">
        <v>84</v>
      </c>
      <c r="N315" t="s">
        <v>84</v>
      </c>
      <c r="T315" t="s">
        <v>84</v>
      </c>
      <c r="W315" t="s">
        <v>84</v>
      </c>
      <c r="X315" t="s">
        <v>84</v>
      </c>
      <c r="Y315" t="s">
        <v>84</v>
      </c>
      <c r="AA315" t="s">
        <v>84</v>
      </c>
      <c r="AH315" t="s">
        <v>84</v>
      </c>
      <c r="AK315" t="s">
        <v>84</v>
      </c>
      <c r="AL315" t="s">
        <v>84</v>
      </c>
      <c r="AN315" t="s">
        <v>84</v>
      </c>
      <c r="AT315" t="s">
        <v>84</v>
      </c>
      <c r="AU315" t="s">
        <v>84</v>
      </c>
      <c r="AV315">
        <v>122096.46946666666</v>
      </c>
    </row>
    <row r="316" spans="1:48" x14ac:dyDescent="0.25">
      <c r="A316">
        <v>1</v>
      </c>
      <c r="B316" t="s">
        <v>552</v>
      </c>
      <c r="C316" t="s">
        <v>87</v>
      </c>
      <c r="D316">
        <v>109025.1167</v>
      </c>
      <c r="J316" t="s">
        <v>84</v>
      </c>
      <c r="L316" t="s">
        <v>84</v>
      </c>
      <c r="N316" t="s">
        <v>84</v>
      </c>
      <c r="O316">
        <v>20400</v>
      </c>
      <c r="P316">
        <v>21300</v>
      </c>
      <c r="Q316">
        <v>32250</v>
      </c>
      <c r="R316">
        <v>5582</v>
      </c>
      <c r="T316" t="s">
        <v>84</v>
      </c>
      <c r="W316" t="s">
        <v>84</v>
      </c>
      <c r="X316" t="s">
        <v>84</v>
      </c>
      <c r="Y316" t="s">
        <v>84</v>
      </c>
      <c r="AA316" t="s">
        <v>84</v>
      </c>
      <c r="AH316" t="s">
        <v>84</v>
      </c>
      <c r="AK316" t="s">
        <v>84</v>
      </c>
      <c r="AL316" t="s">
        <v>84</v>
      </c>
      <c r="AN316" t="s">
        <v>84</v>
      </c>
      <c r="AT316" t="s">
        <v>84</v>
      </c>
      <c r="AU316" t="s">
        <v>84</v>
      </c>
      <c r="AV316">
        <v>122096.46946666666</v>
      </c>
    </row>
    <row r="317" spans="1:48" x14ac:dyDescent="0.25">
      <c r="A317">
        <v>0</v>
      </c>
      <c r="B317" t="s">
        <v>552</v>
      </c>
      <c r="C317" t="s">
        <v>87</v>
      </c>
      <c r="D317">
        <v>153355.125</v>
      </c>
      <c r="J317" t="s">
        <v>84</v>
      </c>
      <c r="L317" t="s">
        <v>84</v>
      </c>
      <c r="N317" t="s">
        <v>84</v>
      </c>
      <c r="T317" t="s">
        <v>84</v>
      </c>
      <c r="W317" t="s">
        <v>84</v>
      </c>
      <c r="X317" t="s">
        <v>84</v>
      </c>
      <c r="Y317" t="s">
        <v>84</v>
      </c>
      <c r="AA317" t="s">
        <v>84</v>
      </c>
      <c r="AH317" t="s">
        <v>84</v>
      </c>
      <c r="AK317" t="s">
        <v>84</v>
      </c>
      <c r="AL317" t="s">
        <v>84</v>
      </c>
      <c r="AN317" t="s">
        <v>84</v>
      </c>
      <c r="AT317" t="s">
        <v>84</v>
      </c>
      <c r="AU317" t="s">
        <v>84</v>
      </c>
      <c r="AV317">
        <v>122096.46946666666</v>
      </c>
    </row>
    <row r="318" spans="1:48" x14ac:dyDescent="0.25">
      <c r="A318">
        <v>0</v>
      </c>
      <c r="B318" t="s">
        <v>552</v>
      </c>
      <c r="C318" t="s">
        <v>98</v>
      </c>
      <c r="D318">
        <v>16750</v>
      </c>
      <c r="J318" t="s">
        <v>84</v>
      </c>
      <c r="L318" t="s">
        <v>84</v>
      </c>
      <c r="N318" t="s">
        <v>84</v>
      </c>
      <c r="T318" t="s">
        <v>84</v>
      </c>
      <c r="W318" t="s">
        <v>84</v>
      </c>
      <c r="X318" t="s">
        <v>84</v>
      </c>
      <c r="Y318" t="s">
        <v>84</v>
      </c>
      <c r="AA318" t="s">
        <v>84</v>
      </c>
      <c r="AH318" t="s">
        <v>84</v>
      </c>
      <c r="AK318" t="s">
        <v>84</v>
      </c>
      <c r="AL318" t="s">
        <v>84</v>
      </c>
      <c r="AN318" t="s">
        <v>84</v>
      </c>
      <c r="AT318" t="s">
        <v>84</v>
      </c>
      <c r="AU318" t="s">
        <v>84</v>
      </c>
      <c r="AV318">
        <v>23066.666666666668</v>
      </c>
    </row>
    <row r="319" spans="1:48" x14ac:dyDescent="0.25">
      <c r="A319">
        <v>1</v>
      </c>
      <c r="B319" t="s">
        <v>552</v>
      </c>
      <c r="C319" t="s">
        <v>98</v>
      </c>
      <c r="D319">
        <v>30450</v>
      </c>
      <c r="J319" t="s">
        <v>84</v>
      </c>
      <c r="L319" t="s">
        <v>84</v>
      </c>
      <c r="N319" t="s">
        <v>84</v>
      </c>
      <c r="T319" t="s">
        <v>84</v>
      </c>
      <c r="V319">
        <v>30450</v>
      </c>
      <c r="W319" t="s">
        <v>84</v>
      </c>
      <c r="X319" t="s">
        <v>84</v>
      </c>
      <c r="Y319" t="s">
        <v>84</v>
      </c>
      <c r="AA319" t="s">
        <v>84</v>
      </c>
      <c r="AH319" t="s">
        <v>84</v>
      </c>
      <c r="AK319" t="s">
        <v>84</v>
      </c>
      <c r="AL319" t="s">
        <v>84</v>
      </c>
      <c r="AN319" t="s">
        <v>84</v>
      </c>
      <c r="AT319" t="s">
        <v>84</v>
      </c>
      <c r="AU319" t="s">
        <v>84</v>
      </c>
      <c r="AV319">
        <v>23066.666666666668</v>
      </c>
    </row>
    <row r="320" spans="1:48" x14ac:dyDescent="0.25">
      <c r="A320">
        <v>0</v>
      </c>
      <c r="B320" t="s">
        <v>552</v>
      </c>
      <c r="C320" t="s">
        <v>98</v>
      </c>
      <c r="D320">
        <v>22000</v>
      </c>
      <c r="J320" t="s">
        <v>84</v>
      </c>
      <c r="L320" t="s">
        <v>84</v>
      </c>
      <c r="N320" t="s">
        <v>84</v>
      </c>
      <c r="T320" t="s">
        <v>84</v>
      </c>
      <c r="W320" t="s">
        <v>84</v>
      </c>
      <c r="X320" t="s">
        <v>84</v>
      </c>
      <c r="Y320" t="s">
        <v>84</v>
      </c>
      <c r="AA320" t="s">
        <v>84</v>
      </c>
      <c r="AH320" t="s">
        <v>84</v>
      </c>
      <c r="AK320" t="s">
        <v>84</v>
      </c>
      <c r="AL320" t="s">
        <v>84</v>
      </c>
      <c r="AN320" t="s">
        <v>84</v>
      </c>
      <c r="AT320" t="s">
        <v>84</v>
      </c>
      <c r="AU320" t="s">
        <v>84</v>
      </c>
      <c r="AV320">
        <v>23066.666666666668</v>
      </c>
    </row>
    <row r="321" spans="1:48" x14ac:dyDescent="0.25">
      <c r="A321">
        <v>0</v>
      </c>
      <c r="B321" t="s">
        <v>552</v>
      </c>
      <c r="C321" t="s">
        <v>106</v>
      </c>
      <c r="D321">
        <v>13147.547500000001</v>
      </c>
      <c r="J321" t="s">
        <v>84</v>
      </c>
      <c r="L321" t="s">
        <v>84</v>
      </c>
      <c r="N321" t="s">
        <v>84</v>
      </c>
      <c r="T321" t="s">
        <v>84</v>
      </c>
      <c r="W321" t="s">
        <v>84</v>
      </c>
      <c r="X321" t="s">
        <v>84</v>
      </c>
      <c r="Y321" t="s">
        <v>84</v>
      </c>
      <c r="AA321" t="s">
        <v>84</v>
      </c>
      <c r="AH321" t="s">
        <v>84</v>
      </c>
      <c r="AK321" t="s">
        <v>84</v>
      </c>
      <c r="AL321" t="s">
        <v>84</v>
      </c>
      <c r="AN321" t="s">
        <v>84</v>
      </c>
      <c r="AT321" t="s">
        <v>84</v>
      </c>
      <c r="AU321" t="s">
        <v>84</v>
      </c>
      <c r="AV321">
        <v>9449.0612500000007</v>
      </c>
    </row>
    <row r="322" spans="1:48" x14ac:dyDescent="0.25">
      <c r="A322">
        <v>1</v>
      </c>
      <c r="B322" t="s">
        <v>552</v>
      </c>
      <c r="C322" t="s">
        <v>106</v>
      </c>
      <c r="D322">
        <v>5750.5749999999998</v>
      </c>
      <c r="J322" t="s">
        <v>84</v>
      </c>
      <c r="K322">
        <v>2000</v>
      </c>
      <c r="L322" t="s">
        <v>84</v>
      </c>
      <c r="N322" t="s">
        <v>84</v>
      </c>
      <c r="T322" t="s">
        <v>84</v>
      </c>
      <c r="W322" t="s">
        <v>84</v>
      </c>
      <c r="X322" t="s">
        <v>84</v>
      </c>
      <c r="Y322" t="s">
        <v>84</v>
      </c>
      <c r="AA322" t="s">
        <v>84</v>
      </c>
      <c r="AF322">
        <v>1650</v>
      </c>
      <c r="AH322" t="s">
        <v>84</v>
      </c>
      <c r="AK322" t="s">
        <v>84</v>
      </c>
      <c r="AL322" t="s">
        <v>84</v>
      </c>
      <c r="AN322" t="s">
        <v>84</v>
      </c>
      <c r="AT322" t="s">
        <v>84</v>
      </c>
      <c r="AU322" t="s">
        <v>84</v>
      </c>
      <c r="AV322">
        <v>9449.0612500000007</v>
      </c>
    </row>
    <row r="323" spans="1:48" x14ac:dyDescent="0.25">
      <c r="A323">
        <v>0</v>
      </c>
      <c r="B323" t="s">
        <v>552</v>
      </c>
      <c r="C323" t="s">
        <v>110</v>
      </c>
      <c r="D323">
        <v>7680</v>
      </c>
      <c r="J323" t="s">
        <v>84</v>
      </c>
      <c r="L323" t="s">
        <v>84</v>
      </c>
      <c r="N323" t="s">
        <v>84</v>
      </c>
      <c r="T323" t="s">
        <v>84</v>
      </c>
      <c r="W323" t="s">
        <v>84</v>
      </c>
      <c r="X323" t="s">
        <v>84</v>
      </c>
      <c r="Y323" t="s">
        <v>84</v>
      </c>
      <c r="AA323" t="s">
        <v>84</v>
      </c>
      <c r="AH323" t="s">
        <v>84</v>
      </c>
      <c r="AK323" t="s">
        <v>84</v>
      </c>
      <c r="AL323" t="s">
        <v>84</v>
      </c>
      <c r="AN323" t="s">
        <v>84</v>
      </c>
      <c r="AT323" t="s">
        <v>84</v>
      </c>
      <c r="AU323" t="s">
        <v>84</v>
      </c>
      <c r="AV323">
        <v>13794</v>
      </c>
    </row>
    <row r="324" spans="1:48" x14ac:dyDescent="0.25">
      <c r="A324">
        <v>1</v>
      </c>
      <c r="B324" t="s">
        <v>552</v>
      </c>
      <c r="C324" t="s">
        <v>110</v>
      </c>
      <c r="D324">
        <v>19908</v>
      </c>
      <c r="F324">
        <v>0</v>
      </c>
      <c r="G324">
        <v>0</v>
      </c>
      <c r="J324" t="s">
        <v>84</v>
      </c>
      <c r="L324" t="s">
        <v>84</v>
      </c>
      <c r="M324">
        <v>0</v>
      </c>
      <c r="N324" t="s">
        <v>84</v>
      </c>
      <c r="O324">
        <v>0</v>
      </c>
      <c r="Q324">
        <v>0</v>
      </c>
      <c r="S324">
        <v>0</v>
      </c>
      <c r="T324" t="s">
        <v>84</v>
      </c>
      <c r="U324">
        <v>0</v>
      </c>
      <c r="W324" t="s">
        <v>84</v>
      </c>
      <c r="X324" t="s">
        <v>84</v>
      </c>
      <c r="Y324" t="s">
        <v>84</v>
      </c>
      <c r="Z324">
        <v>0</v>
      </c>
      <c r="AA324" t="s">
        <v>84</v>
      </c>
      <c r="AB324">
        <v>15800</v>
      </c>
      <c r="AD324">
        <v>0</v>
      </c>
      <c r="AE324">
        <v>0</v>
      </c>
      <c r="AH324" t="s">
        <v>84</v>
      </c>
      <c r="AI324">
        <v>0</v>
      </c>
      <c r="AJ324">
        <v>0</v>
      </c>
      <c r="AK324" t="s">
        <v>84</v>
      </c>
      <c r="AL324" t="s">
        <v>84</v>
      </c>
      <c r="AN324" t="s">
        <v>84</v>
      </c>
      <c r="AQ324">
        <v>0</v>
      </c>
      <c r="AR324">
        <v>0</v>
      </c>
      <c r="AS324">
        <v>0</v>
      </c>
      <c r="AT324" t="s">
        <v>84</v>
      </c>
      <c r="AU324" t="s">
        <v>84</v>
      </c>
      <c r="AV324">
        <v>13794</v>
      </c>
    </row>
    <row r="325" spans="1:48" x14ac:dyDescent="0.25">
      <c r="A325">
        <v>0</v>
      </c>
      <c r="B325" t="s">
        <v>552</v>
      </c>
      <c r="C325" t="s">
        <v>185</v>
      </c>
      <c r="D325">
        <v>19299.875</v>
      </c>
      <c r="J325" t="s">
        <v>84</v>
      </c>
      <c r="L325" t="s">
        <v>84</v>
      </c>
      <c r="N325" t="s">
        <v>84</v>
      </c>
      <c r="T325" t="s">
        <v>84</v>
      </c>
      <c r="W325" t="s">
        <v>84</v>
      </c>
      <c r="X325" t="s">
        <v>84</v>
      </c>
      <c r="Y325" t="s">
        <v>84</v>
      </c>
      <c r="AA325" t="s">
        <v>84</v>
      </c>
      <c r="AH325" t="s">
        <v>84</v>
      </c>
      <c r="AK325" t="s">
        <v>84</v>
      </c>
      <c r="AL325" t="s">
        <v>84</v>
      </c>
      <c r="AN325" t="s">
        <v>84</v>
      </c>
      <c r="AT325" t="s">
        <v>84</v>
      </c>
      <c r="AU325" t="s">
        <v>84</v>
      </c>
      <c r="AV325">
        <v>20323.95</v>
      </c>
    </row>
    <row r="326" spans="1:48" x14ac:dyDescent="0.25">
      <c r="A326">
        <v>1</v>
      </c>
      <c r="B326" t="s">
        <v>552</v>
      </c>
      <c r="C326" t="s">
        <v>185</v>
      </c>
      <c r="D326">
        <v>21348.025000000001</v>
      </c>
      <c r="J326" t="s">
        <v>84</v>
      </c>
      <c r="L326" t="s">
        <v>84</v>
      </c>
      <c r="N326" t="s">
        <v>84</v>
      </c>
      <c r="T326" t="s">
        <v>84</v>
      </c>
      <c r="W326" t="s">
        <v>84</v>
      </c>
      <c r="X326" t="s">
        <v>84</v>
      </c>
      <c r="Y326" t="s">
        <v>84</v>
      </c>
      <c r="AA326" t="s">
        <v>84</v>
      </c>
      <c r="AH326" t="s">
        <v>84</v>
      </c>
      <c r="AK326" t="s">
        <v>84</v>
      </c>
      <c r="AL326" t="s">
        <v>84</v>
      </c>
      <c r="AN326" t="s">
        <v>84</v>
      </c>
      <c r="AT326" t="s">
        <v>84</v>
      </c>
      <c r="AU326" t="s">
        <v>84</v>
      </c>
      <c r="AV326">
        <v>20323.95</v>
      </c>
    </row>
    <row r="327" spans="1:48" x14ac:dyDescent="0.25">
      <c r="A327">
        <v>0</v>
      </c>
      <c r="B327" t="s">
        <v>552</v>
      </c>
      <c r="C327" t="s">
        <v>92</v>
      </c>
      <c r="D327">
        <v>77780</v>
      </c>
      <c r="J327" t="s">
        <v>84</v>
      </c>
      <c r="L327" t="s">
        <v>84</v>
      </c>
      <c r="N327" t="s">
        <v>84</v>
      </c>
      <c r="T327" t="s">
        <v>84</v>
      </c>
      <c r="W327" t="s">
        <v>84</v>
      </c>
      <c r="X327" t="s">
        <v>84</v>
      </c>
      <c r="Y327" t="s">
        <v>84</v>
      </c>
      <c r="AA327" t="s">
        <v>84</v>
      </c>
      <c r="AH327" t="s">
        <v>84</v>
      </c>
      <c r="AK327" t="s">
        <v>84</v>
      </c>
      <c r="AL327" t="s">
        <v>84</v>
      </c>
      <c r="AN327" t="s">
        <v>84</v>
      </c>
      <c r="AT327" t="s">
        <v>84</v>
      </c>
      <c r="AU327" t="s">
        <v>84</v>
      </c>
      <c r="AV327">
        <v>65180</v>
      </c>
    </row>
    <row r="328" spans="1:48" x14ac:dyDescent="0.25">
      <c r="A328">
        <v>1</v>
      </c>
      <c r="B328" t="s">
        <v>552</v>
      </c>
      <c r="C328" t="s">
        <v>92</v>
      </c>
      <c r="D328">
        <v>52580</v>
      </c>
      <c r="H328">
        <v>52580</v>
      </c>
      <c r="J328" t="s">
        <v>84</v>
      </c>
      <c r="L328" t="s">
        <v>84</v>
      </c>
      <c r="N328" t="s">
        <v>84</v>
      </c>
      <c r="T328" t="s">
        <v>84</v>
      </c>
      <c r="W328" t="s">
        <v>84</v>
      </c>
      <c r="X328" t="s">
        <v>84</v>
      </c>
      <c r="Y328" t="s">
        <v>84</v>
      </c>
      <c r="AA328" t="s">
        <v>84</v>
      </c>
      <c r="AH328" t="s">
        <v>84</v>
      </c>
      <c r="AK328" t="s">
        <v>84</v>
      </c>
      <c r="AL328" t="s">
        <v>84</v>
      </c>
      <c r="AN328" t="s">
        <v>84</v>
      </c>
      <c r="AT328" t="s">
        <v>84</v>
      </c>
      <c r="AU328" t="s">
        <v>84</v>
      </c>
      <c r="AV328">
        <v>65180</v>
      </c>
    </row>
    <row r="329" spans="1:48" x14ac:dyDescent="0.25">
      <c r="A329">
        <v>0</v>
      </c>
      <c r="B329" t="s">
        <v>552</v>
      </c>
      <c r="C329" t="s">
        <v>98</v>
      </c>
      <c r="D329">
        <v>29750</v>
      </c>
      <c r="J329" t="s">
        <v>84</v>
      </c>
      <c r="L329" t="s">
        <v>84</v>
      </c>
      <c r="N329" t="s">
        <v>84</v>
      </c>
      <c r="T329" t="s">
        <v>84</v>
      </c>
      <c r="W329" t="s">
        <v>84</v>
      </c>
      <c r="X329" t="s">
        <v>84</v>
      </c>
      <c r="Y329" t="s">
        <v>84</v>
      </c>
      <c r="AA329" t="s">
        <v>84</v>
      </c>
      <c r="AH329" t="s">
        <v>84</v>
      </c>
      <c r="AK329" t="s">
        <v>84</v>
      </c>
      <c r="AL329" t="s">
        <v>84</v>
      </c>
      <c r="AN329" t="s">
        <v>84</v>
      </c>
      <c r="AT329" t="s">
        <v>84</v>
      </c>
      <c r="AU329" t="s">
        <v>84</v>
      </c>
      <c r="AV329">
        <v>36666.666666666664</v>
      </c>
    </row>
    <row r="330" spans="1:48" x14ac:dyDescent="0.25">
      <c r="A330">
        <v>0</v>
      </c>
      <c r="B330" t="s">
        <v>552</v>
      </c>
      <c r="C330" t="s">
        <v>98</v>
      </c>
      <c r="D330">
        <v>16600</v>
      </c>
      <c r="J330" t="s">
        <v>84</v>
      </c>
      <c r="L330" t="s">
        <v>84</v>
      </c>
      <c r="N330" t="s">
        <v>84</v>
      </c>
      <c r="T330" t="s">
        <v>84</v>
      </c>
      <c r="W330" t="s">
        <v>84</v>
      </c>
      <c r="X330" t="s">
        <v>84</v>
      </c>
      <c r="Y330" t="s">
        <v>84</v>
      </c>
      <c r="AA330" t="s">
        <v>84</v>
      </c>
      <c r="AH330" t="s">
        <v>84</v>
      </c>
      <c r="AK330" t="s">
        <v>84</v>
      </c>
      <c r="AL330" t="s">
        <v>84</v>
      </c>
      <c r="AN330" t="s">
        <v>84</v>
      </c>
      <c r="AT330" t="s">
        <v>84</v>
      </c>
      <c r="AU330" t="s">
        <v>84</v>
      </c>
      <c r="AV330">
        <v>36666.666666666664</v>
      </c>
    </row>
    <row r="331" spans="1:48" x14ac:dyDescent="0.25">
      <c r="A331">
        <v>1</v>
      </c>
      <c r="B331" t="s">
        <v>552</v>
      </c>
      <c r="C331" t="s">
        <v>98</v>
      </c>
      <c r="D331">
        <v>63650</v>
      </c>
      <c r="J331" t="s">
        <v>84</v>
      </c>
      <c r="L331" t="s">
        <v>84</v>
      </c>
      <c r="N331" t="s">
        <v>84</v>
      </c>
      <c r="T331" t="s">
        <v>84</v>
      </c>
      <c r="V331">
        <v>63650</v>
      </c>
      <c r="W331" t="s">
        <v>84</v>
      </c>
      <c r="X331" t="s">
        <v>84</v>
      </c>
      <c r="Y331" t="s">
        <v>84</v>
      </c>
      <c r="AA331" t="s">
        <v>84</v>
      </c>
      <c r="AH331" t="s">
        <v>84</v>
      </c>
      <c r="AK331" t="s">
        <v>84</v>
      </c>
      <c r="AL331" t="s">
        <v>84</v>
      </c>
      <c r="AN331" t="s">
        <v>84</v>
      </c>
      <c r="AT331" t="s">
        <v>84</v>
      </c>
      <c r="AU331" t="s">
        <v>84</v>
      </c>
      <c r="AV331">
        <v>36666.666666666664</v>
      </c>
    </row>
    <row r="332" spans="1:48" x14ac:dyDescent="0.25">
      <c r="A332">
        <v>0</v>
      </c>
      <c r="B332" t="s">
        <v>552</v>
      </c>
      <c r="C332" t="s">
        <v>87</v>
      </c>
      <c r="D332">
        <v>110045.01669999999</v>
      </c>
      <c r="J332" t="s">
        <v>84</v>
      </c>
      <c r="L332" t="s">
        <v>84</v>
      </c>
      <c r="N332" t="s">
        <v>84</v>
      </c>
      <c r="T332" t="s">
        <v>84</v>
      </c>
      <c r="W332" t="s">
        <v>84</v>
      </c>
      <c r="X332" t="s">
        <v>84</v>
      </c>
      <c r="Y332" t="s">
        <v>84</v>
      </c>
      <c r="AA332" t="s">
        <v>84</v>
      </c>
      <c r="AH332" t="s">
        <v>84</v>
      </c>
      <c r="AK332" t="s">
        <v>84</v>
      </c>
      <c r="AL332" t="s">
        <v>84</v>
      </c>
      <c r="AN332" t="s">
        <v>84</v>
      </c>
      <c r="AT332" t="s">
        <v>84</v>
      </c>
      <c r="AU332" t="s">
        <v>84</v>
      </c>
      <c r="AV332">
        <v>116541.85279999999</v>
      </c>
    </row>
    <row r="333" spans="1:48" x14ac:dyDescent="0.25">
      <c r="A333">
        <v>1</v>
      </c>
      <c r="B333" t="s">
        <v>552</v>
      </c>
      <c r="C333" t="s">
        <v>87</v>
      </c>
      <c r="D333">
        <v>112271.25</v>
      </c>
      <c r="J333" t="s">
        <v>84</v>
      </c>
      <c r="L333" t="s">
        <v>84</v>
      </c>
      <c r="N333" t="s">
        <v>84</v>
      </c>
      <c r="O333">
        <v>23900</v>
      </c>
      <c r="P333">
        <v>10200</v>
      </c>
      <c r="Q333">
        <v>39500</v>
      </c>
      <c r="R333">
        <v>8300</v>
      </c>
      <c r="T333" t="s">
        <v>84</v>
      </c>
      <c r="W333" t="s">
        <v>84</v>
      </c>
      <c r="X333" t="s">
        <v>84</v>
      </c>
      <c r="Y333" t="s">
        <v>84</v>
      </c>
      <c r="AA333" t="s">
        <v>84</v>
      </c>
      <c r="AH333" t="s">
        <v>84</v>
      </c>
      <c r="AK333" t="s">
        <v>84</v>
      </c>
      <c r="AL333" t="s">
        <v>84</v>
      </c>
      <c r="AN333" t="s">
        <v>84</v>
      </c>
      <c r="AT333" t="s">
        <v>84</v>
      </c>
      <c r="AU333" t="s">
        <v>84</v>
      </c>
      <c r="AV333">
        <v>116541.85279999999</v>
      </c>
    </row>
    <row r="334" spans="1:48" x14ac:dyDescent="0.25">
      <c r="A334">
        <v>0</v>
      </c>
      <c r="B334" t="s">
        <v>552</v>
      </c>
      <c r="C334" t="s">
        <v>87</v>
      </c>
      <c r="D334">
        <v>127309.2917</v>
      </c>
      <c r="J334" t="s">
        <v>84</v>
      </c>
      <c r="L334" t="s">
        <v>84</v>
      </c>
      <c r="N334" t="s">
        <v>84</v>
      </c>
      <c r="T334" t="s">
        <v>84</v>
      </c>
      <c r="W334" t="s">
        <v>84</v>
      </c>
      <c r="X334" t="s">
        <v>84</v>
      </c>
      <c r="Y334" t="s">
        <v>84</v>
      </c>
      <c r="AA334" t="s">
        <v>84</v>
      </c>
      <c r="AH334" t="s">
        <v>84</v>
      </c>
      <c r="AK334" t="s">
        <v>84</v>
      </c>
      <c r="AL334" t="s">
        <v>84</v>
      </c>
      <c r="AN334" t="s">
        <v>84</v>
      </c>
      <c r="AT334" t="s">
        <v>84</v>
      </c>
      <c r="AU334" t="s">
        <v>84</v>
      </c>
      <c r="AV334">
        <v>116541.85279999999</v>
      </c>
    </row>
    <row r="335" spans="1:48" x14ac:dyDescent="0.25">
      <c r="A335">
        <v>1</v>
      </c>
      <c r="B335" t="s">
        <v>552</v>
      </c>
      <c r="C335" t="s">
        <v>80</v>
      </c>
      <c r="D335">
        <v>696940.44</v>
      </c>
      <c r="F335">
        <v>39503.75</v>
      </c>
      <c r="G335">
        <v>77500</v>
      </c>
      <c r="J335" t="s">
        <v>84</v>
      </c>
      <c r="L335" t="s">
        <v>84</v>
      </c>
      <c r="M335">
        <v>30000</v>
      </c>
      <c r="N335" t="s">
        <v>84</v>
      </c>
      <c r="O335">
        <v>0</v>
      </c>
      <c r="Q335">
        <v>0</v>
      </c>
      <c r="S335">
        <v>51200</v>
      </c>
      <c r="T335" t="s">
        <v>84</v>
      </c>
      <c r="U335">
        <v>3000</v>
      </c>
      <c r="W335" t="s">
        <v>84</v>
      </c>
      <c r="X335" t="s">
        <v>84</v>
      </c>
      <c r="Y335" t="s">
        <v>84</v>
      </c>
      <c r="Z335">
        <v>29800</v>
      </c>
      <c r="AA335" t="s">
        <v>84</v>
      </c>
      <c r="AB335">
        <v>5000</v>
      </c>
      <c r="AD335">
        <v>15000</v>
      </c>
      <c r="AE335">
        <v>136708</v>
      </c>
      <c r="AH335" t="s">
        <v>84</v>
      </c>
      <c r="AI335">
        <v>17000</v>
      </c>
      <c r="AJ335">
        <v>130380.25</v>
      </c>
      <c r="AK335" t="s">
        <v>84</v>
      </c>
      <c r="AL335" t="s">
        <v>84</v>
      </c>
      <c r="AN335" t="s">
        <v>84</v>
      </c>
      <c r="AQ335">
        <v>13680</v>
      </c>
      <c r="AR335">
        <v>0</v>
      </c>
      <c r="AS335">
        <v>0</v>
      </c>
      <c r="AT335" t="s">
        <v>84</v>
      </c>
      <c r="AU335" t="s">
        <v>84</v>
      </c>
      <c r="AV335">
        <v>729332.05169999995</v>
      </c>
    </row>
    <row r="336" spans="1:48" x14ac:dyDescent="0.25">
      <c r="A336">
        <v>0</v>
      </c>
      <c r="B336" t="s">
        <v>552</v>
      </c>
      <c r="C336" t="s">
        <v>80</v>
      </c>
      <c r="D336">
        <v>761723.66339999996</v>
      </c>
      <c r="J336" t="s">
        <v>84</v>
      </c>
      <c r="L336" t="s">
        <v>84</v>
      </c>
      <c r="N336" t="s">
        <v>84</v>
      </c>
      <c r="T336" t="s">
        <v>84</v>
      </c>
      <c r="W336" t="s">
        <v>84</v>
      </c>
      <c r="X336" t="s">
        <v>84</v>
      </c>
      <c r="Y336" t="s">
        <v>84</v>
      </c>
      <c r="AA336" t="s">
        <v>84</v>
      </c>
      <c r="AH336" t="s">
        <v>84</v>
      </c>
      <c r="AK336" t="s">
        <v>84</v>
      </c>
      <c r="AL336" t="s">
        <v>84</v>
      </c>
      <c r="AN336" t="s">
        <v>84</v>
      </c>
      <c r="AT336" t="s">
        <v>84</v>
      </c>
      <c r="AU336" t="s">
        <v>84</v>
      </c>
      <c r="AV336">
        <v>729332.05169999995</v>
      </c>
    </row>
    <row r="337" spans="1:48" x14ac:dyDescent="0.25">
      <c r="A337">
        <v>1</v>
      </c>
      <c r="B337" t="s">
        <v>552</v>
      </c>
      <c r="C337" t="s">
        <v>92</v>
      </c>
      <c r="D337">
        <v>31110</v>
      </c>
      <c r="H337">
        <v>31110</v>
      </c>
      <c r="J337" t="s">
        <v>84</v>
      </c>
      <c r="L337" t="s">
        <v>84</v>
      </c>
      <c r="N337" t="s">
        <v>84</v>
      </c>
      <c r="T337" t="s">
        <v>84</v>
      </c>
      <c r="W337" t="s">
        <v>84</v>
      </c>
      <c r="X337" t="s">
        <v>84</v>
      </c>
      <c r="Y337" t="s">
        <v>84</v>
      </c>
      <c r="AA337" t="s">
        <v>84</v>
      </c>
      <c r="AH337" t="s">
        <v>84</v>
      </c>
      <c r="AK337" t="s">
        <v>84</v>
      </c>
      <c r="AL337" t="s">
        <v>84</v>
      </c>
      <c r="AN337" t="s">
        <v>84</v>
      </c>
      <c r="AT337" t="s">
        <v>84</v>
      </c>
      <c r="AU337" t="s">
        <v>84</v>
      </c>
      <c r="AV337">
        <v>29100</v>
      </c>
    </row>
    <row r="338" spans="1:48" x14ac:dyDescent="0.25">
      <c r="A338">
        <v>0</v>
      </c>
      <c r="B338" t="s">
        <v>552</v>
      </c>
      <c r="C338" t="s">
        <v>92</v>
      </c>
      <c r="D338">
        <v>27090</v>
      </c>
      <c r="J338" t="s">
        <v>84</v>
      </c>
      <c r="L338" t="s">
        <v>84</v>
      </c>
      <c r="N338" t="s">
        <v>84</v>
      </c>
      <c r="T338" t="s">
        <v>84</v>
      </c>
      <c r="W338" t="s">
        <v>84</v>
      </c>
      <c r="X338" t="s">
        <v>84</v>
      </c>
      <c r="Y338" t="s">
        <v>84</v>
      </c>
      <c r="AA338" t="s">
        <v>84</v>
      </c>
      <c r="AH338" t="s">
        <v>84</v>
      </c>
      <c r="AK338" t="s">
        <v>84</v>
      </c>
      <c r="AL338" t="s">
        <v>84</v>
      </c>
      <c r="AN338" t="s">
        <v>84</v>
      </c>
      <c r="AT338" t="s">
        <v>84</v>
      </c>
      <c r="AU338" t="s">
        <v>84</v>
      </c>
      <c r="AV338">
        <v>29100</v>
      </c>
    </row>
    <row r="339" spans="1:48" x14ac:dyDescent="0.25">
      <c r="A339">
        <v>0</v>
      </c>
      <c r="B339" t="s">
        <v>552</v>
      </c>
      <c r="C339" t="s">
        <v>98</v>
      </c>
      <c r="D339">
        <v>34400</v>
      </c>
      <c r="J339" t="s">
        <v>84</v>
      </c>
      <c r="L339" t="s">
        <v>84</v>
      </c>
      <c r="N339" t="s">
        <v>84</v>
      </c>
      <c r="T339" t="s">
        <v>84</v>
      </c>
      <c r="W339" t="s">
        <v>84</v>
      </c>
      <c r="X339" t="s">
        <v>84</v>
      </c>
      <c r="Y339" t="s">
        <v>84</v>
      </c>
      <c r="AA339" t="s">
        <v>84</v>
      </c>
      <c r="AH339" t="s">
        <v>84</v>
      </c>
      <c r="AK339" t="s">
        <v>84</v>
      </c>
      <c r="AL339" t="s">
        <v>84</v>
      </c>
      <c r="AN339" t="s">
        <v>84</v>
      </c>
      <c r="AT339" t="s">
        <v>84</v>
      </c>
      <c r="AU339" t="s">
        <v>84</v>
      </c>
      <c r="AV339">
        <v>30216.666666666668</v>
      </c>
    </row>
    <row r="340" spans="1:48" x14ac:dyDescent="0.25">
      <c r="A340">
        <v>1</v>
      </c>
      <c r="B340" t="s">
        <v>552</v>
      </c>
      <c r="C340" t="s">
        <v>98</v>
      </c>
      <c r="D340">
        <v>35000</v>
      </c>
      <c r="J340" t="s">
        <v>84</v>
      </c>
      <c r="L340" t="s">
        <v>84</v>
      </c>
      <c r="N340" t="s">
        <v>84</v>
      </c>
      <c r="T340" t="s">
        <v>84</v>
      </c>
      <c r="V340">
        <v>35000</v>
      </c>
      <c r="W340" t="s">
        <v>84</v>
      </c>
      <c r="X340" t="s">
        <v>84</v>
      </c>
      <c r="Y340" t="s">
        <v>84</v>
      </c>
      <c r="AA340" t="s">
        <v>84</v>
      </c>
      <c r="AH340" t="s">
        <v>84</v>
      </c>
      <c r="AK340" t="s">
        <v>84</v>
      </c>
      <c r="AL340" t="s">
        <v>84</v>
      </c>
      <c r="AN340" t="s">
        <v>84</v>
      </c>
      <c r="AT340" t="s">
        <v>84</v>
      </c>
      <c r="AU340" t="s">
        <v>84</v>
      </c>
      <c r="AV340">
        <v>30216.666666666668</v>
      </c>
    </row>
    <row r="341" spans="1:48" x14ac:dyDescent="0.25">
      <c r="A341">
        <v>0</v>
      </c>
      <c r="B341" t="s">
        <v>552</v>
      </c>
      <c r="C341" t="s">
        <v>98</v>
      </c>
      <c r="D341">
        <v>21250</v>
      </c>
      <c r="J341" t="s">
        <v>84</v>
      </c>
      <c r="L341" t="s">
        <v>84</v>
      </c>
      <c r="N341" t="s">
        <v>84</v>
      </c>
      <c r="T341" t="s">
        <v>84</v>
      </c>
      <c r="W341" t="s">
        <v>84</v>
      </c>
      <c r="X341" t="s">
        <v>84</v>
      </c>
      <c r="Y341" t="s">
        <v>84</v>
      </c>
      <c r="AA341" t="s">
        <v>84</v>
      </c>
      <c r="AH341" t="s">
        <v>84</v>
      </c>
      <c r="AK341" t="s">
        <v>84</v>
      </c>
      <c r="AL341" t="s">
        <v>84</v>
      </c>
      <c r="AN341" t="s">
        <v>84</v>
      </c>
      <c r="AT341" t="s">
        <v>84</v>
      </c>
      <c r="AU341" t="s">
        <v>84</v>
      </c>
      <c r="AV341">
        <v>30216.666666666668</v>
      </c>
    </row>
    <row r="342" spans="1:48" x14ac:dyDescent="0.25">
      <c r="A342">
        <v>0</v>
      </c>
      <c r="B342" t="s">
        <v>552</v>
      </c>
      <c r="C342" t="s">
        <v>87</v>
      </c>
      <c r="D342">
        <v>101570.52499999999</v>
      </c>
      <c r="J342" t="s">
        <v>84</v>
      </c>
      <c r="L342" t="s">
        <v>84</v>
      </c>
      <c r="N342" t="s">
        <v>84</v>
      </c>
      <c r="T342" t="s">
        <v>84</v>
      </c>
      <c r="W342" t="s">
        <v>84</v>
      </c>
      <c r="X342" t="s">
        <v>84</v>
      </c>
      <c r="Y342" t="s">
        <v>84</v>
      </c>
      <c r="AA342" t="s">
        <v>84</v>
      </c>
      <c r="AH342" t="s">
        <v>84</v>
      </c>
      <c r="AK342" t="s">
        <v>84</v>
      </c>
      <c r="AL342" t="s">
        <v>84</v>
      </c>
      <c r="AN342" t="s">
        <v>84</v>
      </c>
      <c r="AT342" t="s">
        <v>84</v>
      </c>
      <c r="AU342" t="s">
        <v>84</v>
      </c>
      <c r="AV342">
        <v>109087.2611</v>
      </c>
    </row>
    <row r="343" spans="1:48" x14ac:dyDescent="0.25">
      <c r="A343">
        <v>1</v>
      </c>
      <c r="B343" t="s">
        <v>552</v>
      </c>
      <c r="C343" t="s">
        <v>87</v>
      </c>
      <c r="D343">
        <v>109992.925</v>
      </c>
      <c r="J343" t="s">
        <v>84</v>
      </c>
      <c r="L343" t="s">
        <v>84</v>
      </c>
      <c r="N343" t="s">
        <v>84</v>
      </c>
      <c r="O343">
        <v>30350</v>
      </c>
      <c r="P343">
        <v>20500</v>
      </c>
      <c r="Q343">
        <v>18700</v>
      </c>
      <c r="R343">
        <v>10688</v>
      </c>
      <c r="T343" t="s">
        <v>84</v>
      </c>
      <c r="W343" t="s">
        <v>84</v>
      </c>
      <c r="X343" t="s">
        <v>84</v>
      </c>
      <c r="Y343" t="s">
        <v>84</v>
      </c>
      <c r="AA343" t="s">
        <v>84</v>
      </c>
      <c r="AH343" t="s">
        <v>84</v>
      </c>
      <c r="AK343" t="s">
        <v>84</v>
      </c>
      <c r="AL343" t="s">
        <v>84</v>
      </c>
      <c r="AN343" t="s">
        <v>84</v>
      </c>
      <c r="AT343" t="s">
        <v>84</v>
      </c>
      <c r="AU343" t="s">
        <v>84</v>
      </c>
      <c r="AV343">
        <v>109087.2611</v>
      </c>
    </row>
    <row r="344" spans="1:48" x14ac:dyDescent="0.25">
      <c r="A344">
        <v>0</v>
      </c>
      <c r="B344" t="s">
        <v>552</v>
      </c>
      <c r="C344" t="s">
        <v>87</v>
      </c>
      <c r="D344">
        <v>115698.3333</v>
      </c>
      <c r="J344" t="s">
        <v>84</v>
      </c>
      <c r="L344" t="s">
        <v>84</v>
      </c>
      <c r="N344" t="s">
        <v>84</v>
      </c>
      <c r="T344" t="s">
        <v>84</v>
      </c>
      <c r="W344" t="s">
        <v>84</v>
      </c>
      <c r="X344" t="s">
        <v>84</v>
      </c>
      <c r="Y344" t="s">
        <v>84</v>
      </c>
      <c r="AA344" t="s">
        <v>84</v>
      </c>
      <c r="AH344" t="s">
        <v>84</v>
      </c>
      <c r="AK344" t="s">
        <v>84</v>
      </c>
      <c r="AL344" t="s">
        <v>84</v>
      </c>
      <c r="AN344" t="s">
        <v>84</v>
      </c>
      <c r="AT344" t="s">
        <v>84</v>
      </c>
      <c r="AU344" t="s">
        <v>84</v>
      </c>
      <c r="AV344">
        <v>109087.2611</v>
      </c>
    </row>
    <row r="345" spans="1:48" x14ac:dyDescent="0.25">
      <c r="A345">
        <v>0</v>
      </c>
      <c r="B345" t="s">
        <v>552</v>
      </c>
      <c r="C345" t="s">
        <v>80</v>
      </c>
      <c r="D345">
        <v>797565.82929999998</v>
      </c>
      <c r="J345" t="s">
        <v>84</v>
      </c>
      <c r="L345" t="s">
        <v>84</v>
      </c>
      <c r="N345" t="s">
        <v>84</v>
      </c>
      <c r="T345" t="s">
        <v>84</v>
      </c>
      <c r="W345" t="s">
        <v>84</v>
      </c>
      <c r="X345" t="s">
        <v>84</v>
      </c>
      <c r="Y345" t="s">
        <v>84</v>
      </c>
      <c r="AA345" t="s">
        <v>84</v>
      </c>
      <c r="AH345" t="s">
        <v>84</v>
      </c>
      <c r="AK345" t="s">
        <v>84</v>
      </c>
      <c r="AL345" t="s">
        <v>84</v>
      </c>
      <c r="AN345" t="s">
        <v>84</v>
      </c>
      <c r="AT345" t="s">
        <v>84</v>
      </c>
      <c r="AU345" t="s">
        <v>84</v>
      </c>
      <c r="AV345">
        <v>801505.2209666667</v>
      </c>
    </row>
    <row r="346" spans="1:48" x14ac:dyDescent="0.25">
      <c r="A346">
        <v>0</v>
      </c>
      <c r="B346" t="s">
        <v>552</v>
      </c>
      <c r="C346" t="s">
        <v>80</v>
      </c>
      <c r="D346">
        <v>808227.59360000002</v>
      </c>
      <c r="J346" t="s">
        <v>84</v>
      </c>
      <c r="L346" t="s">
        <v>84</v>
      </c>
      <c r="N346" t="s">
        <v>84</v>
      </c>
      <c r="T346" t="s">
        <v>84</v>
      </c>
      <c r="W346" t="s">
        <v>84</v>
      </c>
      <c r="X346" t="s">
        <v>84</v>
      </c>
      <c r="Y346" t="s">
        <v>84</v>
      </c>
      <c r="AA346" t="s">
        <v>84</v>
      </c>
      <c r="AH346" t="s">
        <v>84</v>
      </c>
      <c r="AK346" t="s">
        <v>84</v>
      </c>
      <c r="AL346" t="s">
        <v>84</v>
      </c>
      <c r="AN346" t="s">
        <v>84</v>
      </c>
      <c r="AT346" t="s">
        <v>84</v>
      </c>
      <c r="AU346" t="s">
        <v>84</v>
      </c>
      <c r="AV346">
        <v>801505.2209666667</v>
      </c>
    </row>
    <row r="347" spans="1:48" x14ac:dyDescent="0.25">
      <c r="A347">
        <v>1</v>
      </c>
      <c r="B347" t="s">
        <v>552</v>
      </c>
      <c r="C347" t="s">
        <v>80</v>
      </c>
      <c r="D347">
        <v>798722.24</v>
      </c>
      <c r="F347">
        <v>21271.25</v>
      </c>
      <c r="G347">
        <v>74300</v>
      </c>
      <c r="J347" t="s">
        <v>84</v>
      </c>
      <c r="L347" t="s">
        <v>84</v>
      </c>
      <c r="M347">
        <v>205000</v>
      </c>
      <c r="N347" t="s">
        <v>84</v>
      </c>
      <c r="O347">
        <v>0</v>
      </c>
      <c r="Q347">
        <v>0</v>
      </c>
      <c r="S347">
        <v>53400</v>
      </c>
      <c r="T347" t="s">
        <v>84</v>
      </c>
      <c r="U347">
        <v>3000</v>
      </c>
      <c r="W347" t="s">
        <v>84</v>
      </c>
      <c r="X347" t="s">
        <v>84</v>
      </c>
      <c r="Y347" t="s">
        <v>84</v>
      </c>
      <c r="Z347">
        <v>31138</v>
      </c>
      <c r="AA347" t="s">
        <v>84</v>
      </c>
      <c r="AB347">
        <v>4400</v>
      </c>
      <c r="AD347">
        <v>23300</v>
      </c>
      <c r="AE347">
        <v>60203</v>
      </c>
      <c r="AH347" t="s">
        <v>84</v>
      </c>
      <c r="AI347">
        <v>14400</v>
      </c>
      <c r="AJ347">
        <v>118189.5</v>
      </c>
      <c r="AK347" t="s">
        <v>84</v>
      </c>
      <c r="AL347" t="s">
        <v>84</v>
      </c>
      <c r="AN347" t="s">
        <v>84</v>
      </c>
      <c r="AQ347">
        <v>15400</v>
      </c>
      <c r="AR347">
        <v>0</v>
      </c>
      <c r="AS347">
        <v>0</v>
      </c>
      <c r="AT347" t="s">
        <v>84</v>
      </c>
      <c r="AU347" t="s">
        <v>84</v>
      </c>
      <c r="AV347">
        <v>801505.2209666667</v>
      </c>
    </row>
    <row r="348" spans="1:48" x14ac:dyDescent="0.25">
      <c r="A348">
        <v>0</v>
      </c>
      <c r="B348" t="s">
        <v>552</v>
      </c>
      <c r="C348" t="s">
        <v>92</v>
      </c>
      <c r="D348">
        <v>38480</v>
      </c>
      <c r="J348" t="s">
        <v>84</v>
      </c>
      <c r="L348" t="s">
        <v>84</v>
      </c>
      <c r="N348" t="s">
        <v>84</v>
      </c>
      <c r="T348" t="s">
        <v>84</v>
      </c>
      <c r="W348" t="s">
        <v>84</v>
      </c>
      <c r="X348" t="s">
        <v>84</v>
      </c>
      <c r="Y348" t="s">
        <v>84</v>
      </c>
      <c r="AA348" t="s">
        <v>84</v>
      </c>
      <c r="AH348" t="s">
        <v>84</v>
      </c>
      <c r="AK348" t="s">
        <v>84</v>
      </c>
      <c r="AL348" t="s">
        <v>84</v>
      </c>
      <c r="AN348" t="s">
        <v>84</v>
      </c>
      <c r="AT348" t="s">
        <v>84</v>
      </c>
      <c r="AU348" t="s">
        <v>84</v>
      </c>
      <c r="AV348">
        <v>48485</v>
      </c>
    </row>
    <row r="349" spans="1:48" x14ac:dyDescent="0.25">
      <c r="A349">
        <v>1</v>
      </c>
      <c r="B349" t="s">
        <v>552</v>
      </c>
      <c r="C349" t="s">
        <v>92</v>
      </c>
      <c r="D349">
        <v>58490</v>
      </c>
      <c r="H349">
        <v>58490</v>
      </c>
      <c r="J349" t="s">
        <v>84</v>
      </c>
      <c r="L349" t="s">
        <v>84</v>
      </c>
      <c r="N349" t="s">
        <v>84</v>
      </c>
      <c r="T349" t="s">
        <v>84</v>
      </c>
      <c r="W349" t="s">
        <v>84</v>
      </c>
      <c r="X349" t="s">
        <v>84</v>
      </c>
      <c r="Y349" t="s">
        <v>84</v>
      </c>
      <c r="AA349" t="s">
        <v>84</v>
      </c>
      <c r="AH349" t="s">
        <v>84</v>
      </c>
      <c r="AK349" t="s">
        <v>84</v>
      </c>
      <c r="AL349" t="s">
        <v>84</v>
      </c>
      <c r="AN349" t="s">
        <v>84</v>
      </c>
      <c r="AT349" t="s">
        <v>84</v>
      </c>
      <c r="AU349" t="s">
        <v>84</v>
      </c>
      <c r="AV349">
        <v>48485</v>
      </c>
    </row>
    <row r="350" spans="1:48" x14ac:dyDescent="0.25">
      <c r="A350">
        <v>1</v>
      </c>
      <c r="B350" t="s">
        <v>552</v>
      </c>
      <c r="C350" t="s">
        <v>98</v>
      </c>
      <c r="D350">
        <v>47100</v>
      </c>
      <c r="J350" t="s">
        <v>84</v>
      </c>
      <c r="L350" t="s">
        <v>84</v>
      </c>
      <c r="N350" t="s">
        <v>84</v>
      </c>
      <c r="T350" t="s">
        <v>84</v>
      </c>
      <c r="V350">
        <v>47100</v>
      </c>
      <c r="W350" t="s">
        <v>84</v>
      </c>
      <c r="X350" t="s">
        <v>84</v>
      </c>
      <c r="Y350" t="s">
        <v>84</v>
      </c>
      <c r="AA350" t="s">
        <v>84</v>
      </c>
      <c r="AH350" t="s">
        <v>84</v>
      </c>
      <c r="AK350" t="s">
        <v>84</v>
      </c>
      <c r="AL350" t="s">
        <v>84</v>
      </c>
      <c r="AN350" t="s">
        <v>84</v>
      </c>
      <c r="AT350" t="s">
        <v>84</v>
      </c>
      <c r="AU350" t="s">
        <v>84</v>
      </c>
      <c r="AV350">
        <v>29333.333333333332</v>
      </c>
    </row>
    <row r="351" spans="1:48" x14ac:dyDescent="0.25">
      <c r="A351">
        <v>0</v>
      </c>
      <c r="B351" t="s">
        <v>552</v>
      </c>
      <c r="C351" t="s">
        <v>98</v>
      </c>
      <c r="D351">
        <v>22650</v>
      </c>
      <c r="J351" t="s">
        <v>84</v>
      </c>
      <c r="L351" t="s">
        <v>84</v>
      </c>
      <c r="N351" t="s">
        <v>84</v>
      </c>
      <c r="T351" t="s">
        <v>84</v>
      </c>
      <c r="W351" t="s">
        <v>84</v>
      </c>
      <c r="X351" t="s">
        <v>84</v>
      </c>
      <c r="Y351" t="s">
        <v>84</v>
      </c>
      <c r="AA351" t="s">
        <v>84</v>
      </c>
      <c r="AH351" t="s">
        <v>84</v>
      </c>
      <c r="AK351" t="s">
        <v>84</v>
      </c>
      <c r="AL351" t="s">
        <v>84</v>
      </c>
      <c r="AN351" t="s">
        <v>84</v>
      </c>
      <c r="AT351" t="s">
        <v>84</v>
      </c>
      <c r="AU351" t="s">
        <v>84</v>
      </c>
      <c r="AV351">
        <v>29333.333333333332</v>
      </c>
    </row>
    <row r="352" spans="1:48" x14ac:dyDescent="0.25">
      <c r="A352">
        <v>0</v>
      </c>
      <c r="B352" t="s">
        <v>552</v>
      </c>
      <c r="C352" t="s">
        <v>98</v>
      </c>
      <c r="D352">
        <v>18250</v>
      </c>
      <c r="J352" t="s">
        <v>84</v>
      </c>
      <c r="L352" t="s">
        <v>84</v>
      </c>
      <c r="N352" t="s">
        <v>84</v>
      </c>
      <c r="T352" t="s">
        <v>84</v>
      </c>
      <c r="W352" t="s">
        <v>84</v>
      </c>
      <c r="X352" t="s">
        <v>84</v>
      </c>
      <c r="Y352" t="s">
        <v>84</v>
      </c>
      <c r="AA352" t="s">
        <v>84</v>
      </c>
      <c r="AH352" t="s">
        <v>84</v>
      </c>
      <c r="AK352" t="s">
        <v>84</v>
      </c>
      <c r="AL352" t="s">
        <v>84</v>
      </c>
      <c r="AN352" t="s">
        <v>84</v>
      </c>
      <c r="AT352" t="s">
        <v>84</v>
      </c>
      <c r="AU352" t="s">
        <v>84</v>
      </c>
      <c r="AV352">
        <v>29333.333333333332</v>
      </c>
    </row>
    <row r="353" spans="1:48" x14ac:dyDescent="0.25">
      <c r="A353">
        <v>1</v>
      </c>
      <c r="B353" t="s">
        <v>552</v>
      </c>
      <c r="C353" t="s">
        <v>87</v>
      </c>
      <c r="D353">
        <v>128682.8667</v>
      </c>
      <c r="J353" t="s">
        <v>84</v>
      </c>
      <c r="L353" t="s">
        <v>84</v>
      </c>
      <c r="N353" t="s">
        <v>84</v>
      </c>
      <c r="O353">
        <v>21250</v>
      </c>
      <c r="P353">
        <v>29200</v>
      </c>
      <c r="Q353">
        <v>33600</v>
      </c>
      <c r="R353">
        <v>9822</v>
      </c>
      <c r="T353" t="s">
        <v>84</v>
      </c>
      <c r="W353" t="s">
        <v>84</v>
      </c>
      <c r="X353" t="s">
        <v>84</v>
      </c>
      <c r="Y353" t="s">
        <v>84</v>
      </c>
      <c r="AA353" t="s">
        <v>84</v>
      </c>
      <c r="AH353" t="s">
        <v>84</v>
      </c>
      <c r="AK353" t="s">
        <v>84</v>
      </c>
      <c r="AL353" t="s">
        <v>84</v>
      </c>
      <c r="AN353" t="s">
        <v>84</v>
      </c>
      <c r="AT353" t="s">
        <v>84</v>
      </c>
      <c r="AU353" t="s">
        <v>84</v>
      </c>
      <c r="AV353">
        <v>128325.07920000001</v>
      </c>
    </row>
    <row r="354" spans="1:48" x14ac:dyDescent="0.25">
      <c r="A354">
        <v>0</v>
      </c>
      <c r="B354" t="s">
        <v>552</v>
      </c>
      <c r="C354" t="s">
        <v>87</v>
      </c>
      <c r="D354">
        <v>127967.2917</v>
      </c>
      <c r="J354" t="s">
        <v>84</v>
      </c>
      <c r="L354" t="s">
        <v>84</v>
      </c>
      <c r="N354" t="s">
        <v>84</v>
      </c>
      <c r="T354" t="s">
        <v>84</v>
      </c>
      <c r="W354" t="s">
        <v>84</v>
      </c>
      <c r="X354" t="s">
        <v>84</v>
      </c>
      <c r="Y354" t="s">
        <v>84</v>
      </c>
      <c r="AA354" t="s">
        <v>84</v>
      </c>
      <c r="AH354" t="s">
        <v>84</v>
      </c>
      <c r="AK354" t="s">
        <v>84</v>
      </c>
      <c r="AL354" t="s">
        <v>84</v>
      </c>
      <c r="AN354" t="s">
        <v>84</v>
      </c>
      <c r="AT354" t="s">
        <v>84</v>
      </c>
      <c r="AU354" t="s">
        <v>84</v>
      </c>
      <c r="AV354">
        <v>128325.07920000001</v>
      </c>
    </row>
    <row r="355" spans="1:48" x14ac:dyDescent="0.25">
      <c r="A355">
        <v>0</v>
      </c>
      <c r="B355" t="s">
        <v>552</v>
      </c>
      <c r="C355" t="s">
        <v>80</v>
      </c>
      <c r="D355">
        <v>921879.46180000005</v>
      </c>
      <c r="J355" t="s">
        <v>84</v>
      </c>
      <c r="L355" t="s">
        <v>84</v>
      </c>
      <c r="N355" t="s">
        <v>84</v>
      </c>
      <c r="T355" t="s">
        <v>84</v>
      </c>
      <c r="W355" t="s">
        <v>84</v>
      </c>
      <c r="X355" t="s">
        <v>84</v>
      </c>
      <c r="Y355" t="s">
        <v>84</v>
      </c>
      <c r="AA355" t="s">
        <v>84</v>
      </c>
      <c r="AH355" t="s">
        <v>84</v>
      </c>
      <c r="AK355" t="s">
        <v>84</v>
      </c>
      <c r="AL355" t="s">
        <v>84</v>
      </c>
      <c r="AN355" t="s">
        <v>84</v>
      </c>
      <c r="AT355" t="s">
        <v>84</v>
      </c>
      <c r="AU355" t="s">
        <v>84</v>
      </c>
      <c r="AV355">
        <v>752620.27560000005</v>
      </c>
    </row>
    <row r="356" spans="1:48" x14ac:dyDescent="0.25">
      <c r="A356">
        <v>0</v>
      </c>
      <c r="B356" t="s">
        <v>552</v>
      </c>
      <c r="C356" t="s">
        <v>80</v>
      </c>
      <c r="D356">
        <v>664739.125</v>
      </c>
      <c r="J356" t="s">
        <v>84</v>
      </c>
      <c r="L356" t="s">
        <v>84</v>
      </c>
      <c r="N356" t="s">
        <v>84</v>
      </c>
      <c r="T356" t="s">
        <v>84</v>
      </c>
      <c r="W356" t="s">
        <v>84</v>
      </c>
      <c r="X356" t="s">
        <v>84</v>
      </c>
      <c r="Y356" t="s">
        <v>84</v>
      </c>
      <c r="AA356" t="s">
        <v>84</v>
      </c>
      <c r="AH356" t="s">
        <v>84</v>
      </c>
      <c r="AK356" t="s">
        <v>84</v>
      </c>
      <c r="AL356" t="s">
        <v>84</v>
      </c>
      <c r="AN356" t="s">
        <v>84</v>
      </c>
      <c r="AT356" t="s">
        <v>84</v>
      </c>
      <c r="AU356" t="s">
        <v>84</v>
      </c>
      <c r="AV356">
        <v>752620.27560000005</v>
      </c>
    </row>
    <row r="357" spans="1:48" x14ac:dyDescent="0.25">
      <c r="A357">
        <v>1</v>
      </c>
      <c r="B357" t="s">
        <v>552</v>
      </c>
      <c r="C357" t="s">
        <v>80</v>
      </c>
      <c r="D357">
        <v>671242.23999999999</v>
      </c>
      <c r="F357">
        <v>30709.25</v>
      </c>
      <c r="G357">
        <v>44100</v>
      </c>
      <c r="J357" t="s">
        <v>84</v>
      </c>
      <c r="L357" t="s">
        <v>84</v>
      </c>
      <c r="M357">
        <v>80000</v>
      </c>
      <c r="N357" t="s">
        <v>84</v>
      </c>
      <c r="O357">
        <v>0</v>
      </c>
      <c r="Q357">
        <v>0</v>
      </c>
      <c r="S357">
        <v>11000</v>
      </c>
      <c r="T357" t="s">
        <v>84</v>
      </c>
      <c r="U357">
        <v>2400</v>
      </c>
      <c r="W357" t="s">
        <v>84</v>
      </c>
      <c r="X357" t="s">
        <v>84</v>
      </c>
      <c r="Y357" t="s">
        <v>84</v>
      </c>
      <c r="Z357">
        <v>27898</v>
      </c>
      <c r="AA357" t="s">
        <v>84</v>
      </c>
      <c r="AB357">
        <v>0</v>
      </c>
      <c r="AD357">
        <v>34750</v>
      </c>
      <c r="AE357">
        <v>113577.75</v>
      </c>
      <c r="AH357" t="s">
        <v>84</v>
      </c>
      <c r="AI357">
        <v>29000</v>
      </c>
      <c r="AJ357">
        <v>130273</v>
      </c>
      <c r="AK357" t="s">
        <v>84</v>
      </c>
      <c r="AL357" t="s">
        <v>84</v>
      </c>
      <c r="AN357" t="s">
        <v>84</v>
      </c>
      <c r="AQ357">
        <v>20700</v>
      </c>
      <c r="AR357">
        <v>0</v>
      </c>
      <c r="AS357">
        <v>0</v>
      </c>
      <c r="AT357" t="s">
        <v>84</v>
      </c>
      <c r="AU357" t="s">
        <v>84</v>
      </c>
      <c r="AV357">
        <v>752620.27560000005</v>
      </c>
    </row>
    <row r="358" spans="1:48" x14ac:dyDescent="0.25">
      <c r="A358">
        <v>0</v>
      </c>
      <c r="B358" t="s">
        <v>552</v>
      </c>
      <c r="C358" t="s">
        <v>92</v>
      </c>
      <c r="D358">
        <v>38410</v>
      </c>
      <c r="J358" t="s">
        <v>84</v>
      </c>
      <c r="L358" t="s">
        <v>84</v>
      </c>
      <c r="N358" t="s">
        <v>84</v>
      </c>
      <c r="T358" t="s">
        <v>84</v>
      </c>
      <c r="W358" t="s">
        <v>84</v>
      </c>
      <c r="X358" t="s">
        <v>84</v>
      </c>
      <c r="Y358" t="s">
        <v>84</v>
      </c>
      <c r="AA358" t="s">
        <v>84</v>
      </c>
      <c r="AH358" t="s">
        <v>84</v>
      </c>
      <c r="AK358" t="s">
        <v>84</v>
      </c>
      <c r="AL358" t="s">
        <v>84</v>
      </c>
      <c r="AN358" t="s">
        <v>84</v>
      </c>
      <c r="AT358" t="s">
        <v>84</v>
      </c>
      <c r="AU358" t="s">
        <v>84</v>
      </c>
      <c r="AV358">
        <v>40866.666666666664</v>
      </c>
    </row>
    <row r="359" spans="1:48" x14ac:dyDescent="0.25">
      <c r="A359">
        <v>1</v>
      </c>
      <c r="B359" t="s">
        <v>552</v>
      </c>
      <c r="C359" t="s">
        <v>92</v>
      </c>
      <c r="D359">
        <v>55620</v>
      </c>
      <c r="H359">
        <v>55620</v>
      </c>
      <c r="J359" t="s">
        <v>84</v>
      </c>
      <c r="L359" t="s">
        <v>84</v>
      </c>
      <c r="N359" t="s">
        <v>84</v>
      </c>
      <c r="T359" t="s">
        <v>84</v>
      </c>
      <c r="W359" t="s">
        <v>84</v>
      </c>
      <c r="X359" t="s">
        <v>84</v>
      </c>
      <c r="Y359" t="s">
        <v>84</v>
      </c>
      <c r="AA359" t="s">
        <v>84</v>
      </c>
      <c r="AH359" t="s">
        <v>84</v>
      </c>
      <c r="AK359" t="s">
        <v>84</v>
      </c>
      <c r="AL359" t="s">
        <v>84</v>
      </c>
      <c r="AN359" t="s">
        <v>84</v>
      </c>
      <c r="AT359" t="s">
        <v>84</v>
      </c>
      <c r="AU359" t="s">
        <v>84</v>
      </c>
      <c r="AV359">
        <v>40866.666666666664</v>
      </c>
    </row>
    <row r="360" spans="1:48" x14ac:dyDescent="0.25">
      <c r="A360">
        <v>0</v>
      </c>
      <c r="B360" t="s">
        <v>552</v>
      </c>
      <c r="C360" t="s">
        <v>92</v>
      </c>
      <c r="D360">
        <v>28570</v>
      </c>
      <c r="J360" t="s">
        <v>84</v>
      </c>
      <c r="L360" t="s">
        <v>84</v>
      </c>
      <c r="N360" t="s">
        <v>84</v>
      </c>
      <c r="T360" t="s">
        <v>84</v>
      </c>
      <c r="W360" t="s">
        <v>84</v>
      </c>
      <c r="X360" t="s">
        <v>84</v>
      </c>
      <c r="Y360" t="s">
        <v>84</v>
      </c>
      <c r="AA360" t="s">
        <v>84</v>
      </c>
      <c r="AH360" t="s">
        <v>84</v>
      </c>
      <c r="AK360" t="s">
        <v>84</v>
      </c>
      <c r="AL360" t="s">
        <v>84</v>
      </c>
      <c r="AN360" t="s">
        <v>84</v>
      </c>
      <c r="AT360" t="s">
        <v>84</v>
      </c>
      <c r="AU360" t="s">
        <v>84</v>
      </c>
      <c r="AV360">
        <v>40866.666666666664</v>
      </c>
    </row>
    <row r="361" spans="1:48" x14ac:dyDescent="0.25">
      <c r="A361">
        <v>0</v>
      </c>
      <c r="B361" t="s">
        <v>552</v>
      </c>
      <c r="C361" t="s">
        <v>98</v>
      </c>
      <c r="D361">
        <v>20550</v>
      </c>
      <c r="J361" t="s">
        <v>84</v>
      </c>
      <c r="L361" t="s">
        <v>84</v>
      </c>
      <c r="N361" t="s">
        <v>84</v>
      </c>
      <c r="T361" t="s">
        <v>84</v>
      </c>
      <c r="W361" t="s">
        <v>84</v>
      </c>
      <c r="X361" t="s">
        <v>84</v>
      </c>
      <c r="Y361" t="s">
        <v>84</v>
      </c>
      <c r="AA361" t="s">
        <v>84</v>
      </c>
      <c r="AH361" t="s">
        <v>84</v>
      </c>
      <c r="AK361" t="s">
        <v>84</v>
      </c>
      <c r="AL361" t="s">
        <v>84</v>
      </c>
      <c r="AN361" t="s">
        <v>84</v>
      </c>
      <c r="AT361" t="s">
        <v>84</v>
      </c>
      <c r="AU361" t="s">
        <v>84</v>
      </c>
      <c r="AV361">
        <v>27483.333333333332</v>
      </c>
    </row>
    <row r="362" spans="1:48" x14ac:dyDescent="0.25">
      <c r="A362">
        <v>1</v>
      </c>
      <c r="B362" t="s">
        <v>552</v>
      </c>
      <c r="C362" t="s">
        <v>98</v>
      </c>
      <c r="D362">
        <v>28950</v>
      </c>
      <c r="J362" t="s">
        <v>84</v>
      </c>
      <c r="L362" t="s">
        <v>84</v>
      </c>
      <c r="N362" t="s">
        <v>84</v>
      </c>
      <c r="T362" t="s">
        <v>84</v>
      </c>
      <c r="V362">
        <v>28950</v>
      </c>
      <c r="W362" t="s">
        <v>84</v>
      </c>
      <c r="X362" t="s">
        <v>84</v>
      </c>
      <c r="Y362" t="s">
        <v>84</v>
      </c>
      <c r="AA362" t="s">
        <v>84</v>
      </c>
      <c r="AH362" t="s">
        <v>84</v>
      </c>
      <c r="AK362" t="s">
        <v>84</v>
      </c>
      <c r="AL362" t="s">
        <v>84</v>
      </c>
      <c r="AN362" t="s">
        <v>84</v>
      </c>
      <c r="AT362" t="s">
        <v>84</v>
      </c>
      <c r="AU362" t="s">
        <v>84</v>
      </c>
      <c r="AV362">
        <v>27483.333333333332</v>
      </c>
    </row>
    <row r="363" spans="1:48" x14ac:dyDescent="0.25">
      <c r="A363">
        <v>0</v>
      </c>
      <c r="B363" t="s">
        <v>552</v>
      </c>
      <c r="C363" t="s">
        <v>98</v>
      </c>
      <c r="D363">
        <v>32950</v>
      </c>
      <c r="J363" t="s">
        <v>84</v>
      </c>
      <c r="L363" t="s">
        <v>84</v>
      </c>
      <c r="N363" t="s">
        <v>84</v>
      </c>
      <c r="T363" t="s">
        <v>84</v>
      </c>
      <c r="W363" t="s">
        <v>84</v>
      </c>
      <c r="X363" t="s">
        <v>84</v>
      </c>
      <c r="Y363" t="s">
        <v>84</v>
      </c>
      <c r="AA363" t="s">
        <v>84</v>
      </c>
      <c r="AH363" t="s">
        <v>84</v>
      </c>
      <c r="AK363" t="s">
        <v>84</v>
      </c>
      <c r="AL363" t="s">
        <v>84</v>
      </c>
      <c r="AN363" t="s">
        <v>84</v>
      </c>
      <c r="AT363" t="s">
        <v>84</v>
      </c>
      <c r="AU363" t="s">
        <v>84</v>
      </c>
      <c r="AV363">
        <v>27483.333333333332</v>
      </c>
    </row>
    <row r="364" spans="1:48" x14ac:dyDescent="0.25">
      <c r="A364">
        <v>0</v>
      </c>
      <c r="B364" t="s">
        <v>552</v>
      </c>
      <c r="C364" t="s">
        <v>87</v>
      </c>
      <c r="D364">
        <v>96361.358330000003</v>
      </c>
      <c r="J364" t="s">
        <v>84</v>
      </c>
      <c r="L364" t="s">
        <v>84</v>
      </c>
      <c r="N364" t="s">
        <v>84</v>
      </c>
      <c r="T364" t="s">
        <v>84</v>
      </c>
      <c r="W364" t="s">
        <v>84</v>
      </c>
      <c r="X364" t="s">
        <v>84</v>
      </c>
      <c r="Y364" t="s">
        <v>84</v>
      </c>
      <c r="AA364" t="s">
        <v>84</v>
      </c>
      <c r="AH364" t="s">
        <v>84</v>
      </c>
      <c r="AK364" t="s">
        <v>84</v>
      </c>
      <c r="AL364" t="s">
        <v>84</v>
      </c>
      <c r="AN364" t="s">
        <v>84</v>
      </c>
      <c r="AT364" t="s">
        <v>84</v>
      </c>
      <c r="AU364" t="s">
        <v>84</v>
      </c>
      <c r="AV364">
        <v>112854.31111</v>
      </c>
    </row>
    <row r="365" spans="1:48" x14ac:dyDescent="0.25">
      <c r="A365">
        <v>0</v>
      </c>
      <c r="B365" t="s">
        <v>552</v>
      </c>
      <c r="C365" t="s">
        <v>87</v>
      </c>
      <c r="D365">
        <v>169632.4</v>
      </c>
      <c r="J365" t="s">
        <v>84</v>
      </c>
      <c r="L365" t="s">
        <v>84</v>
      </c>
      <c r="N365" t="s">
        <v>84</v>
      </c>
      <c r="T365" t="s">
        <v>84</v>
      </c>
      <c r="W365" t="s">
        <v>84</v>
      </c>
      <c r="X365" t="s">
        <v>84</v>
      </c>
      <c r="Y365" t="s">
        <v>84</v>
      </c>
      <c r="AA365" t="s">
        <v>84</v>
      </c>
      <c r="AH365" t="s">
        <v>84</v>
      </c>
      <c r="AK365" t="s">
        <v>84</v>
      </c>
      <c r="AL365" t="s">
        <v>84</v>
      </c>
      <c r="AN365" t="s">
        <v>84</v>
      </c>
      <c r="AT365" t="s">
        <v>84</v>
      </c>
      <c r="AU365" t="s">
        <v>84</v>
      </c>
      <c r="AV365">
        <v>112854.31111</v>
      </c>
    </row>
    <row r="366" spans="1:48" x14ac:dyDescent="0.25">
      <c r="A366">
        <v>1</v>
      </c>
      <c r="B366" t="s">
        <v>552</v>
      </c>
      <c r="C366" t="s">
        <v>87</v>
      </c>
      <c r="D366">
        <v>72569.175000000003</v>
      </c>
      <c r="J366" t="s">
        <v>84</v>
      </c>
      <c r="L366" t="s">
        <v>84</v>
      </c>
      <c r="N366" t="s">
        <v>84</v>
      </c>
      <c r="O366">
        <v>16400</v>
      </c>
      <c r="P366">
        <v>19200</v>
      </c>
      <c r="Q366">
        <v>8850</v>
      </c>
      <c r="R366">
        <v>8488</v>
      </c>
      <c r="T366" t="s">
        <v>84</v>
      </c>
      <c r="W366" t="s">
        <v>84</v>
      </c>
      <c r="X366" t="s">
        <v>84</v>
      </c>
      <c r="Y366" t="s">
        <v>84</v>
      </c>
      <c r="AA366" t="s">
        <v>84</v>
      </c>
      <c r="AH366" t="s">
        <v>84</v>
      </c>
      <c r="AK366" t="s">
        <v>84</v>
      </c>
      <c r="AL366" t="s">
        <v>84</v>
      </c>
      <c r="AN366" t="s">
        <v>84</v>
      </c>
      <c r="AT366" t="s">
        <v>84</v>
      </c>
      <c r="AU366" t="s">
        <v>84</v>
      </c>
      <c r="AV366">
        <v>112854.31111</v>
      </c>
    </row>
    <row r="367" spans="1:48" x14ac:dyDescent="0.25">
      <c r="A367">
        <v>0</v>
      </c>
      <c r="B367" t="s">
        <v>552</v>
      </c>
      <c r="C367" t="s">
        <v>80</v>
      </c>
      <c r="D367">
        <v>718279.31240000005</v>
      </c>
      <c r="J367" t="s">
        <v>84</v>
      </c>
      <c r="L367" t="s">
        <v>84</v>
      </c>
      <c r="N367" t="s">
        <v>84</v>
      </c>
      <c r="T367" t="s">
        <v>84</v>
      </c>
      <c r="W367" t="s">
        <v>84</v>
      </c>
      <c r="X367" t="s">
        <v>84</v>
      </c>
      <c r="Y367" t="s">
        <v>84</v>
      </c>
      <c r="AA367" t="s">
        <v>84</v>
      </c>
      <c r="AH367" t="s">
        <v>84</v>
      </c>
      <c r="AK367" t="s">
        <v>84</v>
      </c>
      <c r="AL367" t="s">
        <v>84</v>
      </c>
      <c r="AN367" t="s">
        <v>84</v>
      </c>
      <c r="AT367" t="s">
        <v>84</v>
      </c>
      <c r="AU367" t="s">
        <v>84</v>
      </c>
      <c r="AV367">
        <v>815339.00746666675</v>
      </c>
    </row>
    <row r="368" spans="1:48" x14ac:dyDescent="0.25">
      <c r="A368">
        <v>1</v>
      </c>
      <c r="B368" t="s">
        <v>552</v>
      </c>
      <c r="C368" t="s">
        <v>80</v>
      </c>
      <c r="D368">
        <v>787930.41</v>
      </c>
      <c r="F368">
        <v>36608</v>
      </c>
      <c r="G368">
        <v>43400</v>
      </c>
      <c r="J368" t="s">
        <v>84</v>
      </c>
      <c r="L368" t="s">
        <v>84</v>
      </c>
      <c r="M368">
        <v>270000</v>
      </c>
      <c r="N368" t="s">
        <v>84</v>
      </c>
      <c r="O368">
        <v>0</v>
      </c>
      <c r="Q368">
        <v>0</v>
      </c>
      <c r="S368">
        <v>26600</v>
      </c>
      <c r="T368" t="s">
        <v>84</v>
      </c>
      <c r="U368">
        <v>2500</v>
      </c>
      <c r="W368" t="s">
        <v>84</v>
      </c>
      <c r="X368" t="s">
        <v>84</v>
      </c>
      <c r="Y368" t="s">
        <v>84</v>
      </c>
      <c r="Z368">
        <v>14600</v>
      </c>
      <c r="AA368" t="s">
        <v>84</v>
      </c>
      <c r="AB368">
        <v>500</v>
      </c>
      <c r="AD368">
        <v>11750</v>
      </c>
      <c r="AE368">
        <v>105426.75</v>
      </c>
      <c r="AH368" t="s">
        <v>84</v>
      </c>
      <c r="AI368">
        <v>1600</v>
      </c>
      <c r="AJ368">
        <v>107393</v>
      </c>
      <c r="AK368" t="s">
        <v>84</v>
      </c>
      <c r="AL368" t="s">
        <v>84</v>
      </c>
      <c r="AN368" t="s">
        <v>84</v>
      </c>
      <c r="AQ368">
        <v>15050</v>
      </c>
      <c r="AR368">
        <v>0</v>
      </c>
      <c r="AS368">
        <v>0</v>
      </c>
      <c r="AT368" t="s">
        <v>84</v>
      </c>
      <c r="AU368" t="s">
        <v>84</v>
      </c>
      <c r="AV368">
        <v>815339.00746666675</v>
      </c>
    </row>
    <row r="369" spans="1:48" x14ac:dyDescent="0.25">
      <c r="A369">
        <v>0</v>
      </c>
      <c r="B369" t="s">
        <v>552</v>
      </c>
      <c r="C369" t="s">
        <v>80</v>
      </c>
      <c r="D369">
        <v>939807.3</v>
      </c>
      <c r="J369" t="s">
        <v>84</v>
      </c>
      <c r="L369" t="s">
        <v>84</v>
      </c>
      <c r="N369" t="s">
        <v>84</v>
      </c>
      <c r="T369" t="s">
        <v>84</v>
      </c>
      <c r="W369" t="s">
        <v>84</v>
      </c>
      <c r="X369" t="s">
        <v>84</v>
      </c>
      <c r="Y369" t="s">
        <v>84</v>
      </c>
      <c r="AA369" t="s">
        <v>84</v>
      </c>
      <c r="AH369" t="s">
        <v>84</v>
      </c>
      <c r="AK369" t="s">
        <v>84</v>
      </c>
      <c r="AL369" t="s">
        <v>84</v>
      </c>
      <c r="AN369" t="s">
        <v>84</v>
      </c>
      <c r="AT369" t="s">
        <v>84</v>
      </c>
      <c r="AU369" t="s">
        <v>84</v>
      </c>
      <c r="AV369">
        <v>815339.00746666675</v>
      </c>
    </row>
    <row r="370" spans="1:48" x14ac:dyDescent="0.25">
      <c r="A370">
        <v>1</v>
      </c>
      <c r="B370" t="s">
        <v>552</v>
      </c>
      <c r="C370" t="s">
        <v>92</v>
      </c>
      <c r="D370">
        <v>39180</v>
      </c>
      <c r="H370">
        <v>39180</v>
      </c>
      <c r="J370" t="s">
        <v>84</v>
      </c>
      <c r="L370" t="s">
        <v>84</v>
      </c>
      <c r="N370" t="s">
        <v>84</v>
      </c>
      <c r="T370" t="s">
        <v>84</v>
      </c>
      <c r="W370" t="s">
        <v>84</v>
      </c>
      <c r="X370" t="s">
        <v>84</v>
      </c>
      <c r="Y370" t="s">
        <v>84</v>
      </c>
      <c r="AA370" t="s">
        <v>84</v>
      </c>
      <c r="AH370" t="s">
        <v>84</v>
      </c>
      <c r="AK370" t="s">
        <v>84</v>
      </c>
      <c r="AL370" t="s">
        <v>84</v>
      </c>
      <c r="AN370" t="s">
        <v>84</v>
      </c>
      <c r="AT370" t="s">
        <v>84</v>
      </c>
      <c r="AU370" t="s">
        <v>84</v>
      </c>
      <c r="AV370">
        <v>39333.333333333336</v>
      </c>
    </row>
    <row r="371" spans="1:48" x14ac:dyDescent="0.25">
      <c r="A371">
        <v>0</v>
      </c>
      <c r="B371" t="s">
        <v>552</v>
      </c>
      <c r="C371" t="s">
        <v>92</v>
      </c>
      <c r="D371">
        <v>41010</v>
      </c>
      <c r="J371" t="s">
        <v>84</v>
      </c>
      <c r="L371" t="s">
        <v>84</v>
      </c>
      <c r="N371" t="s">
        <v>84</v>
      </c>
      <c r="T371" t="s">
        <v>84</v>
      </c>
      <c r="W371" t="s">
        <v>84</v>
      </c>
      <c r="X371" t="s">
        <v>84</v>
      </c>
      <c r="Y371" t="s">
        <v>84</v>
      </c>
      <c r="AA371" t="s">
        <v>84</v>
      </c>
      <c r="AH371" t="s">
        <v>84</v>
      </c>
      <c r="AK371" t="s">
        <v>84</v>
      </c>
      <c r="AL371" t="s">
        <v>84</v>
      </c>
      <c r="AN371" t="s">
        <v>84</v>
      </c>
      <c r="AT371" t="s">
        <v>84</v>
      </c>
      <c r="AU371" t="s">
        <v>84</v>
      </c>
      <c r="AV371">
        <v>39333.333333333336</v>
      </c>
    </row>
    <row r="372" spans="1:48" x14ac:dyDescent="0.25">
      <c r="A372">
        <v>0</v>
      </c>
      <c r="B372" t="s">
        <v>552</v>
      </c>
      <c r="C372" t="s">
        <v>92</v>
      </c>
      <c r="D372">
        <v>37810</v>
      </c>
      <c r="J372" t="s">
        <v>84</v>
      </c>
      <c r="L372" t="s">
        <v>84</v>
      </c>
      <c r="N372" t="s">
        <v>84</v>
      </c>
      <c r="T372" t="s">
        <v>84</v>
      </c>
      <c r="W372" t="s">
        <v>84</v>
      </c>
      <c r="X372" t="s">
        <v>84</v>
      </c>
      <c r="Y372" t="s">
        <v>84</v>
      </c>
      <c r="AA372" t="s">
        <v>84</v>
      </c>
      <c r="AH372" t="s">
        <v>84</v>
      </c>
      <c r="AK372" t="s">
        <v>84</v>
      </c>
      <c r="AL372" t="s">
        <v>84</v>
      </c>
      <c r="AN372" t="s">
        <v>84</v>
      </c>
      <c r="AT372" t="s">
        <v>84</v>
      </c>
      <c r="AU372" t="s">
        <v>84</v>
      </c>
      <c r="AV372">
        <v>39333.333333333336</v>
      </c>
    </row>
    <row r="373" spans="1:48" x14ac:dyDescent="0.25">
      <c r="A373">
        <v>0</v>
      </c>
      <c r="B373" t="s">
        <v>552</v>
      </c>
      <c r="C373" t="s">
        <v>98</v>
      </c>
      <c r="D373">
        <v>21400</v>
      </c>
      <c r="J373" t="s">
        <v>84</v>
      </c>
      <c r="L373" t="s">
        <v>84</v>
      </c>
      <c r="N373" t="s">
        <v>84</v>
      </c>
      <c r="T373" t="s">
        <v>84</v>
      </c>
      <c r="W373" t="s">
        <v>84</v>
      </c>
      <c r="X373" t="s">
        <v>84</v>
      </c>
      <c r="Y373" t="s">
        <v>84</v>
      </c>
      <c r="AA373" t="s">
        <v>84</v>
      </c>
      <c r="AH373" t="s">
        <v>84</v>
      </c>
      <c r="AK373" t="s">
        <v>84</v>
      </c>
      <c r="AL373" t="s">
        <v>84</v>
      </c>
      <c r="AN373" t="s">
        <v>84</v>
      </c>
      <c r="AT373" t="s">
        <v>84</v>
      </c>
      <c r="AU373" t="s">
        <v>84</v>
      </c>
      <c r="AV373">
        <v>34116.666666666664</v>
      </c>
    </row>
    <row r="374" spans="1:48" x14ac:dyDescent="0.25">
      <c r="A374">
        <v>0</v>
      </c>
      <c r="B374" t="s">
        <v>552</v>
      </c>
      <c r="C374" t="s">
        <v>98</v>
      </c>
      <c r="D374">
        <v>30950</v>
      </c>
      <c r="J374" t="s">
        <v>84</v>
      </c>
      <c r="L374" t="s">
        <v>84</v>
      </c>
      <c r="N374" t="s">
        <v>84</v>
      </c>
      <c r="T374" t="s">
        <v>84</v>
      </c>
      <c r="W374" t="s">
        <v>84</v>
      </c>
      <c r="X374" t="s">
        <v>84</v>
      </c>
      <c r="Y374" t="s">
        <v>84</v>
      </c>
      <c r="AA374" t="s">
        <v>84</v>
      </c>
      <c r="AH374" t="s">
        <v>84</v>
      </c>
      <c r="AK374" t="s">
        <v>84</v>
      </c>
      <c r="AL374" t="s">
        <v>84</v>
      </c>
      <c r="AN374" t="s">
        <v>84</v>
      </c>
      <c r="AT374" t="s">
        <v>84</v>
      </c>
      <c r="AU374" t="s">
        <v>84</v>
      </c>
      <c r="AV374">
        <v>34116.666666666664</v>
      </c>
    </row>
    <row r="375" spans="1:48" x14ac:dyDescent="0.25">
      <c r="A375">
        <v>1</v>
      </c>
      <c r="B375" t="s">
        <v>552</v>
      </c>
      <c r="C375" t="s">
        <v>98</v>
      </c>
      <c r="D375">
        <v>50000</v>
      </c>
      <c r="J375" t="s">
        <v>84</v>
      </c>
      <c r="L375" t="s">
        <v>84</v>
      </c>
      <c r="N375" t="s">
        <v>84</v>
      </c>
      <c r="T375" t="s">
        <v>84</v>
      </c>
      <c r="V375">
        <v>50000</v>
      </c>
      <c r="W375" t="s">
        <v>84</v>
      </c>
      <c r="X375" t="s">
        <v>84</v>
      </c>
      <c r="Y375" t="s">
        <v>84</v>
      </c>
      <c r="AA375" t="s">
        <v>84</v>
      </c>
      <c r="AH375" t="s">
        <v>84</v>
      </c>
      <c r="AK375" t="s">
        <v>84</v>
      </c>
      <c r="AL375" t="s">
        <v>84</v>
      </c>
      <c r="AN375" t="s">
        <v>84</v>
      </c>
      <c r="AT375" t="s">
        <v>84</v>
      </c>
      <c r="AU375" t="s">
        <v>84</v>
      </c>
      <c r="AV375">
        <v>34116.666666666664</v>
      </c>
    </row>
    <row r="376" spans="1:48" x14ac:dyDescent="0.25">
      <c r="A376">
        <v>0</v>
      </c>
      <c r="B376" t="s">
        <v>552</v>
      </c>
      <c r="C376" t="s">
        <v>87</v>
      </c>
      <c r="D376">
        <v>114637.3083</v>
      </c>
      <c r="J376" t="s">
        <v>84</v>
      </c>
      <c r="L376" t="s">
        <v>84</v>
      </c>
      <c r="N376" t="s">
        <v>84</v>
      </c>
      <c r="T376" t="s">
        <v>84</v>
      </c>
      <c r="W376" t="s">
        <v>84</v>
      </c>
      <c r="X376" t="s">
        <v>84</v>
      </c>
      <c r="Y376" t="s">
        <v>84</v>
      </c>
      <c r="AA376" t="s">
        <v>84</v>
      </c>
      <c r="AH376" t="s">
        <v>84</v>
      </c>
      <c r="AK376" t="s">
        <v>84</v>
      </c>
      <c r="AL376" t="s">
        <v>84</v>
      </c>
      <c r="AN376" t="s">
        <v>84</v>
      </c>
      <c r="AT376" t="s">
        <v>84</v>
      </c>
      <c r="AU376" t="s">
        <v>84</v>
      </c>
      <c r="AV376">
        <v>100280.11387666667</v>
      </c>
    </row>
    <row r="377" spans="1:48" x14ac:dyDescent="0.25">
      <c r="A377">
        <v>0</v>
      </c>
      <c r="B377" t="s">
        <v>552</v>
      </c>
      <c r="C377" t="s">
        <v>87</v>
      </c>
      <c r="D377">
        <v>101759.7</v>
      </c>
      <c r="J377" t="s">
        <v>84</v>
      </c>
      <c r="L377" t="s">
        <v>84</v>
      </c>
      <c r="N377" t="s">
        <v>84</v>
      </c>
      <c r="T377" t="s">
        <v>84</v>
      </c>
      <c r="W377" t="s">
        <v>84</v>
      </c>
      <c r="X377" t="s">
        <v>84</v>
      </c>
      <c r="Y377" t="s">
        <v>84</v>
      </c>
      <c r="AA377" t="s">
        <v>84</v>
      </c>
      <c r="AH377" t="s">
        <v>84</v>
      </c>
      <c r="AK377" t="s">
        <v>84</v>
      </c>
      <c r="AL377" t="s">
        <v>84</v>
      </c>
      <c r="AN377" t="s">
        <v>84</v>
      </c>
      <c r="AT377" t="s">
        <v>84</v>
      </c>
      <c r="AU377" t="s">
        <v>84</v>
      </c>
      <c r="AV377">
        <v>100280.11387666667</v>
      </c>
    </row>
    <row r="378" spans="1:48" x14ac:dyDescent="0.25">
      <c r="A378">
        <v>1</v>
      </c>
      <c r="B378" t="s">
        <v>552</v>
      </c>
      <c r="C378" t="s">
        <v>87</v>
      </c>
      <c r="D378">
        <v>84443.333329999994</v>
      </c>
      <c r="J378" t="s">
        <v>84</v>
      </c>
      <c r="L378" t="s">
        <v>84</v>
      </c>
      <c r="N378" t="s">
        <v>84</v>
      </c>
      <c r="O378">
        <v>24650</v>
      </c>
      <c r="P378">
        <v>23550</v>
      </c>
      <c r="Q378">
        <v>6000</v>
      </c>
      <c r="R378">
        <v>7400</v>
      </c>
      <c r="T378" t="s">
        <v>84</v>
      </c>
      <c r="W378" t="s">
        <v>84</v>
      </c>
      <c r="X378" t="s">
        <v>84</v>
      </c>
      <c r="Y378" t="s">
        <v>84</v>
      </c>
      <c r="AA378" t="s">
        <v>84</v>
      </c>
      <c r="AH378" t="s">
        <v>84</v>
      </c>
      <c r="AK378" t="s">
        <v>84</v>
      </c>
      <c r="AL378" t="s">
        <v>84</v>
      </c>
      <c r="AN378" t="s">
        <v>84</v>
      </c>
      <c r="AT378" t="s">
        <v>84</v>
      </c>
      <c r="AU378" t="s">
        <v>84</v>
      </c>
      <c r="AV378">
        <v>100280.11387666667</v>
      </c>
    </row>
    <row r="379" spans="1:48" x14ac:dyDescent="0.25">
      <c r="A379">
        <v>1</v>
      </c>
      <c r="B379" t="s">
        <v>552</v>
      </c>
      <c r="C379" t="s">
        <v>80</v>
      </c>
      <c r="D379">
        <v>695741.97759999998</v>
      </c>
      <c r="F379">
        <v>43579.25</v>
      </c>
      <c r="G379">
        <v>13200</v>
      </c>
      <c r="J379" t="s">
        <v>84</v>
      </c>
      <c r="L379" t="s">
        <v>84</v>
      </c>
      <c r="M379">
        <v>85000</v>
      </c>
      <c r="N379" t="s">
        <v>84</v>
      </c>
      <c r="O379">
        <v>0</v>
      </c>
      <c r="Q379">
        <v>0</v>
      </c>
      <c r="S379">
        <v>57650</v>
      </c>
      <c r="T379" t="s">
        <v>84</v>
      </c>
      <c r="U379">
        <v>2800</v>
      </c>
      <c r="W379" t="s">
        <v>84</v>
      </c>
      <c r="X379" t="s">
        <v>84</v>
      </c>
      <c r="Y379" t="s">
        <v>84</v>
      </c>
      <c r="Z379">
        <v>38650</v>
      </c>
      <c r="AA379" t="s">
        <v>84</v>
      </c>
      <c r="AB379">
        <v>13600</v>
      </c>
      <c r="AD379">
        <v>22550</v>
      </c>
      <c r="AE379">
        <v>130058.5</v>
      </c>
      <c r="AH379" t="s">
        <v>84</v>
      </c>
      <c r="AI379">
        <v>7900</v>
      </c>
      <c r="AJ379">
        <v>82180.67</v>
      </c>
      <c r="AK379" t="s">
        <v>84</v>
      </c>
      <c r="AL379" t="s">
        <v>84</v>
      </c>
      <c r="AN379" t="s">
        <v>84</v>
      </c>
      <c r="AQ379">
        <v>46380</v>
      </c>
      <c r="AR379">
        <v>0</v>
      </c>
      <c r="AS379">
        <v>0</v>
      </c>
      <c r="AT379" t="s">
        <v>84</v>
      </c>
      <c r="AU379" t="s">
        <v>84</v>
      </c>
      <c r="AV379">
        <v>747040.61526666663</v>
      </c>
    </row>
    <row r="380" spans="1:48" x14ac:dyDescent="0.25">
      <c r="A380">
        <v>0</v>
      </c>
      <c r="B380" t="s">
        <v>552</v>
      </c>
      <c r="C380" t="s">
        <v>80</v>
      </c>
      <c r="D380">
        <v>873108.54399999999</v>
      </c>
      <c r="J380" t="s">
        <v>84</v>
      </c>
      <c r="L380" t="s">
        <v>84</v>
      </c>
      <c r="N380" t="s">
        <v>84</v>
      </c>
      <c r="T380" t="s">
        <v>84</v>
      </c>
      <c r="W380" t="s">
        <v>84</v>
      </c>
      <c r="X380" t="s">
        <v>84</v>
      </c>
      <c r="Y380" t="s">
        <v>84</v>
      </c>
      <c r="AA380" t="s">
        <v>84</v>
      </c>
      <c r="AH380" t="s">
        <v>84</v>
      </c>
      <c r="AK380" t="s">
        <v>84</v>
      </c>
      <c r="AL380" t="s">
        <v>84</v>
      </c>
      <c r="AN380" t="s">
        <v>84</v>
      </c>
      <c r="AT380" t="s">
        <v>84</v>
      </c>
      <c r="AU380" t="s">
        <v>84</v>
      </c>
      <c r="AV380">
        <v>747040.61526666663</v>
      </c>
    </row>
    <row r="381" spans="1:48" x14ac:dyDescent="0.25">
      <c r="A381">
        <v>0</v>
      </c>
      <c r="B381" t="s">
        <v>552</v>
      </c>
      <c r="C381" t="s">
        <v>80</v>
      </c>
      <c r="D381">
        <v>672271.32420000003</v>
      </c>
      <c r="J381" t="s">
        <v>84</v>
      </c>
      <c r="L381" t="s">
        <v>84</v>
      </c>
      <c r="N381" t="s">
        <v>84</v>
      </c>
      <c r="T381" t="s">
        <v>84</v>
      </c>
      <c r="W381" t="s">
        <v>84</v>
      </c>
      <c r="X381" t="s">
        <v>84</v>
      </c>
      <c r="Y381" t="s">
        <v>84</v>
      </c>
      <c r="AA381" t="s">
        <v>84</v>
      </c>
      <c r="AH381" t="s">
        <v>84</v>
      </c>
      <c r="AK381" t="s">
        <v>84</v>
      </c>
      <c r="AL381" t="s">
        <v>84</v>
      </c>
      <c r="AN381" t="s">
        <v>84</v>
      </c>
      <c r="AT381" t="s">
        <v>84</v>
      </c>
      <c r="AU381" t="s">
        <v>84</v>
      </c>
      <c r="AV381">
        <v>747040.61526666663</v>
      </c>
    </row>
    <row r="382" spans="1:48" x14ac:dyDescent="0.25">
      <c r="A382">
        <v>1</v>
      </c>
      <c r="B382" t="s">
        <v>552</v>
      </c>
      <c r="C382" t="s">
        <v>106</v>
      </c>
      <c r="D382">
        <v>13817.135</v>
      </c>
      <c r="J382" t="s">
        <v>84</v>
      </c>
      <c r="K382">
        <v>6750</v>
      </c>
      <c r="L382" t="s">
        <v>84</v>
      </c>
      <c r="N382" t="s">
        <v>84</v>
      </c>
      <c r="T382" t="s">
        <v>84</v>
      </c>
      <c r="W382" t="s">
        <v>84</v>
      </c>
      <c r="X382" t="s">
        <v>84</v>
      </c>
      <c r="Y382" t="s">
        <v>84</v>
      </c>
      <c r="AA382" t="s">
        <v>84</v>
      </c>
      <c r="AF382">
        <v>2020</v>
      </c>
      <c r="AH382" t="s">
        <v>84</v>
      </c>
      <c r="AK382" t="s">
        <v>84</v>
      </c>
      <c r="AL382" t="s">
        <v>84</v>
      </c>
      <c r="AN382" t="s">
        <v>84</v>
      </c>
      <c r="AT382" t="s">
        <v>84</v>
      </c>
      <c r="AU382" t="s">
        <v>84</v>
      </c>
      <c r="AV382">
        <v>10621.495833333334</v>
      </c>
    </row>
    <row r="383" spans="1:48" x14ac:dyDescent="0.25">
      <c r="A383">
        <v>0</v>
      </c>
      <c r="B383" t="s">
        <v>552</v>
      </c>
      <c r="C383" t="s">
        <v>106</v>
      </c>
      <c r="D383">
        <v>9098.5125000000007</v>
      </c>
      <c r="J383" t="s">
        <v>84</v>
      </c>
      <c r="L383" t="s">
        <v>84</v>
      </c>
      <c r="N383" t="s">
        <v>84</v>
      </c>
      <c r="T383" t="s">
        <v>84</v>
      </c>
      <c r="W383" t="s">
        <v>84</v>
      </c>
      <c r="X383" t="s">
        <v>84</v>
      </c>
      <c r="Y383" t="s">
        <v>84</v>
      </c>
      <c r="AA383" t="s">
        <v>84</v>
      </c>
      <c r="AH383" t="s">
        <v>84</v>
      </c>
      <c r="AK383" t="s">
        <v>84</v>
      </c>
      <c r="AL383" t="s">
        <v>84</v>
      </c>
      <c r="AN383" t="s">
        <v>84</v>
      </c>
      <c r="AT383" t="s">
        <v>84</v>
      </c>
      <c r="AU383" t="s">
        <v>84</v>
      </c>
      <c r="AV383">
        <v>10621.495833333334</v>
      </c>
    </row>
    <row r="384" spans="1:48" x14ac:dyDescent="0.25">
      <c r="A384">
        <v>0</v>
      </c>
      <c r="B384" t="s">
        <v>552</v>
      </c>
      <c r="C384" t="s">
        <v>106</v>
      </c>
      <c r="D384">
        <v>8948.84</v>
      </c>
      <c r="J384" t="s">
        <v>84</v>
      </c>
      <c r="L384" t="s">
        <v>84</v>
      </c>
      <c r="N384" t="s">
        <v>84</v>
      </c>
      <c r="T384" t="s">
        <v>84</v>
      </c>
      <c r="W384" t="s">
        <v>84</v>
      </c>
      <c r="X384" t="s">
        <v>84</v>
      </c>
      <c r="Y384" t="s">
        <v>84</v>
      </c>
      <c r="AA384" t="s">
        <v>84</v>
      </c>
      <c r="AH384" t="s">
        <v>84</v>
      </c>
      <c r="AK384" t="s">
        <v>84</v>
      </c>
      <c r="AL384" t="s">
        <v>84</v>
      </c>
      <c r="AN384" t="s">
        <v>84</v>
      </c>
      <c r="AT384" t="s">
        <v>84</v>
      </c>
      <c r="AU384" t="s">
        <v>84</v>
      </c>
      <c r="AV384">
        <v>10621.495833333334</v>
      </c>
    </row>
    <row r="385" spans="1:48" x14ac:dyDescent="0.25">
      <c r="A385">
        <v>1</v>
      </c>
      <c r="B385" t="s">
        <v>552</v>
      </c>
      <c r="C385" t="s">
        <v>110</v>
      </c>
      <c r="D385">
        <v>9300</v>
      </c>
      <c r="F385">
        <v>0</v>
      </c>
      <c r="G385">
        <v>0</v>
      </c>
      <c r="J385" t="s">
        <v>84</v>
      </c>
      <c r="L385" t="s">
        <v>84</v>
      </c>
      <c r="M385">
        <v>0</v>
      </c>
      <c r="N385" t="s">
        <v>84</v>
      </c>
      <c r="O385">
        <v>0</v>
      </c>
      <c r="Q385">
        <v>0</v>
      </c>
      <c r="S385">
        <v>0</v>
      </c>
      <c r="T385" t="s">
        <v>84</v>
      </c>
      <c r="U385">
        <v>0</v>
      </c>
      <c r="W385" t="s">
        <v>84</v>
      </c>
      <c r="X385" t="s">
        <v>84</v>
      </c>
      <c r="Y385" t="s">
        <v>84</v>
      </c>
      <c r="Z385">
        <v>0</v>
      </c>
      <c r="AA385" t="s">
        <v>84</v>
      </c>
      <c r="AB385">
        <v>7500</v>
      </c>
      <c r="AD385">
        <v>0</v>
      </c>
      <c r="AE385">
        <v>0</v>
      </c>
      <c r="AH385" t="s">
        <v>84</v>
      </c>
      <c r="AI385">
        <v>0</v>
      </c>
      <c r="AJ385">
        <v>0</v>
      </c>
      <c r="AK385" t="s">
        <v>84</v>
      </c>
      <c r="AL385" t="s">
        <v>84</v>
      </c>
      <c r="AN385" t="s">
        <v>84</v>
      </c>
      <c r="AQ385">
        <v>0</v>
      </c>
      <c r="AR385">
        <v>0</v>
      </c>
      <c r="AS385">
        <v>0</v>
      </c>
      <c r="AT385" t="s">
        <v>84</v>
      </c>
      <c r="AU385" t="s">
        <v>84</v>
      </c>
      <c r="AV385">
        <v>11143.333333333334</v>
      </c>
    </row>
    <row r="386" spans="1:48" x14ac:dyDescent="0.25">
      <c r="A386">
        <v>0</v>
      </c>
      <c r="B386" t="s">
        <v>552</v>
      </c>
      <c r="C386" t="s">
        <v>110</v>
      </c>
      <c r="D386">
        <v>9250</v>
      </c>
      <c r="J386" t="s">
        <v>84</v>
      </c>
      <c r="L386" t="s">
        <v>84</v>
      </c>
      <c r="N386" t="s">
        <v>84</v>
      </c>
      <c r="T386" t="s">
        <v>84</v>
      </c>
      <c r="W386" t="s">
        <v>84</v>
      </c>
      <c r="X386" t="s">
        <v>84</v>
      </c>
      <c r="Y386" t="s">
        <v>84</v>
      </c>
      <c r="AA386" t="s">
        <v>84</v>
      </c>
      <c r="AH386" t="s">
        <v>84</v>
      </c>
      <c r="AK386" t="s">
        <v>84</v>
      </c>
      <c r="AL386" t="s">
        <v>84</v>
      </c>
      <c r="AN386" t="s">
        <v>84</v>
      </c>
      <c r="AT386" t="s">
        <v>84</v>
      </c>
      <c r="AU386" t="s">
        <v>84</v>
      </c>
      <c r="AV386">
        <v>11143.333333333334</v>
      </c>
    </row>
    <row r="387" spans="1:48" x14ac:dyDescent="0.25">
      <c r="A387">
        <v>0</v>
      </c>
      <c r="B387" t="s">
        <v>552</v>
      </c>
      <c r="C387" t="s">
        <v>110</v>
      </c>
      <c r="D387">
        <v>14880</v>
      </c>
      <c r="J387" t="s">
        <v>84</v>
      </c>
      <c r="L387" t="s">
        <v>84</v>
      </c>
      <c r="N387" t="s">
        <v>84</v>
      </c>
      <c r="T387" t="s">
        <v>84</v>
      </c>
      <c r="W387" t="s">
        <v>84</v>
      </c>
      <c r="X387" t="s">
        <v>84</v>
      </c>
      <c r="Y387" t="s">
        <v>84</v>
      </c>
      <c r="AA387" t="s">
        <v>84</v>
      </c>
      <c r="AH387" t="s">
        <v>84</v>
      </c>
      <c r="AK387" t="s">
        <v>84</v>
      </c>
      <c r="AL387" t="s">
        <v>84</v>
      </c>
      <c r="AN387" t="s">
        <v>84</v>
      </c>
      <c r="AT387" t="s">
        <v>84</v>
      </c>
      <c r="AU387" t="s">
        <v>84</v>
      </c>
      <c r="AV387">
        <v>11143.333333333334</v>
      </c>
    </row>
    <row r="388" spans="1:48" x14ac:dyDescent="0.25">
      <c r="A388">
        <v>1</v>
      </c>
      <c r="B388" t="s">
        <v>552</v>
      </c>
      <c r="C388" t="s">
        <v>92</v>
      </c>
      <c r="D388">
        <v>28890</v>
      </c>
      <c r="H388">
        <v>28890</v>
      </c>
      <c r="J388" t="s">
        <v>84</v>
      </c>
      <c r="L388" t="s">
        <v>84</v>
      </c>
      <c r="N388" t="s">
        <v>84</v>
      </c>
      <c r="T388" t="s">
        <v>84</v>
      </c>
      <c r="W388" t="s">
        <v>84</v>
      </c>
      <c r="X388" t="s">
        <v>84</v>
      </c>
      <c r="Y388" t="s">
        <v>84</v>
      </c>
      <c r="AA388" t="s">
        <v>84</v>
      </c>
      <c r="AH388" t="s">
        <v>84</v>
      </c>
      <c r="AK388" t="s">
        <v>84</v>
      </c>
      <c r="AL388" t="s">
        <v>84</v>
      </c>
      <c r="AN388" t="s">
        <v>84</v>
      </c>
      <c r="AT388" t="s">
        <v>84</v>
      </c>
      <c r="AU388" t="s">
        <v>84</v>
      </c>
      <c r="AV388">
        <v>37863.333333333336</v>
      </c>
    </row>
    <row r="389" spans="1:48" x14ac:dyDescent="0.25">
      <c r="A389">
        <v>0</v>
      </c>
      <c r="B389" t="s">
        <v>552</v>
      </c>
      <c r="C389" t="s">
        <v>92</v>
      </c>
      <c r="D389">
        <v>43020</v>
      </c>
      <c r="J389" t="s">
        <v>84</v>
      </c>
      <c r="L389" t="s">
        <v>84</v>
      </c>
      <c r="N389" t="s">
        <v>84</v>
      </c>
      <c r="T389" t="s">
        <v>84</v>
      </c>
      <c r="W389" t="s">
        <v>84</v>
      </c>
      <c r="X389" t="s">
        <v>84</v>
      </c>
      <c r="Y389" t="s">
        <v>84</v>
      </c>
      <c r="AA389" t="s">
        <v>84</v>
      </c>
      <c r="AH389" t="s">
        <v>84</v>
      </c>
      <c r="AK389" t="s">
        <v>84</v>
      </c>
      <c r="AL389" t="s">
        <v>84</v>
      </c>
      <c r="AN389" t="s">
        <v>84</v>
      </c>
      <c r="AT389" t="s">
        <v>84</v>
      </c>
      <c r="AU389" t="s">
        <v>84</v>
      </c>
      <c r="AV389">
        <v>37863.333333333336</v>
      </c>
    </row>
    <row r="390" spans="1:48" x14ac:dyDescent="0.25">
      <c r="A390">
        <v>0</v>
      </c>
      <c r="B390" t="s">
        <v>552</v>
      </c>
      <c r="C390" t="s">
        <v>92</v>
      </c>
      <c r="D390">
        <v>41680</v>
      </c>
      <c r="J390" t="s">
        <v>84</v>
      </c>
      <c r="L390" t="s">
        <v>84</v>
      </c>
      <c r="N390" t="s">
        <v>84</v>
      </c>
      <c r="T390" t="s">
        <v>84</v>
      </c>
      <c r="W390" t="s">
        <v>84</v>
      </c>
      <c r="X390" t="s">
        <v>84</v>
      </c>
      <c r="Y390" t="s">
        <v>84</v>
      </c>
      <c r="AA390" t="s">
        <v>84</v>
      </c>
      <c r="AH390" t="s">
        <v>84</v>
      </c>
      <c r="AK390" t="s">
        <v>84</v>
      </c>
      <c r="AL390" t="s">
        <v>84</v>
      </c>
      <c r="AN390" t="s">
        <v>84</v>
      </c>
      <c r="AT390" t="s">
        <v>84</v>
      </c>
      <c r="AU390" t="s">
        <v>84</v>
      </c>
      <c r="AV390">
        <v>37863.333333333336</v>
      </c>
    </row>
    <row r="391" spans="1:48" x14ac:dyDescent="0.25">
      <c r="A391">
        <v>0</v>
      </c>
      <c r="B391" t="s">
        <v>552</v>
      </c>
      <c r="C391" t="s">
        <v>98</v>
      </c>
      <c r="D391">
        <v>26750</v>
      </c>
      <c r="J391" t="s">
        <v>84</v>
      </c>
      <c r="L391" t="s">
        <v>84</v>
      </c>
      <c r="N391" t="s">
        <v>84</v>
      </c>
      <c r="T391" t="s">
        <v>84</v>
      </c>
      <c r="W391" t="s">
        <v>84</v>
      </c>
      <c r="X391" t="s">
        <v>84</v>
      </c>
      <c r="Y391" t="s">
        <v>84</v>
      </c>
      <c r="AA391" t="s">
        <v>84</v>
      </c>
      <c r="AH391" t="s">
        <v>84</v>
      </c>
      <c r="AK391" t="s">
        <v>84</v>
      </c>
      <c r="AL391" t="s">
        <v>84</v>
      </c>
      <c r="AN391" t="s">
        <v>84</v>
      </c>
      <c r="AT391" t="s">
        <v>84</v>
      </c>
      <c r="AU391" t="s">
        <v>84</v>
      </c>
      <c r="AV391">
        <v>31400</v>
      </c>
    </row>
    <row r="392" spans="1:48" x14ac:dyDescent="0.25">
      <c r="A392">
        <v>1</v>
      </c>
      <c r="B392" t="s">
        <v>552</v>
      </c>
      <c r="C392" t="s">
        <v>98</v>
      </c>
      <c r="D392">
        <v>36050</v>
      </c>
      <c r="J392" t="s">
        <v>84</v>
      </c>
      <c r="L392" t="s">
        <v>84</v>
      </c>
      <c r="N392" t="s">
        <v>84</v>
      </c>
      <c r="T392" t="s">
        <v>84</v>
      </c>
      <c r="V392">
        <v>36050</v>
      </c>
      <c r="W392" t="s">
        <v>84</v>
      </c>
      <c r="X392" t="s">
        <v>84</v>
      </c>
      <c r="Y392" t="s">
        <v>84</v>
      </c>
      <c r="AA392" t="s">
        <v>84</v>
      </c>
      <c r="AH392" t="s">
        <v>84</v>
      </c>
      <c r="AK392" t="s">
        <v>84</v>
      </c>
      <c r="AL392" t="s">
        <v>84</v>
      </c>
      <c r="AN392" t="s">
        <v>84</v>
      </c>
      <c r="AT392" t="s">
        <v>84</v>
      </c>
      <c r="AU392" t="s">
        <v>84</v>
      </c>
      <c r="AV392">
        <v>31400</v>
      </c>
    </row>
    <row r="393" spans="1:48" x14ac:dyDescent="0.25">
      <c r="A393">
        <v>0</v>
      </c>
      <c r="B393" t="s">
        <v>552</v>
      </c>
      <c r="C393" t="s">
        <v>87</v>
      </c>
      <c r="D393">
        <v>154630</v>
      </c>
      <c r="J393" t="s">
        <v>84</v>
      </c>
      <c r="L393" t="s">
        <v>84</v>
      </c>
      <c r="N393" t="s">
        <v>84</v>
      </c>
      <c r="T393" t="s">
        <v>84</v>
      </c>
      <c r="W393" t="s">
        <v>84</v>
      </c>
      <c r="X393" t="s">
        <v>84</v>
      </c>
      <c r="Y393" t="s">
        <v>84</v>
      </c>
      <c r="AA393" t="s">
        <v>84</v>
      </c>
      <c r="AH393" t="s">
        <v>84</v>
      </c>
      <c r="AK393" t="s">
        <v>84</v>
      </c>
      <c r="AL393" t="s">
        <v>84</v>
      </c>
      <c r="AN393" t="s">
        <v>84</v>
      </c>
      <c r="AT393" t="s">
        <v>84</v>
      </c>
      <c r="AU393" t="s">
        <v>84</v>
      </c>
      <c r="AV393">
        <v>154258.96113333333</v>
      </c>
    </row>
    <row r="394" spans="1:48" x14ac:dyDescent="0.25">
      <c r="A394">
        <v>1</v>
      </c>
      <c r="B394" t="s">
        <v>552</v>
      </c>
      <c r="C394" t="s">
        <v>87</v>
      </c>
      <c r="D394">
        <v>135575.4167</v>
      </c>
      <c r="J394" t="s">
        <v>84</v>
      </c>
      <c r="L394" t="s">
        <v>84</v>
      </c>
      <c r="N394" t="s">
        <v>84</v>
      </c>
      <c r="O394">
        <v>38900</v>
      </c>
      <c r="P394">
        <v>15100</v>
      </c>
      <c r="Q394">
        <v>30200</v>
      </c>
      <c r="R394">
        <v>14700</v>
      </c>
      <c r="T394" t="s">
        <v>84</v>
      </c>
      <c r="W394" t="s">
        <v>84</v>
      </c>
      <c r="X394" t="s">
        <v>84</v>
      </c>
      <c r="Y394" t="s">
        <v>84</v>
      </c>
      <c r="AA394" t="s">
        <v>84</v>
      </c>
      <c r="AH394" t="s">
        <v>84</v>
      </c>
      <c r="AK394" t="s">
        <v>84</v>
      </c>
      <c r="AL394" t="s">
        <v>84</v>
      </c>
      <c r="AN394" t="s">
        <v>84</v>
      </c>
      <c r="AT394" t="s">
        <v>84</v>
      </c>
      <c r="AU394" t="s">
        <v>84</v>
      </c>
      <c r="AV394">
        <v>154258.96113333333</v>
      </c>
    </row>
    <row r="395" spans="1:48" x14ac:dyDescent="0.25">
      <c r="A395">
        <v>0</v>
      </c>
      <c r="B395" t="s">
        <v>552</v>
      </c>
      <c r="C395" t="s">
        <v>87</v>
      </c>
      <c r="D395">
        <v>172571.46669999999</v>
      </c>
      <c r="J395" t="s">
        <v>84</v>
      </c>
      <c r="L395" t="s">
        <v>84</v>
      </c>
      <c r="N395" t="s">
        <v>84</v>
      </c>
      <c r="T395" t="s">
        <v>84</v>
      </c>
      <c r="W395" t="s">
        <v>84</v>
      </c>
      <c r="X395" t="s">
        <v>84</v>
      </c>
      <c r="Y395" t="s">
        <v>84</v>
      </c>
      <c r="AA395" t="s">
        <v>84</v>
      </c>
      <c r="AH395" t="s">
        <v>84</v>
      </c>
      <c r="AK395" t="s">
        <v>84</v>
      </c>
      <c r="AL395" t="s">
        <v>84</v>
      </c>
      <c r="AN395" t="s">
        <v>84</v>
      </c>
      <c r="AT395" t="s">
        <v>84</v>
      </c>
      <c r="AU395" t="s">
        <v>84</v>
      </c>
      <c r="AV395">
        <v>154258.96113333333</v>
      </c>
    </row>
    <row r="396" spans="1:48" x14ac:dyDescent="0.25">
      <c r="A396">
        <v>0</v>
      </c>
      <c r="B396" t="s">
        <v>552</v>
      </c>
      <c r="C396" t="s">
        <v>110</v>
      </c>
      <c r="D396">
        <v>12750</v>
      </c>
      <c r="J396" t="s">
        <v>84</v>
      </c>
      <c r="L396" t="s">
        <v>84</v>
      </c>
      <c r="N396" t="s">
        <v>84</v>
      </c>
      <c r="T396" t="s">
        <v>84</v>
      </c>
      <c r="W396" t="s">
        <v>84</v>
      </c>
      <c r="X396" t="s">
        <v>84</v>
      </c>
      <c r="Y396" t="s">
        <v>84</v>
      </c>
      <c r="AA396" t="s">
        <v>84</v>
      </c>
      <c r="AH396" t="s">
        <v>84</v>
      </c>
      <c r="AK396" t="s">
        <v>84</v>
      </c>
      <c r="AL396" t="s">
        <v>84</v>
      </c>
      <c r="AN396" t="s">
        <v>84</v>
      </c>
      <c r="AT396" t="s">
        <v>84</v>
      </c>
      <c r="AU396" t="s">
        <v>84</v>
      </c>
      <c r="AV396">
        <v>15299.666666666666</v>
      </c>
    </row>
    <row r="397" spans="1:48" x14ac:dyDescent="0.25">
      <c r="A397">
        <v>1</v>
      </c>
      <c r="B397" t="s">
        <v>552</v>
      </c>
      <c r="C397" t="s">
        <v>110</v>
      </c>
      <c r="D397">
        <v>14375</v>
      </c>
      <c r="F397">
        <v>0</v>
      </c>
      <c r="G397">
        <v>0</v>
      </c>
      <c r="J397" t="s">
        <v>84</v>
      </c>
      <c r="L397" t="s">
        <v>84</v>
      </c>
      <c r="M397">
        <v>0</v>
      </c>
      <c r="N397" t="s">
        <v>84</v>
      </c>
      <c r="O397">
        <v>0</v>
      </c>
      <c r="Q397">
        <v>0</v>
      </c>
      <c r="S397">
        <v>0</v>
      </c>
      <c r="T397" t="s">
        <v>84</v>
      </c>
      <c r="U397">
        <v>0</v>
      </c>
      <c r="W397" t="s">
        <v>84</v>
      </c>
      <c r="X397" t="s">
        <v>84</v>
      </c>
      <c r="Y397" t="s">
        <v>84</v>
      </c>
      <c r="Z397">
        <v>0</v>
      </c>
      <c r="AA397" t="s">
        <v>84</v>
      </c>
      <c r="AB397">
        <v>11500</v>
      </c>
      <c r="AD397">
        <v>0</v>
      </c>
      <c r="AE397">
        <v>0</v>
      </c>
      <c r="AH397" t="s">
        <v>84</v>
      </c>
      <c r="AI397">
        <v>0</v>
      </c>
      <c r="AJ397">
        <v>0</v>
      </c>
      <c r="AK397" t="s">
        <v>84</v>
      </c>
      <c r="AL397" t="s">
        <v>84</v>
      </c>
      <c r="AN397" t="s">
        <v>84</v>
      </c>
      <c r="AQ397">
        <v>0</v>
      </c>
      <c r="AR397">
        <v>0</v>
      </c>
      <c r="AS397">
        <v>0</v>
      </c>
      <c r="AT397" t="s">
        <v>84</v>
      </c>
      <c r="AU397" t="s">
        <v>84</v>
      </c>
      <c r="AV397">
        <v>15299.666666666666</v>
      </c>
    </row>
    <row r="398" spans="1:48" x14ac:dyDescent="0.25">
      <c r="A398">
        <v>0</v>
      </c>
      <c r="B398" t="s">
        <v>552</v>
      </c>
      <c r="C398" t="s">
        <v>110</v>
      </c>
      <c r="D398">
        <v>18774</v>
      </c>
      <c r="J398" t="s">
        <v>84</v>
      </c>
      <c r="L398" t="s">
        <v>84</v>
      </c>
      <c r="N398" t="s">
        <v>84</v>
      </c>
      <c r="T398" t="s">
        <v>84</v>
      </c>
      <c r="W398" t="s">
        <v>84</v>
      </c>
      <c r="X398" t="s">
        <v>84</v>
      </c>
      <c r="Y398" t="s">
        <v>84</v>
      </c>
      <c r="AA398" t="s">
        <v>84</v>
      </c>
      <c r="AH398" t="s">
        <v>84</v>
      </c>
      <c r="AK398" t="s">
        <v>84</v>
      </c>
      <c r="AL398" t="s">
        <v>84</v>
      </c>
      <c r="AN398" t="s">
        <v>84</v>
      </c>
      <c r="AT398" t="s">
        <v>84</v>
      </c>
      <c r="AU398" t="s">
        <v>84</v>
      </c>
      <c r="AV398">
        <v>15299.666666666666</v>
      </c>
    </row>
    <row r="399" spans="1:48" x14ac:dyDescent="0.25">
      <c r="A399">
        <v>0</v>
      </c>
      <c r="B399" t="s">
        <v>552</v>
      </c>
      <c r="C399" t="s">
        <v>106</v>
      </c>
      <c r="D399">
        <v>10839.44</v>
      </c>
      <c r="J399" t="s">
        <v>84</v>
      </c>
      <c r="L399" t="s">
        <v>84</v>
      </c>
      <c r="N399" t="s">
        <v>84</v>
      </c>
      <c r="T399" t="s">
        <v>84</v>
      </c>
      <c r="W399" t="s">
        <v>84</v>
      </c>
      <c r="X399" t="s">
        <v>84</v>
      </c>
      <c r="Y399" t="s">
        <v>84</v>
      </c>
      <c r="AA399" t="s">
        <v>84</v>
      </c>
      <c r="AH399" t="s">
        <v>84</v>
      </c>
      <c r="AK399" t="s">
        <v>84</v>
      </c>
      <c r="AL399" t="s">
        <v>84</v>
      </c>
      <c r="AN399" t="s">
        <v>84</v>
      </c>
      <c r="AT399" t="s">
        <v>84</v>
      </c>
      <c r="AU399" t="s">
        <v>84</v>
      </c>
      <c r="AV399">
        <v>10064.819166666666</v>
      </c>
    </row>
    <row r="400" spans="1:48" x14ac:dyDescent="0.25">
      <c r="A400">
        <v>1</v>
      </c>
      <c r="B400" t="s">
        <v>552</v>
      </c>
      <c r="C400" t="s">
        <v>106</v>
      </c>
      <c r="D400">
        <v>10926.092500000001</v>
      </c>
      <c r="J400" t="s">
        <v>84</v>
      </c>
      <c r="K400">
        <v>4900</v>
      </c>
      <c r="L400" t="s">
        <v>84</v>
      </c>
      <c r="N400" t="s">
        <v>84</v>
      </c>
      <c r="T400" t="s">
        <v>84</v>
      </c>
      <c r="W400" t="s">
        <v>84</v>
      </c>
      <c r="X400" t="s">
        <v>84</v>
      </c>
      <c r="Y400" t="s">
        <v>84</v>
      </c>
      <c r="AA400" t="s">
        <v>84</v>
      </c>
      <c r="AF400">
        <v>2035</v>
      </c>
      <c r="AH400" t="s">
        <v>84</v>
      </c>
      <c r="AK400" t="s">
        <v>84</v>
      </c>
      <c r="AL400" t="s">
        <v>84</v>
      </c>
      <c r="AN400" t="s">
        <v>84</v>
      </c>
      <c r="AT400" t="s">
        <v>84</v>
      </c>
      <c r="AU400" t="s">
        <v>84</v>
      </c>
      <c r="AV400">
        <v>10064.819166666666</v>
      </c>
    </row>
    <row r="401" spans="1:48" x14ac:dyDescent="0.25">
      <c r="A401">
        <v>0</v>
      </c>
      <c r="B401" t="s">
        <v>552</v>
      </c>
      <c r="C401" t="s">
        <v>106</v>
      </c>
      <c r="D401">
        <v>8428.9249999999993</v>
      </c>
      <c r="J401" t="s">
        <v>84</v>
      </c>
      <c r="L401" t="s">
        <v>84</v>
      </c>
      <c r="N401" t="s">
        <v>84</v>
      </c>
      <c r="T401" t="s">
        <v>84</v>
      </c>
      <c r="W401" t="s">
        <v>84</v>
      </c>
      <c r="X401" t="s">
        <v>84</v>
      </c>
      <c r="Y401" t="s">
        <v>84</v>
      </c>
      <c r="AA401" t="s">
        <v>84</v>
      </c>
      <c r="AH401" t="s">
        <v>84</v>
      </c>
      <c r="AK401" t="s">
        <v>84</v>
      </c>
      <c r="AL401" t="s">
        <v>84</v>
      </c>
      <c r="AN401" t="s">
        <v>84</v>
      </c>
      <c r="AT401" t="s">
        <v>84</v>
      </c>
      <c r="AU401" t="s">
        <v>84</v>
      </c>
      <c r="AV401">
        <v>10064.819166666666</v>
      </c>
    </row>
    <row r="402" spans="1:48" x14ac:dyDescent="0.25">
      <c r="A402">
        <v>0</v>
      </c>
      <c r="B402" t="s">
        <v>552</v>
      </c>
      <c r="C402" t="s">
        <v>80</v>
      </c>
      <c r="D402">
        <v>654508.57499999995</v>
      </c>
      <c r="J402" t="s">
        <v>84</v>
      </c>
      <c r="L402" t="s">
        <v>84</v>
      </c>
      <c r="N402" t="s">
        <v>84</v>
      </c>
      <c r="T402" t="s">
        <v>84</v>
      </c>
      <c r="W402" t="s">
        <v>84</v>
      </c>
      <c r="X402" t="s">
        <v>84</v>
      </c>
      <c r="Y402" t="s">
        <v>84</v>
      </c>
      <c r="AA402" t="s">
        <v>84</v>
      </c>
      <c r="AH402" t="s">
        <v>84</v>
      </c>
      <c r="AK402" t="s">
        <v>84</v>
      </c>
      <c r="AL402" t="s">
        <v>84</v>
      </c>
      <c r="AN402" t="s">
        <v>84</v>
      </c>
      <c r="AT402" t="s">
        <v>84</v>
      </c>
      <c r="AU402" t="s">
        <v>84</v>
      </c>
      <c r="AV402">
        <v>706387.15280000004</v>
      </c>
    </row>
    <row r="403" spans="1:48" x14ac:dyDescent="0.25">
      <c r="A403">
        <v>1</v>
      </c>
      <c r="B403" t="s">
        <v>552</v>
      </c>
      <c r="C403" t="s">
        <v>80</v>
      </c>
      <c r="D403">
        <v>831998.99340000004</v>
      </c>
      <c r="F403">
        <v>33390.5</v>
      </c>
      <c r="G403">
        <v>125100</v>
      </c>
      <c r="J403" t="s">
        <v>84</v>
      </c>
      <c r="L403" t="s">
        <v>84</v>
      </c>
      <c r="M403">
        <v>10000</v>
      </c>
      <c r="N403" t="s">
        <v>84</v>
      </c>
      <c r="O403">
        <v>0</v>
      </c>
      <c r="Q403">
        <v>0</v>
      </c>
      <c r="S403">
        <v>123900</v>
      </c>
      <c r="T403" t="s">
        <v>84</v>
      </c>
      <c r="U403">
        <v>2400</v>
      </c>
      <c r="W403" t="s">
        <v>84</v>
      </c>
      <c r="X403" t="s">
        <v>84</v>
      </c>
      <c r="Y403" t="s">
        <v>84</v>
      </c>
      <c r="Z403">
        <v>18596</v>
      </c>
      <c r="AA403" t="s">
        <v>84</v>
      </c>
      <c r="AB403">
        <v>6800</v>
      </c>
      <c r="AD403">
        <v>15400</v>
      </c>
      <c r="AE403">
        <v>127162.75</v>
      </c>
      <c r="AH403" t="s">
        <v>84</v>
      </c>
      <c r="AI403">
        <v>13700</v>
      </c>
      <c r="AJ403">
        <v>151361.21</v>
      </c>
      <c r="AK403" t="s">
        <v>84</v>
      </c>
      <c r="AL403" t="s">
        <v>84</v>
      </c>
      <c r="AN403" t="s">
        <v>84</v>
      </c>
      <c r="AQ403">
        <v>17150</v>
      </c>
      <c r="AR403">
        <v>0</v>
      </c>
      <c r="AS403">
        <v>0</v>
      </c>
      <c r="AT403" t="s">
        <v>84</v>
      </c>
      <c r="AU403" t="s">
        <v>84</v>
      </c>
      <c r="AV403">
        <v>706387.15280000004</v>
      </c>
    </row>
    <row r="404" spans="1:48" x14ac:dyDescent="0.25">
      <c r="A404">
        <v>0</v>
      </c>
      <c r="B404" t="s">
        <v>552</v>
      </c>
      <c r="C404" t="s">
        <v>80</v>
      </c>
      <c r="D404">
        <v>632653.89</v>
      </c>
      <c r="J404" t="s">
        <v>84</v>
      </c>
      <c r="L404" t="s">
        <v>84</v>
      </c>
      <c r="N404" t="s">
        <v>84</v>
      </c>
      <c r="T404" t="s">
        <v>84</v>
      </c>
      <c r="W404" t="s">
        <v>84</v>
      </c>
      <c r="X404" t="s">
        <v>84</v>
      </c>
      <c r="Y404" t="s">
        <v>84</v>
      </c>
      <c r="AA404" t="s">
        <v>84</v>
      </c>
      <c r="AH404" t="s">
        <v>84</v>
      </c>
      <c r="AK404" t="s">
        <v>84</v>
      </c>
      <c r="AL404" t="s">
        <v>84</v>
      </c>
      <c r="AN404" t="s">
        <v>84</v>
      </c>
      <c r="AT404" t="s">
        <v>84</v>
      </c>
      <c r="AU404" t="s">
        <v>84</v>
      </c>
      <c r="AV404">
        <v>706387.15280000004</v>
      </c>
    </row>
    <row r="405" spans="1:48" x14ac:dyDescent="0.25">
      <c r="A405">
        <v>0</v>
      </c>
      <c r="B405" t="s">
        <v>179</v>
      </c>
      <c r="C405" t="s">
        <v>92</v>
      </c>
      <c r="D405">
        <v>26570</v>
      </c>
      <c r="J405" t="s">
        <v>84</v>
      </c>
      <c r="L405" t="s">
        <v>84</v>
      </c>
      <c r="N405" t="s">
        <v>84</v>
      </c>
      <c r="T405" t="s">
        <v>84</v>
      </c>
      <c r="W405" t="s">
        <v>84</v>
      </c>
      <c r="X405" t="s">
        <v>84</v>
      </c>
      <c r="Y405" t="s">
        <v>84</v>
      </c>
      <c r="AA405" t="s">
        <v>84</v>
      </c>
      <c r="AH405" t="s">
        <v>84</v>
      </c>
      <c r="AK405" t="s">
        <v>84</v>
      </c>
      <c r="AL405" t="s">
        <v>84</v>
      </c>
      <c r="AN405" t="s">
        <v>84</v>
      </c>
      <c r="AT405" t="s">
        <v>84</v>
      </c>
      <c r="AU405" t="s">
        <v>84</v>
      </c>
      <c r="AV405">
        <v>46565</v>
      </c>
    </row>
    <row r="406" spans="1:48" x14ac:dyDescent="0.25">
      <c r="A406">
        <v>1</v>
      </c>
      <c r="B406" t="s">
        <v>179</v>
      </c>
      <c r="C406" t="s">
        <v>92</v>
      </c>
      <c r="D406">
        <v>66560</v>
      </c>
      <c r="H406">
        <v>66560</v>
      </c>
      <c r="J406" t="s">
        <v>84</v>
      </c>
      <c r="L406" t="s">
        <v>84</v>
      </c>
      <c r="N406" t="s">
        <v>84</v>
      </c>
      <c r="T406" t="s">
        <v>84</v>
      </c>
      <c r="W406" t="s">
        <v>84</v>
      </c>
      <c r="X406" t="s">
        <v>84</v>
      </c>
      <c r="Y406" t="s">
        <v>84</v>
      </c>
      <c r="AA406" t="s">
        <v>84</v>
      </c>
      <c r="AH406" t="s">
        <v>84</v>
      </c>
      <c r="AK406" t="s">
        <v>84</v>
      </c>
      <c r="AL406" t="s">
        <v>84</v>
      </c>
      <c r="AN406" t="s">
        <v>84</v>
      </c>
      <c r="AT406" t="s">
        <v>84</v>
      </c>
      <c r="AU406" t="s">
        <v>84</v>
      </c>
      <c r="AV406">
        <v>46565</v>
      </c>
    </row>
    <row r="407" spans="1:48" x14ac:dyDescent="0.25">
      <c r="A407">
        <v>1</v>
      </c>
      <c r="B407" t="s">
        <v>179</v>
      </c>
      <c r="C407" t="s">
        <v>114</v>
      </c>
      <c r="D407">
        <v>42850</v>
      </c>
      <c r="J407" t="s">
        <v>84</v>
      </c>
      <c r="L407" t="s">
        <v>84</v>
      </c>
      <c r="N407" t="s">
        <v>84</v>
      </c>
      <c r="T407" t="s">
        <v>84</v>
      </c>
      <c r="W407" t="s">
        <v>84</v>
      </c>
      <c r="X407" t="s">
        <v>84</v>
      </c>
      <c r="Y407" t="s">
        <v>84</v>
      </c>
      <c r="AA407" t="s">
        <v>84</v>
      </c>
      <c r="AH407" t="s">
        <v>84</v>
      </c>
      <c r="AK407" t="s">
        <v>84</v>
      </c>
      <c r="AL407" t="s">
        <v>84</v>
      </c>
      <c r="AN407" t="s">
        <v>84</v>
      </c>
      <c r="AO407">
        <v>42850</v>
      </c>
      <c r="AT407" t="s">
        <v>84</v>
      </c>
      <c r="AU407" t="s">
        <v>84</v>
      </c>
      <c r="AV407">
        <v>31316.666666666664</v>
      </c>
    </row>
    <row r="408" spans="1:48" x14ac:dyDescent="0.25">
      <c r="A408">
        <v>0</v>
      </c>
      <c r="B408" t="s">
        <v>179</v>
      </c>
      <c r="C408" t="s">
        <v>114</v>
      </c>
      <c r="D408">
        <v>23200</v>
      </c>
      <c r="J408" t="s">
        <v>84</v>
      </c>
      <c r="L408" t="s">
        <v>84</v>
      </c>
      <c r="N408" t="s">
        <v>84</v>
      </c>
      <c r="T408" t="s">
        <v>84</v>
      </c>
      <c r="W408" t="s">
        <v>84</v>
      </c>
      <c r="X408" t="s">
        <v>84</v>
      </c>
      <c r="Y408" t="s">
        <v>84</v>
      </c>
      <c r="AA408" t="s">
        <v>84</v>
      </c>
      <c r="AH408" t="s">
        <v>84</v>
      </c>
      <c r="AK408" t="s">
        <v>84</v>
      </c>
      <c r="AL408" t="s">
        <v>84</v>
      </c>
      <c r="AN408" t="s">
        <v>84</v>
      </c>
      <c r="AT408" t="s">
        <v>84</v>
      </c>
      <c r="AU408" t="s">
        <v>84</v>
      </c>
      <c r="AV408">
        <v>31316.666666666664</v>
      </c>
    </row>
    <row r="409" spans="1:48" x14ac:dyDescent="0.25">
      <c r="A409">
        <v>0</v>
      </c>
      <c r="B409" t="s">
        <v>179</v>
      </c>
      <c r="C409" t="s">
        <v>114</v>
      </c>
      <c r="D409">
        <v>27900</v>
      </c>
      <c r="J409" t="s">
        <v>84</v>
      </c>
      <c r="L409" t="s">
        <v>84</v>
      </c>
      <c r="N409" t="s">
        <v>84</v>
      </c>
      <c r="T409" t="s">
        <v>84</v>
      </c>
      <c r="W409" t="s">
        <v>84</v>
      </c>
      <c r="X409" t="s">
        <v>84</v>
      </c>
      <c r="Y409" t="s">
        <v>84</v>
      </c>
      <c r="AA409" t="s">
        <v>84</v>
      </c>
      <c r="AH409" t="s">
        <v>84</v>
      </c>
      <c r="AK409" t="s">
        <v>84</v>
      </c>
      <c r="AL409" t="s">
        <v>84</v>
      </c>
      <c r="AN409" t="s">
        <v>84</v>
      </c>
      <c r="AT409" t="s">
        <v>84</v>
      </c>
      <c r="AU409" t="s">
        <v>84</v>
      </c>
      <c r="AV409">
        <v>31316.666666666664</v>
      </c>
    </row>
    <row r="410" spans="1:48" x14ac:dyDescent="0.25">
      <c r="A410">
        <v>1</v>
      </c>
      <c r="B410" t="s">
        <v>179</v>
      </c>
      <c r="C410" t="s">
        <v>121</v>
      </c>
      <c r="D410">
        <v>193795.97099999999</v>
      </c>
      <c r="G410">
        <v>0</v>
      </c>
      <c r="I410">
        <v>19980</v>
      </c>
      <c r="J410" t="s">
        <v>84</v>
      </c>
      <c r="L410" t="s">
        <v>84</v>
      </c>
      <c r="N410" t="s">
        <v>84</v>
      </c>
      <c r="S410">
        <v>1532</v>
      </c>
      <c r="T410" t="s">
        <v>84</v>
      </c>
      <c r="U410">
        <v>12093</v>
      </c>
      <c r="W410" t="s">
        <v>84</v>
      </c>
      <c r="X410" t="s">
        <v>84</v>
      </c>
      <c r="Y410" t="s">
        <v>84</v>
      </c>
      <c r="AA410" t="s">
        <v>84</v>
      </c>
      <c r="AB410">
        <v>0</v>
      </c>
      <c r="AD410">
        <v>19515</v>
      </c>
      <c r="AG410">
        <v>10081</v>
      </c>
      <c r="AH410" t="s">
        <v>84</v>
      </c>
      <c r="AI410">
        <v>24840</v>
      </c>
      <c r="AJ410">
        <v>36593</v>
      </c>
      <c r="AK410" t="s">
        <v>84</v>
      </c>
      <c r="AL410" t="s">
        <v>84</v>
      </c>
      <c r="AM410">
        <v>18310</v>
      </c>
      <c r="AN410" t="s">
        <v>84</v>
      </c>
      <c r="AP410">
        <v>2824</v>
      </c>
      <c r="AR410">
        <v>602</v>
      </c>
      <c r="AS410">
        <v>0</v>
      </c>
      <c r="AT410" t="s">
        <v>84</v>
      </c>
      <c r="AU410" t="s">
        <v>84</v>
      </c>
      <c r="AV410">
        <v>182920.4215</v>
      </c>
    </row>
    <row r="411" spans="1:48" x14ac:dyDescent="0.25">
      <c r="A411">
        <v>0</v>
      </c>
      <c r="B411" t="s">
        <v>179</v>
      </c>
      <c r="C411" t="s">
        <v>121</v>
      </c>
      <c r="D411">
        <v>170725.97829999999</v>
      </c>
      <c r="J411" t="s">
        <v>84</v>
      </c>
      <c r="L411" t="s">
        <v>84</v>
      </c>
      <c r="N411" t="s">
        <v>84</v>
      </c>
      <c r="T411" t="s">
        <v>84</v>
      </c>
      <c r="W411" t="s">
        <v>84</v>
      </c>
      <c r="X411" t="s">
        <v>84</v>
      </c>
      <c r="Y411" t="s">
        <v>84</v>
      </c>
      <c r="AA411" t="s">
        <v>84</v>
      </c>
      <c r="AH411" t="s">
        <v>84</v>
      </c>
      <c r="AK411" t="s">
        <v>84</v>
      </c>
      <c r="AL411" t="s">
        <v>84</v>
      </c>
      <c r="AN411" t="s">
        <v>84</v>
      </c>
      <c r="AT411" t="s">
        <v>84</v>
      </c>
      <c r="AU411" t="s">
        <v>84</v>
      </c>
      <c r="AV411">
        <v>182920.4215</v>
      </c>
    </row>
    <row r="412" spans="1:48" x14ac:dyDescent="0.25">
      <c r="A412">
        <v>0</v>
      </c>
      <c r="B412" t="s">
        <v>179</v>
      </c>
      <c r="C412" t="s">
        <v>121</v>
      </c>
      <c r="D412">
        <v>184239.31520000001</v>
      </c>
      <c r="J412" t="s">
        <v>84</v>
      </c>
      <c r="L412" t="s">
        <v>84</v>
      </c>
      <c r="N412" t="s">
        <v>84</v>
      </c>
      <c r="T412" t="s">
        <v>84</v>
      </c>
      <c r="W412" t="s">
        <v>84</v>
      </c>
      <c r="X412" t="s">
        <v>84</v>
      </c>
      <c r="Y412" t="s">
        <v>84</v>
      </c>
      <c r="AA412" t="s">
        <v>84</v>
      </c>
      <c r="AH412" t="s">
        <v>84</v>
      </c>
      <c r="AK412" t="s">
        <v>84</v>
      </c>
      <c r="AL412" t="s">
        <v>84</v>
      </c>
      <c r="AN412" t="s">
        <v>84</v>
      </c>
      <c r="AT412" t="s">
        <v>84</v>
      </c>
      <c r="AU412" t="s">
        <v>84</v>
      </c>
      <c r="AV412">
        <v>182920.4215</v>
      </c>
    </row>
    <row r="413" spans="1:48" x14ac:dyDescent="0.25">
      <c r="A413">
        <v>0</v>
      </c>
      <c r="B413" t="s">
        <v>179</v>
      </c>
      <c r="C413" t="s">
        <v>151</v>
      </c>
      <c r="D413">
        <v>108745</v>
      </c>
      <c r="J413" t="s">
        <v>84</v>
      </c>
      <c r="L413" t="s">
        <v>84</v>
      </c>
      <c r="N413" t="s">
        <v>84</v>
      </c>
      <c r="T413" t="s">
        <v>84</v>
      </c>
      <c r="W413" t="s">
        <v>84</v>
      </c>
      <c r="X413" t="s">
        <v>84</v>
      </c>
      <c r="Y413" t="s">
        <v>84</v>
      </c>
      <c r="AA413" t="s">
        <v>84</v>
      </c>
      <c r="AH413" t="s">
        <v>84</v>
      </c>
      <c r="AK413" t="s">
        <v>84</v>
      </c>
      <c r="AL413" t="s">
        <v>84</v>
      </c>
      <c r="AN413" t="s">
        <v>84</v>
      </c>
      <c r="AT413" t="s">
        <v>84</v>
      </c>
      <c r="AU413" t="s">
        <v>84</v>
      </c>
      <c r="AV413">
        <v>98085</v>
      </c>
    </row>
    <row r="414" spans="1:48" x14ac:dyDescent="0.25">
      <c r="A414">
        <v>1</v>
      </c>
      <c r="B414" t="s">
        <v>179</v>
      </c>
      <c r="C414" t="s">
        <v>151</v>
      </c>
      <c r="D414">
        <v>87425</v>
      </c>
      <c r="E414">
        <v>52400</v>
      </c>
      <c r="J414" t="s">
        <v>84</v>
      </c>
      <c r="L414" t="s">
        <v>84</v>
      </c>
      <c r="N414" t="s">
        <v>84</v>
      </c>
      <c r="T414" t="s">
        <v>84</v>
      </c>
      <c r="U414">
        <v>7500</v>
      </c>
      <c r="V414">
        <v>2250</v>
      </c>
      <c r="W414" t="s">
        <v>84</v>
      </c>
      <c r="X414" t="s">
        <v>84</v>
      </c>
      <c r="Y414" t="s">
        <v>84</v>
      </c>
      <c r="AA414" t="s">
        <v>84</v>
      </c>
      <c r="AB414">
        <v>2100</v>
      </c>
      <c r="AG414">
        <v>3000</v>
      </c>
      <c r="AH414" t="s">
        <v>84</v>
      </c>
      <c r="AK414" t="s">
        <v>84</v>
      </c>
      <c r="AL414" t="s">
        <v>84</v>
      </c>
      <c r="AN414" t="s">
        <v>84</v>
      </c>
      <c r="AT414" t="s">
        <v>84</v>
      </c>
      <c r="AU414" t="s">
        <v>84</v>
      </c>
      <c r="AV414">
        <v>98085</v>
      </c>
    </row>
    <row r="415" spans="1:48" x14ac:dyDescent="0.25">
      <c r="A415">
        <v>1</v>
      </c>
      <c r="B415" t="s">
        <v>179</v>
      </c>
      <c r="C415" t="s">
        <v>98</v>
      </c>
      <c r="D415">
        <v>51900</v>
      </c>
      <c r="J415" t="s">
        <v>84</v>
      </c>
      <c r="L415" t="s">
        <v>84</v>
      </c>
      <c r="N415" t="s">
        <v>84</v>
      </c>
      <c r="T415" t="s">
        <v>84</v>
      </c>
      <c r="V415">
        <v>51900</v>
      </c>
      <c r="W415" t="s">
        <v>84</v>
      </c>
      <c r="X415" t="s">
        <v>84</v>
      </c>
      <c r="Y415" t="s">
        <v>84</v>
      </c>
      <c r="AA415" t="s">
        <v>84</v>
      </c>
      <c r="AH415" t="s">
        <v>84</v>
      </c>
      <c r="AK415" t="s">
        <v>84</v>
      </c>
      <c r="AL415" t="s">
        <v>84</v>
      </c>
      <c r="AN415" t="s">
        <v>84</v>
      </c>
      <c r="AT415" t="s">
        <v>84</v>
      </c>
      <c r="AU415" t="s">
        <v>84</v>
      </c>
      <c r="AV415">
        <v>44125</v>
      </c>
    </row>
    <row r="416" spans="1:48" x14ac:dyDescent="0.25">
      <c r="A416">
        <v>0</v>
      </c>
      <c r="B416" t="s">
        <v>179</v>
      </c>
      <c r="C416" t="s">
        <v>98</v>
      </c>
      <c r="D416">
        <v>36350</v>
      </c>
      <c r="J416" t="s">
        <v>84</v>
      </c>
      <c r="L416" t="s">
        <v>84</v>
      </c>
      <c r="N416" t="s">
        <v>84</v>
      </c>
      <c r="T416" t="s">
        <v>84</v>
      </c>
      <c r="W416" t="s">
        <v>84</v>
      </c>
      <c r="X416" t="s">
        <v>84</v>
      </c>
      <c r="Y416" t="s">
        <v>84</v>
      </c>
      <c r="AA416" t="s">
        <v>84</v>
      </c>
      <c r="AH416" t="s">
        <v>84</v>
      </c>
      <c r="AK416" t="s">
        <v>84</v>
      </c>
      <c r="AL416" t="s">
        <v>84</v>
      </c>
      <c r="AN416" t="s">
        <v>84</v>
      </c>
      <c r="AT416" t="s">
        <v>84</v>
      </c>
      <c r="AU416" t="s">
        <v>84</v>
      </c>
      <c r="AV416">
        <v>44125</v>
      </c>
    </row>
    <row r="417" spans="1:48" x14ac:dyDescent="0.25">
      <c r="A417">
        <v>0</v>
      </c>
      <c r="B417" t="s">
        <v>179</v>
      </c>
      <c r="C417" t="s">
        <v>87</v>
      </c>
      <c r="D417">
        <v>125431.25</v>
      </c>
      <c r="J417" t="s">
        <v>84</v>
      </c>
      <c r="L417" t="s">
        <v>84</v>
      </c>
      <c r="N417" t="s">
        <v>84</v>
      </c>
      <c r="T417" t="s">
        <v>84</v>
      </c>
      <c r="W417" t="s">
        <v>84</v>
      </c>
      <c r="X417" t="s">
        <v>84</v>
      </c>
      <c r="Y417" t="s">
        <v>84</v>
      </c>
      <c r="AA417" t="s">
        <v>84</v>
      </c>
      <c r="AH417" t="s">
        <v>84</v>
      </c>
      <c r="AK417" t="s">
        <v>84</v>
      </c>
      <c r="AL417" t="s">
        <v>84</v>
      </c>
      <c r="AN417" t="s">
        <v>84</v>
      </c>
      <c r="AT417" t="s">
        <v>84</v>
      </c>
      <c r="AU417" t="s">
        <v>84</v>
      </c>
      <c r="AV417">
        <v>97059.569433333338</v>
      </c>
    </row>
    <row r="418" spans="1:48" x14ac:dyDescent="0.25">
      <c r="A418">
        <v>0</v>
      </c>
      <c r="B418" t="s">
        <v>179</v>
      </c>
      <c r="C418" t="s">
        <v>87</v>
      </c>
      <c r="D418">
        <v>65076.2</v>
      </c>
      <c r="J418" t="s">
        <v>84</v>
      </c>
      <c r="L418" t="s">
        <v>84</v>
      </c>
      <c r="N418" t="s">
        <v>84</v>
      </c>
      <c r="T418" t="s">
        <v>84</v>
      </c>
      <c r="W418" t="s">
        <v>84</v>
      </c>
      <c r="X418" t="s">
        <v>84</v>
      </c>
      <c r="Y418" t="s">
        <v>84</v>
      </c>
      <c r="AA418" t="s">
        <v>84</v>
      </c>
      <c r="AH418" t="s">
        <v>84</v>
      </c>
      <c r="AK418" t="s">
        <v>84</v>
      </c>
      <c r="AL418" t="s">
        <v>84</v>
      </c>
      <c r="AN418" t="s">
        <v>84</v>
      </c>
      <c r="AT418" t="s">
        <v>84</v>
      </c>
      <c r="AU418" t="s">
        <v>84</v>
      </c>
      <c r="AV418">
        <v>97059.569433333338</v>
      </c>
    </row>
    <row r="419" spans="1:48" x14ac:dyDescent="0.25">
      <c r="A419">
        <v>1</v>
      </c>
      <c r="B419" t="s">
        <v>179</v>
      </c>
      <c r="C419" t="s">
        <v>87</v>
      </c>
      <c r="D419">
        <v>100671.2583</v>
      </c>
      <c r="J419" t="s">
        <v>84</v>
      </c>
      <c r="L419" t="s">
        <v>84</v>
      </c>
      <c r="N419" t="s">
        <v>84</v>
      </c>
      <c r="O419">
        <v>30800</v>
      </c>
      <c r="P419">
        <v>24800</v>
      </c>
      <c r="Q419">
        <v>11400</v>
      </c>
      <c r="R419">
        <v>6438</v>
      </c>
      <c r="T419" t="s">
        <v>84</v>
      </c>
      <c r="W419" t="s">
        <v>84</v>
      </c>
      <c r="X419" t="s">
        <v>84</v>
      </c>
      <c r="Y419" t="s">
        <v>84</v>
      </c>
      <c r="AA419" t="s">
        <v>84</v>
      </c>
      <c r="AH419" t="s">
        <v>84</v>
      </c>
      <c r="AK419" t="s">
        <v>84</v>
      </c>
      <c r="AL419" t="s">
        <v>84</v>
      </c>
      <c r="AN419" t="s">
        <v>84</v>
      </c>
      <c r="AT419" t="s">
        <v>84</v>
      </c>
      <c r="AU419" t="s">
        <v>84</v>
      </c>
      <c r="AV419">
        <v>97059.569433333338</v>
      </c>
    </row>
    <row r="420" spans="1:48" x14ac:dyDescent="0.25">
      <c r="A420">
        <v>0</v>
      </c>
      <c r="B420" t="s">
        <v>179</v>
      </c>
      <c r="C420" t="s">
        <v>110</v>
      </c>
      <c r="D420">
        <v>11532</v>
      </c>
      <c r="J420" t="s">
        <v>84</v>
      </c>
      <c r="L420" t="s">
        <v>84</v>
      </c>
      <c r="N420" t="s">
        <v>84</v>
      </c>
      <c r="T420" t="s">
        <v>84</v>
      </c>
      <c r="W420" t="s">
        <v>84</v>
      </c>
      <c r="X420" t="s">
        <v>84</v>
      </c>
      <c r="Y420" t="s">
        <v>84</v>
      </c>
      <c r="AA420" t="s">
        <v>84</v>
      </c>
      <c r="AH420" t="s">
        <v>84</v>
      </c>
      <c r="AK420" t="s">
        <v>84</v>
      </c>
      <c r="AL420" t="s">
        <v>84</v>
      </c>
      <c r="AN420" t="s">
        <v>84</v>
      </c>
      <c r="AT420" t="s">
        <v>84</v>
      </c>
      <c r="AU420" t="s">
        <v>84</v>
      </c>
      <c r="AV420">
        <v>10374.666666666666</v>
      </c>
    </row>
    <row r="421" spans="1:48" x14ac:dyDescent="0.25">
      <c r="A421">
        <v>1</v>
      </c>
      <c r="B421" t="s">
        <v>179</v>
      </c>
      <c r="C421" t="s">
        <v>110</v>
      </c>
      <c r="D421">
        <v>12032</v>
      </c>
      <c r="F421">
        <v>0</v>
      </c>
      <c r="G421">
        <v>0</v>
      </c>
      <c r="J421" t="s">
        <v>84</v>
      </c>
      <c r="L421" t="s">
        <v>84</v>
      </c>
      <c r="M421">
        <v>0</v>
      </c>
      <c r="N421" t="s">
        <v>84</v>
      </c>
      <c r="O421">
        <v>0</v>
      </c>
      <c r="Q421">
        <v>0</v>
      </c>
      <c r="S421">
        <v>0</v>
      </c>
      <c r="T421" t="s">
        <v>84</v>
      </c>
      <c r="U421">
        <v>0</v>
      </c>
      <c r="W421" t="s">
        <v>84</v>
      </c>
      <c r="X421" t="s">
        <v>84</v>
      </c>
      <c r="Y421" t="s">
        <v>84</v>
      </c>
      <c r="Z421">
        <v>0</v>
      </c>
      <c r="AA421" t="s">
        <v>84</v>
      </c>
      <c r="AB421">
        <v>9400</v>
      </c>
      <c r="AD421">
        <v>0</v>
      </c>
      <c r="AE421">
        <v>0</v>
      </c>
      <c r="AH421" t="s">
        <v>84</v>
      </c>
      <c r="AI421">
        <v>0</v>
      </c>
      <c r="AJ421">
        <v>0</v>
      </c>
      <c r="AK421" t="s">
        <v>84</v>
      </c>
      <c r="AL421" t="s">
        <v>84</v>
      </c>
      <c r="AN421" t="s">
        <v>84</v>
      </c>
      <c r="AQ421">
        <v>0</v>
      </c>
      <c r="AR421">
        <v>0</v>
      </c>
      <c r="AS421">
        <v>0</v>
      </c>
      <c r="AT421" t="s">
        <v>84</v>
      </c>
      <c r="AU421" t="s">
        <v>84</v>
      </c>
      <c r="AV421">
        <v>10374.666666666666</v>
      </c>
    </row>
    <row r="422" spans="1:48" x14ac:dyDescent="0.25">
      <c r="A422">
        <v>0</v>
      </c>
      <c r="B422" t="s">
        <v>179</v>
      </c>
      <c r="C422" t="s">
        <v>110</v>
      </c>
      <c r="D422">
        <v>7560</v>
      </c>
      <c r="J422" t="s">
        <v>84</v>
      </c>
      <c r="L422" t="s">
        <v>84</v>
      </c>
      <c r="N422" t="s">
        <v>84</v>
      </c>
      <c r="T422" t="s">
        <v>84</v>
      </c>
      <c r="W422" t="s">
        <v>84</v>
      </c>
      <c r="X422" t="s">
        <v>84</v>
      </c>
      <c r="Y422" t="s">
        <v>84</v>
      </c>
      <c r="AA422" t="s">
        <v>84</v>
      </c>
      <c r="AH422" t="s">
        <v>84</v>
      </c>
      <c r="AK422" t="s">
        <v>84</v>
      </c>
      <c r="AL422" t="s">
        <v>84</v>
      </c>
      <c r="AN422" t="s">
        <v>84</v>
      </c>
      <c r="AT422" t="s">
        <v>84</v>
      </c>
      <c r="AU422" t="s">
        <v>84</v>
      </c>
      <c r="AV422">
        <v>10374.666666666666</v>
      </c>
    </row>
    <row r="423" spans="1:48" x14ac:dyDescent="0.25">
      <c r="A423">
        <v>0</v>
      </c>
      <c r="B423" t="s">
        <v>179</v>
      </c>
      <c r="C423" t="s">
        <v>106</v>
      </c>
      <c r="D423">
        <v>5340.9449999999997</v>
      </c>
      <c r="J423" t="s">
        <v>84</v>
      </c>
      <c r="L423" t="s">
        <v>84</v>
      </c>
      <c r="N423" t="s">
        <v>84</v>
      </c>
      <c r="T423" t="s">
        <v>84</v>
      </c>
      <c r="W423" t="s">
        <v>84</v>
      </c>
      <c r="X423" t="s">
        <v>84</v>
      </c>
      <c r="Y423" t="s">
        <v>84</v>
      </c>
      <c r="AA423" t="s">
        <v>84</v>
      </c>
      <c r="AH423" t="s">
        <v>84</v>
      </c>
      <c r="AK423" t="s">
        <v>84</v>
      </c>
      <c r="AL423" t="s">
        <v>84</v>
      </c>
      <c r="AN423" t="s">
        <v>84</v>
      </c>
      <c r="AT423" t="s">
        <v>84</v>
      </c>
      <c r="AU423" t="s">
        <v>84</v>
      </c>
      <c r="AV423">
        <v>7102.8791666666666</v>
      </c>
    </row>
    <row r="424" spans="1:48" x14ac:dyDescent="0.25">
      <c r="A424">
        <v>1</v>
      </c>
      <c r="B424" t="s">
        <v>179</v>
      </c>
      <c r="C424" t="s">
        <v>106</v>
      </c>
      <c r="D424">
        <v>10996.99</v>
      </c>
      <c r="J424" t="s">
        <v>84</v>
      </c>
      <c r="K424">
        <v>5750</v>
      </c>
      <c r="L424" t="s">
        <v>84</v>
      </c>
      <c r="N424" t="s">
        <v>84</v>
      </c>
      <c r="T424" t="s">
        <v>84</v>
      </c>
      <c r="W424" t="s">
        <v>84</v>
      </c>
      <c r="X424" t="s">
        <v>84</v>
      </c>
      <c r="Y424" t="s">
        <v>84</v>
      </c>
      <c r="AA424" t="s">
        <v>84</v>
      </c>
      <c r="AF424">
        <v>1230</v>
      </c>
      <c r="AH424" t="s">
        <v>84</v>
      </c>
      <c r="AK424" t="s">
        <v>84</v>
      </c>
      <c r="AL424" t="s">
        <v>84</v>
      </c>
      <c r="AN424" t="s">
        <v>84</v>
      </c>
      <c r="AT424" t="s">
        <v>84</v>
      </c>
      <c r="AU424" t="s">
        <v>84</v>
      </c>
      <c r="AV424">
        <v>7102.8791666666666</v>
      </c>
    </row>
    <row r="425" spans="1:48" x14ac:dyDescent="0.25">
      <c r="A425">
        <v>0</v>
      </c>
      <c r="B425" t="s">
        <v>179</v>
      </c>
      <c r="C425" t="s">
        <v>106</v>
      </c>
      <c r="D425">
        <v>4970.7025000000003</v>
      </c>
      <c r="J425" t="s">
        <v>84</v>
      </c>
      <c r="L425" t="s">
        <v>84</v>
      </c>
      <c r="N425" t="s">
        <v>84</v>
      </c>
      <c r="T425" t="s">
        <v>84</v>
      </c>
      <c r="W425" t="s">
        <v>84</v>
      </c>
      <c r="X425" t="s">
        <v>84</v>
      </c>
      <c r="Y425" t="s">
        <v>84</v>
      </c>
      <c r="AA425" t="s">
        <v>84</v>
      </c>
      <c r="AH425" t="s">
        <v>84</v>
      </c>
      <c r="AK425" t="s">
        <v>84</v>
      </c>
      <c r="AL425" t="s">
        <v>84</v>
      </c>
      <c r="AN425" t="s">
        <v>84</v>
      </c>
      <c r="AT425" t="s">
        <v>84</v>
      </c>
      <c r="AU425" t="s">
        <v>84</v>
      </c>
      <c r="AV425">
        <v>7102.8791666666666</v>
      </c>
    </row>
    <row r="426" spans="1:48" x14ac:dyDescent="0.25">
      <c r="A426">
        <v>0</v>
      </c>
      <c r="B426" t="s">
        <v>179</v>
      </c>
      <c r="C426" t="s">
        <v>80</v>
      </c>
      <c r="D426">
        <v>804761.98400000005</v>
      </c>
      <c r="J426" t="s">
        <v>84</v>
      </c>
      <c r="L426" t="s">
        <v>84</v>
      </c>
      <c r="N426" t="s">
        <v>84</v>
      </c>
      <c r="T426" t="s">
        <v>84</v>
      </c>
      <c r="W426" t="s">
        <v>84</v>
      </c>
      <c r="X426" t="s">
        <v>84</v>
      </c>
      <c r="Y426" t="s">
        <v>84</v>
      </c>
      <c r="AA426" t="s">
        <v>84</v>
      </c>
      <c r="AH426" t="s">
        <v>84</v>
      </c>
      <c r="AK426" t="s">
        <v>84</v>
      </c>
      <c r="AL426" t="s">
        <v>84</v>
      </c>
      <c r="AN426" t="s">
        <v>84</v>
      </c>
      <c r="AT426" t="s">
        <v>84</v>
      </c>
      <c r="AU426" t="s">
        <v>84</v>
      </c>
      <c r="AV426">
        <v>823789.01633333333</v>
      </c>
    </row>
    <row r="427" spans="1:48" x14ac:dyDescent="0.25">
      <c r="A427">
        <v>1</v>
      </c>
      <c r="B427" t="s">
        <v>179</v>
      </c>
      <c r="C427" t="s">
        <v>80</v>
      </c>
      <c r="D427">
        <v>881024.64</v>
      </c>
      <c r="F427">
        <v>11511.5</v>
      </c>
      <c r="G427">
        <v>59800</v>
      </c>
      <c r="J427" t="s">
        <v>84</v>
      </c>
      <c r="L427" t="s">
        <v>84</v>
      </c>
      <c r="M427">
        <v>195000</v>
      </c>
      <c r="N427" t="s">
        <v>84</v>
      </c>
      <c r="O427">
        <v>0</v>
      </c>
      <c r="Q427">
        <v>0</v>
      </c>
      <c r="S427">
        <v>42900</v>
      </c>
      <c r="T427" t="s">
        <v>84</v>
      </c>
      <c r="U427">
        <v>2400</v>
      </c>
      <c r="W427" t="s">
        <v>84</v>
      </c>
      <c r="X427" t="s">
        <v>84</v>
      </c>
      <c r="Y427" t="s">
        <v>84</v>
      </c>
      <c r="Z427">
        <v>27890</v>
      </c>
      <c r="AA427" t="s">
        <v>84</v>
      </c>
      <c r="AB427">
        <v>14000</v>
      </c>
      <c r="AD427">
        <v>33300</v>
      </c>
      <c r="AE427">
        <v>134420</v>
      </c>
      <c r="AH427" t="s">
        <v>84</v>
      </c>
      <c r="AI427">
        <v>33600</v>
      </c>
      <c r="AJ427">
        <v>110539</v>
      </c>
      <c r="AK427" t="s">
        <v>84</v>
      </c>
      <c r="AL427" t="s">
        <v>84</v>
      </c>
      <c r="AN427" t="s">
        <v>84</v>
      </c>
      <c r="AQ427">
        <v>22940</v>
      </c>
      <c r="AR427">
        <v>0</v>
      </c>
      <c r="AS427">
        <v>0</v>
      </c>
      <c r="AT427" t="s">
        <v>84</v>
      </c>
      <c r="AU427" t="s">
        <v>84</v>
      </c>
      <c r="AV427">
        <v>823789.01633333333</v>
      </c>
    </row>
    <row r="428" spans="1:48" x14ac:dyDescent="0.25">
      <c r="A428">
        <v>0</v>
      </c>
      <c r="B428" t="s">
        <v>179</v>
      </c>
      <c r="C428" t="s">
        <v>80</v>
      </c>
      <c r="D428">
        <v>785580.42500000005</v>
      </c>
      <c r="J428" t="s">
        <v>84</v>
      </c>
      <c r="L428" t="s">
        <v>84</v>
      </c>
      <c r="N428" t="s">
        <v>84</v>
      </c>
      <c r="T428" t="s">
        <v>84</v>
      </c>
      <c r="W428" t="s">
        <v>84</v>
      </c>
      <c r="X428" t="s">
        <v>84</v>
      </c>
      <c r="Y428" t="s">
        <v>84</v>
      </c>
      <c r="AA428" t="s">
        <v>84</v>
      </c>
      <c r="AH428" t="s">
        <v>84</v>
      </c>
      <c r="AK428" t="s">
        <v>84</v>
      </c>
      <c r="AL428" t="s">
        <v>84</v>
      </c>
      <c r="AN428" t="s">
        <v>84</v>
      </c>
      <c r="AT428" t="s">
        <v>84</v>
      </c>
      <c r="AU428" t="s">
        <v>84</v>
      </c>
      <c r="AV428">
        <v>823789.01633333333</v>
      </c>
    </row>
    <row r="429" spans="1:48" x14ac:dyDescent="0.25">
      <c r="A429">
        <v>0</v>
      </c>
      <c r="B429" t="s">
        <v>179</v>
      </c>
      <c r="C429" t="s">
        <v>92</v>
      </c>
      <c r="D429">
        <v>32510</v>
      </c>
      <c r="J429" t="s">
        <v>84</v>
      </c>
      <c r="L429" t="s">
        <v>84</v>
      </c>
      <c r="N429" t="s">
        <v>84</v>
      </c>
      <c r="T429" t="s">
        <v>84</v>
      </c>
      <c r="W429" t="s">
        <v>84</v>
      </c>
      <c r="X429" t="s">
        <v>84</v>
      </c>
      <c r="Y429" t="s">
        <v>84</v>
      </c>
      <c r="AA429" t="s">
        <v>84</v>
      </c>
      <c r="AH429" t="s">
        <v>84</v>
      </c>
      <c r="AK429" t="s">
        <v>84</v>
      </c>
      <c r="AL429" t="s">
        <v>84</v>
      </c>
      <c r="AN429" t="s">
        <v>84</v>
      </c>
      <c r="AT429" t="s">
        <v>84</v>
      </c>
      <c r="AU429" t="s">
        <v>84</v>
      </c>
      <c r="AV429">
        <v>26410</v>
      </c>
    </row>
    <row r="430" spans="1:48" x14ac:dyDescent="0.25">
      <c r="A430">
        <v>1</v>
      </c>
      <c r="B430" t="s">
        <v>179</v>
      </c>
      <c r="C430" t="s">
        <v>92</v>
      </c>
      <c r="D430">
        <v>20310</v>
      </c>
      <c r="H430">
        <v>20310</v>
      </c>
      <c r="J430" t="s">
        <v>84</v>
      </c>
      <c r="L430" t="s">
        <v>84</v>
      </c>
      <c r="N430" t="s">
        <v>84</v>
      </c>
      <c r="T430" t="s">
        <v>84</v>
      </c>
      <c r="W430" t="s">
        <v>84</v>
      </c>
      <c r="X430" t="s">
        <v>84</v>
      </c>
      <c r="Y430" t="s">
        <v>84</v>
      </c>
      <c r="AA430" t="s">
        <v>84</v>
      </c>
      <c r="AH430" t="s">
        <v>84</v>
      </c>
      <c r="AK430" t="s">
        <v>84</v>
      </c>
      <c r="AL430" t="s">
        <v>84</v>
      </c>
      <c r="AN430" t="s">
        <v>84</v>
      </c>
      <c r="AT430" t="s">
        <v>84</v>
      </c>
      <c r="AU430" t="s">
        <v>84</v>
      </c>
      <c r="AV430">
        <v>26410</v>
      </c>
    </row>
    <row r="431" spans="1:48" x14ac:dyDescent="0.25">
      <c r="A431">
        <v>0</v>
      </c>
      <c r="B431" t="s">
        <v>179</v>
      </c>
      <c r="C431" t="s">
        <v>185</v>
      </c>
      <c r="D431">
        <v>17960.7</v>
      </c>
      <c r="J431" t="s">
        <v>84</v>
      </c>
      <c r="L431" t="s">
        <v>84</v>
      </c>
      <c r="N431" t="s">
        <v>84</v>
      </c>
      <c r="T431" t="s">
        <v>84</v>
      </c>
      <c r="W431" t="s">
        <v>84</v>
      </c>
      <c r="X431" t="s">
        <v>84</v>
      </c>
      <c r="Y431" t="s">
        <v>84</v>
      </c>
      <c r="AA431" t="s">
        <v>84</v>
      </c>
      <c r="AH431" t="s">
        <v>84</v>
      </c>
      <c r="AK431" t="s">
        <v>84</v>
      </c>
      <c r="AL431" t="s">
        <v>84</v>
      </c>
      <c r="AN431" t="s">
        <v>84</v>
      </c>
      <c r="AT431" t="s">
        <v>84</v>
      </c>
      <c r="AU431" t="s">
        <v>84</v>
      </c>
      <c r="AV431">
        <v>19142.325000000001</v>
      </c>
    </row>
    <row r="432" spans="1:48" x14ac:dyDescent="0.25">
      <c r="A432">
        <v>1</v>
      </c>
      <c r="B432" t="s">
        <v>179</v>
      </c>
      <c r="C432" t="s">
        <v>185</v>
      </c>
      <c r="D432">
        <v>20323.95</v>
      </c>
      <c r="J432" t="s">
        <v>84</v>
      </c>
      <c r="L432" t="s">
        <v>84</v>
      </c>
      <c r="N432" t="s">
        <v>84</v>
      </c>
      <c r="T432" t="s">
        <v>84</v>
      </c>
      <c r="W432" t="s">
        <v>84</v>
      </c>
      <c r="X432" t="s">
        <v>84</v>
      </c>
      <c r="Y432" t="s">
        <v>84</v>
      </c>
      <c r="AA432" t="s">
        <v>84</v>
      </c>
      <c r="AH432" t="s">
        <v>84</v>
      </c>
      <c r="AK432" t="s">
        <v>84</v>
      </c>
      <c r="AL432" t="s">
        <v>84</v>
      </c>
      <c r="AN432" t="s">
        <v>84</v>
      </c>
      <c r="AT432" t="s">
        <v>84</v>
      </c>
      <c r="AU432" t="s">
        <v>84</v>
      </c>
      <c r="AV432">
        <v>19142.325000000001</v>
      </c>
    </row>
    <row r="433" spans="1:48" x14ac:dyDescent="0.25">
      <c r="A433">
        <v>1</v>
      </c>
      <c r="B433" t="s">
        <v>179</v>
      </c>
      <c r="C433" t="s">
        <v>121</v>
      </c>
      <c r="D433">
        <v>145024.3322</v>
      </c>
      <c r="G433">
        <v>0</v>
      </c>
      <c r="I433">
        <v>6920</v>
      </c>
      <c r="J433" t="s">
        <v>84</v>
      </c>
      <c r="L433" t="s">
        <v>84</v>
      </c>
      <c r="N433" t="s">
        <v>84</v>
      </c>
      <c r="S433">
        <v>2571</v>
      </c>
      <c r="T433" t="s">
        <v>84</v>
      </c>
      <c r="U433">
        <v>12737</v>
      </c>
      <c r="W433" t="s">
        <v>84</v>
      </c>
      <c r="X433" t="s">
        <v>84</v>
      </c>
      <c r="Y433" t="s">
        <v>84</v>
      </c>
      <c r="AA433" t="s">
        <v>84</v>
      </c>
      <c r="AB433">
        <v>0</v>
      </c>
      <c r="AD433">
        <v>15885</v>
      </c>
      <c r="AG433">
        <v>9134</v>
      </c>
      <c r="AH433" t="s">
        <v>84</v>
      </c>
      <c r="AI433">
        <v>12400</v>
      </c>
      <c r="AJ433">
        <v>24334</v>
      </c>
      <c r="AK433" t="s">
        <v>84</v>
      </c>
      <c r="AL433" t="s">
        <v>84</v>
      </c>
      <c r="AM433">
        <v>4566</v>
      </c>
      <c r="AN433" t="s">
        <v>84</v>
      </c>
      <c r="AP433">
        <v>9816</v>
      </c>
      <c r="AR433">
        <v>4820</v>
      </c>
      <c r="AS433">
        <v>3340</v>
      </c>
      <c r="AT433" t="s">
        <v>84</v>
      </c>
      <c r="AU433" t="s">
        <v>84</v>
      </c>
      <c r="AV433">
        <v>151042.9981</v>
      </c>
    </row>
    <row r="434" spans="1:48" x14ac:dyDescent="0.25">
      <c r="A434">
        <v>0</v>
      </c>
      <c r="B434" t="s">
        <v>179</v>
      </c>
      <c r="C434" t="s">
        <v>121</v>
      </c>
      <c r="D434">
        <v>157061.66399999999</v>
      </c>
      <c r="J434" t="s">
        <v>84</v>
      </c>
      <c r="L434" t="s">
        <v>84</v>
      </c>
      <c r="N434" t="s">
        <v>84</v>
      </c>
      <c r="T434" t="s">
        <v>84</v>
      </c>
      <c r="W434" t="s">
        <v>84</v>
      </c>
      <c r="X434" t="s">
        <v>84</v>
      </c>
      <c r="Y434" t="s">
        <v>84</v>
      </c>
      <c r="AA434" t="s">
        <v>84</v>
      </c>
      <c r="AH434" t="s">
        <v>84</v>
      </c>
      <c r="AK434" t="s">
        <v>84</v>
      </c>
      <c r="AL434" t="s">
        <v>84</v>
      </c>
      <c r="AN434" t="s">
        <v>84</v>
      </c>
      <c r="AT434" t="s">
        <v>84</v>
      </c>
      <c r="AU434" t="s">
        <v>84</v>
      </c>
      <c r="AV434">
        <v>151042.9981</v>
      </c>
    </row>
    <row r="435" spans="1:48" x14ac:dyDescent="0.25">
      <c r="A435">
        <v>1</v>
      </c>
      <c r="B435" t="s">
        <v>179</v>
      </c>
      <c r="C435" t="s">
        <v>151</v>
      </c>
      <c r="D435">
        <v>87009</v>
      </c>
      <c r="E435">
        <v>42250</v>
      </c>
      <c r="J435" t="s">
        <v>84</v>
      </c>
      <c r="L435" t="s">
        <v>84</v>
      </c>
      <c r="N435" t="s">
        <v>84</v>
      </c>
      <c r="T435" t="s">
        <v>84</v>
      </c>
      <c r="U435">
        <v>3150</v>
      </c>
      <c r="V435">
        <v>10500</v>
      </c>
      <c r="W435" t="s">
        <v>84</v>
      </c>
      <c r="X435" t="s">
        <v>84</v>
      </c>
      <c r="Y435" t="s">
        <v>84</v>
      </c>
      <c r="AA435" t="s">
        <v>84</v>
      </c>
      <c r="AB435">
        <v>800</v>
      </c>
      <c r="AG435">
        <v>10230</v>
      </c>
      <c r="AH435" t="s">
        <v>84</v>
      </c>
      <c r="AK435" t="s">
        <v>84</v>
      </c>
      <c r="AL435" t="s">
        <v>84</v>
      </c>
      <c r="AN435" t="s">
        <v>84</v>
      </c>
      <c r="AT435" t="s">
        <v>84</v>
      </c>
      <c r="AU435" t="s">
        <v>84</v>
      </c>
      <c r="AV435">
        <v>127887.5</v>
      </c>
    </row>
    <row r="436" spans="1:48" x14ac:dyDescent="0.25">
      <c r="A436">
        <v>0</v>
      </c>
      <c r="B436" t="s">
        <v>179</v>
      </c>
      <c r="C436" t="s">
        <v>151</v>
      </c>
      <c r="D436">
        <v>168766</v>
      </c>
      <c r="J436" t="s">
        <v>84</v>
      </c>
      <c r="L436" t="s">
        <v>84</v>
      </c>
      <c r="N436" t="s">
        <v>84</v>
      </c>
      <c r="T436" t="s">
        <v>84</v>
      </c>
      <c r="W436" t="s">
        <v>84</v>
      </c>
      <c r="X436" t="s">
        <v>84</v>
      </c>
      <c r="Y436" t="s">
        <v>84</v>
      </c>
      <c r="AA436" t="s">
        <v>84</v>
      </c>
      <c r="AH436" t="s">
        <v>84</v>
      </c>
      <c r="AK436" t="s">
        <v>84</v>
      </c>
      <c r="AL436" t="s">
        <v>84</v>
      </c>
      <c r="AN436" t="s">
        <v>84</v>
      </c>
      <c r="AT436" t="s">
        <v>84</v>
      </c>
      <c r="AU436" t="s">
        <v>84</v>
      </c>
      <c r="AV436">
        <v>127887.5</v>
      </c>
    </row>
    <row r="437" spans="1:48" x14ac:dyDescent="0.25">
      <c r="A437">
        <v>0</v>
      </c>
      <c r="B437" t="s">
        <v>179</v>
      </c>
      <c r="C437" t="s">
        <v>98</v>
      </c>
      <c r="D437">
        <v>34500</v>
      </c>
      <c r="J437" t="s">
        <v>84</v>
      </c>
      <c r="L437" t="s">
        <v>84</v>
      </c>
      <c r="N437" t="s">
        <v>84</v>
      </c>
      <c r="T437" t="s">
        <v>84</v>
      </c>
      <c r="W437" t="s">
        <v>84</v>
      </c>
      <c r="X437" t="s">
        <v>84</v>
      </c>
      <c r="Y437" t="s">
        <v>84</v>
      </c>
      <c r="AA437" t="s">
        <v>84</v>
      </c>
      <c r="AH437" t="s">
        <v>84</v>
      </c>
      <c r="AK437" t="s">
        <v>84</v>
      </c>
      <c r="AL437" t="s">
        <v>84</v>
      </c>
      <c r="AN437" t="s">
        <v>84</v>
      </c>
      <c r="AT437" t="s">
        <v>84</v>
      </c>
      <c r="AU437" t="s">
        <v>84</v>
      </c>
      <c r="AV437">
        <v>39187.5</v>
      </c>
    </row>
    <row r="438" spans="1:48" x14ac:dyDescent="0.25">
      <c r="A438">
        <v>1</v>
      </c>
      <c r="B438" t="s">
        <v>179</v>
      </c>
      <c r="C438" t="s">
        <v>98</v>
      </c>
      <c r="D438">
        <v>35150</v>
      </c>
      <c r="J438" t="s">
        <v>84</v>
      </c>
      <c r="L438" t="s">
        <v>84</v>
      </c>
      <c r="N438" t="s">
        <v>84</v>
      </c>
      <c r="T438" t="s">
        <v>84</v>
      </c>
      <c r="V438">
        <v>35150</v>
      </c>
      <c r="W438" t="s">
        <v>84</v>
      </c>
      <c r="X438" t="s">
        <v>84</v>
      </c>
      <c r="Y438" t="s">
        <v>84</v>
      </c>
      <c r="AA438" t="s">
        <v>84</v>
      </c>
      <c r="AH438" t="s">
        <v>84</v>
      </c>
      <c r="AK438" t="s">
        <v>84</v>
      </c>
      <c r="AL438" t="s">
        <v>84</v>
      </c>
      <c r="AN438" t="s">
        <v>84</v>
      </c>
      <c r="AT438" t="s">
        <v>84</v>
      </c>
      <c r="AU438" t="s">
        <v>84</v>
      </c>
      <c r="AV438">
        <v>39187.5</v>
      </c>
    </row>
    <row r="439" spans="1:48" x14ac:dyDescent="0.25">
      <c r="A439">
        <v>0</v>
      </c>
      <c r="B439" t="s">
        <v>179</v>
      </c>
      <c r="C439" t="s">
        <v>98</v>
      </c>
      <c r="D439">
        <v>43550</v>
      </c>
      <c r="J439" t="s">
        <v>84</v>
      </c>
      <c r="L439" t="s">
        <v>84</v>
      </c>
      <c r="N439" t="s">
        <v>84</v>
      </c>
      <c r="T439" t="s">
        <v>84</v>
      </c>
      <c r="W439" t="s">
        <v>84</v>
      </c>
      <c r="X439" t="s">
        <v>84</v>
      </c>
      <c r="Y439" t="s">
        <v>84</v>
      </c>
      <c r="AA439" t="s">
        <v>84</v>
      </c>
      <c r="AH439" t="s">
        <v>84</v>
      </c>
      <c r="AK439" t="s">
        <v>84</v>
      </c>
      <c r="AL439" t="s">
        <v>84</v>
      </c>
      <c r="AN439" t="s">
        <v>84</v>
      </c>
      <c r="AT439" t="s">
        <v>84</v>
      </c>
      <c r="AU439" t="s">
        <v>84</v>
      </c>
      <c r="AV439">
        <v>39187.5</v>
      </c>
    </row>
    <row r="440" spans="1:48" x14ac:dyDescent="0.25">
      <c r="A440">
        <v>0</v>
      </c>
      <c r="B440" t="s">
        <v>179</v>
      </c>
      <c r="C440" t="s">
        <v>98</v>
      </c>
      <c r="D440">
        <v>43550</v>
      </c>
      <c r="J440" t="s">
        <v>84</v>
      </c>
      <c r="L440" t="s">
        <v>84</v>
      </c>
      <c r="N440" t="s">
        <v>84</v>
      </c>
      <c r="T440" t="s">
        <v>84</v>
      </c>
      <c r="W440" t="s">
        <v>84</v>
      </c>
      <c r="X440" t="s">
        <v>84</v>
      </c>
      <c r="Y440" t="s">
        <v>84</v>
      </c>
      <c r="AA440" t="s">
        <v>84</v>
      </c>
      <c r="AH440" t="s">
        <v>84</v>
      </c>
      <c r="AK440" t="s">
        <v>84</v>
      </c>
      <c r="AL440" t="s">
        <v>84</v>
      </c>
      <c r="AN440" t="s">
        <v>84</v>
      </c>
      <c r="AT440" t="s">
        <v>84</v>
      </c>
      <c r="AU440" t="s">
        <v>84</v>
      </c>
      <c r="AV440">
        <v>39187.5</v>
      </c>
    </row>
    <row r="441" spans="1:48" x14ac:dyDescent="0.25">
      <c r="A441">
        <v>1</v>
      </c>
      <c r="B441" t="s">
        <v>179</v>
      </c>
      <c r="C441" t="s">
        <v>87</v>
      </c>
      <c r="D441">
        <v>131994.79999999999</v>
      </c>
      <c r="J441" t="s">
        <v>84</v>
      </c>
      <c r="L441" t="s">
        <v>84</v>
      </c>
      <c r="N441" t="s">
        <v>84</v>
      </c>
      <c r="O441">
        <v>23600</v>
      </c>
      <c r="P441">
        <v>29800</v>
      </c>
      <c r="Q441">
        <v>36500</v>
      </c>
      <c r="R441">
        <v>6388</v>
      </c>
      <c r="T441" t="s">
        <v>84</v>
      </c>
      <c r="W441" t="s">
        <v>84</v>
      </c>
      <c r="X441" t="s">
        <v>84</v>
      </c>
      <c r="Y441" t="s">
        <v>84</v>
      </c>
      <c r="AA441" t="s">
        <v>84</v>
      </c>
      <c r="AH441" t="s">
        <v>84</v>
      </c>
      <c r="AK441" t="s">
        <v>84</v>
      </c>
      <c r="AL441" t="s">
        <v>84</v>
      </c>
      <c r="AN441" t="s">
        <v>84</v>
      </c>
      <c r="AT441" t="s">
        <v>84</v>
      </c>
      <c r="AU441" t="s">
        <v>84</v>
      </c>
      <c r="AV441">
        <v>92026.783334999986</v>
      </c>
    </row>
    <row r="442" spans="1:48" x14ac:dyDescent="0.25">
      <c r="A442">
        <v>0</v>
      </c>
      <c r="B442" t="s">
        <v>179</v>
      </c>
      <c r="C442" t="s">
        <v>87</v>
      </c>
      <c r="D442">
        <v>52058.766669999997</v>
      </c>
      <c r="J442" t="s">
        <v>84</v>
      </c>
      <c r="L442" t="s">
        <v>84</v>
      </c>
      <c r="N442" t="s">
        <v>84</v>
      </c>
      <c r="T442" t="s">
        <v>84</v>
      </c>
      <c r="W442" t="s">
        <v>84</v>
      </c>
      <c r="X442" t="s">
        <v>84</v>
      </c>
      <c r="Y442" t="s">
        <v>84</v>
      </c>
      <c r="AA442" t="s">
        <v>84</v>
      </c>
      <c r="AH442" t="s">
        <v>84</v>
      </c>
      <c r="AK442" t="s">
        <v>84</v>
      </c>
      <c r="AL442" t="s">
        <v>84</v>
      </c>
      <c r="AN442" t="s">
        <v>84</v>
      </c>
      <c r="AT442" t="s">
        <v>84</v>
      </c>
      <c r="AU442" t="s">
        <v>84</v>
      </c>
      <c r="AV442">
        <v>92026.783334999986</v>
      </c>
    </row>
    <row r="443" spans="1:48" x14ac:dyDescent="0.25">
      <c r="A443">
        <v>0</v>
      </c>
      <c r="B443" t="s">
        <v>179</v>
      </c>
      <c r="C443" t="s">
        <v>80</v>
      </c>
      <c r="D443">
        <v>814542.45</v>
      </c>
      <c r="J443" t="s">
        <v>84</v>
      </c>
      <c r="L443" t="s">
        <v>84</v>
      </c>
      <c r="N443" t="s">
        <v>84</v>
      </c>
      <c r="T443" t="s">
        <v>84</v>
      </c>
      <c r="W443" t="s">
        <v>84</v>
      </c>
      <c r="X443" t="s">
        <v>84</v>
      </c>
      <c r="Y443" t="s">
        <v>84</v>
      </c>
      <c r="AA443" t="s">
        <v>84</v>
      </c>
      <c r="AH443" t="s">
        <v>84</v>
      </c>
      <c r="AK443" t="s">
        <v>84</v>
      </c>
      <c r="AL443" t="s">
        <v>84</v>
      </c>
      <c r="AN443" t="s">
        <v>84</v>
      </c>
      <c r="AT443" t="s">
        <v>84</v>
      </c>
      <c r="AU443" t="s">
        <v>84</v>
      </c>
      <c r="AV443">
        <v>865895.91999999993</v>
      </c>
    </row>
    <row r="444" spans="1:48" x14ac:dyDescent="0.25">
      <c r="A444">
        <v>1</v>
      </c>
      <c r="B444" t="s">
        <v>179</v>
      </c>
      <c r="C444" t="s">
        <v>80</v>
      </c>
      <c r="D444">
        <v>917249.39</v>
      </c>
      <c r="F444">
        <v>46260.5</v>
      </c>
      <c r="G444">
        <v>136300</v>
      </c>
      <c r="J444" t="s">
        <v>84</v>
      </c>
      <c r="L444" t="s">
        <v>84</v>
      </c>
      <c r="M444">
        <v>160000</v>
      </c>
      <c r="N444" t="s">
        <v>84</v>
      </c>
      <c r="O444">
        <v>0</v>
      </c>
      <c r="Q444">
        <v>0</v>
      </c>
      <c r="S444">
        <v>43900</v>
      </c>
      <c r="T444" t="s">
        <v>84</v>
      </c>
      <c r="U444">
        <v>3600</v>
      </c>
      <c r="W444" t="s">
        <v>84</v>
      </c>
      <c r="X444" t="s">
        <v>84</v>
      </c>
      <c r="Y444" t="s">
        <v>84</v>
      </c>
      <c r="Z444">
        <v>29222</v>
      </c>
      <c r="AA444" t="s">
        <v>84</v>
      </c>
      <c r="AB444">
        <v>10400</v>
      </c>
      <c r="AD444">
        <v>28550</v>
      </c>
      <c r="AE444">
        <v>109252</v>
      </c>
      <c r="AH444" t="s">
        <v>84</v>
      </c>
      <c r="AI444">
        <v>6000</v>
      </c>
      <c r="AJ444">
        <v>148612.75</v>
      </c>
      <c r="AK444" t="s">
        <v>84</v>
      </c>
      <c r="AL444" t="s">
        <v>84</v>
      </c>
      <c r="AN444" t="s">
        <v>84</v>
      </c>
      <c r="AQ444">
        <v>17620</v>
      </c>
      <c r="AR444">
        <v>0</v>
      </c>
      <c r="AS444">
        <v>0</v>
      </c>
      <c r="AT444" t="s">
        <v>84</v>
      </c>
      <c r="AU444" t="s">
        <v>84</v>
      </c>
      <c r="AV444">
        <v>865895.91999999993</v>
      </c>
    </row>
    <row r="445" spans="1:48" x14ac:dyDescent="0.25">
      <c r="A445">
        <v>0</v>
      </c>
      <c r="B445" t="s">
        <v>179</v>
      </c>
      <c r="C445" t="s">
        <v>106</v>
      </c>
      <c r="D445">
        <v>9334.8374999999996</v>
      </c>
      <c r="J445" t="s">
        <v>84</v>
      </c>
      <c r="L445" t="s">
        <v>84</v>
      </c>
      <c r="N445" t="s">
        <v>84</v>
      </c>
      <c r="T445" t="s">
        <v>84</v>
      </c>
      <c r="W445" t="s">
        <v>84</v>
      </c>
      <c r="X445" t="s">
        <v>84</v>
      </c>
      <c r="Y445" t="s">
        <v>84</v>
      </c>
      <c r="AA445" t="s">
        <v>84</v>
      </c>
      <c r="AH445" t="s">
        <v>84</v>
      </c>
      <c r="AK445" t="s">
        <v>84</v>
      </c>
      <c r="AL445" t="s">
        <v>84</v>
      </c>
      <c r="AN445" t="s">
        <v>84</v>
      </c>
      <c r="AT445" t="s">
        <v>84</v>
      </c>
      <c r="AU445" t="s">
        <v>84</v>
      </c>
      <c r="AV445">
        <v>8224.11</v>
      </c>
    </row>
    <row r="446" spans="1:48" x14ac:dyDescent="0.25">
      <c r="A446">
        <v>1</v>
      </c>
      <c r="B446" t="s">
        <v>179</v>
      </c>
      <c r="C446" t="s">
        <v>106</v>
      </c>
      <c r="D446">
        <v>7113.3824999999997</v>
      </c>
      <c r="J446" t="s">
        <v>84</v>
      </c>
      <c r="K446">
        <v>3400</v>
      </c>
      <c r="L446" t="s">
        <v>84</v>
      </c>
      <c r="N446" t="s">
        <v>84</v>
      </c>
      <c r="T446" t="s">
        <v>84</v>
      </c>
      <c r="W446" t="s">
        <v>84</v>
      </c>
      <c r="X446" t="s">
        <v>84</v>
      </c>
      <c r="Y446" t="s">
        <v>84</v>
      </c>
      <c r="AA446" t="s">
        <v>84</v>
      </c>
      <c r="AF446">
        <v>1115</v>
      </c>
      <c r="AH446" t="s">
        <v>84</v>
      </c>
      <c r="AK446" t="s">
        <v>84</v>
      </c>
      <c r="AL446" t="s">
        <v>84</v>
      </c>
      <c r="AN446" t="s">
        <v>84</v>
      </c>
      <c r="AT446" t="s">
        <v>84</v>
      </c>
      <c r="AU446" t="s">
        <v>84</v>
      </c>
      <c r="AV446">
        <v>8224.11</v>
      </c>
    </row>
    <row r="447" spans="1:48" x14ac:dyDescent="0.25">
      <c r="A447">
        <v>0</v>
      </c>
      <c r="B447" t="s">
        <v>179</v>
      </c>
      <c r="C447" t="s">
        <v>110</v>
      </c>
      <c r="D447">
        <v>13335</v>
      </c>
      <c r="J447" t="s">
        <v>84</v>
      </c>
      <c r="L447" t="s">
        <v>84</v>
      </c>
      <c r="N447" t="s">
        <v>84</v>
      </c>
      <c r="T447" t="s">
        <v>84</v>
      </c>
      <c r="W447" t="s">
        <v>84</v>
      </c>
      <c r="X447" t="s">
        <v>84</v>
      </c>
      <c r="Y447" t="s">
        <v>84</v>
      </c>
      <c r="AA447" t="s">
        <v>84</v>
      </c>
      <c r="AH447" t="s">
        <v>84</v>
      </c>
      <c r="AK447" t="s">
        <v>84</v>
      </c>
      <c r="AL447" t="s">
        <v>84</v>
      </c>
      <c r="AN447" t="s">
        <v>84</v>
      </c>
      <c r="AT447" t="s">
        <v>84</v>
      </c>
      <c r="AU447" t="s">
        <v>84</v>
      </c>
      <c r="AV447">
        <v>17917.5</v>
      </c>
    </row>
    <row r="448" spans="1:48" x14ac:dyDescent="0.25">
      <c r="A448">
        <v>1</v>
      </c>
      <c r="B448" t="s">
        <v>179</v>
      </c>
      <c r="C448" t="s">
        <v>110</v>
      </c>
      <c r="D448">
        <v>22500</v>
      </c>
      <c r="F448">
        <v>0</v>
      </c>
      <c r="G448">
        <v>0</v>
      </c>
      <c r="J448" t="s">
        <v>84</v>
      </c>
      <c r="L448" t="s">
        <v>84</v>
      </c>
      <c r="M448">
        <v>0</v>
      </c>
      <c r="N448" t="s">
        <v>84</v>
      </c>
      <c r="O448">
        <v>0</v>
      </c>
      <c r="Q448">
        <v>0</v>
      </c>
      <c r="S448">
        <v>0</v>
      </c>
      <c r="T448" t="s">
        <v>84</v>
      </c>
      <c r="U448">
        <v>0</v>
      </c>
      <c r="W448" t="s">
        <v>84</v>
      </c>
      <c r="X448" t="s">
        <v>84</v>
      </c>
      <c r="Y448" t="s">
        <v>84</v>
      </c>
      <c r="Z448">
        <v>0</v>
      </c>
      <c r="AA448" t="s">
        <v>84</v>
      </c>
      <c r="AB448">
        <v>18000</v>
      </c>
      <c r="AD448">
        <v>0</v>
      </c>
      <c r="AE448">
        <v>0</v>
      </c>
      <c r="AH448" t="s">
        <v>84</v>
      </c>
      <c r="AI448">
        <v>0</v>
      </c>
      <c r="AJ448">
        <v>0</v>
      </c>
      <c r="AK448" t="s">
        <v>84</v>
      </c>
      <c r="AL448" t="s">
        <v>84</v>
      </c>
      <c r="AN448" t="s">
        <v>84</v>
      </c>
      <c r="AQ448">
        <v>0</v>
      </c>
      <c r="AR448">
        <v>0</v>
      </c>
      <c r="AS448">
        <v>0</v>
      </c>
      <c r="AT448" t="s">
        <v>84</v>
      </c>
      <c r="AU448" t="s">
        <v>84</v>
      </c>
      <c r="AV448">
        <v>17917.5</v>
      </c>
    </row>
    <row r="449" spans="1:48" x14ac:dyDescent="0.25">
      <c r="A449">
        <v>1</v>
      </c>
      <c r="B449" t="s">
        <v>179</v>
      </c>
      <c r="C449" t="s">
        <v>114</v>
      </c>
      <c r="D449">
        <v>46350</v>
      </c>
      <c r="J449" t="s">
        <v>84</v>
      </c>
      <c r="L449" t="s">
        <v>84</v>
      </c>
      <c r="N449" t="s">
        <v>84</v>
      </c>
      <c r="T449" t="s">
        <v>84</v>
      </c>
      <c r="W449" t="s">
        <v>84</v>
      </c>
      <c r="X449" t="s">
        <v>84</v>
      </c>
      <c r="Y449" t="s">
        <v>84</v>
      </c>
      <c r="AA449" t="s">
        <v>84</v>
      </c>
      <c r="AH449" t="s">
        <v>84</v>
      </c>
      <c r="AK449" t="s">
        <v>84</v>
      </c>
      <c r="AL449" t="s">
        <v>84</v>
      </c>
      <c r="AN449" t="s">
        <v>84</v>
      </c>
      <c r="AO449">
        <v>46350</v>
      </c>
      <c r="AT449" t="s">
        <v>84</v>
      </c>
      <c r="AU449" t="s">
        <v>84</v>
      </c>
      <c r="AV449">
        <v>46475</v>
      </c>
    </row>
    <row r="450" spans="1:48" x14ac:dyDescent="0.25">
      <c r="A450">
        <v>0</v>
      </c>
      <c r="B450" t="s">
        <v>179</v>
      </c>
      <c r="C450" t="s">
        <v>114</v>
      </c>
      <c r="D450">
        <v>46600</v>
      </c>
      <c r="J450" t="s">
        <v>84</v>
      </c>
      <c r="L450" t="s">
        <v>84</v>
      </c>
      <c r="N450" t="s">
        <v>84</v>
      </c>
      <c r="T450" t="s">
        <v>84</v>
      </c>
      <c r="W450" t="s">
        <v>84</v>
      </c>
      <c r="X450" t="s">
        <v>84</v>
      </c>
      <c r="Y450" t="s">
        <v>84</v>
      </c>
      <c r="AA450" t="s">
        <v>84</v>
      </c>
      <c r="AH450" t="s">
        <v>84</v>
      </c>
      <c r="AK450" t="s">
        <v>84</v>
      </c>
      <c r="AL450" t="s">
        <v>84</v>
      </c>
      <c r="AN450" t="s">
        <v>84</v>
      </c>
      <c r="AT450" t="s">
        <v>84</v>
      </c>
      <c r="AU450" t="s">
        <v>84</v>
      </c>
      <c r="AV450">
        <v>46475</v>
      </c>
    </row>
    <row r="451" spans="1:48" x14ac:dyDescent="0.25">
      <c r="A451">
        <v>0</v>
      </c>
      <c r="B451" t="s">
        <v>260</v>
      </c>
      <c r="C451" t="s">
        <v>92</v>
      </c>
      <c r="D451">
        <v>27510</v>
      </c>
      <c r="J451" t="s">
        <v>84</v>
      </c>
      <c r="L451" t="s">
        <v>84</v>
      </c>
      <c r="N451" t="s">
        <v>84</v>
      </c>
      <c r="T451" t="s">
        <v>84</v>
      </c>
      <c r="W451" t="s">
        <v>84</v>
      </c>
      <c r="X451" t="s">
        <v>84</v>
      </c>
      <c r="Y451" t="s">
        <v>84</v>
      </c>
      <c r="AA451" t="s">
        <v>84</v>
      </c>
      <c r="AH451" t="s">
        <v>84</v>
      </c>
      <c r="AK451" t="s">
        <v>84</v>
      </c>
      <c r="AL451" t="s">
        <v>84</v>
      </c>
      <c r="AN451" t="s">
        <v>84</v>
      </c>
      <c r="AT451" t="s">
        <v>84</v>
      </c>
      <c r="AU451" t="s">
        <v>84</v>
      </c>
      <c r="AV451">
        <v>28400</v>
      </c>
    </row>
    <row r="452" spans="1:48" x14ac:dyDescent="0.25">
      <c r="A452">
        <v>1</v>
      </c>
      <c r="B452" t="s">
        <v>260</v>
      </c>
      <c r="C452" t="s">
        <v>92</v>
      </c>
      <c r="D452">
        <v>29290</v>
      </c>
      <c r="H452">
        <v>29290</v>
      </c>
      <c r="J452" t="s">
        <v>84</v>
      </c>
      <c r="L452" t="s">
        <v>84</v>
      </c>
      <c r="N452" t="s">
        <v>84</v>
      </c>
      <c r="T452" t="s">
        <v>84</v>
      </c>
      <c r="W452" t="s">
        <v>84</v>
      </c>
      <c r="X452" t="s">
        <v>84</v>
      </c>
      <c r="Y452" t="s">
        <v>84</v>
      </c>
      <c r="AA452" t="s">
        <v>84</v>
      </c>
      <c r="AH452" t="s">
        <v>84</v>
      </c>
      <c r="AK452" t="s">
        <v>84</v>
      </c>
      <c r="AL452" t="s">
        <v>84</v>
      </c>
      <c r="AN452" t="s">
        <v>84</v>
      </c>
      <c r="AT452" t="s">
        <v>84</v>
      </c>
      <c r="AU452" t="s">
        <v>84</v>
      </c>
      <c r="AV452">
        <v>28400</v>
      </c>
    </row>
    <row r="453" spans="1:48" x14ac:dyDescent="0.25">
      <c r="A453">
        <v>0</v>
      </c>
      <c r="B453" t="s">
        <v>260</v>
      </c>
      <c r="C453" t="s">
        <v>151</v>
      </c>
      <c r="D453">
        <v>118137.5</v>
      </c>
      <c r="J453" t="s">
        <v>84</v>
      </c>
      <c r="L453" t="s">
        <v>84</v>
      </c>
      <c r="N453" t="s">
        <v>84</v>
      </c>
      <c r="T453" t="s">
        <v>84</v>
      </c>
      <c r="W453" t="s">
        <v>84</v>
      </c>
      <c r="X453" t="s">
        <v>84</v>
      </c>
      <c r="Y453" t="s">
        <v>84</v>
      </c>
      <c r="AA453" t="s">
        <v>84</v>
      </c>
      <c r="AH453" t="s">
        <v>84</v>
      </c>
      <c r="AK453" t="s">
        <v>84</v>
      </c>
      <c r="AL453" t="s">
        <v>84</v>
      </c>
      <c r="AN453" t="s">
        <v>84</v>
      </c>
      <c r="AT453" t="s">
        <v>84</v>
      </c>
      <c r="AU453" t="s">
        <v>84</v>
      </c>
      <c r="AV453">
        <v>98628.833333333328</v>
      </c>
    </row>
    <row r="454" spans="1:48" x14ac:dyDescent="0.25">
      <c r="A454">
        <v>0</v>
      </c>
      <c r="B454" t="s">
        <v>260</v>
      </c>
      <c r="C454" t="s">
        <v>151</v>
      </c>
      <c r="D454">
        <v>75952.5</v>
      </c>
      <c r="J454" t="s">
        <v>84</v>
      </c>
      <c r="L454" t="s">
        <v>84</v>
      </c>
      <c r="N454" t="s">
        <v>84</v>
      </c>
      <c r="T454" t="s">
        <v>84</v>
      </c>
      <c r="W454" t="s">
        <v>84</v>
      </c>
      <c r="X454" t="s">
        <v>84</v>
      </c>
      <c r="Y454" t="s">
        <v>84</v>
      </c>
      <c r="AA454" t="s">
        <v>84</v>
      </c>
      <c r="AH454" t="s">
        <v>84</v>
      </c>
      <c r="AK454" t="s">
        <v>84</v>
      </c>
      <c r="AL454" t="s">
        <v>84</v>
      </c>
      <c r="AN454" t="s">
        <v>84</v>
      </c>
      <c r="AT454" t="s">
        <v>84</v>
      </c>
      <c r="AU454" t="s">
        <v>84</v>
      </c>
      <c r="AV454">
        <v>98628.833333333328</v>
      </c>
    </row>
    <row r="455" spans="1:48" x14ac:dyDescent="0.25">
      <c r="A455">
        <v>1</v>
      </c>
      <c r="B455" t="s">
        <v>260</v>
      </c>
      <c r="C455" t="s">
        <v>151</v>
      </c>
      <c r="D455">
        <v>101796.5</v>
      </c>
      <c r="E455">
        <v>65975</v>
      </c>
      <c r="J455" t="s">
        <v>84</v>
      </c>
      <c r="L455" t="s">
        <v>84</v>
      </c>
      <c r="N455" t="s">
        <v>84</v>
      </c>
      <c r="T455" t="s">
        <v>84</v>
      </c>
      <c r="U455">
        <v>1200</v>
      </c>
      <c r="V455">
        <v>6750</v>
      </c>
      <c r="W455" t="s">
        <v>84</v>
      </c>
      <c r="X455" t="s">
        <v>84</v>
      </c>
      <c r="Y455" t="s">
        <v>84</v>
      </c>
      <c r="AA455" t="s">
        <v>84</v>
      </c>
      <c r="AB455">
        <v>0</v>
      </c>
      <c r="AG455">
        <v>4380</v>
      </c>
      <c r="AH455" t="s">
        <v>84</v>
      </c>
      <c r="AK455" t="s">
        <v>84</v>
      </c>
      <c r="AL455" t="s">
        <v>84</v>
      </c>
      <c r="AN455" t="s">
        <v>84</v>
      </c>
      <c r="AT455" t="s">
        <v>84</v>
      </c>
      <c r="AU455" t="s">
        <v>84</v>
      </c>
      <c r="AV455">
        <v>98628.833333333328</v>
      </c>
    </row>
    <row r="456" spans="1:48" x14ac:dyDescent="0.25">
      <c r="A456">
        <v>0</v>
      </c>
      <c r="B456" t="s">
        <v>260</v>
      </c>
      <c r="C456" t="s">
        <v>98</v>
      </c>
      <c r="D456">
        <v>31800</v>
      </c>
      <c r="J456" t="s">
        <v>84</v>
      </c>
      <c r="L456" t="s">
        <v>84</v>
      </c>
      <c r="N456" t="s">
        <v>84</v>
      </c>
      <c r="T456" t="s">
        <v>84</v>
      </c>
      <c r="W456" t="s">
        <v>84</v>
      </c>
      <c r="X456" t="s">
        <v>84</v>
      </c>
      <c r="Y456" t="s">
        <v>84</v>
      </c>
      <c r="AA456" t="s">
        <v>84</v>
      </c>
      <c r="AH456" t="s">
        <v>84</v>
      </c>
      <c r="AK456" t="s">
        <v>84</v>
      </c>
      <c r="AL456" t="s">
        <v>84</v>
      </c>
      <c r="AN456" t="s">
        <v>84</v>
      </c>
      <c r="AT456" t="s">
        <v>84</v>
      </c>
      <c r="AU456" t="s">
        <v>84</v>
      </c>
      <c r="AV456">
        <v>38150</v>
      </c>
    </row>
    <row r="457" spans="1:48" x14ac:dyDescent="0.25">
      <c r="A457">
        <v>0</v>
      </c>
      <c r="B457" t="s">
        <v>260</v>
      </c>
      <c r="C457" t="s">
        <v>98</v>
      </c>
      <c r="D457">
        <v>17250</v>
      </c>
      <c r="J457" t="s">
        <v>84</v>
      </c>
      <c r="L457" t="s">
        <v>84</v>
      </c>
      <c r="N457" t="s">
        <v>84</v>
      </c>
      <c r="T457" t="s">
        <v>84</v>
      </c>
      <c r="W457" t="s">
        <v>84</v>
      </c>
      <c r="X457" t="s">
        <v>84</v>
      </c>
      <c r="Y457" t="s">
        <v>84</v>
      </c>
      <c r="AA457" t="s">
        <v>84</v>
      </c>
      <c r="AH457" t="s">
        <v>84</v>
      </c>
      <c r="AK457" t="s">
        <v>84</v>
      </c>
      <c r="AL457" t="s">
        <v>84</v>
      </c>
      <c r="AN457" t="s">
        <v>84</v>
      </c>
      <c r="AT457" t="s">
        <v>84</v>
      </c>
      <c r="AU457" t="s">
        <v>84</v>
      </c>
      <c r="AV457">
        <v>38150</v>
      </c>
    </row>
    <row r="458" spans="1:48" x14ac:dyDescent="0.25">
      <c r="A458">
        <v>1</v>
      </c>
      <c r="B458" t="s">
        <v>260</v>
      </c>
      <c r="C458" t="s">
        <v>98</v>
      </c>
      <c r="D458">
        <v>65400</v>
      </c>
      <c r="J458" t="s">
        <v>84</v>
      </c>
      <c r="L458" t="s">
        <v>84</v>
      </c>
      <c r="N458" t="s">
        <v>84</v>
      </c>
      <c r="T458" t="s">
        <v>84</v>
      </c>
      <c r="V458">
        <v>65400</v>
      </c>
      <c r="W458" t="s">
        <v>84</v>
      </c>
      <c r="X458" t="s">
        <v>84</v>
      </c>
      <c r="Y458" t="s">
        <v>84</v>
      </c>
      <c r="AA458" t="s">
        <v>84</v>
      </c>
      <c r="AH458" t="s">
        <v>84</v>
      </c>
      <c r="AK458" t="s">
        <v>84</v>
      </c>
      <c r="AL458" t="s">
        <v>84</v>
      </c>
      <c r="AN458" t="s">
        <v>84</v>
      </c>
      <c r="AT458" t="s">
        <v>84</v>
      </c>
      <c r="AU458" t="s">
        <v>84</v>
      </c>
      <c r="AV458">
        <v>38150</v>
      </c>
    </row>
    <row r="459" spans="1:48" x14ac:dyDescent="0.25">
      <c r="A459">
        <v>0</v>
      </c>
      <c r="B459" t="s">
        <v>260</v>
      </c>
      <c r="C459" t="s">
        <v>87</v>
      </c>
      <c r="D459">
        <v>160661.6667</v>
      </c>
      <c r="J459" t="s">
        <v>84</v>
      </c>
      <c r="L459" t="s">
        <v>84</v>
      </c>
      <c r="N459" t="s">
        <v>84</v>
      </c>
      <c r="T459" t="s">
        <v>84</v>
      </c>
      <c r="W459" t="s">
        <v>84</v>
      </c>
      <c r="X459" t="s">
        <v>84</v>
      </c>
      <c r="Y459" t="s">
        <v>84</v>
      </c>
      <c r="AA459" t="s">
        <v>84</v>
      </c>
      <c r="AH459" t="s">
        <v>84</v>
      </c>
      <c r="AK459" t="s">
        <v>84</v>
      </c>
      <c r="AL459" t="s">
        <v>84</v>
      </c>
      <c r="AN459" t="s">
        <v>84</v>
      </c>
      <c r="AT459" t="s">
        <v>84</v>
      </c>
      <c r="AU459" t="s">
        <v>84</v>
      </c>
      <c r="AV459">
        <v>127133.82501</v>
      </c>
    </row>
    <row r="460" spans="1:48" x14ac:dyDescent="0.25">
      <c r="A460">
        <v>0</v>
      </c>
      <c r="B460" t="s">
        <v>260</v>
      </c>
      <c r="C460" t="s">
        <v>87</v>
      </c>
      <c r="D460">
        <v>124164.6</v>
      </c>
      <c r="J460" t="s">
        <v>84</v>
      </c>
      <c r="L460" t="s">
        <v>84</v>
      </c>
      <c r="N460" t="s">
        <v>84</v>
      </c>
      <c r="T460" t="s">
        <v>84</v>
      </c>
      <c r="W460" t="s">
        <v>84</v>
      </c>
      <c r="X460" t="s">
        <v>84</v>
      </c>
      <c r="Y460" t="s">
        <v>84</v>
      </c>
      <c r="AA460" t="s">
        <v>84</v>
      </c>
      <c r="AH460" t="s">
        <v>84</v>
      </c>
      <c r="AK460" t="s">
        <v>84</v>
      </c>
      <c r="AL460" t="s">
        <v>84</v>
      </c>
      <c r="AN460" t="s">
        <v>84</v>
      </c>
      <c r="AT460" t="s">
        <v>84</v>
      </c>
      <c r="AU460" t="s">
        <v>84</v>
      </c>
      <c r="AV460">
        <v>127133.82501</v>
      </c>
    </row>
    <row r="461" spans="1:48" x14ac:dyDescent="0.25">
      <c r="A461">
        <v>1</v>
      </c>
      <c r="B461" t="s">
        <v>260</v>
      </c>
      <c r="C461" t="s">
        <v>87</v>
      </c>
      <c r="D461">
        <v>96575.208329999994</v>
      </c>
      <c r="J461" t="s">
        <v>84</v>
      </c>
      <c r="L461" t="s">
        <v>84</v>
      </c>
      <c r="N461" t="s">
        <v>84</v>
      </c>
      <c r="O461">
        <v>15900</v>
      </c>
      <c r="P461">
        <v>12300</v>
      </c>
      <c r="Q461">
        <v>32400</v>
      </c>
      <c r="R461">
        <v>9850</v>
      </c>
      <c r="T461" t="s">
        <v>84</v>
      </c>
      <c r="W461" t="s">
        <v>84</v>
      </c>
      <c r="X461" t="s">
        <v>84</v>
      </c>
      <c r="Y461" t="s">
        <v>84</v>
      </c>
      <c r="AA461" t="s">
        <v>84</v>
      </c>
      <c r="AH461" t="s">
        <v>84</v>
      </c>
      <c r="AK461" t="s">
        <v>84</v>
      </c>
      <c r="AL461" t="s">
        <v>84</v>
      </c>
      <c r="AN461" t="s">
        <v>84</v>
      </c>
      <c r="AT461" t="s">
        <v>84</v>
      </c>
      <c r="AU461" t="s">
        <v>84</v>
      </c>
      <c r="AV461">
        <v>127133.82501</v>
      </c>
    </row>
    <row r="462" spans="1:48" x14ac:dyDescent="0.25">
      <c r="A462">
        <v>0</v>
      </c>
      <c r="B462" t="s">
        <v>260</v>
      </c>
      <c r="C462" t="s">
        <v>110</v>
      </c>
      <c r="D462">
        <v>16380</v>
      </c>
      <c r="J462" t="s">
        <v>84</v>
      </c>
      <c r="L462" t="s">
        <v>84</v>
      </c>
      <c r="N462" t="s">
        <v>84</v>
      </c>
      <c r="T462" t="s">
        <v>84</v>
      </c>
      <c r="W462" t="s">
        <v>84</v>
      </c>
      <c r="X462" t="s">
        <v>84</v>
      </c>
      <c r="Y462" t="s">
        <v>84</v>
      </c>
      <c r="AA462" t="s">
        <v>84</v>
      </c>
      <c r="AH462" t="s">
        <v>84</v>
      </c>
      <c r="AK462" t="s">
        <v>84</v>
      </c>
      <c r="AL462" t="s">
        <v>84</v>
      </c>
      <c r="AN462" t="s">
        <v>84</v>
      </c>
      <c r="AT462" t="s">
        <v>84</v>
      </c>
      <c r="AU462" t="s">
        <v>84</v>
      </c>
      <c r="AV462">
        <v>12223</v>
      </c>
    </row>
    <row r="463" spans="1:48" x14ac:dyDescent="0.25">
      <c r="A463">
        <v>1</v>
      </c>
      <c r="B463" t="s">
        <v>260</v>
      </c>
      <c r="C463" t="s">
        <v>110</v>
      </c>
      <c r="D463">
        <v>9625</v>
      </c>
      <c r="F463">
        <v>0</v>
      </c>
      <c r="G463">
        <v>0</v>
      </c>
      <c r="J463" t="s">
        <v>84</v>
      </c>
      <c r="L463" t="s">
        <v>84</v>
      </c>
      <c r="M463">
        <v>0</v>
      </c>
      <c r="N463" t="s">
        <v>84</v>
      </c>
      <c r="O463">
        <v>0</v>
      </c>
      <c r="Q463">
        <v>0</v>
      </c>
      <c r="S463">
        <v>0</v>
      </c>
      <c r="T463" t="s">
        <v>84</v>
      </c>
      <c r="U463">
        <v>0</v>
      </c>
      <c r="W463" t="s">
        <v>84</v>
      </c>
      <c r="X463" t="s">
        <v>84</v>
      </c>
      <c r="Y463" t="s">
        <v>84</v>
      </c>
      <c r="Z463">
        <v>0</v>
      </c>
      <c r="AA463" t="s">
        <v>84</v>
      </c>
      <c r="AB463">
        <v>7700</v>
      </c>
      <c r="AD463">
        <v>0</v>
      </c>
      <c r="AE463">
        <v>0</v>
      </c>
      <c r="AH463" t="s">
        <v>84</v>
      </c>
      <c r="AI463">
        <v>0</v>
      </c>
      <c r="AJ463">
        <v>0</v>
      </c>
      <c r="AK463" t="s">
        <v>84</v>
      </c>
      <c r="AL463" t="s">
        <v>84</v>
      </c>
      <c r="AN463" t="s">
        <v>84</v>
      </c>
      <c r="AQ463">
        <v>0</v>
      </c>
      <c r="AR463">
        <v>0</v>
      </c>
      <c r="AS463">
        <v>0</v>
      </c>
      <c r="AT463" t="s">
        <v>84</v>
      </c>
      <c r="AU463" t="s">
        <v>84</v>
      </c>
      <c r="AV463">
        <v>12223</v>
      </c>
    </row>
    <row r="464" spans="1:48" x14ac:dyDescent="0.25">
      <c r="A464">
        <v>0</v>
      </c>
      <c r="B464" t="s">
        <v>260</v>
      </c>
      <c r="C464" t="s">
        <v>110</v>
      </c>
      <c r="D464">
        <v>10664</v>
      </c>
      <c r="J464" t="s">
        <v>84</v>
      </c>
      <c r="L464" t="s">
        <v>84</v>
      </c>
      <c r="N464" t="s">
        <v>84</v>
      </c>
      <c r="T464" t="s">
        <v>84</v>
      </c>
      <c r="W464" t="s">
        <v>84</v>
      </c>
      <c r="X464" t="s">
        <v>84</v>
      </c>
      <c r="Y464" t="s">
        <v>84</v>
      </c>
      <c r="AA464" t="s">
        <v>84</v>
      </c>
      <c r="AH464" t="s">
        <v>84</v>
      </c>
      <c r="AK464" t="s">
        <v>84</v>
      </c>
      <c r="AL464" t="s">
        <v>84</v>
      </c>
      <c r="AN464" t="s">
        <v>84</v>
      </c>
      <c r="AT464" t="s">
        <v>84</v>
      </c>
      <c r="AU464" t="s">
        <v>84</v>
      </c>
      <c r="AV464">
        <v>12223</v>
      </c>
    </row>
    <row r="465" spans="1:48" x14ac:dyDescent="0.25">
      <c r="A465">
        <v>0</v>
      </c>
      <c r="B465" t="s">
        <v>260</v>
      </c>
      <c r="C465" t="s">
        <v>106</v>
      </c>
      <c r="D465">
        <v>12036.82</v>
      </c>
      <c r="J465" t="s">
        <v>84</v>
      </c>
      <c r="L465" t="s">
        <v>84</v>
      </c>
      <c r="N465" t="s">
        <v>84</v>
      </c>
      <c r="T465" t="s">
        <v>84</v>
      </c>
      <c r="W465" t="s">
        <v>84</v>
      </c>
      <c r="X465" t="s">
        <v>84</v>
      </c>
      <c r="Y465" t="s">
        <v>84</v>
      </c>
      <c r="AA465" t="s">
        <v>84</v>
      </c>
      <c r="AH465" t="s">
        <v>84</v>
      </c>
      <c r="AK465" t="s">
        <v>84</v>
      </c>
      <c r="AL465" t="s">
        <v>84</v>
      </c>
      <c r="AN465" t="s">
        <v>84</v>
      </c>
      <c r="AT465" t="s">
        <v>84</v>
      </c>
      <c r="AU465" t="s">
        <v>84</v>
      </c>
      <c r="AV465">
        <v>11025.874166666666</v>
      </c>
    </row>
    <row r="466" spans="1:48" x14ac:dyDescent="0.25">
      <c r="A466">
        <v>1</v>
      </c>
      <c r="B466" t="s">
        <v>260</v>
      </c>
      <c r="C466" t="s">
        <v>106</v>
      </c>
      <c r="D466">
        <v>11824.127500000001</v>
      </c>
      <c r="J466" t="s">
        <v>84</v>
      </c>
      <c r="K466">
        <v>5400</v>
      </c>
      <c r="L466" t="s">
        <v>84</v>
      </c>
      <c r="N466" t="s">
        <v>84</v>
      </c>
      <c r="T466" t="s">
        <v>84</v>
      </c>
      <c r="W466" t="s">
        <v>84</v>
      </c>
      <c r="X466" t="s">
        <v>84</v>
      </c>
      <c r="Y466" t="s">
        <v>84</v>
      </c>
      <c r="AA466" t="s">
        <v>84</v>
      </c>
      <c r="AF466">
        <v>2105</v>
      </c>
      <c r="AH466" t="s">
        <v>84</v>
      </c>
      <c r="AK466" t="s">
        <v>84</v>
      </c>
      <c r="AL466" t="s">
        <v>84</v>
      </c>
      <c r="AN466" t="s">
        <v>84</v>
      </c>
      <c r="AT466" t="s">
        <v>84</v>
      </c>
      <c r="AU466" t="s">
        <v>84</v>
      </c>
      <c r="AV466">
        <v>11025.874166666666</v>
      </c>
    </row>
    <row r="467" spans="1:48" x14ac:dyDescent="0.25">
      <c r="A467">
        <v>0</v>
      </c>
      <c r="B467" t="s">
        <v>260</v>
      </c>
      <c r="C467" t="s">
        <v>106</v>
      </c>
      <c r="D467">
        <v>9216.6749999999993</v>
      </c>
      <c r="J467" t="s">
        <v>84</v>
      </c>
      <c r="L467" t="s">
        <v>84</v>
      </c>
      <c r="N467" t="s">
        <v>84</v>
      </c>
      <c r="T467" t="s">
        <v>84</v>
      </c>
      <c r="W467" t="s">
        <v>84</v>
      </c>
      <c r="X467" t="s">
        <v>84</v>
      </c>
      <c r="Y467" t="s">
        <v>84</v>
      </c>
      <c r="AA467" t="s">
        <v>84</v>
      </c>
      <c r="AH467" t="s">
        <v>84</v>
      </c>
      <c r="AK467" t="s">
        <v>84</v>
      </c>
      <c r="AL467" t="s">
        <v>84</v>
      </c>
      <c r="AN467" t="s">
        <v>84</v>
      </c>
      <c r="AT467" t="s">
        <v>84</v>
      </c>
      <c r="AU467" t="s">
        <v>84</v>
      </c>
      <c r="AV467">
        <v>11025.874166666666</v>
      </c>
    </row>
    <row r="468" spans="1:48" x14ac:dyDescent="0.25">
      <c r="A468">
        <v>0</v>
      </c>
      <c r="B468" t="s">
        <v>260</v>
      </c>
      <c r="C468" t="s">
        <v>80</v>
      </c>
      <c r="D468">
        <v>727670.19180000003</v>
      </c>
      <c r="J468" t="s">
        <v>84</v>
      </c>
      <c r="L468" t="s">
        <v>84</v>
      </c>
      <c r="N468" t="s">
        <v>84</v>
      </c>
      <c r="T468" t="s">
        <v>84</v>
      </c>
      <c r="W468" t="s">
        <v>84</v>
      </c>
      <c r="X468" t="s">
        <v>84</v>
      </c>
      <c r="Y468" t="s">
        <v>84</v>
      </c>
      <c r="AA468" t="s">
        <v>84</v>
      </c>
      <c r="AH468" t="s">
        <v>84</v>
      </c>
      <c r="AK468" t="s">
        <v>84</v>
      </c>
      <c r="AL468" t="s">
        <v>84</v>
      </c>
      <c r="AN468" t="s">
        <v>84</v>
      </c>
      <c r="AT468" t="s">
        <v>84</v>
      </c>
      <c r="AU468" t="s">
        <v>84</v>
      </c>
      <c r="AV468">
        <v>723920.4031</v>
      </c>
    </row>
    <row r="469" spans="1:48" x14ac:dyDescent="0.25">
      <c r="A469">
        <v>1</v>
      </c>
      <c r="B469" t="s">
        <v>260</v>
      </c>
      <c r="C469" t="s">
        <v>80</v>
      </c>
      <c r="D469">
        <v>798377.58</v>
      </c>
      <c r="F469">
        <v>8008</v>
      </c>
      <c r="G469">
        <v>34750</v>
      </c>
      <c r="J469" t="s">
        <v>84</v>
      </c>
      <c r="L469" t="s">
        <v>84</v>
      </c>
      <c r="M469">
        <v>125000</v>
      </c>
      <c r="N469" t="s">
        <v>84</v>
      </c>
      <c r="O469">
        <v>0</v>
      </c>
      <c r="Q469">
        <v>0</v>
      </c>
      <c r="S469">
        <v>71300</v>
      </c>
      <c r="T469" t="s">
        <v>84</v>
      </c>
      <c r="U469">
        <v>3000</v>
      </c>
      <c r="W469" t="s">
        <v>84</v>
      </c>
      <c r="X469" t="s">
        <v>84</v>
      </c>
      <c r="Y469" t="s">
        <v>84</v>
      </c>
      <c r="Z469">
        <v>30869</v>
      </c>
      <c r="AA469" t="s">
        <v>84</v>
      </c>
      <c r="AB469">
        <v>23000</v>
      </c>
      <c r="AD469">
        <v>10400</v>
      </c>
      <c r="AE469">
        <v>154511.5</v>
      </c>
      <c r="AH469" t="s">
        <v>84</v>
      </c>
      <c r="AI469">
        <v>21600</v>
      </c>
      <c r="AJ469">
        <v>120334.5</v>
      </c>
      <c r="AK469" t="s">
        <v>84</v>
      </c>
      <c r="AL469" t="s">
        <v>84</v>
      </c>
      <c r="AN469" t="s">
        <v>84</v>
      </c>
      <c r="AQ469">
        <v>30860</v>
      </c>
      <c r="AR469">
        <v>0</v>
      </c>
      <c r="AS469">
        <v>0</v>
      </c>
      <c r="AT469" t="s">
        <v>84</v>
      </c>
      <c r="AU469" t="s">
        <v>84</v>
      </c>
      <c r="AV469">
        <v>723920.4031</v>
      </c>
    </row>
    <row r="470" spans="1:48" x14ac:dyDescent="0.25">
      <c r="A470">
        <v>0</v>
      </c>
      <c r="B470" t="s">
        <v>260</v>
      </c>
      <c r="C470" t="s">
        <v>80</v>
      </c>
      <c r="D470">
        <v>645713.4375</v>
      </c>
      <c r="J470" t="s">
        <v>84</v>
      </c>
      <c r="L470" t="s">
        <v>84</v>
      </c>
      <c r="N470" t="s">
        <v>84</v>
      </c>
      <c r="T470" t="s">
        <v>84</v>
      </c>
      <c r="W470" t="s">
        <v>84</v>
      </c>
      <c r="X470" t="s">
        <v>84</v>
      </c>
      <c r="Y470" t="s">
        <v>84</v>
      </c>
      <c r="AA470" t="s">
        <v>84</v>
      </c>
      <c r="AH470" t="s">
        <v>84</v>
      </c>
      <c r="AK470" t="s">
        <v>84</v>
      </c>
      <c r="AL470" t="s">
        <v>84</v>
      </c>
      <c r="AN470" t="s">
        <v>84</v>
      </c>
      <c r="AT470" t="s">
        <v>84</v>
      </c>
      <c r="AU470" t="s">
        <v>84</v>
      </c>
      <c r="AV470">
        <v>723920.4031</v>
      </c>
    </row>
    <row r="471" spans="1:48" x14ac:dyDescent="0.25">
      <c r="A471">
        <v>0</v>
      </c>
      <c r="B471" t="s">
        <v>260</v>
      </c>
      <c r="C471" t="s">
        <v>92</v>
      </c>
      <c r="D471">
        <v>44140</v>
      </c>
      <c r="J471" t="s">
        <v>84</v>
      </c>
      <c r="L471" t="s">
        <v>84</v>
      </c>
      <c r="N471" t="s">
        <v>84</v>
      </c>
      <c r="T471" t="s">
        <v>84</v>
      </c>
      <c r="W471" t="s">
        <v>84</v>
      </c>
      <c r="X471" t="s">
        <v>84</v>
      </c>
      <c r="Y471" t="s">
        <v>84</v>
      </c>
      <c r="AA471" t="s">
        <v>84</v>
      </c>
      <c r="AH471" t="s">
        <v>84</v>
      </c>
      <c r="AK471" t="s">
        <v>84</v>
      </c>
      <c r="AL471" t="s">
        <v>84</v>
      </c>
      <c r="AN471" t="s">
        <v>84</v>
      </c>
      <c r="AT471" t="s">
        <v>84</v>
      </c>
      <c r="AU471" t="s">
        <v>84</v>
      </c>
      <c r="AV471">
        <v>33080</v>
      </c>
    </row>
    <row r="472" spans="1:48" x14ac:dyDescent="0.25">
      <c r="A472">
        <v>1</v>
      </c>
      <c r="B472" t="s">
        <v>260</v>
      </c>
      <c r="C472" t="s">
        <v>92</v>
      </c>
      <c r="D472">
        <v>36360</v>
      </c>
      <c r="H472">
        <v>36360</v>
      </c>
      <c r="J472" t="s">
        <v>84</v>
      </c>
      <c r="L472" t="s">
        <v>84</v>
      </c>
      <c r="N472" t="s">
        <v>84</v>
      </c>
      <c r="T472" t="s">
        <v>84</v>
      </c>
      <c r="W472" t="s">
        <v>84</v>
      </c>
      <c r="X472" t="s">
        <v>84</v>
      </c>
      <c r="Y472" t="s">
        <v>84</v>
      </c>
      <c r="AA472" t="s">
        <v>84</v>
      </c>
      <c r="AH472" t="s">
        <v>84</v>
      </c>
      <c r="AK472" t="s">
        <v>84</v>
      </c>
      <c r="AL472" t="s">
        <v>84</v>
      </c>
      <c r="AN472" t="s">
        <v>84</v>
      </c>
      <c r="AT472" t="s">
        <v>84</v>
      </c>
      <c r="AU472" t="s">
        <v>84</v>
      </c>
      <c r="AV472">
        <v>33080</v>
      </c>
    </row>
    <row r="473" spans="1:48" x14ac:dyDescent="0.25">
      <c r="A473">
        <v>0</v>
      </c>
      <c r="B473" t="s">
        <v>260</v>
      </c>
      <c r="C473" t="s">
        <v>92</v>
      </c>
      <c r="D473">
        <v>18740</v>
      </c>
      <c r="J473" t="s">
        <v>84</v>
      </c>
      <c r="L473" t="s">
        <v>84</v>
      </c>
      <c r="N473" t="s">
        <v>84</v>
      </c>
      <c r="T473" t="s">
        <v>84</v>
      </c>
      <c r="W473" t="s">
        <v>84</v>
      </c>
      <c r="X473" t="s">
        <v>84</v>
      </c>
      <c r="Y473" t="s">
        <v>84</v>
      </c>
      <c r="AA473" t="s">
        <v>84</v>
      </c>
      <c r="AH473" t="s">
        <v>84</v>
      </c>
      <c r="AK473" t="s">
        <v>84</v>
      </c>
      <c r="AL473" t="s">
        <v>84</v>
      </c>
      <c r="AN473" t="s">
        <v>84</v>
      </c>
      <c r="AT473" t="s">
        <v>84</v>
      </c>
      <c r="AU473" t="s">
        <v>84</v>
      </c>
      <c r="AV473">
        <v>33080</v>
      </c>
    </row>
    <row r="474" spans="1:48" x14ac:dyDescent="0.25">
      <c r="A474">
        <v>0</v>
      </c>
      <c r="B474" t="s">
        <v>260</v>
      </c>
      <c r="C474" t="s">
        <v>80</v>
      </c>
      <c r="D474">
        <v>923882.24</v>
      </c>
      <c r="J474" t="s">
        <v>84</v>
      </c>
      <c r="L474" t="s">
        <v>84</v>
      </c>
      <c r="N474" t="s">
        <v>84</v>
      </c>
      <c r="T474" t="s">
        <v>84</v>
      </c>
      <c r="W474" t="s">
        <v>84</v>
      </c>
      <c r="X474" t="s">
        <v>84</v>
      </c>
      <c r="Y474" t="s">
        <v>84</v>
      </c>
      <c r="AA474" t="s">
        <v>84</v>
      </c>
      <c r="AH474" t="s">
        <v>84</v>
      </c>
      <c r="AK474" t="s">
        <v>84</v>
      </c>
      <c r="AL474" t="s">
        <v>84</v>
      </c>
      <c r="AN474" t="s">
        <v>84</v>
      </c>
      <c r="AT474" t="s">
        <v>84</v>
      </c>
      <c r="AU474" t="s">
        <v>84</v>
      </c>
      <c r="AV474">
        <v>884250.9711666666</v>
      </c>
    </row>
    <row r="475" spans="1:48" x14ac:dyDescent="0.25">
      <c r="A475">
        <v>1</v>
      </c>
      <c r="B475" t="s">
        <v>260</v>
      </c>
      <c r="C475" t="s">
        <v>80</v>
      </c>
      <c r="D475">
        <v>955820.34</v>
      </c>
      <c r="F475">
        <v>18018</v>
      </c>
      <c r="G475">
        <v>72500</v>
      </c>
      <c r="J475" t="s">
        <v>84</v>
      </c>
      <c r="L475" t="s">
        <v>84</v>
      </c>
      <c r="M475">
        <v>125000</v>
      </c>
      <c r="N475" t="s">
        <v>84</v>
      </c>
      <c r="O475">
        <v>0</v>
      </c>
      <c r="Q475">
        <v>0</v>
      </c>
      <c r="S475">
        <v>59500</v>
      </c>
      <c r="T475" t="s">
        <v>84</v>
      </c>
      <c r="U475">
        <v>2400</v>
      </c>
      <c r="W475" t="s">
        <v>84</v>
      </c>
      <c r="X475" t="s">
        <v>84</v>
      </c>
      <c r="Y475" t="s">
        <v>84</v>
      </c>
      <c r="Z475">
        <v>33475</v>
      </c>
      <c r="AA475" t="s">
        <v>84</v>
      </c>
      <c r="AB475">
        <v>11500</v>
      </c>
      <c r="AD475">
        <v>19900</v>
      </c>
      <c r="AE475">
        <v>131810.25</v>
      </c>
      <c r="AH475" t="s">
        <v>84</v>
      </c>
      <c r="AI475">
        <v>16200</v>
      </c>
      <c r="AJ475">
        <v>190082.75</v>
      </c>
      <c r="AK475" t="s">
        <v>84</v>
      </c>
      <c r="AL475" t="s">
        <v>84</v>
      </c>
      <c r="AN475" t="s">
        <v>84</v>
      </c>
      <c r="AQ475">
        <v>60560</v>
      </c>
      <c r="AR475">
        <v>0</v>
      </c>
      <c r="AS475">
        <v>0</v>
      </c>
      <c r="AT475" t="s">
        <v>84</v>
      </c>
      <c r="AU475" t="s">
        <v>84</v>
      </c>
      <c r="AV475">
        <v>884250.9711666666</v>
      </c>
    </row>
    <row r="476" spans="1:48" x14ac:dyDescent="0.25">
      <c r="A476">
        <v>0</v>
      </c>
      <c r="B476" t="s">
        <v>260</v>
      </c>
      <c r="C476" t="s">
        <v>80</v>
      </c>
      <c r="D476">
        <v>773050.33349999995</v>
      </c>
      <c r="J476" t="s">
        <v>84</v>
      </c>
      <c r="L476" t="s">
        <v>84</v>
      </c>
      <c r="N476" t="s">
        <v>84</v>
      </c>
      <c r="T476" t="s">
        <v>84</v>
      </c>
      <c r="W476" t="s">
        <v>84</v>
      </c>
      <c r="X476" t="s">
        <v>84</v>
      </c>
      <c r="Y476" t="s">
        <v>84</v>
      </c>
      <c r="AA476" t="s">
        <v>84</v>
      </c>
      <c r="AH476" t="s">
        <v>84</v>
      </c>
      <c r="AK476" t="s">
        <v>84</v>
      </c>
      <c r="AL476" t="s">
        <v>84</v>
      </c>
      <c r="AN476" t="s">
        <v>84</v>
      </c>
      <c r="AT476" t="s">
        <v>84</v>
      </c>
      <c r="AU476" t="s">
        <v>84</v>
      </c>
      <c r="AV476">
        <v>884250.9711666666</v>
      </c>
    </row>
    <row r="477" spans="1:48" x14ac:dyDescent="0.25">
      <c r="A477">
        <v>0</v>
      </c>
      <c r="B477" t="s">
        <v>260</v>
      </c>
      <c r="C477" t="s">
        <v>106</v>
      </c>
      <c r="D477">
        <v>8578.5974999999999</v>
      </c>
      <c r="J477" t="s">
        <v>84</v>
      </c>
      <c r="L477" t="s">
        <v>84</v>
      </c>
      <c r="N477" t="s">
        <v>84</v>
      </c>
      <c r="T477" t="s">
        <v>84</v>
      </c>
      <c r="W477" t="s">
        <v>84</v>
      </c>
      <c r="X477" t="s">
        <v>84</v>
      </c>
      <c r="Y477" t="s">
        <v>84</v>
      </c>
      <c r="AA477" t="s">
        <v>84</v>
      </c>
      <c r="AH477" t="s">
        <v>84</v>
      </c>
      <c r="AK477" t="s">
        <v>84</v>
      </c>
      <c r="AL477" t="s">
        <v>84</v>
      </c>
      <c r="AN477" t="s">
        <v>84</v>
      </c>
      <c r="AT477" t="s">
        <v>84</v>
      </c>
      <c r="AU477" t="s">
        <v>84</v>
      </c>
      <c r="AV477">
        <v>6467.4274999999998</v>
      </c>
    </row>
    <row r="478" spans="1:48" x14ac:dyDescent="0.25">
      <c r="A478">
        <v>1</v>
      </c>
      <c r="B478" t="s">
        <v>260</v>
      </c>
      <c r="C478" t="s">
        <v>106</v>
      </c>
      <c r="D478">
        <v>8255.6200000000008</v>
      </c>
      <c r="J478" t="s">
        <v>84</v>
      </c>
      <c r="K478">
        <v>3550</v>
      </c>
      <c r="L478" t="s">
        <v>84</v>
      </c>
      <c r="N478" t="s">
        <v>84</v>
      </c>
      <c r="T478" t="s">
        <v>84</v>
      </c>
      <c r="W478" t="s">
        <v>84</v>
      </c>
      <c r="X478" t="s">
        <v>84</v>
      </c>
      <c r="Y478" t="s">
        <v>84</v>
      </c>
      <c r="AA478" t="s">
        <v>84</v>
      </c>
      <c r="AF478">
        <v>1690</v>
      </c>
      <c r="AH478" t="s">
        <v>84</v>
      </c>
      <c r="AK478" t="s">
        <v>84</v>
      </c>
      <c r="AL478" t="s">
        <v>84</v>
      </c>
      <c r="AN478" t="s">
        <v>84</v>
      </c>
      <c r="AT478" t="s">
        <v>84</v>
      </c>
      <c r="AU478" t="s">
        <v>84</v>
      </c>
      <c r="AV478">
        <v>6467.4274999999998</v>
      </c>
    </row>
    <row r="479" spans="1:48" x14ac:dyDescent="0.25">
      <c r="A479">
        <v>0</v>
      </c>
      <c r="B479" t="s">
        <v>260</v>
      </c>
      <c r="C479" t="s">
        <v>106</v>
      </c>
      <c r="D479">
        <v>2568.0650000000001</v>
      </c>
      <c r="J479" t="s">
        <v>84</v>
      </c>
      <c r="L479" t="s">
        <v>84</v>
      </c>
      <c r="N479" t="s">
        <v>84</v>
      </c>
      <c r="T479" t="s">
        <v>84</v>
      </c>
      <c r="W479" t="s">
        <v>84</v>
      </c>
      <c r="X479" t="s">
        <v>84</v>
      </c>
      <c r="Y479" t="s">
        <v>84</v>
      </c>
      <c r="AA479" t="s">
        <v>84</v>
      </c>
      <c r="AH479" t="s">
        <v>84</v>
      </c>
      <c r="AK479" t="s">
        <v>84</v>
      </c>
      <c r="AL479" t="s">
        <v>84</v>
      </c>
      <c r="AN479" t="s">
        <v>84</v>
      </c>
      <c r="AT479" t="s">
        <v>84</v>
      </c>
      <c r="AU479" t="s">
        <v>84</v>
      </c>
      <c r="AV479">
        <v>6467.4274999999998</v>
      </c>
    </row>
    <row r="480" spans="1:48" x14ac:dyDescent="0.25">
      <c r="A480">
        <v>0</v>
      </c>
      <c r="B480" t="s">
        <v>260</v>
      </c>
      <c r="C480" t="s">
        <v>110</v>
      </c>
      <c r="D480">
        <v>9198</v>
      </c>
      <c r="J480" t="s">
        <v>84</v>
      </c>
      <c r="L480" t="s">
        <v>84</v>
      </c>
      <c r="N480" t="s">
        <v>84</v>
      </c>
      <c r="T480" t="s">
        <v>84</v>
      </c>
      <c r="W480" t="s">
        <v>84</v>
      </c>
      <c r="X480" t="s">
        <v>84</v>
      </c>
      <c r="Y480" t="s">
        <v>84</v>
      </c>
      <c r="AA480" t="s">
        <v>84</v>
      </c>
      <c r="AH480" t="s">
        <v>84</v>
      </c>
      <c r="AK480" t="s">
        <v>84</v>
      </c>
      <c r="AL480" t="s">
        <v>84</v>
      </c>
      <c r="AN480" t="s">
        <v>84</v>
      </c>
      <c r="AT480" t="s">
        <v>84</v>
      </c>
      <c r="AU480" t="s">
        <v>84</v>
      </c>
      <c r="AV480">
        <v>9930</v>
      </c>
    </row>
    <row r="481" spans="1:48" x14ac:dyDescent="0.25">
      <c r="A481">
        <v>1</v>
      </c>
      <c r="B481" t="s">
        <v>260</v>
      </c>
      <c r="C481" t="s">
        <v>110</v>
      </c>
      <c r="D481">
        <v>11592</v>
      </c>
      <c r="F481">
        <v>0</v>
      </c>
      <c r="G481">
        <v>0</v>
      </c>
      <c r="J481" t="s">
        <v>84</v>
      </c>
      <c r="L481" t="s">
        <v>84</v>
      </c>
      <c r="M481">
        <v>0</v>
      </c>
      <c r="N481" t="s">
        <v>84</v>
      </c>
      <c r="O481">
        <v>0</v>
      </c>
      <c r="Q481">
        <v>0</v>
      </c>
      <c r="S481">
        <v>0</v>
      </c>
      <c r="T481" t="s">
        <v>84</v>
      </c>
      <c r="U481">
        <v>0</v>
      </c>
      <c r="W481" t="s">
        <v>84</v>
      </c>
      <c r="X481" t="s">
        <v>84</v>
      </c>
      <c r="Y481" t="s">
        <v>84</v>
      </c>
      <c r="Z481">
        <v>0</v>
      </c>
      <c r="AA481" t="s">
        <v>84</v>
      </c>
      <c r="AB481">
        <v>9200</v>
      </c>
      <c r="AD481">
        <v>0</v>
      </c>
      <c r="AE481">
        <v>0</v>
      </c>
      <c r="AH481" t="s">
        <v>84</v>
      </c>
      <c r="AI481">
        <v>0</v>
      </c>
      <c r="AJ481">
        <v>0</v>
      </c>
      <c r="AK481" t="s">
        <v>84</v>
      </c>
      <c r="AL481" t="s">
        <v>84</v>
      </c>
      <c r="AN481" t="s">
        <v>84</v>
      </c>
      <c r="AQ481">
        <v>0</v>
      </c>
      <c r="AR481">
        <v>0</v>
      </c>
      <c r="AS481">
        <v>0</v>
      </c>
      <c r="AT481" t="s">
        <v>84</v>
      </c>
      <c r="AU481" t="s">
        <v>84</v>
      </c>
      <c r="AV481">
        <v>9930</v>
      </c>
    </row>
    <row r="482" spans="1:48" x14ac:dyDescent="0.25">
      <c r="A482">
        <v>0</v>
      </c>
      <c r="B482" t="s">
        <v>260</v>
      </c>
      <c r="C482" t="s">
        <v>110</v>
      </c>
      <c r="D482">
        <v>9000</v>
      </c>
      <c r="J482" t="s">
        <v>84</v>
      </c>
      <c r="L482" t="s">
        <v>84</v>
      </c>
      <c r="N482" t="s">
        <v>84</v>
      </c>
      <c r="T482" t="s">
        <v>84</v>
      </c>
      <c r="W482" t="s">
        <v>84</v>
      </c>
      <c r="X482" t="s">
        <v>84</v>
      </c>
      <c r="Y482" t="s">
        <v>84</v>
      </c>
      <c r="AA482" t="s">
        <v>84</v>
      </c>
      <c r="AH482" t="s">
        <v>84</v>
      </c>
      <c r="AK482" t="s">
        <v>84</v>
      </c>
      <c r="AL482" t="s">
        <v>84</v>
      </c>
      <c r="AN482" t="s">
        <v>84</v>
      </c>
      <c r="AT482" t="s">
        <v>84</v>
      </c>
      <c r="AU482" t="s">
        <v>84</v>
      </c>
      <c r="AV482">
        <v>9930</v>
      </c>
    </row>
    <row r="483" spans="1:48" x14ac:dyDescent="0.25">
      <c r="A483">
        <v>1</v>
      </c>
      <c r="B483" t="s">
        <v>260</v>
      </c>
      <c r="C483" t="s">
        <v>87</v>
      </c>
      <c r="D483">
        <v>120548.3417</v>
      </c>
      <c r="J483" t="s">
        <v>84</v>
      </c>
      <c r="L483" t="s">
        <v>84</v>
      </c>
      <c r="N483" t="s">
        <v>84</v>
      </c>
      <c r="O483">
        <v>14300</v>
      </c>
      <c r="P483">
        <v>34400</v>
      </c>
      <c r="Q483">
        <v>33900</v>
      </c>
      <c r="R483">
        <v>5338</v>
      </c>
      <c r="T483" t="s">
        <v>84</v>
      </c>
      <c r="W483" t="s">
        <v>84</v>
      </c>
      <c r="X483" t="s">
        <v>84</v>
      </c>
      <c r="Y483" t="s">
        <v>84</v>
      </c>
      <c r="AA483" t="s">
        <v>84</v>
      </c>
      <c r="AH483" t="s">
        <v>84</v>
      </c>
      <c r="AK483" t="s">
        <v>84</v>
      </c>
      <c r="AL483" t="s">
        <v>84</v>
      </c>
      <c r="AN483" t="s">
        <v>84</v>
      </c>
      <c r="AT483" t="s">
        <v>84</v>
      </c>
      <c r="AU483" t="s">
        <v>84</v>
      </c>
      <c r="AV483">
        <v>135828.56390000001</v>
      </c>
    </row>
    <row r="484" spans="1:48" x14ac:dyDescent="0.25">
      <c r="A484">
        <v>0</v>
      </c>
      <c r="B484" t="s">
        <v>260</v>
      </c>
      <c r="C484" t="s">
        <v>87</v>
      </c>
      <c r="D484">
        <v>124425.0583</v>
      </c>
      <c r="J484" t="s">
        <v>84</v>
      </c>
      <c r="L484" t="s">
        <v>84</v>
      </c>
      <c r="N484" t="s">
        <v>84</v>
      </c>
      <c r="T484" t="s">
        <v>84</v>
      </c>
      <c r="W484" t="s">
        <v>84</v>
      </c>
      <c r="X484" t="s">
        <v>84</v>
      </c>
      <c r="Y484" t="s">
        <v>84</v>
      </c>
      <c r="AA484" t="s">
        <v>84</v>
      </c>
      <c r="AH484" t="s">
        <v>84</v>
      </c>
      <c r="AK484" t="s">
        <v>84</v>
      </c>
      <c r="AL484" t="s">
        <v>84</v>
      </c>
      <c r="AN484" t="s">
        <v>84</v>
      </c>
      <c r="AT484" t="s">
        <v>84</v>
      </c>
      <c r="AU484" t="s">
        <v>84</v>
      </c>
      <c r="AV484">
        <v>135828.56390000001</v>
      </c>
    </row>
    <row r="485" spans="1:48" x14ac:dyDescent="0.25">
      <c r="A485">
        <v>0</v>
      </c>
      <c r="B485" t="s">
        <v>260</v>
      </c>
      <c r="C485" t="s">
        <v>87</v>
      </c>
      <c r="D485">
        <v>162512.2917</v>
      </c>
      <c r="J485" t="s">
        <v>84</v>
      </c>
      <c r="L485" t="s">
        <v>84</v>
      </c>
      <c r="N485" t="s">
        <v>84</v>
      </c>
      <c r="T485" t="s">
        <v>84</v>
      </c>
      <c r="W485" t="s">
        <v>84</v>
      </c>
      <c r="X485" t="s">
        <v>84</v>
      </c>
      <c r="Y485" t="s">
        <v>84</v>
      </c>
      <c r="AA485" t="s">
        <v>84</v>
      </c>
      <c r="AH485" t="s">
        <v>84</v>
      </c>
      <c r="AK485" t="s">
        <v>84</v>
      </c>
      <c r="AL485" t="s">
        <v>84</v>
      </c>
      <c r="AN485" t="s">
        <v>84</v>
      </c>
      <c r="AT485" t="s">
        <v>84</v>
      </c>
      <c r="AU485" t="s">
        <v>84</v>
      </c>
      <c r="AV485">
        <v>135828.56390000001</v>
      </c>
    </row>
    <row r="486" spans="1:48" x14ac:dyDescent="0.25">
      <c r="A486">
        <v>1</v>
      </c>
      <c r="B486" t="s">
        <v>260</v>
      </c>
      <c r="C486" t="s">
        <v>98</v>
      </c>
      <c r="D486">
        <v>22550</v>
      </c>
      <c r="J486" t="s">
        <v>84</v>
      </c>
      <c r="L486" t="s">
        <v>84</v>
      </c>
      <c r="N486" t="s">
        <v>84</v>
      </c>
      <c r="T486" t="s">
        <v>84</v>
      </c>
      <c r="V486">
        <v>22550</v>
      </c>
      <c r="W486" t="s">
        <v>84</v>
      </c>
      <c r="X486" t="s">
        <v>84</v>
      </c>
      <c r="Y486" t="s">
        <v>84</v>
      </c>
      <c r="AA486" t="s">
        <v>84</v>
      </c>
      <c r="AH486" t="s">
        <v>84</v>
      </c>
      <c r="AK486" t="s">
        <v>84</v>
      </c>
      <c r="AL486" t="s">
        <v>84</v>
      </c>
      <c r="AN486" t="s">
        <v>84</v>
      </c>
      <c r="AT486" t="s">
        <v>84</v>
      </c>
      <c r="AU486" t="s">
        <v>84</v>
      </c>
      <c r="AV486">
        <v>21600</v>
      </c>
    </row>
    <row r="487" spans="1:48" x14ac:dyDescent="0.25">
      <c r="A487">
        <v>0</v>
      </c>
      <c r="B487" t="s">
        <v>260</v>
      </c>
      <c r="C487" t="s">
        <v>98</v>
      </c>
      <c r="D487">
        <v>20650</v>
      </c>
      <c r="J487" t="s">
        <v>84</v>
      </c>
      <c r="L487" t="s">
        <v>84</v>
      </c>
      <c r="N487" t="s">
        <v>84</v>
      </c>
      <c r="T487" t="s">
        <v>84</v>
      </c>
      <c r="W487" t="s">
        <v>84</v>
      </c>
      <c r="X487" t="s">
        <v>84</v>
      </c>
      <c r="Y487" t="s">
        <v>84</v>
      </c>
      <c r="AA487" t="s">
        <v>84</v>
      </c>
      <c r="AH487" t="s">
        <v>84</v>
      </c>
      <c r="AK487" t="s">
        <v>84</v>
      </c>
      <c r="AL487" t="s">
        <v>84</v>
      </c>
      <c r="AN487" t="s">
        <v>84</v>
      </c>
      <c r="AT487" t="s">
        <v>84</v>
      </c>
      <c r="AU487" t="s">
        <v>84</v>
      </c>
      <c r="AV487">
        <v>21600</v>
      </c>
    </row>
    <row r="488" spans="1:48" x14ac:dyDescent="0.25">
      <c r="A488">
        <v>1</v>
      </c>
      <c r="B488" t="s">
        <v>260</v>
      </c>
      <c r="C488" t="s">
        <v>121</v>
      </c>
      <c r="D488">
        <v>187823.6317</v>
      </c>
      <c r="G488">
        <v>0</v>
      </c>
      <c r="I488">
        <v>15569</v>
      </c>
      <c r="J488" t="s">
        <v>84</v>
      </c>
      <c r="L488" t="s">
        <v>84</v>
      </c>
      <c r="N488" t="s">
        <v>84</v>
      </c>
      <c r="S488">
        <v>7932</v>
      </c>
      <c r="T488" t="s">
        <v>84</v>
      </c>
      <c r="U488">
        <v>9440</v>
      </c>
      <c r="W488" t="s">
        <v>84</v>
      </c>
      <c r="X488" t="s">
        <v>84</v>
      </c>
      <c r="Y488" t="s">
        <v>84</v>
      </c>
      <c r="AA488" t="s">
        <v>84</v>
      </c>
      <c r="AB488">
        <v>0</v>
      </c>
      <c r="AD488">
        <v>16272</v>
      </c>
      <c r="AG488">
        <v>9792</v>
      </c>
      <c r="AH488" t="s">
        <v>84</v>
      </c>
      <c r="AI488">
        <v>7113</v>
      </c>
      <c r="AJ488">
        <v>42236</v>
      </c>
      <c r="AK488" t="s">
        <v>84</v>
      </c>
      <c r="AL488" t="s">
        <v>84</v>
      </c>
      <c r="AM488">
        <v>18800</v>
      </c>
      <c r="AN488" t="s">
        <v>84</v>
      </c>
      <c r="AP488">
        <v>548</v>
      </c>
      <c r="AR488">
        <v>3748</v>
      </c>
      <c r="AS488">
        <v>7020</v>
      </c>
      <c r="AT488" t="s">
        <v>84</v>
      </c>
      <c r="AU488" t="s">
        <v>84</v>
      </c>
      <c r="AV488">
        <v>151739.2697</v>
      </c>
    </row>
    <row r="489" spans="1:48" x14ac:dyDescent="0.25">
      <c r="A489">
        <v>0</v>
      </c>
      <c r="B489" t="s">
        <v>260</v>
      </c>
      <c r="C489" t="s">
        <v>121</v>
      </c>
      <c r="D489">
        <v>115654.9077</v>
      </c>
      <c r="J489" t="s">
        <v>84</v>
      </c>
      <c r="L489" t="s">
        <v>84</v>
      </c>
      <c r="N489" t="s">
        <v>84</v>
      </c>
      <c r="T489" t="s">
        <v>84</v>
      </c>
      <c r="W489" t="s">
        <v>84</v>
      </c>
      <c r="X489" t="s">
        <v>84</v>
      </c>
      <c r="Y489" t="s">
        <v>84</v>
      </c>
      <c r="AA489" t="s">
        <v>84</v>
      </c>
      <c r="AH489" t="s">
        <v>84</v>
      </c>
      <c r="AK489" t="s">
        <v>84</v>
      </c>
      <c r="AL489" t="s">
        <v>84</v>
      </c>
      <c r="AN489" t="s">
        <v>84</v>
      </c>
      <c r="AT489" t="s">
        <v>84</v>
      </c>
      <c r="AU489" t="s">
        <v>84</v>
      </c>
      <c r="AV489">
        <v>151739.2697</v>
      </c>
    </row>
    <row r="490" spans="1:48" x14ac:dyDescent="0.25">
      <c r="A490">
        <v>1</v>
      </c>
      <c r="B490" t="s">
        <v>260</v>
      </c>
      <c r="C490" t="s">
        <v>114</v>
      </c>
      <c r="D490">
        <v>12500</v>
      </c>
      <c r="J490" t="s">
        <v>84</v>
      </c>
      <c r="L490" t="s">
        <v>84</v>
      </c>
      <c r="N490" t="s">
        <v>84</v>
      </c>
      <c r="T490" t="s">
        <v>84</v>
      </c>
      <c r="W490" t="s">
        <v>84</v>
      </c>
      <c r="X490" t="s">
        <v>84</v>
      </c>
      <c r="Y490" t="s">
        <v>84</v>
      </c>
      <c r="AA490" t="s">
        <v>84</v>
      </c>
      <c r="AH490" t="s">
        <v>84</v>
      </c>
      <c r="AK490" t="s">
        <v>84</v>
      </c>
      <c r="AL490" t="s">
        <v>84</v>
      </c>
      <c r="AN490" t="s">
        <v>84</v>
      </c>
      <c r="AO490">
        <v>12500</v>
      </c>
      <c r="AT490" t="s">
        <v>84</v>
      </c>
      <c r="AU490" t="s">
        <v>84</v>
      </c>
      <c r="AV490">
        <v>26250</v>
      </c>
    </row>
    <row r="491" spans="1:48" x14ac:dyDescent="0.25">
      <c r="A491">
        <v>0</v>
      </c>
      <c r="B491" t="s">
        <v>260</v>
      </c>
      <c r="C491" t="s">
        <v>114</v>
      </c>
      <c r="D491">
        <v>40000</v>
      </c>
      <c r="J491" t="s">
        <v>84</v>
      </c>
      <c r="L491" t="s">
        <v>84</v>
      </c>
      <c r="N491" t="s">
        <v>84</v>
      </c>
      <c r="T491" t="s">
        <v>84</v>
      </c>
      <c r="W491" t="s">
        <v>84</v>
      </c>
      <c r="X491" t="s">
        <v>84</v>
      </c>
      <c r="Y491" t="s">
        <v>84</v>
      </c>
      <c r="AA491" t="s">
        <v>84</v>
      </c>
      <c r="AH491" t="s">
        <v>84</v>
      </c>
      <c r="AK491" t="s">
        <v>84</v>
      </c>
      <c r="AL491" t="s">
        <v>84</v>
      </c>
      <c r="AN491" t="s">
        <v>84</v>
      </c>
      <c r="AT491" t="s">
        <v>84</v>
      </c>
      <c r="AU491" t="s">
        <v>84</v>
      </c>
      <c r="AV491">
        <v>26250</v>
      </c>
    </row>
    <row r="492" spans="1:48" x14ac:dyDescent="0.25">
      <c r="A492">
        <v>0</v>
      </c>
      <c r="B492" t="s">
        <v>179</v>
      </c>
      <c r="C492" t="s">
        <v>92</v>
      </c>
      <c r="D492">
        <v>21840</v>
      </c>
      <c r="J492" t="s">
        <v>84</v>
      </c>
      <c r="L492" t="s">
        <v>84</v>
      </c>
      <c r="N492" t="s">
        <v>84</v>
      </c>
      <c r="T492" t="s">
        <v>84</v>
      </c>
      <c r="W492" t="s">
        <v>84</v>
      </c>
      <c r="X492" t="s">
        <v>84</v>
      </c>
      <c r="Y492" t="s">
        <v>84</v>
      </c>
      <c r="AA492" t="s">
        <v>84</v>
      </c>
      <c r="AH492" t="s">
        <v>84</v>
      </c>
      <c r="AK492" t="s">
        <v>84</v>
      </c>
      <c r="AL492" t="s">
        <v>84</v>
      </c>
      <c r="AN492" t="s">
        <v>84</v>
      </c>
      <c r="AT492" t="s">
        <v>84</v>
      </c>
      <c r="AU492" t="s">
        <v>84</v>
      </c>
      <c r="AV492">
        <v>37666.666666666664</v>
      </c>
    </row>
    <row r="493" spans="1:48" x14ac:dyDescent="0.25">
      <c r="A493">
        <v>0</v>
      </c>
      <c r="B493" t="s">
        <v>179</v>
      </c>
      <c r="C493" t="s">
        <v>92</v>
      </c>
      <c r="D493">
        <v>23630</v>
      </c>
      <c r="J493" t="s">
        <v>84</v>
      </c>
      <c r="L493" t="s">
        <v>84</v>
      </c>
      <c r="N493" t="s">
        <v>84</v>
      </c>
      <c r="T493" t="s">
        <v>84</v>
      </c>
      <c r="W493" t="s">
        <v>84</v>
      </c>
      <c r="X493" t="s">
        <v>84</v>
      </c>
      <c r="Y493" t="s">
        <v>84</v>
      </c>
      <c r="AA493" t="s">
        <v>84</v>
      </c>
      <c r="AH493" t="s">
        <v>84</v>
      </c>
      <c r="AK493" t="s">
        <v>84</v>
      </c>
      <c r="AL493" t="s">
        <v>84</v>
      </c>
      <c r="AN493" t="s">
        <v>84</v>
      </c>
      <c r="AT493" t="s">
        <v>84</v>
      </c>
      <c r="AU493" t="s">
        <v>84</v>
      </c>
      <c r="AV493">
        <v>37666.666666666664</v>
      </c>
    </row>
    <row r="494" spans="1:48" x14ac:dyDescent="0.25">
      <c r="A494">
        <v>1</v>
      </c>
      <c r="B494" t="s">
        <v>179</v>
      </c>
      <c r="C494" t="s">
        <v>92</v>
      </c>
      <c r="D494">
        <v>67530</v>
      </c>
      <c r="H494">
        <v>67530</v>
      </c>
      <c r="J494" t="s">
        <v>84</v>
      </c>
      <c r="L494" t="s">
        <v>84</v>
      </c>
      <c r="N494" t="s">
        <v>84</v>
      </c>
      <c r="T494" t="s">
        <v>84</v>
      </c>
      <c r="W494" t="s">
        <v>84</v>
      </c>
      <c r="X494" t="s">
        <v>84</v>
      </c>
      <c r="Y494" t="s">
        <v>84</v>
      </c>
      <c r="AA494" t="s">
        <v>84</v>
      </c>
      <c r="AH494" t="s">
        <v>84</v>
      </c>
      <c r="AK494" t="s">
        <v>84</v>
      </c>
      <c r="AL494" t="s">
        <v>84</v>
      </c>
      <c r="AN494" t="s">
        <v>84</v>
      </c>
      <c r="AT494" t="s">
        <v>84</v>
      </c>
      <c r="AU494" t="s">
        <v>84</v>
      </c>
      <c r="AV494">
        <v>37666.666666666664</v>
      </c>
    </row>
    <row r="495" spans="1:48" x14ac:dyDescent="0.25">
      <c r="A495">
        <v>1</v>
      </c>
      <c r="B495" t="s">
        <v>179</v>
      </c>
      <c r="C495" t="s">
        <v>114</v>
      </c>
      <c r="D495">
        <v>40100</v>
      </c>
      <c r="J495" t="s">
        <v>84</v>
      </c>
      <c r="L495" t="s">
        <v>84</v>
      </c>
      <c r="N495" t="s">
        <v>84</v>
      </c>
      <c r="T495" t="s">
        <v>84</v>
      </c>
      <c r="W495" t="s">
        <v>84</v>
      </c>
      <c r="X495" t="s">
        <v>84</v>
      </c>
      <c r="Y495" t="s">
        <v>84</v>
      </c>
      <c r="AA495" t="s">
        <v>84</v>
      </c>
      <c r="AH495" t="s">
        <v>84</v>
      </c>
      <c r="AK495" t="s">
        <v>84</v>
      </c>
      <c r="AL495" t="s">
        <v>84</v>
      </c>
      <c r="AN495" t="s">
        <v>84</v>
      </c>
      <c r="AO495">
        <v>40100</v>
      </c>
      <c r="AT495" t="s">
        <v>84</v>
      </c>
      <c r="AU495" t="s">
        <v>84</v>
      </c>
      <c r="AV495">
        <v>39225</v>
      </c>
    </row>
    <row r="496" spans="1:48" x14ac:dyDescent="0.25">
      <c r="A496">
        <v>0</v>
      </c>
      <c r="B496" t="s">
        <v>179</v>
      </c>
      <c r="C496" t="s">
        <v>114</v>
      </c>
      <c r="D496">
        <v>38350</v>
      </c>
      <c r="J496" t="s">
        <v>84</v>
      </c>
      <c r="L496" t="s">
        <v>84</v>
      </c>
      <c r="N496" t="s">
        <v>84</v>
      </c>
      <c r="T496" t="s">
        <v>84</v>
      </c>
      <c r="W496" t="s">
        <v>84</v>
      </c>
      <c r="X496" t="s">
        <v>84</v>
      </c>
      <c r="Y496" t="s">
        <v>84</v>
      </c>
      <c r="AA496" t="s">
        <v>84</v>
      </c>
      <c r="AH496" t="s">
        <v>84</v>
      </c>
      <c r="AK496" t="s">
        <v>84</v>
      </c>
      <c r="AL496" t="s">
        <v>84</v>
      </c>
      <c r="AN496" t="s">
        <v>84</v>
      </c>
      <c r="AT496" t="s">
        <v>84</v>
      </c>
      <c r="AU496" t="s">
        <v>84</v>
      </c>
      <c r="AV496">
        <v>39225</v>
      </c>
    </row>
    <row r="497" spans="1:48" x14ac:dyDescent="0.25">
      <c r="A497">
        <v>1</v>
      </c>
      <c r="B497" t="s">
        <v>179</v>
      </c>
      <c r="C497" t="s">
        <v>121</v>
      </c>
      <c r="D497">
        <v>151817.5208</v>
      </c>
      <c r="G497">
        <v>0</v>
      </c>
      <c r="I497">
        <v>7990</v>
      </c>
      <c r="J497" t="s">
        <v>84</v>
      </c>
      <c r="L497" t="s">
        <v>84</v>
      </c>
      <c r="N497" t="s">
        <v>84</v>
      </c>
      <c r="S497">
        <v>4592</v>
      </c>
      <c r="T497" t="s">
        <v>84</v>
      </c>
      <c r="U497">
        <v>6368</v>
      </c>
      <c r="W497" t="s">
        <v>84</v>
      </c>
      <c r="X497" t="s">
        <v>84</v>
      </c>
      <c r="Y497" t="s">
        <v>84</v>
      </c>
      <c r="AA497" t="s">
        <v>84</v>
      </c>
      <c r="AB497">
        <v>0</v>
      </c>
      <c r="AD497">
        <v>20868</v>
      </c>
      <c r="AG497">
        <v>6658</v>
      </c>
      <c r="AH497" t="s">
        <v>84</v>
      </c>
      <c r="AI497">
        <v>5539</v>
      </c>
      <c r="AJ497">
        <v>36722</v>
      </c>
      <c r="AK497" t="s">
        <v>84</v>
      </c>
      <c r="AL497" t="s">
        <v>84</v>
      </c>
      <c r="AM497">
        <v>7669</v>
      </c>
      <c r="AN497" t="s">
        <v>84</v>
      </c>
      <c r="AP497">
        <v>4310</v>
      </c>
      <c r="AR497">
        <v>5064</v>
      </c>
      <c r="AS497">
        <v>1669</v>
      </c>
      <c r="AT497" t="s">
        <v>84</v>
      </c>
      <c r="AU497" t="s">
        <v>84</v>
      </c>
      <c r="AV497">
        <v>142410.3443</v>
      </c>
    </row>
    <row r="498" spans="1:48" x14ac:dyDescent="0.25">
      <c r="A498">
        <v>0</v>
      </c>
      <c r="B498" t="s">
        <v>179</v>
      </c>
      <c r="C498" t="s">
        <v>121</v>
      </c>
      <c r="D498">
        <v>133003.1678</v>
      </c>
      <c r="J498" t="s">
        <v>84</v>
      </c>
      <c r="L498" t="s">
        <v>84</v>
      </c>
      <c r="N498" t="s">
        <v>84</v>
      </c>
      <c r="T498" t="s">
        <v>84</v>
      </c>
      <c r="W498" t="s">
        <v>84</v>
      </c>
      <c r="X498" t="s">
        <v>84</v>
      </c>
      <c r="Y498" t="s">
        <v>84</v>
      </c>
      <c r="AA498" t="s">
        <v>84</v>
      </c>
      <c r="AH498" t="s">
        <v>84</v>
      </c>
      <c r="AK498" t="s">
        <v>84</v>
      </c>
      <c r="AL498" t="s">
        <v>84</v>
      </c>
      <c r="AN498" t="s">
        <v>84</v>
      </c>
      <c r="AT498" t="s">
        <v>84</v>
      </c>
      <c r="AU498" t="s">
        <v>84</v>
      </c>
      <c r="AV498">
        <v>142410.3443</v>
      </c>
    </row>
    <row r="499" spans="1:48" x14ac:dyDescent="0.25">
      <c r="A499">
        <v>1</v>
      </c>
      <c r="B499" t="s">
        <v>179</v>
      </c>
      <c r="C499" t="s">
        <v>125</v>
      </c>
      <c r="D499">
        <v>40800</v>
      </c>
      <c r="J499" t="s">
        <v>84</v>
      </c>
      <c r="L499" t="s">
        <v>84</v>
      </c>
      <c r="N499" t="s">
        <v>84</v>
      </c>
      <c r="T499" t="s">
        <v>84</v>
      </c>
      <c r="W499" t="s">
        <v>84</v>
      </c>
      <c r="X499" t="s">
        <v>84</v>
      </c>
      <c r="Y499" t="s">
        <v>84</v>
      </c>
      <c r="AA499" t="s">
        <v>84</v>
      </c>
      <c r="AC499">
        <v>40800</v>
      </c>
      <c r="AH499" t="s">
        <v>84</v>
      </c>
      <c r="AK499" t="s">
        <v>84</v>
      </c>
      <c r="AL499" t="s">
        <v>84</v>
      </c>
      <c r="AN499" t="s">
        <v>84</v>
      </c>
      <c r="AT499" t="s">
        <v>84</v>
      </c>
      <c r="AU499" t="s">
        <v>84</v>
      </c>
      <c r="AV499">
        <v>30116.666666666664</v>
      </c>
    </row>
    <row r="500" spans="1:48" x14ac:dyDescent="0.25">
      <c r="A500">
        <v>0</v>
      </c>
      <c r="B500" t="s">
        <v>179</v>
      </c>
      <c r="C500" t="s">
        <v>125</v>
      </c>
      <c r="D500">
        <v>22400</v>
      </c>
      <c r="J500" t="s">
        <v>84</v>
      </c>
      <c r="L500" t="s">
        <v>84</v>
      </c>
      <c r="N500" t="s">
        <v>84</v>
      </c>
      <c r="T500" t="s">
        <v>84</v>
      </c>
      <c r="W500" t="s">
        <v>84</v>
      </c>
      <c r="X500" t="s">
        <v>84</v>
      </c>
      <c r="Y500" t="s">
        <v>84</v>
      </c>
      <c r="AA500" t="s">
        <v>84</v>
      </c>
      <c r="AH500" t="s">
        <v>84</v>
      </c>
      <c r="AK500" t="s">
        <v>84</v>
      </c>
      <c r="AL500" t="s">
        <v>84</v>
      </c>
      <c r="AN500" t="s">
        <v>84</v>
      </c>
      <c r="AT500" t="s">
        <v>84</v>
      </c>
      <c r="AU500" t="s">
        <v>84</v>
      </c>
      <c r="AV500">
        <v>30116.666666666664</v>
      </c>
    </row>
    <row r="501" spans="1:48" x14ac:dyDescent="0.25">
      <c r="A501">
        <v>0</v>
      </c>
      <c r="B501" t="s">
        <v>179</v>
      </c>
      <c r="C501" t="s">
        <v>125</v>
      </c>
      <c r="D501">
        <v>27150</v>
      </c>
      <c r="J501" t="s">
        <v>84</v>
      </c>
      <c r="L501" t="s">
        <v>84</v>
      </c>
      <c r="N501" t="s">
        <v>84</v>
      </c>
      <c r="T501" t="s">
        <v>84</v>
      </c>
      <c r="W501" t="s">
        <v>84</v>
      </c>
      <c r="X501" t="s">
        <v>84</v>
      </c>
      <c r="Y501" t="s">
        <v>84</v>
      </c>
      <c r="AA501" t="s">
        <v>84</v>
      </c>
      <c r="AH501" t="s">
        <v>84</v>
      </c>
      <c r="AK501" t="s">
        <v>84</v>
      </c>
      <c r="AL501" t="s">
        <v>84</v>
      </c>
      <c r="AN501" t="s">
        <v>84</v>
      </c>
      <c r="AT501" t="s">
        <v>84</v>
      </c>
      <c r="AU501" t="s">
        <v>84</v>
      </c>
      <c r="AV501">
        <v>30116.666666666664</v>
      </c>
    </row>
    <row r="502" spans="1:48" x14ac:dyDescent="0.25">
      <c r="A502">
        <v>0</v>
      </c>
      <c r="B502" t="s">
        <v>179</v>
      </c>
      <c r="C502" t="s">
        <v>98</v>
      </c>
      <c r="D502">
        <v>27450</v>
      </c>
      <c r="J502" t="s">
        <v>84</v>
      </c>
      <c r="L502" t="s">
        <v>84</v>
      </c>
      <c r="N502" t="s">
        <v>84</v>
      </c>
      <c r="T502" t="s">
        <v>84</v>
      </c>
      <c r="W502" t="s">
        <v>84</v>
      </c>
      <c r="X502" t="s">
        <v>84</v>
      </c>
      <c r="Y502" t="s">
        <v>84</v>
      </c>
      <c r="AA502" t="s">
        <v>84</v>
      </c>
      <c r="AH502" t="s">
        <v>84</v>
      </c>
      <c r="AK502" t="s">
        <v>84</v>
      </c>
      <c r="AL502" t="s">
        <v>84</v>
      </c>
      <c r="AN502" t="s">
        <v>84</v>
      </c>
      <c r="AT502" t="s">
        <v>84</v>
      </c>
      <c r="AU502" t="s">
        <v>84</v>
      </c>
      <c r="AV502">
        <v>33800</v>
      </c>
    </row>
    <row r="503" spans="1:48" x14ac:dyDescent="0.25">
      <c r="A503">
        <v>1</v>
      </c>
      <c r="B503" t="s">
        <v>179</v>
      </c>
      <c r="C503" t="s">
        <v>98</v>
      </c>
      <c r="D503">
        <v>40150</v>
      </c>
      <c r="J503" t="s">
        <v>84</v>
      </c>
      <c r="L503" t="s">
        <v>84</v>
      </c>
      <c r="N503" t="s">
        <v>84</v>
      </c>
      <c r="T503" t="s">
        <v>84</v>
      </c>
      <c r="V503">
        <v>40150</v>
      </c>
      <c r="W503" t="s">
        <v>84</v>
      </c>
      <c r="X503" t="s">
        <v>84</v>
      </c>
      <c r="Y503" t="s">
        <v>84</v>
      </c>
      <c r="AA503" t="s">
        <v>84</v>
      </c>
      <c r="AH503" t="s">
        <v>84</v>
      </c>
      <c r="AK503" t="s">
        <v>84</v>
      </c>
      <c r="AL503" t="s">
        <v>84</v>
      </c>
      <c r="AN503" t="s">
        <v>84</v>
      </c>
      <c r="AT503" t="s">
        <v>84</v>
      </c>
      <c r="AU503" t="s">
        <v>84</v>
      </c>
      <c r="AV503">
        <v>33800</v>
      </c>
    </row>
    <row r="504" spans="1:48" x14ac:dyDescent="0.25">
      <c r="A504">
        <v>0</v>
      </c>
      <c r="B504" t="s">
        <v>179</v>
      </c>
      <c r="C504" t="s">
        <v>87</v>
      </c>
      <c r="D504">
        <v>119010.26669999999</v>
      </c>
      <c r="J504" t="s">
        <v>84</v>
      </c>
      <c r="L504" t="s">
        <v>84</v>
      </c>
      <c r="N504" t="s">
        <v>84</v>
      </c>
      <c r="T504" t="s">
        <v>84</v>
      </c>
      <c r="W504" t="s">
        <v>84</v>
      </c>
      <c r="X504" t="s">
        <v>84</v>
      </c>
      <c r="Y504" t="s">
        <v>84</v>
      </c>
      <c r="AA504" t="s">
        <v>84</v>
      </c>
      <c r="AH504" t="s">
        <v>84</v>
      </c>
      <c r="AK504" t="s">
        <v>84</v>
      </c>
      <c r="AL504" t="s">
        <v>84</v>
      </c>
      <c r="AN504" t="s">
        <v>84</v>
      </c>
      <c r="AT504" t="s">
        <v>84</v>
      </c>
      <c r="AU504" t="s">
        <v>84</v>
      </c>
      <c r="AV504">
        <v>112430.26669999999</v>
      </c>
    </row>
    <row r="505" spans="1:48" x14ac:dyDescent="0.25">
      <c r="A505">
        <v>1</v>
      </c>
      <c r="B505" t="s">
        <v>179</v>
      </c>
      <c r="C505" t="s">
        <v>87</v>
      </c>
      <c r="D505">
        <v>105850.26669999999</v>
      </c>
      <c r="J505" t="s">
        <v>84</v>
      </c>
      <c r="L505" t="s">
        <v>84</v>
      </c>
      <c r="N505" t="s">
        <v>84</v>
      </c>
      <c r="O505">
        <v>29600</v>
      </c>
      <c r="P505">
        <v>27700</v>
      </c>
      <c r="Q505">
        <v>13100</v>
      </c>
      <c r="R505">
        <v>6816</v>
      </c>
      <c r="T505" t="s">
        <v>84</v>
      </c>
      <c r="W505" t="s">
        <v>84</v>
      </c>
      <c r="X505" t="s">
        <v>84</v>
      </c>
      <c r="Y505" t="s">
        <v>84</v>
      </c>
      <c r="AA505" t="s">
        <v>84</v>
      </c>
      <c r="AH505" t="s">
        <v>84</v>
      </c>
      <c r="AK505" t="s">
        <v>84</v>
      </c>
      <c r="AL505" t="s">
        <v>84</v>
      </c>
      <c r="AN505" t="s">
        <v>84</v>
      </c>
      <c r="AT505" t="s">
        <v>84</v>
      </c>
      <c r="AU505" t="s">
        <v>84</v>
      </c>
      <c r="AV505">
        <v>112430.26669999999</v>
      </c>
    </row>
    <row r="506" spans="1:48" x14ac:dyDescent="0.25">
      <c r="A506">
        <v>0</v>
      </c>
      <c r="B506" t="s">
        <v>179</v>
      </c>
      <c r="C506" t="s">
        <v>110</v>
      </c>
      <c r="D506">
        <v>13986</v>
      </c>
      <c r="J506" t="s">
        <v>84</v>
      </c>
      <c r="L506" t="s">
        <v>84</v>
      </c>
      <c r="N506" t="s">
        <v>84</v>
      </c>
      <c r="T506" t="s">
        <v>84</v>
      </c>
      <c r="W506" t="s">
        <v>84</v>
      </c>
      <c r="X506" t="s">
        <v>84</v>
      </c>
      <c r="Y506" t="s">
        <v>84</v>
      </c>
      <c r="AA506" t="s">
        <v>84</v>
      </c>
      <c r="AH506" t="s">
        <v>84</v>
      </c>
      <c r="AK506" t="s">
        <v>84</v>
      </c>
      <c r="AL506" t="s">
        <v>84</v>
      </c>
      <c r="AN506" t="s">
        <v>84</v>
      </c>
      <c r="AT506" t="s">
        <v>84</v>
      </c>
      <c r="AU506" t="s">
        <v>84</v>
      </c>
      <c r="AV506">
        <v>12233</v>
      </c>
    </row>
    <row r="507" spans="1:48" x14ac:dyDescent="0.25">
      <c r="A507">
        <v>1</v>
      </c>
      <c r="B507" t="s">
        <v>179</v>
      </c>
      <c r="C507" t="s">
        <v>110</v>
      </c>
      <c r="D507">
        <v>11088</v>
      </c>
      <c r="F507">
        <v>0</v>
      </c>
      <c r="G507">
        <v>0</v>
      </c>
      <c r="J507" t="s">
        <v>84</v>
      </c>
      <c r="L507" t="s">
        <v>84</v>
      </c>
      <c r="M507">
        <v>0</v>
      </c>
      <c r="N507" t="s">
        <v>84</v>
      </c>
      <c r="O507">
        <v>0</v>
      </c>
      <c r="Q507">
        <v>0</v>
      </c>
      <c r="S507">
        <v>0</v>
      </c>
      <c r="T507" t="s">
        <v>84</v>
      </c>
      <c r="U507">
        <v>0</v>
      </c>
      <c r="W507" t="s">
        <v>84</v>
      </c>
      <c r="X507" t="s">
        <v>84</v>
      </c>
      <c r="Y507" t="s">
        <v>84</v>
      </c>
      <c r="Z507">
        <v>0</v>
      </c>
      <c r="AA507" t="s">
        <v>84</v>
      </c>
      <c r="AB507">
        <v>8800</v>
      </c>
      <c r="AD507">
        <v>0</v>
      </c>
      <c r="AE507">
        <v>0</v>
      </c>
      <c r="AH507" t="s">
        <v>84</v>
      </c>
      <c r="AI507">
        <v>0</v>
      </c>
      <c r="AJ507">
        <v>0</v>
      </c>
      <c r="AK507" t="s">
        <v>84</v>
      </c>
      <c r="AL507" t="s">
        <v>84</v>
      </c>
      <c r="AN507" t="s">
        <v>84</v>
      </c>
      <c r="AQ507">
        <v>0</v>
      </c>
      <c r="AR507">
        <v>0</v>
      </c>
      <c r="AS507">
        <v>0</v>
      </c>
      <c r="AT507" t="s">
        <v>84</v>
      </c>
      <c r="AU507" t="s">
        <v>84</v>
      </c>
      <c r="AV507">
        <v>12233</v>
      </c>
    </row>
    <row r="508" spans="1:48" x14ac:dyDescent="0.25">
      <c r="A508">
        <v>0</v>
      </c>
      <c r="B508" t="s">
        <v>179</v>
      </c>
      <c r="C508" t="s">
        <v>110</v>
      </c>
      <c r="D508">
        <v>11625</v>
      </c>
      <c r="J508" t="s">
        <v>84</v>
      </c>
      <c r="L508" t="s">
        <v>84</v>
      </c>
      <c r="N508" t="s">
        <v>84</v>
      </c>
      <c r="T508" t="s">
        <v>84</v>
      </c>
      <c r="W508" t="s">
        <v>84</v>
      </c>
      <c r="X508" t="s">
        <v>84</v>
      </c>
      <c r="Y508" t="s">
        <v>84</v>
      </c>
      <c r="AA508" t="s">
        <v>84</v>
      </c>
      <c r="AH508" t="s">
        <v>84</v>
      </c>
      <c r="AK508" t="s">
        <v>84</v>
      </c>
      <c r="AL508" t="s">
        <v>84</v>
      </c>
      <c r="AN508" t="s">
        <v>84</v>
      </c>
      <c r="AT508" t="s">
        <v>84</v>
      </c>
      <c r="AU508" t="s">
        <v>84</v>
      </c>
      <c r="AV508">
        <v>12233</v>
      </c>
    </row>
    <row r="509" spans="1:48" x14ac:dyDescent="0.25">
      <c r="A509">
        <v>0</v>
      </c>
      <c r="B509" t="s">
        <v>179</v>
      </c>
      <c r="C509" t="s">
        <v>106</v>
      </c>
      <c r="D509">
        <v>7010.9750000000004</v>
      </c>
      <c r="J509" t="s">
        <v>84</v>
      </c>
      <c r="L509" t="s">
        <v>84</v>
      </c>
      <c r="N509" t="s">
        <v>84</v>
      </c>
      <c r="T509" t="s">
        <v>84</v>
      </c>
      <c r="W509" t="s">
        <v>84</v>
      </c>
      <c r="X509" t="s">
        <v>84</v>
      </c>
      <c r="Y509" t="s">
        <v>84</v>
      </c>
      <c r="AA509" t="s">
        <v>84</v>
      </c>
      <c r="AH509" t="s">
        <v>84</v>
      </c>
      <c r="AK509" t="s">
        <v>84</v>
      </c>
      <c r="AL509" t="s">
        <v>84</v>
      </c>
      <c r="AN509" t="s">
        <v>84</v>
      </c>
      <c r="AT509" t="s">
        <v>84</v>
      </c>
      <c r="AU509" t="s">
        <v>84</v>
      </c>
      <c r="AV509">
        <v>7084.498333333333</v>
      </c>
    </row>
    <row r="510" spans="1:48" x14ac:dyDescent="0.25">
      <c r="A510">
        <v>1</v>
      </c>
      <c r="B510" t="s">
        <v>179</v>
      </c>
      <c r="C510" t="s">
        <v>106</v>
      </c>
      <c r="D510">
        <v>3552.7525000000001</v>
      </c>
      <c r="J510" t="s">
        <v>84</v>
      </c>
      <c r="K510">
        <v>500</v>
      </c>
      <c r="L510" t="s">
        <v>84</v>
      </c>
      <c r="N510" t="s">
        <v>84</v>
      </c>
      <c r="T510" t="s">
        <v>84</v>
      </c>
      <c r="W510" t="s">
        <v>84</v>
      </c>
      <c r="X510" t="s">
        <v>84</v>
      </c>
      <c r="Y510" t="s">
        <v>84</v>
      </c>
      <c r="AA510" t="s">
        <v>84</v>
      </c>
      <c r="AF510">
        <v>1755</v>
      </c>
      <c r="AH510" t="s">
        <v>84</v>
      </c>
      <c r="AK510" t="s">
        <v>84</v>
      </c>
      <c r="AL510" t="s">
        <v>84</v>
      </c>
      <c r="AN510" t="s">
        <v>84</v>
      </c>
      <c r="AT510" t="s">
        <v>84</v>
      </c>
      <c r="AU510" t="s">
        <v>84</v>
      </c>
      <c r="AV510">
        <v>7084.498333333333</v>
      </c>
    </row>
    <row r="511" spans="1:48" x14ac:dyDescent="0.25">
      <c r="A511">
        <v>0</v>
      </c>
      <c r="B511" t="s">
        <v>179</v>
      </c>
      <c r="C511" t="s">
        <v>106</v>
      </c>
      <c r="D511">
        <v>10689.7675</v>
      </c>
      <c r="J511" t="s">
        <v>84</v>
      </c>
      <c r="L511" t="s">
        <v>84</v>
      </c>
      <c r="N511" t="s">
        <v>84</v>
      </c>
      <c r="T511" t="s">
        <v>84</v>
      </c>
      <c r="W511" t="s">
        <v>84</v>
      </c>
      <c r="X511" t="s">
        <v>84</v>
      </c>
      <c r="Y511" t="s">
        <v>84</v>
      </c>
      <c r="AA511" t="s">
        <v>84</v>
      </c>
      <c r="AH511" t="s">
        <v>84</v>
      </c>
      <c r="AK511" t="s">
        <v>84</v>
      </c>
      <c r="AL511" t="s">
        <v>84</v>
      </c>
      <c r="AN511" t="s">
        <v>84</v>
      </c>
      <c r="AT511" t="s">
        <v>84</v>
      </c>
      <c r="AU511" t="s">
        <v>84</v>
      </c>
      <c r="AV511">
        <v>7084.498333333333</v>
      </c>
    </row>
    <row r="512" spans="1:48" x14ac:dyDescent="0.25">
      <c r="A512">
        <v>0</v>
      </c>
      <c r="B512" t="s">
        <v>179</v>
      </c>
      <c r="C512" t="s">
        <v>80</v>
      </c>
      <c r="D512">
        <v>609308.48</v>
      </c>
      <c r="J512" t="s">
        <v>84</v>
      </c>
      <c r="L512" t="s">
        <v>84</v>
      </c>
      <c r="N512" t="s">
        <v>84</v>
      </c>
      <c r="T512" t="s">
        <v>84</v>
      </c>
      <c r="W512" t="s">
        <v>84</v>
      </c>
      <c r="X512" t="s">
        <v>84</v>
      </c>
      <c r="Y512" t="s">
        <v>84</v>
      </c>
      <c r="AA512" t="s">
        <v>84</v>
      </c>
      <c r="AH512" t="s">
        <v>84</v>
      </c>
      <c r="AK512" t="s">
        <v>84</v>
      </c>
      <c r="AL512" t="s">
        <v>84</v>
      </c>
      <c r="AN512" t="s">
        <v>84</v>
      </c>
      <c r="AT512" t="s">
        <v>84</v>
      </c>
      <c r="AU512" t="s">
        <v>84</v>
      </c>
      <c r="AV512">
        <v>706071.20166666666</v>
      </c>
    </row>
    <row r="513" spans="1:48" x14ac:dyDescent="0.25">
      <c r="A513">
        <v>1</v>
      </c>
      <c r="B513" t="s">
        <v>179</v>
      </c>
      <c r="C513" t="s">
        <v>80</v>
      </c>
      <c r="D513">
        <v>650063.18000000005</v>
      </c>
      <c r="F513">
        <v>44330</v>
      </c>
      <c r="G513">
        <v>80150</v>
      </c>
      <c r="J513" t="s">
        <v>84</v>
      </c>
      <c r="L513" t="s">
        <v>84</v>
      </c>
      <c r="M513">
        <v>50000</v>
      </c>
      <c r="N513" t="s">
        <v>84</v>
      </c>
      <c r="O513">
        <v>0</v>
      </c>
      <c r="Q513">
        <v>0</v>
      </c>
      <c r="S513">
        <v>32150</v>
      </c>
      <c r="T513" t="s">
        <v>84</v>
      </c>
      <c r="U513">
        <v>2800</v>
      </c>
      <c r="W513" t="s">
        <v>84</v>
      </c>
      <c r="X513" t="s">
        <v>84</v>
      </c>
      <c r="Y513" t="s">
        <v>84</v>
      </c>
      <c r="Z513">
        <v>20917</v>
      </c>
      <c r="AA513" t="s">
        <v>84</v>
      </c>
      <c r="AB513">
        <v>1500</v>
      </c>
      <c r="AD513">
        <v>12400</v>
      </c>
      <c r="AE513">
        <v>121621.5</v>
      </c>
      <c r="AH513" t="s">
        <v>84</v>
      </c>
      <c r="AI513">
        <v>18400</v>
      </c>
      <c r="AJ513">
        <v>116116</v>
      </c>
      <c r="AK513" t="s">
        <v>84</v>
      </c>
      <c r="AL513" t="s">
        <v>84</v>
      </c>
      <c r="AN513" t="s">
        <v>84</v>
      </c>
      <c r="AQ513">
        <v>23860</v>
      </c>
      <c r="AR513">
        <v>0</v>
      </c>
      <c r="AS513">
        <v>0</v>
      </c>
      <c r="AT513" t="s">
        <v>84</v>
      </c>
      <c r="AU513" t="s">
        <v>84</v>
      </c>
      <c r="AV513">
        <v>706071.20166666666</v>
      </c>
    </row>
    <row r="514" spans="1:48" x14ac:dyDescent="0.25">
      <c r="A514">
        <v>0</v>
      </c>
      <c r="B514" t="s">
        <v>179</v>
      </c>
      <c r="C514" t="s">
        <v>80</v>
      </c>
      <c r="D514">
        <v>858841.94499999995</v>
      </c>
      <c r="J514" t="s">
        <v>84</v>
      </c>
      <c r="L514" t="s">
        <v>84</v>
      </c>
      <c r="N514" t="s">
        <v>84</v>
      </c>
      <c r="T514" t="s">
        <v>84</v>
      </c>
      <c r="W514" t="s">
        <v>84</v>
      </c>
      <c r="X514" t="s">
        <v>84</v>
      </c>
      <c r="Y514" t="s">
        <v>84</v>
      </c>
      <c r="AA514" t="s">
        <v>84</v>
      </c>
      <c r="AH514" t="s">
        <v>84</v>
      </c>
      <c r="AK514" t="s">
        <v>84</v>
      </c>
      <c r="AL514" t="s">
        <v>84</v>
      </c>
      <c r="AN514" t="s">
        <v>84</v>
      </c>
      <c r="AT514" t="s">
        <v>84</v>
      </c>
      <c r="AU514" t="s">
        <v>84</v>
      </c>
      <c r="AV514">
        <v>706071.20166666666</v>
      </c>
    </row>
    <row r="515" spans="1:48" x14ac:dyDescent="0.25">
      <c r="A515">
        <v>1</v>
      </c>
      <c r="B515" t="s">
        <v>179</v>
      </c>
      <c r="C515" t="s">
        <v>92</v>
      </c>
      <c r="D515">
        <v>16840</v>
      </c>
      <c r="H515">
        <v>16840</v>
      </c>
      <c r="J515" t="s">
        <v>84</v>
      </c>
      <c r="L515" t="s">
        <v>84</v>
      </c>
      <c r="N515" t="s">
        <v>84</v>
      </c>
      <c r="T515" t="s">
        <v>84</v>
      </c>
      <c r="W515" t="s">
        <v>84</v>
      </c>
      <c r="X515" t="s">
        <v>84</v>
      </c>
      <c r="Y515" t="s">
        <v>84</v>
      </c>
      <c r="AA515" t="s">
        <v>84</v>
      </c>
      <c r="AH515" t="s">
        <v>84</v>
      </c>
      <c r="AK515" t="s">
        <v>84</v>
      </c>
      <c r="AL515" t="s">
        <v>84</v>
      </c>
      <c r="AN515" t="s">
        <v>84</v>
      </c>
      <c r="AT515" t="s">
        <v>84</v>
      </c>
      <c r="AU515" t="s">
        <v>84</v>
      </c>
      <c r="AV515">
        <v>39090</v>
      </c>
    </row>
    <row r="516" spans="1:48" x14ac:dyDescent="0.25">
      <c r="A516">
        <v>0</v>
      </c>
      <c r="B516" t="s">
        <v>179</v>
      </c>
      <c r="C516" t="s">
        <v>92</v>
      </c>
      <c r="D516">
        <v>61340</v>
      </c>
      <c r="J516" t="s">
        <v>84</v>
      </c>
      <c r="L516" t="s">
        <v>84</v>
      </c>
      <c r="N516" t="s">
        <v>84</v>
      </c>
      <c r="T516" t="s">
        <v>84</v>
      </c>
      <c r="W516" t="s">
        <v>84</v>
      </c>
      <c r="X516" t="s">
        <v>84</v>
      </c>
      <c r="Y516" t="s">
        <v>84</v>
      </c>
      <c r="AA516" t="s">
        <v>84</v>
      </c>
      <c r="AH516" t="s">
        <v>84</v>
      </c>
      <c r="AK516" t="s">
        <v>84</v>
      </c>
      <c r="AL516" t="s">
        <v>84</v>
      </c>
      <c r="AN516" t="s">
        <v>84</v>
      </c>
      <c r="AT516" t="s">
        <v>84</v>
      </c>
      <c r="AU516" t="s">
        <v>84</v>
      </c>
      <c r="AV516">
        <v>39090</v>
      </c>
    </row>
    <row r="517" spans="1:48" x14ac:dyDescent="0.25">
      <c r="A517">
        <v>0</v>
      </c>
      <c r="B517" t="s">
        <v>179</v>
      </c>
      <c r="C517" t="s">
        <v>80</v>
      </c>
      <c r="D517">
        <v>845325.12</v>
      </c>
      <c r="J517" t="s">
        <v>84</v>
      </c>
      <c r="L517" t="s">
        <v>84</v>
      </c>
      <c r="N517" t="s">
        <v>84</v>
      </c>
      <c r="T517" t="s">
        <v>84</v>
      </c>
      <c r="W517" t="s">
        <v>84</v>
      </c>
      <c r="X517" t="s">
        <v>84</v>
      </c>
      <c r="Y517" t="s">
        <v>84</v>
      </c>
      <c r="AA517" t="s">
        <v>84</v>
      </c>
      <c r="AH517" t="s">
        <v>84</v>
      </c>
      <c r="AK517" t="s">
        <v>84</v>
      </c>
      <c r="AL517" t="s">
        <v>84</v>
      </c>
      <c r="AN517" t="s">
        <v>84</v>
      </c>
      <c r="AT517" t="s">
        <v>84</v>
      </c>
      <c r="AU517" t="s">
        <v>84</v>
      </c>
      <c r="AV517">
        <v>887785.07706666668</v>
      </c>
    </row>
    <row r="518" spans="1:48" x14ac:dyDescent="0.25">
      <c r="A518">
        <v>1</v>
      </c>
      <c r="B518" t="s">
        <v>179</v>
      </c>
      <c r="C518" t="s">
        <v>80</v>
      </c>
      <c r="D518">
        <v>924169.75</v>
      </c>
      <c r="F518">
        <v>73359</v>
      </c>
      <c r="G518">
        <v>65950</v>
      </c>
      <c r="J518" t="s">
        <v>84</v>
      </c>
      <c r="L518" t="s">
        <v>84</v>
      </c>
      <c r="M518">
        <v>170000</v>
      </c>
      <c r="N518" t="s">
        <v>84</v>
      </c>
      <c r="O518">
        <v>0</v>
      </c>
      <c r="Q518">
        <v>0</v>
      </c>
      <c r="S518">
        <v>50800</v>
      </c>
      <c r="T518" t="s">
        <v>84</v>
      </c>
      <c r="U518">
        <v>2000</v>
      </c>
      <c r="W518" t="s">
        <v>84</v>
      </c>
      <c r="X518" t="s">
        <v>84</v>
      </c>
      <c r="Y518" t="s">
        <v>84</v>
      </c>
      <c r="Z518">
        <v>25686</v>
      </c>
      <c r="AA518" t="s">
        <v>84</v>
      </c>
      <c r="AB518">
        <v>13600</v>
      </c>
      <c r="AD518">
        <v>24100</v>
      </c>
      <c r="AE518">
        <v>143500.5</v>
      </c>
      <c r="AH518" t="s">
        <v>84</v>
      </c>
      <c r="AI518">
        <v>800</v>
      </c>
      <c r="AJ518">
        <v>131860.29999999999</v>
      </c>
      <c r="AK518" t="s">
        <v>84</v>
      </c>
      <c r="AL518" t="s">
        <v>84</v>
      </c>
      <c r="AN518" t="s">
        <v>84</v>
      </c>
      <c r="AQ518">
        <v>37680</v>
      </c>
      <c r="AR518">
        <v>0</v>
      </c>
      <c r="AS518">
        <v>0</v>
      </c>
      <c r="AT518" t="s">
        <v>84</v>
      </c>
      <c r="AU518" t="s">
        <v>84</v>
      </c>
      <c r="AV518">
        <v>887785.07706666668</v>
      </c>
    </row>
    <row r="519" spans="1:48" x14ac:dyDescent="0.25">
      <c r="A519">
        <v>0</v>
      </c>
      <c r="B519" t="s">
        <v>179</v>
      </c>
      <c r="C519" t="s">
        <v>80</v>
      </c>
      <c r="D519">
        <v>893860.36120000004</v>
      </c>
      <c r="J519" t="s">
        <v>84</v>
      </c>
      <c r="L519" t="s">
        <v>84</v>
      </c>
      <c r="N519" t="s">
        <v>84</v>
      </c>
      <c r="T519" t="s">
        <v>84</v>
      </c>
      <c r="W519" t="s">
        <v>84</v>
      </c>
      <c r="X519" t="s">
        <v>84</v>
      </c>
      <c r="Y519" t="s">
        <v>84</v>
      </c>
      <c r="AA519" t="s">
        <v>84</v>
      </c>
      <c r="AH519" t="s">
        <v>84</v>
      </c>
      <c r="AK519" t="s">
        <v>84</v>
      </c>
      <c r="AL519" t="s">
        <v>84</v>
      </c>
      <c r="AN519" t="s">
        <v>84</v>
      </c>
      <c r="AT519" t="s">
        <v>84</v>
      </c>
      <c r="AU519" t="s">
        <v>84</v>
      </c>
      <c r="AV519">
        <v>887785.07706666668</v>
      </c>
    </row>
    <row r="520" spans="1:48" x14ac:dyDescent="0.25">
      <c r="A520">
        <v>0</v>
      </c>
      <c r="B520" t="s">
        <v>179</v>
      </c>
      <c r="C520" t="s">
        <v>106</v>
      </c>
      <c r="D520">
        <v>1339.175</v>
      </c>
      <c r="J520" t="s">
        <v>84</v>
      </c>
      <c r="L520" t="s">
        <v>84</v>
      </c>
      <c r="N520" t="s">
        <v>84</v>
      </c>
      <c r="T520" t="s">
        <v>84</v>
      </c>
      <c r="W520" t="s">
        <v>84</v>
      </c>
      <c r="X520" t="s">
        <v>84</v>
      </c>
      <c r="Y520" t="s">
        <v>84</v>
      </c>
      <c r="AA520" t="s">
        <v>84</v>
      </c>
      <c r="AH520" t="s">
        <v>84</v>
      </c>
      <c r="AK520" t="s">
        <v>84</v>
      </c>
      <c r="AL520" t="s">
        <v>84</v>
      </c>
      <c r="AN520" t="s">
        <v>84</v>
      </c>
      <c r="AT520" t="s">
        <v>84</v>
      </c>
      <c r="AU520" t="s">
        <v>84</v>
      </c>
      <c r="AV520">
        <v>7530.8900000000012</v>
      </c>
    </row>
    <row r="521" spans="1:48" x14ac:dyDescent="0.25">
      <c r="A521">
        <v>1</v>
      </c>
      <c r="B521" t="s">
        <v>179</v>
      </c>
      <c r="C521" t="s">
        <v>106</v>
      </c>
      <c r="D521">
        <v>9886.2625000000007</v>
      </c>
      <c r="J521" t="s">
        <v>84</v>
      </c>
      <c r="K521">
        <v>4400</v>
      </c>
      <c r="L521" t="s">
        <v>84</v>
      </c>
      <c r="N521" t="s">
        <v>84</v>
      </c>
      <c r="T521" t="s">
        <v>84</v>
      </c>
      <c r="W521" t="s">
        <v>84</v>
      </c>
      <c r="X521" t="s">
        <v>84</v>
      </c>
      <c r="Y521" t="s">
        <v>84</v>
      </c>
      <c r="AA521" t="s">
        <v>84</v>
      </c>
      <c r="AF521">
        <v>1875</v>
      </c>
      <c r="AH521" t="s">
        <v>84</v>
      </c>
      <c r="AK521" t="s">
        <v>84</v>
      </c>
      <c r="AL521" t="s">
        <v>84</v>
      </c>
      <c r="AN521" t="s">
        <v>84</v>
      </c>
      <c r="AT521" t="s">
        <v>84</v>
      </c>
      <c r="AU521" t="s">
        <v>84</v>
      </c>
      <c r="AV521">
        <v>7530.8900000000012</v>
      </c>
    </row>
    <row r="522" spans="1:48" x14ac:dyDescent="0.25">
      <c r="A522">
        <v>0</v>
      </c>
      <c r="B522" t="s">
        <v>179</v>
      </c>
      <c r="C522" t="s">
        <v>106</v>
      </c>
      <c r="D522">
        <v>11367.2325</v>
      </c>
      <c r="J522" t="s">
        <v>84</v>
      </c>
      <c r="L522" t="s">
        <v>84</v>
      </c>
      <c r="N522" t="s">
        <v>84</v>
      </c>
      <c r="T522" t="s">
        <v>84</v>
      </c>
      <c r="W522" t="s">
        <v>84</v>
      </c>
      <c r="X522" t="s">
        <v>84</v>
      </c>
      <c r="Y522" t="s">
        <v>84</v>
      </c>
      <c r="AA522" t="s">
        <v>84</v>
      </c>
      <c r="AH522" t="s">
        <v>84</v>
      </c>
      <c r="AK522" t="s">
        <v>84</v>
      </c>
      <c r="AL522" t="s">
        <v>84</v>
      </c>
      <c r="AN522" t="s">
        <v>84</v>
      </c>
      <c r="AT522" t="s">
        <v>84</v>
      </c>
      <c r="AU522" t="s">
        <v>84</v>
      </c>
      <c r="AV522">
        <v>7530.8900000000012</v>
      </c>
    </row>
    <row r="523" spans="1:48" x14ac:dyDescent="0.25">
      <c r="A523">
        <v>0</v>
      </c>
      <c r="B523" t="s">
        <v>179</v>
      </c>
      <c r="C523" t="s">
        <v>110</v>
      </c>
      <c r="D523">
        <v>20736</v>
      </c>
      <c r="J523" t="s">
        <v>84</v>
      </c>
      <c r="L523" t="s">
        <v>84</v>
      </c>
      <c r="N523" t="s">
        <v>84</v>
      </c>
      <c r="T523" t="s">
        <v>84</v>
      </c>
      <c r="W523" t="s">
        <v>84</v>
      </c>
      <c r="X523" t="s">
        <v>84</v>
      </c>
      <c r="Y523" t="s">
        <v>84</v>
      </c>
      <c r="AA523" t="s">
        <v>84</v>
      </c>
      <c r="AH523" t="s">
        <v>84</v>
      </c>
      <c r="AK523" t="s">
        <v>84</v>
      </c>
      <c r="AL523" t="s">
        <v>84</v>
      </c>
      <c r="AN523" t="s">
        <v>84</v>
      </c>
      <c r="AT523" t="s">
        <v>84</v>
      </c>
      <c r="AU523" t="s">
        <v>84</v>
      </c>
      <c r="AV523">
        <v>12357</v>
      </c>
    </row>
    <row r="524" spans="1:48" x14ac:dyDescent="0.25">
      <c r="A524">
        <v>1</v>
      </c>
      <c r="B524" t="s">
        <v>179</v>
      </c>
      <c r="C524" t="s">
        <v>110</v>
      </c>
      <c r="D524">
        <v>7434</v>
      </c>
      <c r="F524">
        <v>0</v>
      </c>
      <c r="G524">
        <v>0</v>
      </c>
      <c r="J524" t="s">
        <v>84</v>
      </c>
      <c r="L524" t="s">
        <v>84</v>
      </c>
      <c r="M524">
        <v>0</v>
      </c>
      <c r="N524" t="s">
        <v>84</v>
      </c>
      <c r="O524">
        <v>0</v>
      </c>
      <c r="Q524">
        <v>0</v>
      </c>
      <c r="S524">
        <v>0</v>
      </c>
      <c r="T524" t="s">
        <v>84</v>
      </c>
      <c r="U524">
        <v>0</v>
      </c>
      <c r="W524" t="s">
        <v>84</v>
      </c>
      <c r="X524" t="s">
        <v>84</v>
      </c>
      <c r="Y524" t="s">
        <v>84</v>
      </c>
      <c r="Z524">
        <v>0</v>
      </c>
      <c r="AA524" t="s">
        <v>84</v>
      </c>
      <c r="AB524">
        <v>5900</v>
      </c>
      <c r="AD524">
        <v>0</v>
      </c>
      <c r="AE524">
        <v>0</v>
      </c>
      <c r="AH524" t="s">
        <v>84</v>
      </c>
      <c r="AI524">
        <v>0</v>
      </c>
      <c r="AJ524">
        <v>0</v>
      </c>
      <c r="AK524" t="s">
        <v>84</v>
      </c>
      <c r="AL524" t="s">
        <v>84</v>
      </c>
      <c r="AN524" t="s">
        <v>84</v>
      </c>
      <c r="AQ524">
        <v>0</v>
      </c>
      <c r="AR524">
        <v>0</v>
      </c>
      <c r="AS524">
        <v>0</v>
      </c>
      <c r="AT524" t="s">
        <v>84</v>
      </c>
      <c r="AU524" t="s">
        <v>84</v>
      </c>
      <c r="AV524">
        <v>12357</v>
      </c>
    </row>
    <row r="525" spans="1:48" x14ac:dyDescent="0.25">
      <c r="A525">
        <v>0</v>
      </c>
      <c r="B525" t="s">
        <v>179</v>
      </c>
      <c r="C525" t="s">
        <v>110</v>
      </c>
      <c r="D525">
        <v>8901</v>
      </c>
      <c r="J525" t="s">
        <v>84</v>
      </c>
      <c r="L525" t="s">
        <v>84</v>
      </c>
      <c r="N525" t="s">
        <v>84</v>
      </c>
      <c r="T525" t="s">
        <v>84</v>
      </c>
      <c r="W525" t="s">
        <v>84</v>
      </c>
      <c r="X525" t="s">
        <v>84</v>
      </c>
      <c r="Y525" t="s">
        <v>84</v>
      </c>
      <c r="AA525" t="s">
        <v>84</v>
      </c>
      <c r="AH525" t="s">
        <v>84</v>
      </c>
      <c r="AK525" t="s">
        <v>84</v>
      </c>
      <c r="AL525" t="s">
        <v>84</v>
      </c>
      <c r="AN525" t="s">
        <v>84</v>
      </c>
      <c r="AT525" t="s">
        <v>84</v>
      </c>
      <c r="AU525" t="s">
        <v>84</v>
      </c>
      <c r="AV525">
        <v>12357</v>
      </c>
    </row>
    <row r="526" spans="1:48" x14ac:dyDescent="0.25">
      <c r="A526">
        <v>0</v>
      </c>
      <c r="B526" t="s">
        <v>179</v>
      </c>
      <c r="C526" t="s">
        <v>87</v>
      </c>
      <c r="D526">
        <v>113916.25</v>
      </c>
      <c r="J526" t="s">
        <v>84</v>
      </c>
      <c r="L526" t="s">
        <v>84</v>
      </c>
      <c r="N526" t="s">
        <v>84</v>
      </c>
      <c r="T526" t="s">
        <v>84</v>
      </c>
      <c r="W526" t="s">
        <v>84</v>
      </c>
      <c r="X526" t="s">
        <v>84</v>
      </c>
      <c r="Y526" t="s">
        <v>84</v>
      </c>
      <c r="AA526" t="s">
        <v>84</v>
      </c>
      <c r="AH526" t="s">
        <v>84</v>
      </c>
      <c r="AK526" t="s">
        <v>84</v>
      </c>
      <c r="AL526" t="s">
        <v>84</v>
      </c>
      <c r="AN526" t="s">
        <v>84</v>
      </c>
      <c r="AT526" t="s">
        <v>84</v>
      </c>
      <c r="AU526" t="s">
        <v>84</v>
      </c>
      <c r="AV526">
        <v>114682.08887666666</v>
      </c>
    </row>
    <row r="527" spans="1:48" x14ac:dyDescent="0.25">
      <c r="A527">
        <v>0</v>
      </c>
      <c r="B527" t="s">
        <v>179</v>
      </c>
      <c r="C527" t="s">
        <v>87</v>
      </c>
      <c r="D527">
        <v>42051.68333</v>
      </c>
      <c r="J527" t="s">
        <v>84</v>
      </c>
      <c r="L527" t="s">
        <v>84</v>
      </c>
      <c r="N527" t="s">
        <v>84</v>
      </c>
      <c r="T527" t="s">
        <v>84</v>
      </c>
      <c r="W527" t="s">
        <v>84</v>
      </c>
      <c r="X527" t="s">
        <v>84</v>
      </c>
      <c r="Y527" t="s">
        <v>84</v>
      </c>
      <c r="AA527" t="s">
        <v>84</v>
      </c>
      <c r="AH527" t="s">
        <v>84</v>
      </c>
      <c r="AK527" t="s">
        <v>84</v>
      </c>
      <c r="AL527" t="s">
        <v>84</v>
      </c>
      <c r="AN527" t="s">
        <v>84</v>
      </c>
      <c r="AT527" t="s">
        <v>84</v>
      </c>
      <c r="AU527" t="s">
        <v>84</v>
      </c>
      <c r="AV527">
        <v>114682.08887666666</v>
      </c>
    </row>
    <row r="528" spans="1:48" x14ac:dyDescent="0.25">
      <c r="A528">
        <v>1</v>
      </c>
      <c r="B528" t="s">
        <v>179</v>
      </c>
      <c r="C528" t="s">
        <v>87</v>
      </c>
      <c r="D528">
        <v>188078.3333</v>
      </c>
      <c r="J528" t="s">
        <v>84</v>
      </c>
      <c r="L528" t="s">
        <v>84</v>
      </c>
      <c r="N528" t="s">
        <v>84</v>
      </c>
      <c r="O528">
        <v>35900</v>
      </c>
      <c r="P528">
        <v>51850</v>
      </c>
      <c r="Q528">
        <v>31700</v>
      </c>
      <c r="R528">
        <v>17750</v>
      </c>
      <c r="T528" t="s">
        <v>84</v>
      </c>
      <c r="W528" t="s">
        <v>84</v>
      </c>
      <c r="X528" t="s">
        <v>84</v>
      </c>
      <c r="Y528" t="s">
        <v>84</v>
      </c>
      <c r="AA528" t="s">
        <v>84</v>
      </c>
      <c r="AH528" t="s">
        <v>84</v>
      </c>
      <c r="AK528" t="s">
        <v>84</v>
      </c>
      <c r="AL528" t="s">
        <v>84</v>
      </c>
      <c r="AN528" t="s">
        <v>84</v>
      </c>
      <c r="AT528" t="s">
        <v>84</v>
      </c>
      <c r="AU528" t="s">
        <v>84</v>
      </c>
      <c r="AV528">
        <v>114682.08887666666</v>
      </c>
    </row>
    <row r="529" spans="1:48" x14ac:dyDescent="0.25">
      <c r="A529">
        <v>0</v>
      </c>
      <c r="B529" t="s">
        <v>179</v>
      </c>
      <c r="C529" t="s">
        <v>98</v>
      </c>
      <c r="D529">
        <v>50400</v>
      </c>
      <c r="J529" t="s">
        <v>84</v>
      </c>
      <c r="L529" t="s">
        <v>84</v>
      </c>
      <c r="N529" t="s">
        <v>84</v>
      </c>
      <c r="T529" t="s">
        <v>84</v>
      </c>
      <c r="W529" t="s">
        <v>84</v>
      </c>
      <c r="X529" t="s">
        <v>84</v>
      </c>
      <c r="Y529" t="s">
        <v>84</v>
      </c>
      <c r="AA529" t="s">
        <v>84</v>
      </c>
      <c r="AH529" t="s">
        <v>84</v>
      </c>
      <c r="AK529" t="s">
        <v>84</v>
      </c>
      <c r="AL529" t="s">
        <v>84</v>
      </c>
      <c r="AN529" t="s">
        <v>84</v>
      </c>
      <c r="AT529" t="s">
        <v>84</v>
      </c>
      <c r="AU529" t="s">
        <v>84</v>
      </c>
      <c r="AV529">
        <v>35100</v>
      </c>
    </row>
    <row r="530" spans="1:48" x14ac:dyDescent="0.25">
      <c r="A530">
        <v>1</v>
      </c>
      <c r="B530" t="s">
        <v>179</v>
      </c>
      <c r="C530" t="s">
        <v>98</v>
      </c>
      <c r="D530">
        <v>19800</v>
      </c>
      <c r="J530" t="s">
        <v>84</v>
      </c>
      <c r="L530" t="s">
        <v>84</v>
      </c>
      <c r="N530" t="s">
        <v>84</v>
      </c>
      <c r="T530" t="s">
        <v>84</v>
      </c>
      <c r="V530">
        <v>19800</v>
      </c>
      <c r="W530" t="s">
        <v>84</v>
      </c>
      <c r="X530" t="s">
        <v>84</v>
      </c>
      <c r="Y530" t="s">
        <v>84</v>
      </c>
      <c r="AA530" t="s">
        <v>84</v>
      </c>
      <c r="AH530" t="s">
        <v>84</v>
      </c>
      <c r="AK530" t="s">
        <v>84</v>
      </c>
      <c r="AL530" t="s">
        <v>84</v>
      </c>
      <c r="AN530" t="s">
        <v>84</v>
      </c>
      <c r="AT530" t="s">
        <v>84</v>
      </c>
      <c r="AU530" t="s">
        <v>84</v>
      </c>
      <c r="AV530">
        <v>35100</v>
      </c>
    </row>
    <row r="531" spans="1:48" x14ac:dyDescent="0.25">
      <c r="A531">
        <v>1</v>
      </c>
      <c r="B531" t="s">
        <v>179</v>
      </c>
      <c r="C531" t="s">
        <v>92</v>
      </c>
      <c r="D531">
        <v>26860</v>
      </c>
      <c r="H531">
        <v>26860</v>
      </c>
      <c r="J531" t="s">
        <v>84</v>
      </c>
      <c r="L531" t="s">
        <v>84</v>
      </c>
      <c r="N531" t="s">
        <v>84</v>
      </c>
      <c r="T531" t="s">
        <v>84</v>
      </c>
      <c r="W531" t="s">
        <v>84</v>
      </c>
      <c r="X531" t="s">
        <v>84</v>
      </c>
      <c r="Y531" t="s">
        <v>84</v>
      </c>
      <c r="AA531" t="s">
        <v>84</v>
      </c>
      <c r="AH531" t="s">
        <v>84</v>
      </c>
      <c r="AK531" t="s">
        <v>84</v>
      </c>
      <c r="AL531" t="s">
        <v>84</v>
      </c>
      <c r="AN531" t="s">
        <v>84</v>
      </c>
      <c r="AT531" t="s">
        <v>84</v>
      </c>
      <c r="AU531" t="s">
        <v>84</v>
      </c>
      <c r="AV531">
        <v>29703.333333333332</v>
      </c>
    </row>
    <row r="532" spans="1:48" x14ac:dyDescent="0.25">
      <c r="A532">
        <v>0</v>
      </c>
      <c r="B532" t="s">
        <v>179</v>
      </c>
      <c r="C532" t="s">
        <v>92</v>
      </c>
      <c r="D532">
        <v>35140</v>
      </c>
      <c r="J532" t="s">
        <v>84</v>
      </c>
      <c r="L532" t="s">
        <v>84</v>
      </c>
      <c r="N532" t="s">
        <v>84</v>
      </c>
      <c r="T532" t="s">
        <v>84</v>
      </c>
      <c r="W532" t="s">
        <v>84</v>
      </c>
      <c r="X532" t="s">
        <v>84</v>
      </c>
      <c r="Y532" t="s">
        <v>84</v>
      </c>
      <c r="AA532" t="s">
        <v>84</v>
      </c>
      <c r="AH532" t="s">
        <v>84</v>
      </c>
      <c r="AK532" t="s">
        <v>84</v>
      </c>
      <c r="AL532" t="s">
        <v>84</v>
      </c>
      <c r="AN532" t="s">
        <v>84</v>
      </c>
      <c r="AT532" t="s">
        <v>84</v>
      </c>
      <c r="AU532" t="s">
        <v>84</v>
      </c>
      <c r="AV532">
        <v>29703.333333333332</v>
      </c>
    </row>
    <row r="533" spans="1:48" x14ac:dyDescent="0.25">
      <c r="A533">
        <v>0</v>
      </c>
      <c r="B533" t="s">
        <v>179</v>
      </c>
      <c r="C533" t="s">
        <v>92</v>
      </c>
      <c r="D533">
        <v>27110</v>
      </c>
      <c r="J533" t="s">
        <v>84</v>
      </c>
      <c r="L533" t="s">
        <v>84</v>
      </c>
      <c r="N533" t="s">
        <v>84</v>
      </c>
      <c r="T533" t="s">
        <v>84</v>
      </c>
      <c r="W533" t="s">
        <v>84</v>
      </c>
      <c r="X533" t="s">
        <v>84</v>
      </c>
      <c r="Y533" t="s">
        <v>84</v>
      </c>
      <c r="AA533" t="s">
        <v>84</v>
      </c>
      <c r="AH533" t="s">
        <v>84</v>
      </c>
      <c r="AK533" t="s">
        <v>84</v>
      </c>
      <c r="AL533" t="s">
        <v>84</v>
      </c>
      <c r="AN533" t="s">
        <v>84</v>
      </c>
      <c r="AT533" t="s">
        <v>84</v>
      </c>
      <c r="AU533" t="s">
        <v>84</v>
      </c>
      <c r="AV533">
        <v>29703.333333333332</v>
      </c>
    </row>
    <row r="534" spans="1:48" x14ac:dyDescent="0.25">
      <c r="A534">
        <v>0</v>
      </c>
      <c r="B534" t="s">
        <v>179</v>
      </c>
      <c r="C534" t="s">
        <v>80</v>
      </c>
      <c r="D534">
        <v>747478.50249999994</v>
      </c>
      <c r="J534" t="s">
        <v>84</v>
      </c>
      <c r="L534" t="s">
        <v>84</v>
      </c>
      <c r="N534" t="s">
        <v>84</v>
      </c>
      <c r="T534" t="s">
        <v>84</v>
      </c>
      <c r="W534" t="s">
        <v>84</v>
      </c>
      <c r="X534" t="s">
        <v>84</v>
      </c>
      <c r="Y534" t="s">
        <v>84</v>
      </c>
      <c r="AA534" t="s">
        <v>84</v>
      </c>
      <c r="AH534" t="s">
        <v>84</v>
      </c>
      <c r="AK534" t="s">
        <v>84</v>
      </c>
      <c r="AL534" t="s">
        <v>84</v>
      </c>
      <c r="AN534" t="s">
        <v>84</v>
      </c>
      <c r="AT534" t="s">
        <v>84</v>
      </c>
      <c r="AU534" t="s">
        <v>84</v>
      </c>
      <c r="AV534">
        <v>874857.81183333334</v>
      </c>
    </row>
    <row r="535" spans="1:48" x14ac:dyDescent="0.25">
      <c r="A535">
        <v>1</v>
      </c>
      <c r="B535" t="s">
        <v>179</v>
      </c>
      <c r="C535" t="s">
        <v>80</v>
      </c>
      <c r="D535">
        <v>1004959.898</v>
      </c>
      <c r="F535">
        <v>27599</v>
      </c>
      <c r="G535">
        <v>47000</v>
      </c>
      <c r="J535" t="s">
        <v>84</v>
      </c>
      <c r="L535" t="s">
        <v>84</v>
      </c>
      <c r="M535">
        <v>215000</v>
      </c>
      <c r="N535" t="s">
        <v>84</v>
      </c>
      <c r="O535">
        <v>0</v>
      </c>
      <c r="Q535">
        <v>0</v>
      </c>
      <c r="S535">
        <v>127050</v>
      </c>
      <c r="T535" t="s">
        <v>84</v>
      </c>
      <c r="U535">
        <v>2500</v>
      </c>
      <c r="W535" t="s">
        <v>84</v>
      </c>
      <c r="X535" t="s">
        <v>84</v>
      </c>
      <c r="Y535" t="s">
        <v>84</v>
      </c>
      <c r="Z535">
        <v>22008</v>
      </c>
      <c r="AA535" t="s">
        <v>84</v>
      </c>
      <c r="AB535">
        <v>18000</v>
      </c>
      <c r="AD535">
        <v>30875</v>
      </c>
      <c r="AE535">
        <v>94523</v>
      </c>
      <c r="AH535" t="s">
        <v>84</v>
      </c>
      <c r="AI535">
        <v>25000</v>
      </c>
      <c r="AJ535">
        <v>147209.92000000001</v>
      </c>
      <c r="AK535" t="s">
        <v>84</v>
      </c>
      <c r="AL535" t="s">
        <v>84</v>
      </c>
      <c r="AN535" t="s">
        <v>84</v>
      </c>
      <c r="AQ535">
        <v>28360</v>
      </c>
      <c r="AR535">
        <v>0</v>
      </c>
      <c r="AS535">
        <v>0</v>
      </c>
      <c r="AT535" t="s">
        <v>84</v>
      </c>
      <c r="AU535" t="s">
        <v>84</v>
      </c>
      <c r="AV535">
        <v>874857.81183333334</v>
      </c>
    </row>
    <row r="536" spans="1:48" x14ac:dyDescent="0.25">
      <c r="A536">
        <v>0</v>
      </c>
      <c r="B536" t="s">
        <v>179</v>
      </c>
      <c r="C536" t="s">
        <v>80</v>
      </c>
      <c r="D536">
        <v>872135.03500000003</v>
      </c>
      <c r="J536" t="s">
        <v>84</v>
      </c>
      <c r="L536" t="s">
        <v>84</v>
      </c>
      <c r="N536" t="s">
        <v>84</v>
      </c>
      <c r="T536" t="s">
        <v>84</v>
      </c>
      <c r="W536" t="s">
        <v>84</v>
      </c>
      <c r="X536" t="s">
        <v>84</v>
      </c>
      <c r="Y536" t="s">
        <v>84</v>
      </c>
      <c r="AA536" t="s">
        <v>84</v>
      </c>
      <c r="AH536" t="s">
        <v>84</v>
      </c>
      <c r="AK536" t="s">
        <v>84</v>
      </c>
      <c r="AL536" t="s">
        <v>84</v>
      </c>
      <c r="AN536" t="s">
        <v>84</v>
      </c>
      <c r="AT536" t="s">
        <v>84</v>
      </c>
      <c r="AU536" t="s">
        <v>84</v>
      </c>
      <c r="AV536">
        <v>874857.81183333334</v>
      </c>
    </row>
    <row r="537" spans="1:48" x14ac:dyDescent="0.25">
      <c r="A537">
        <v>0</v>
      </c>
      <c r="B537" t="s">
        <v>179</v>
      </c>
      <c r="C537" t="s">
        <v>106</v>
      </c>
      <c r="D537">
        <v>7089.75</v>
      </c>
      <c r="J537" t="s">
        <v>84</v>
      </c>
      <c r="L537" t="s">
        <v>84</v>
      </c>
      <c r="N537" t="s">
        <v>84</v>
      </c>
      <c r="T537" t="s">
        <v>84</v>
      </c>
      <c r="W537" t="s">
        <v>84</v>
      </c>
      <c r="X537" t="s">
        <v>84</v>
      </c>
      <c r="Y537" t="s">
        <v>84</v>
      </c>
      <c r="AA537" t="s">
        <v>84</v>
      </c>
      <c r="AH537" t="s">
        <v>84</v>
      </c>
      <c r="AK537" t="s">
        <v>84</v>
      </c>
      <c r="AL537" t="s">
        <v>84</v>
      </c>
      <c r="AN537" t="s">
        <v>84</v>
      </c>
      <c r="AT537" t="s">
        <v>84</v>
      </c>
      <c r="AU537" t="s">
        <v>84</v>
      </c>
      <c r="AV537">
        <v>9665.6924999999992</v>
      </c>
    </row>
    <row r="538" spans="1:48" x14ac:dyDescent="0.25">
      <c r="A538">
        <v>1</v>
      </c>
      <c r="B538" t="s">
        <v>179</v>
      </c>
      <c r="C538" t="s">
        <v>106</v>
      </c>
      <c r="D538">
        <v>11453.885</v>
      </c>
      <c r="J538" t="s">
        <v>84</v>
      </c>
      <c r="K538">
        <v>5050</v>
      </c>
      <c r="L538" t="s">
        <v>84</v>
      </c>
      <c r="N538" t="s">
        <v>84</v>
      </c>
      <c r="T538" t="s">
        <v>84</v>
      </c>
      <c r="W538" t="s">
        <v>84</v>
      </c>
      <c r="X538" t="s">
        <v>84</v>
      </c>
      <c r="Y538" t="s">
        <v>84</v>
      </c>
      <c r="AA538" t="s">
        <v>84</v>
      </c>
      <c r="AF538">
        <v>2220</v>
      </c>
      <c r="AH538" t="s">
        <v>84</v>
      </c>
      <c r="AK538" t="s">
        <v>84</v>
      </c>
      <c r="AL538" t="s">
        <v>84</v>
      </c>
      <c r="AN538" t="s">
        <v>84</v>
      </c>
      <c r="AT538" t="s">
        <v>84</v>
      </c>
      <c r="AU538" t="s">
        <v>84</v>
      </c>
      <c r="AV538">
        <v>9665.6924999999992</v>
      </c>
    </row>
    <row r="539" spans="1:48" x14ac:dyDescent="0.25">
      <c r="A539">
        <v>0</v>
      </c>
      <c r="B539" t="s">
        <v>179</v>
      </c>
      <c r="C539" t="s">
        <v>106</v>
      </c>
      <c r="D539">
        <v>10453.442499999999</v>
      </c>
      <c r="J539" t="s">
        <v>84</v>
      </c>
      <c r="L539" t="s">
        <v>84</v>
      </c>
      <c r="N539" t="s">
        <v>84</v>
      </c>
      <c r="T539" t="s">
        <v>84</v>
      </c>
      <c r="W539" t="s">
        <v>84</v>
      </c>
      <c r="X539" t="s">
        <v>84</v>
      </c>
      <c r="Y539" t="s">
        <v>84</v>
      </c>
      <c r="AA539" t="s">
        <v>84</v>
      </c>
      <c r="AH539" t="s">
        <v>84</v>
      </c>
      <c r="AK539" t="s">
        <v>84</v>
      </c>
      <c r="AL539" t="s">
        <v>84</v>
      </c>
      <c r="AN539" t="s">
        <v>84</v>
      </c>
      <c r="AT539" t="s">
        <v>84</v>
      </c>
      <c r="AU539" t="s">
        <v>84</v>
      </c>
      <c r="AV539">
        <v>9665.6924999999992</v>
      </c>
    </row>
    <row r="540" spans="1:48" x14ac:dyDescent="0.25">
      <c r="A540">
        <v>0</v>
      </c>
      <c r="B540" t="s">
        <v>179</v>
      </c>
      <c r="C540" t="s">
        <v>110</v>
      </c>
      <c r="D540">
        <v>16256</v>
      </c>
      <c r="J540" t="s">
        <v>84</v>
      </c>
      <c r="L540" t="s">
        <v>84</v>
      </c>
      <c r="N540" t="s">
        <v>84</v>
      </c>
      <c r="T540" t="s">
        <v>84</v>
      </c>
      <c r="W540" t="s">
        <v>84</v>
      </c>
      <c r="X540" t="s">
        <v>84</v>
      </c>
      <c r="Y540" t="s">
        <v>84</v>
      </c>
      <c r="AA540" t="s">
        <v>84</v>
      </c>
      <c r="AH540" t="s">
        <v>84</v>
      </c>
      <c r="AK540" t="s">
        <v>84</v>
      </c>
      <c r="AL540" t="s">
        <v>84</v>
      </c>
      <c r="AN540" t="s">
        <v>84</v>
      </c>
      <c r="AT540" t="s">
        <v>84</v>
      </c>
      <c r="AU540" t="s">
        <v>84</v>
      </c>
      <c r="AV540">
        <v>13940.666666666666</v>
      </c>
    </row>
    <row r="541" spans="1:48" x14ac:dyDescent="0.25">
      <c r="A541">
        <v>1</v>
      </c>
      <c r="B541" t="s">
        <v>179</v>
      </c>
      <c r="C541" t="s">
        <v>110</v>
      </c>
      <c r="D541">
        <v>9828</v>
      </c>
      <c r="F541">
        <v>0</v>
      </c>
      <c r="G541">
        <v>0</v>
      </c>
      <c r="J541" t="s">
        <v>84</v>
      </c>
      <c r="L541" t="s">
        <v>84</v>
      </c>
      <c r="M541">
        <v>0</v>
      </c>
      <c r="N541" t="s">
        <v>84</v>
      </c>
      <c r="O541">
        <v>0</v>
      </c>
      <c r="Q541">
        <v>0</v>
      </c>
      <c r="S541">
        <v>0</v>
      </c>
      <c r="T541" t="s">
        <v>84</v>
      </c>
      <c r="U541">
        <v>0</v>
      </c>
      <c r="W541" t="s">
        <v>84</v>
      </c>
      <c r="X541" t="s">
        <v>84</v>
      </c>
      <c r="Y541" t="s">
        <v>84</v>
      </c>
      <c r="Z541">
        <v>0</v>
      </c>
      <c r="AA541" t="s">
        <v>84</v>
      </c>
      <c r="AB541">
        <v>7800</v>
      </c>
      <c r="AD541">
        <v>0</v>
      </c>
      <c r="AE541">
        <v>0</v>
      </c>
      <c r="AH541" t="s">
        <v>84</v>
      </c>
      <c r="AI541">
        <v>0</v>
      </c>
      <c r="AJ541">
        <v>0</v>
      </c>
      <c r="AK541" t="s">
        <v>84</v>
      </c>
      <c r="AL541" t="s">
        <v>84</v>
      </c>
      <c r="AN541" t="s">
        <v>84</v>
      </c>
      <c r="AQ541">
        <v>0</v>
      </c>
      <c r="AR541">
        <v>0</v>
      </c>
      <c r="AS541">
        <v>0</v>
      </c>
      <c r="AT541" t="s">
        <v>84</v>
      </c>
      <c r="AU541" t="s">
        <v>84</v>
      </c>
      <c r="AV541">
        <v>13940.666666666666</v>
      </c>
    </row>
    <row r="542" spans="1:48" x14ac:dyDescent="0.25">
      <c r="A542">
        <v>0</v>
      </c>
      <c r="B542" t="s">
        <v>179</v>
      </c>
      <c r="C542" t="s">
        <v>110</v>
      </c>
      <c r="D542">
        <v>15738</v>
      </c>
      <c r="J542" t="s">
        <v>84</v>
      </c>
      <c r="L542" t="s">
        <v>84</v>
      </c>
      <c r="N542" t="s">
        <v>84</v>
      </c>
      <c r="T542" t="s">
        <v>84</v>
      </c>
      <c r="W542" t="s">
        <v>84</v>
      </c>
      <c r="X542" t="s">
        <v>84</v>
      </c>
      <c r="Y542" t="s">
        <v>84</v>
      </c>
      <c r="AA542" t="s">
        <v>84</v>
      </c>
      <c r="AH542" t="s">
        <v>84</v>
      </c>
      <c r="AK542" t="s">
        <v>84</v>
      </c>
      <c r="AL542" t="s">
        <v>84</v>
      </c>
      <c r="AN542" t="s">
        <v>84</v>
      </c>
      <c r="AT542" t="s">
        <v>84</v>
      </c>
      <c r="AU542" t="s">
        <v>84</v>
      </c>
      <c r="AV542">
        <v>13940.666666666666</v>
      </c>
    </row>
    <row r="543" spans="1:48" x14ac:dyDescent="0.25">
      <c r="A543">
        <v>1</v>
      </c>
      <c r="B543" t="s">
        <v>179</v>
      </c>
      <c r="C543" t="s">
        <v>87</v>
      </c>
      <c r="D543">
        <v>126939.1667</v>
      </c>
      <c r="J543" t="s">
        <v>84</v>
      </c>
      <c r="L543" t="s">
        <v>84</v>
      </c>
      <c r="N543" t="s">
        <v>84</v>
      </c>
      <c r="O543">
        <v>22550</v>
      </c>
      <c r="P543">
        <v>37400</v>
      </c>
      <c r="Q543">
        <v>24650</v>
      </c>
      <c r="R543">
        <v>8000</v>
      </c>
      <c r="T543" t="s">
        <v>84</v>
      </c>
      <c r="W543" t="s">
        <v>84</v>
      </c>
      <c r="X543" t="s">
        <v>84</v>
      </c>
      <c r="Y543" t="s">
        <v>84</v>
      </c>
      <c r="AA543" t="s">
        <v>84</v>
      </c>
      <c r="AH543" t="s">
        <v>84</v>
      </c>
      <c r="AK543" t="s">
        <v>84</v>
      </c>
      <c r="AL543" t="s">
        <v>84</v>
      </c>
      <c r="AN543" t="s">
        <v>84</v>
      </c>
      <c r="AT543" t="s">
        <v>84</v>
      </c>
      <c r="AU543" t="s">
        <v>84</v>
      </c>
      <c r="AV543">
        <v>115215.80002333333</v>
      </c>
    </row>
    <row r="544" spans="1:48" x14ac:dyDescent="0.25">
      <c r="A544">
        <v>0</v>
      </c>
      <c r="B544" t="s">
        <v>179</v>
      </c>
      <c r="C544" t="s">
        <v>87</v>
      </c>
      <c r="D544">
        <v>98974.166670000006</v>
      </c>
      <c r="J544" t="s">
        <v>84</v>
      </c>
      <c r="L544" t="s">
        <v>84</v>
      </c>
      <c r="N544" t="s">
        <v>84</v>
      </c>
      <c r="T544" t="s">
        <v>84</v>
      </c>
      <c r="W544" t="s">
        <v>84</v>
      </c>
      <c r="X544" t="s">
        <v>84</v>
      </c>
      <c r="Y544" t="s">
        <v>84</v>
      </c>
      <c r="AA544" t="s">
        <v>84</v>
      </c>
      <c r="AH544" t="s">
        <v>84</v>
      </c>
      <c r="AK544" t="s">
        <v>84</v>
      </c>
      <c r="AL544" t="s">
        <v>84</v>
      </c>
      <c r="AN544" t="s">
        <v>84</v>
      </c>
      <c r="AT544" t="s">
        <v>84</v>
      </c>
      <c r="AU544" t="s">
        <v>84</v>
      </c>
      <c r="AV544">
        <v>115215.80002333333</v>
      </c>
    </row>
    <row r="545" spans="1:48" x14ac:dyDescent="0.25">
      <c r="A545">
        <v>0</v>
      </c>
      <c r="B545" t="s">
        <v>179</v>
      </c>
      <c r="C545" t="s">
        <v>87</v>
      </c>
      <c r="D545">
        <v>119734.0667</v>
      </c>
      <c r="J545" t="s">
        <v>84</v>
      </c>
      <c r="L545" t="s">
        <v>84</v>
      </c>
      <c r="N545" t="s">
        <v>84</v>
      </c>
      <c r="T545" t="s">
        <v>84</v>
      </c>
      <c r="W545" t="s">
        <v>84</v>
      </c>
      <c r="X545" t="s">
        <v>84</v>
      </c>
      <c r="Y545" t="s">
        <v>84</v>
      </c>
      <c r="AA545" t="s">
        <v>84</v>
      </c>
      <c r="AH545" t="s">
        <v>84</v>
      </c>
      <c r="AK545" t="s">
        <v>84</v>
      </c>
      <c r="AL545" t="s">
        <v>84</v>
      </c>
      <c r="AN545" t="s">
        <v>84</v>
      </c>
      <c r="AT545" t="s">
        <v>84</v>
      </c>
      <c r="AU545" t="s">
        <v>84</v>
      </c>
      <c r="AV545">
        <v>115215.80002333333</v>
      </c>
    </row>
    <row r="546" spans="1:48" x14ac:dyDescent="0.25">
      <c r="A546">
        <v>1</v>
      </c>
      <c r="B546" t="s">
        <v>179</v>
      </c>
      <c r="C546" t="s">
        <v>98</v>
      </c>
      <c r="D546">
        <v>61200</v>
      </c>
      <c r="J546" t="s">
        <v>84</v>
      </c>
      <c r="L546" t="s">
        <v>84</v>
      </c>
      <c r="N546" t="s">
        <v>84</v>
      </c>
      <c r="T546" t="s">
        <v>84</v>
      </c>
      <c r="V546">
        <v>61200</v>
      </c>
      <c r="W546" t="s">
        <v>84</v>
      </c>
      <c r="X546" t="s">
        <v>84</v>
      </c>
      <c r="Y546" t="s">
        <v>84</v>
      </c>
      <c r="AA546" t="s">
        <v>84</v>
      </c>
      <c r="AH546" t="s">
        <v>84</v>
      </c>
      <c r="AK546" t="s">
        <v>84</v>
      </c>
      <c r="AL546" t="s">
        <v>84</v>
      </c>
      <c r="AN546" t="s">
        <v>84</v>
      </c>
      <c r="AT546" t="s">
        <v>84</v>
      </c>
      <c r="AU546" t="s">
        <v>84</v>
      </c>
      <c r="AV546">
        <v>55050</v>
      </c>
    </row>
    <row r="547" spans="1:48" x14ac:dyDescent="0.25">
      <c r="A547">
        <v>0</v>
      </c>
      <c r="B547" t="s">
        <v>179</v>
      </c>
      <c r="C547" t="s">
        <v>98</v>
      </c>
      <c r="D547">
        <v>48900</v>
      </c>
      <c r="J547" t="s">
        <v>84</v>
      </c>
      <c r="L547" t="s">
        <v>84</v>
      </c>
      <c r="N547" t="s">
        <v>84</v>
      </c>
      <c r="T547" t="s">
        <v>84</v>
      </c>
      <c r="W547" t="s">
        <v>84</v>
      </c>
      <c r="X547" t="s">
        <v>84</v>
      </c>
      <c r="Y547" t="s">
        <v>84</v>
      </c>
      <c r="AA547" t="s">
        <v>84</v>
      </c>
      <c r="AH547" t="s">
        <v>84</v>
      </c>
      <c r="AK547" t="s">
        <v>84</v>
      </c>
      <c r="AL547" t="s">
        <v>84</v>
      </c>
      <c r="AN547" t="s">
        <v>84</v>
      </c>
      <c r="AT547" t="s">
        <v>84</v>
      </c>
      <c r="AU547" t="s">
        <v>84</v>
      </c>
      <c r="AV547">
        <v>55050</v>
      </c>
    </row>
    <row r="548" spans="1:48" x14ac:dyDescent="0.25">
      <c r="A548">
        <v>0</v>
      </c>
      <c r="B548" t="s">
        <v>179</v>
      </c>
      <c r="C548" t="s">
        <v>121</v>
      </c>
      <c r="D548">
        <v>105544.1578</v>
      </c>
      <c r="J548" t="s">
        <v>84</v>
      </c>
      <c r="L548" t="s">
        <v>84</v>
      </c>
      <c r="N548" t="s">
        <v>84</v>
      </c>
      <c r="T548" t="s">
        <v>84</v>
      </c>
      <c r="W548" t="s">
        <v>84</v>
      </c>
      <c r="X548" t="s">
        <v>84</v>
      </c>
      <c r="Y548" t="s">
        <v>84</v>
      </c>
      <c r="AA548" t="s">
        <v>84</v>
      </c>
      <c r="AH548" t="s">
        <v>84</v>
      </c>
      <c r="AK548" t="s">
        <v>84</v>
      </c>
      <c r="AL548" t="s">
        <v>84</v>
      </c>
      <c r="AN548" t="s">
        <v>84</v>
      </c>
      <c r="AT548" t="s">
        <v>84</v>
      </c>
      <c r="AU548" t="s">
        <v>84</v>
      </c>
      <c r="AV548">
        <v>128176.29536666667</v>
      </c>
    </row>
    <row r="549" spans="1:48" x14ac:dyDescent="0.25">
      <c r="A549">
        <v>1</v>
      </c>
      <c r="B549" t="s">
        <v>179</v>
      </c>
      <c r="C549" t="s">
        <v>121</v>
      </c>
      <c r="D549">
        <v>133961.44750000001</v>
      </c>
      <c r="G549">
        <v>0</v>
      </c>
      <c r="I549">
        <v>7342</v>
      </c>
      <c r="J549" t="s">
        <v>84</v>
      </c>
      <c r="L549" t="s">
        <v>84</v>
      </c>
      <c r="N549" t="s">
        <v>84</v>
      </c>
      <c r="S549">
        <v>10816</v>
      </c>
      <c r="T549" t="s">
        <v>84</v>
      </c>
      <c r="U549">
        <v>3177</v>
      </c>
      <c r="W549" t="s">
        <v>84</v>
      </c>
      <c r="X549" t="s">
        <v>84</v>
      </c>
      <c r="Y549" t="s">
        <v>84</v>
      </c>
      <c r="AA549" t="s">
        <v>84</v>
      </c>
      <c r="AB549">
        <v>0</v>
      </c>
      <c r="AD549">
        <v>9154</v>
      </c>
      <c r="AG549">
        <v>19244</v>
      </c>
      <c r="AH549" t="s">
        <v>84</v>
      </c>
      <c r="AI549">
        <v>0</v>
      </c>
      <c r="AJ549">
        <v>33007</v>
      </c>
      <c r="AK549" t="s">
        <v>84</v>
      </c>
      <c r="AL549" t="s">
        <v>84</v>
      </c>
      <c r="AM549">
        <v>3530</v>
      </c>
      <c r="AN549" t="s">
        <v>84</v>
      </c>
      <c r="AP549">
        <v>1261</v>
      </c>
      <c r="AR549">
        <v>1390</v>
      </c>
      <c r="AS549">
        <v>4604</v>
      </c>
      <c r="AT549" t="s">
        <v>84</v>
      </c>
      <c r="AU549" t="s">
        <v>84</v>
      </c>
      <c r="AV549">
        <v>128176.29536666667</v>
      </c>
    </row>
    <row r="550" spans="1:48" x14ac:dyDescent="0.25">
      <c r="A550">
        <v>0</v>
      </c>
      <c r="B550" t="s">
        <v>179</v>
      </c>
      <c r="C550" t="s">
        <v>121</v>
      </c>
      <c r="D550">
        <v>145023.28080000001</v>
      </c>
      <c r="J550" t="s">
        <v>84</v>
      </c>
      <c r="L550" t="s">
        <v>84</v>
      </c>
      <c r="N550" t="s">
        <v>84</v>
      </c>
      <c r="T550" t="s">
        <v>84</v>
      </c>
      <c r="W550" t="s">
        <v>84</v>
      </c>
      <c r="X550" t="s">
        <v>84</v>
      </c>
      <c r="Y550" t="s">
        <v>84</v>
      </c>
      <c r="AA550" t="s">
        <v>84</v>
      </c>
      <c r="AH550" t="s">
        <v>84</v>
      </c>
      <c r="AK550" t="s">
        <v>84</v>
      </c>
      <c r="AL550" t="s">
        <v>84</v>
      </c>
      <c r="AN550" t="s">
        <v>84</v>
      </c>
      <c r="AT550" t="s">
        <v>84</v>
      </c>
      <c r="AU550" t="s">
        <v>84</v>
      </c>
      <c r="AV550">
        <v>128176.29536666667</v>
      </c>
    </row>
    <row r="551" spans="1:48" x14ac:dyDescent="0.25">
      <c r="A551">
        <v>0</v>
      </c>
      <c r="B551" t="s">
        <v>179</v>
      </c>
      <c r="C551" t="s">
        <v>114</v>
      </c>
      <c r="D551">
        <v>23500</v>
      </c>
      <c r="J551" t="s">
        <v>84</v>
      </c>
      <c r="L551" t="s">
        <v>84</v>
      </c>
      <c r="N551" t="s">
        <v>84</v>
      </c>
      <c r="T551" t="s">
        <v>84</v>
      </c>
      <c r="W551" t="s">
        <v>84</v>
      </c>
      <c r="X551" t="s">
        <v>84</v>
      </c>
      <c r="Y551" t="s">
        <v>84</v>
      </c>
      <c r="AA551" t="s">
        <v>84</v>
      </c>
      <c r="AH551" t="s">
        <v>84</v>
      </c>
      <c r="AK551" t="s">
        <v>84</v>
      </c>
      <c r="AL551" t="s">
        <v>84</v>
      </c>
      <c r="AN551" t="s">
        <v>84</v>
      </c>
      <c r="AT551" t="s">
        <v>84</v>
      </c>
      <c r="AU551" t="s">
        <v>84</v>
      </c>
      <c r="AV551">
        <v>30533.333333333332</v>
      </c>
    </row>
    <row r="552" spans="1:48" x14ac:dyDescent="0.25">
      <c r="A552">
        <v>1</v>
      </c>
      <c r="B552" t="s">
        <v>179</v>
      </c>
      <c r="C552" t="s">
        <v>114</v>
      </c>
      <c r="D552">
        <v>36150</v>
      </c>
      <c r="J552" t="s">
        <v>84</v>
      </c>
      <c r="L552" t="s">
        <v>84</v>
      </c>
      <c r="N552" t="s">
        <v>84</v>
      </c>
      <c r="T552" t="s">
        <v>84</v>
      </c>
      <c r="W552" t="s">
        <v>84</v>
      </c>
      <c r="X552" t="s">
        <v>84</v>
      </c>
      <c r="Y552" t="s">
        <v>84</v>
      </c>
      <c r="AA552" t="s">
        <v>84</v>
      </c>
      <c r="AH552" t="s">
        <v>84</v>
      </c>
      <c r="AK552" t="s">
        <v>84</v>
      </c>
      <c r="AL552" t="s">
        <v>84</v>
      </c>
      <c r="AN552" t="s">
        <v>84</v>
      </c>
      <c r="AO552">
        <v>36150</v>
      </c>
      <c r="AT552" t="s">
        <v>84</v>
      </c>
      <c r="AU552" t="s">
        <v>84</v>
      </c>
      <c r="AV552">
        <v>30533.333333333332</v>
      </c>
    </row>
    <row r="553" spans="1:48" x14ac:dyDescent="0.25">
      <c r="A553">
        <v>0</v>
      </c>
      <c r="B553" t="s">
        <v>179</v>
      </c>
      <c r="C553" t="s">
        <v>114</v>
      </c>
      <c r="D553">
        <v>31950</v>
      </c>
      <c r="J553" t="s">
        <v>84</v>
      </c>
      <c r="L553" t="s">
        <v>84</v>
      </c>
      <c r="N553" t="s">
        <v>84</v>
      </c>
      <c r="T553" t="s">
        <v>84</v>
      </c>
      <c r="W553" t="s">
        <v>84</v>
      </c>
      <c r="X553" t="s">
        <v>84</v>
      </c>
      <c r="Y553" t="s">
        <v>84</v>
      </c>
      <c r="AA553" t="s">
        <v>84</v>
      </c>
      <c r="AH553" t="s">
        <v>84</v>
      </c>
      <c r="AK553" t="s">
        <v>84</v>
      </c>
      <c r="AL553" t="s">
        <v>84</v>
      </c>
      <c r="AN553" t="s">
        <v>84</v>
      </c>
      <c r="AT553" t="s">
        <v>84</v>
      </c>
      <c r="AU553" t="s">
        <v>84</v>
      </c>
      <c r="AV553">
        <v>30533.333333333332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9E49-3604-4097-8CFE-47894F0934BD}">
  <sheetPr codeName="Sheet13"/>
  <dimension ref="A1:B45"/>
  <sheetViews>
    <sheetView topLeftCell="BE1" workbookViewId="0">
      <selection activeCell="C5" sqref="C5"/>
    </sheetView>
  </sheetViews>
  <sheetFormatPr defaultRowHeight="15" x14ac:dyDescent="0.25"/>
  <cols>
    <col min="1" max="1" width="28.42578125" bestFit="1" customWidth="1"/>
    <col min="2" max="2" width="13.5703125" bestFit="1" customWidth="1"/>
    <col min="3" max="3" width="19.42578125" bestFit="1" customWidth="1"/>
  </cols>
  <sheetData>
    <row r="1" spans="1:2" x14ac:dyDescent="0.25">
      <c r="A1" s="2" t="s">
        <v>941</v>
      </c>
      <c r="B1" t="s">
        <v>943</v>
      </c>
    </row>
    <row r="2" spans="1:2" x14ac:dyDescent="0.25">
      <c r="A2" s="3" t="s">
        <v>735</v>
      </c>
      <c r="B2">
        <v>46</v>
      </c>
    </row>
    <row r="3" spans="1:2" x14ac:dyDescent="0.25">
      <c r="A3" s="4" t="s">
        <v>737</v>
      </c>
      <c r="B3">
        <v>46</v>
      </c>
    </row>
    <row r="4" spans="1:2" x14ac:dyDescent="0.25">
      <c r="A4" s="5" t="s">
        <v>179</v>
      </c>
      <c r="B4">
        <v>46</v>
      </c>
    </row>
    <row r="5" spans="1:2" x14ac:dyDescent="0.25">
      <c r="A5" s="3" t="s">
        <v>507</v>
      </c>
      <c r="B5">
        <v>30</v>
      </c>
    </row>
    <row r="6" spans="1:2" x14ac:dyDescent="0.25">
      <c r="A6" s="4" t="s">
        <v>509</v>
      </c>
      <c r="B6">
        <v>30</v>
      </c>
    </row>
    <row r="7" spans="1:2" x14ac:dyDescent="0.25">
      <c r="A7" s="5" t="s">
        <v>338</v>
      </c>
      <c r="B7">
        <v>27</v>
      </c>
    </row>
    <row r="8" spans="1:2" x14ac:dyDescent="0.25">
      <c r="A8" s="5" t="s">
        <v>552</v>
      </c>
      <c r="B8">
        <v>3</v>
      </c>
    </row>
    <row r="9" spans="1:2" x14ac:dyDescent="0.25">
      <c r="A9" s="3" t="s">
        <v>135</v>
      </c>
      <c r="B9">
        <v>68</v>
      </c>
    </row>
    <row r="10" spans="1:2" x14ac:dyDescent="0.25">
      <c r="A10" s="4" t="s">
        <v>138</v>
      </c>
      <c r="B10">
        <v>68</v>
      </c>
    </row>
    <row r="11" spans="1:2" x14ac:dyDescent="0.25">
      <c r="A11" s="5" t="s">
        <v>137</v>
      </c>
      <c r="B11">
        <v>22</v>
      </c>
    </row>
    <row r="12" spans="1:2" x14ac:dyDescent="0.25">
      <c r="A12" s="5" t="s">
        <v>179</v>
      </c>
      <c r="B12">
        <v>46</v>
      </c>
    </row>
    <row r="13" spans="1:2" x14ac:dyDescent="0.25">
      <c r="A13" s="3" t="s">
        <v>797</v>
      </c>
      <c r="B13">
        <v>41</v>
      </c>
    </row>
    <row r="14" spans="1:2" x14ac:dyDescent="0.25">
      <c r="A14" s="4" t="s">
        <v>799</v>
      </c>
      <c r="B14">
        <v>20</v>
      </c>
    </row>
    <row r="15" spans="1:2" x14ac:dyDescent="0.25">
      <c r="A15" s="5" t="s">
        <v>260</v>
      </c>
      <c r="B15">
        <v>20</v>
      </c>
    </row>
    <row r="16" spans="1:2" x14ac:dyDescent="0.25">
      <c r="A16" s="4" t="s">
        <v>828</v>
      </c>
      <c r="B16">
        <v>21</v>
      </c>
    </row>
    <row r="17" spans="1:2" x14ac:dyDescent="0.25">
      <c r="A17" s="5" t="s">
        <v>260</v>
      </c>
      <c r="B17">
        <v>21</v>
      </c>
    </row>
    <row r="18" spans="1:2" x14ac:dyDescent="0.25">
      <c r="A18" s="3" t="s">
        <v>855</v>
      </c>
      <c r="B18">
        <v>62</v>
      </c>
    </row>
    <row r="19" spans="1:2" x14ac:dyDescent="0.25">
      <c r="A19" s="4" t="s">
        <v>914</v>
      </c>
      <c r="B19">
        <v>23</v>
      </c>
    </row>
    <row r="20" spans="1:2" x14ac:dyDescent="0.25">
      <c r="A20" s="5" t="s">
        <v>179</v>
      </c>
      <c r="B20">
        <v>23</v>
      </c>
    </row>
    <row r="21" spans="1:2" x14ac:dyDescent="0.25">
      <c r="A21" s="4" t="s">
        <v>857</v>
      </c>
      <c r="B21">
        <v>23</v>
      </c>
    </row>
    <row r="22" spans="1:2" x14ac:dyDescent="0.25">
      <c r="A22" s="5" t="s">
        <v>179</v>
      </c>
      <c r="B22">
        <v>23</v>
      </c>
    </row>
    <row r="23" spans="1:2" x14ac:dyDescent="0.25">
      <c r="A23" s="4" t="s">
        <v>889</v>
      </c>
      <c r="B23">
        <v>16</v>
      </c>
    </row>
    <row r="24" spans="1:2" x14ac:dyDescent="0.25">
      <c r="A24" s="5" t="s">
        <v>179</v>
      </c>
      <c r="B24">
        <v>16</v>
      </c>
    </row>
    <row r="25" spans="1:2" x14ac:dyDescent="0.25">
      <c r="A25" s="3" t="s">
        <v>75</v>
      </c>
      <c r="B25">
        <v>27</v>
      </c>
    </row>
    <row r="26" spans="1:2" x14ac:dyDescent="0.25">
      <c r="A26" s="4" t="s">
        <v>78</v>
      </c>
      <c r="B26">
        <v>27</v>
      </c>
    </row>
    <row r="27" spans="1:2" x14ac:dyDescent="0.25">
      <c r="A27" s="5" t="s">
        <v>77</v>
      </c>
      <c r="B27">
        <v>27</v>
      </c>
    </row>
    <row r="28" spans="1:2" x14ac:dyDescent="0.25">
      <c r="A28" s="3" t="s">
        <v>557</v>
      </c>
      <c r="B28">
        <v>36</v>
      </c>
    </row>
    <row r="29" spans="1:2" x14ac:dyDescent="0.25">
      <c r="A29" s="4" t="s">
        <v>559</v>
      </c>
      <c r="B29">
        <v>36</v>
      </c>
    </row>
    <row r="30" spans="1:2" x14ac:dyDescent="0.25">
      <c r="A30" s="5" t="s">
        <v>552</v>
      </c>
      <c r="B30">
        <v>36</v>
      </c>
    </row>
    <row r="31" spans="1:2" x14ac:dyDescent="0.25">
      <c r="A31" s="3" t="s">
        <v>608</v>
      </c>
      <c r="B31">
        <v>78</v>
      </c>
    </row>
    <row r="32" spans="1:2" x14ac:dyDescent="0.25">
      <c r="A32" s="4" t="s">
        <v>610</v>
      </c>
      <c r="B32">
        <v>78</v>
      </c>
    </row>
    <row r="33" spans="1:2" x14ac:dyDescent="0.25">
      <c r="A33" s="5" t="s">
        <v>552</v>
      </c>
      <c r="B33">
        <v>78</v>
      </c>
    </row>
    <row r="34" spans="1:2" x14ac:dyDescent="0.25">
      <c r="A34" s="3" t="s">
        <v>258</v>
      </c>
      <c r="B34">
        <v>164</v>
      </c>
    </row>
    <row r="35" spans="1:2" x14ac:dyDescent="0.25">
      <c r="A35" s="4" t="s">
        <v>261</v>
      </c>
      <c r="B35">
        <v>80</v>
      </c>
    </row>
    <row r="36" spans="1:2" x14ac:dyDescent="0.25">
      <c r="A36" s="5" t="s">
        <v>260</v>
      </c>
      <c r="B36">
        <v>60</v>
      </c>
    </row>
    <row r="37" spans="1:2" x14ac:dyDescent="0.25">
      <c r="A37" s="5" t="s">
        <v>338</v>
      </c>
      <c r="B37">
        <v>9</v>
      </c>
    </row>
    <row r="38" spans="1:2" x14ac:dyDescent="0.25">
      <c r="A38" s="5" t="s">
        <v>472</v>
      </c>
      <c r="B38">
        <v>11</v>
      </c>
    </row>
    <row r="39" spans="1:2" x14ac:dyDescent="0.25">
      <c r="A39" s="4" t="s">
        <v>367</v>
      </c>
      <c r="B39">
        <v>37</v>
      </c>
    </row>
    <row r="40" spans="1:2" x14ac:dyDescent="0.25">
      <c r="A40" s="5" t="s">
        <v>260</v>
      </c>
      <c r="B40">
        <v>20</v>
      </c>
    </row>
    <row r="41" spans="1:2" x14ac:dyDescent="0.25">
      <c r="A41" s="5" t="s">
        <v>338</v>
      </c>
      <c r="B41">
        <v>17</v>
      </c>
    </row>
    <row r="42" spans="1:2" x14ac:dyDescent="0.25">
      <c r="A42" s="4" t="s">
        <v>298</v>
      </c>
      <c r="B42">
        <v>47</v>
      </c>
    </row>
    <row r="43" spans="1:2" x14ac:dyDescent="0.25">
      <c r="A43" s="5" t="s">
        <v>260</v>
      </c>
      <c r="B43">
        <v>27</v>
      </c>
    </row>
    <row r="44" spans="1:2" x14ac:dyDescent="0.25">
      <c r="A44" s="5" t="s">
        <v>338</v>
      </c>
      <c r="B44">
        <v>20</v>
      </c>
    </row>
    <row r="45" spans="1:2" x14ac:dyDescent="0.25">
      <c r="A45" s="3" t="s">
        <v>942</v>
      </c>
      <c r="B45">
        <v>552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A848-0849-441E-B20F-42310EC7D1B6}">
  <sheetPr codeName="Sheet14"/>
  <dimension ref="A1:U553"/>
  <sheetViews>
    <sheetView topLeftCell="M459" workbookViewId="0">
      <selection activeCell="R1" sqref="R1:R1048576"/>
    </sheetView>
  </sheetViews>
  <sheetFormatPr defaultRowHeight="15" x14ac:dyDescent="0.25"/>
  <cols>
    <col min="1" max="1" width="12" bestFit="1" customWidth="1"/>
    <col min="2" max="2" width="22.7109375" bestFit="1" customWidth="1"/>
    <col min="3" max="3" width="11.42578125" bestFit="1" customWidth="1"/>
    <col min="4" max="4" width="17.85546875" bestFit="1" customWidth="1"/>
    <col min="5" max="5" width="27.7109375" bestFit="1" customWidth="1"/>
    <col min="6" max="6" width="23.42578125" bestFit="1" customWidth="1"/>
    <col min="7" max="7" width="11.7109375" bestFit="1" customWidth="1"/>
    <col min="8" max="8" width="13.85546875" bestFit="1" customWidth="1"/>
    <col min="9" max="9" width="28.7109375" bestFit="1" customWidth="1"/>
    <col min="10" max="10" width="30.42578125" bestFit="1" customWidth="1"/>
    <col min="11" max="11" width="26.5703125" bestFit="1" customWidth="1"/>
    <col min="12" max="12" width="28.28515625" bestFit="1" customWidth="1"/>
    <col min="13" max="13" width="27" bestFit="1" customWidth="1"/>
    <col min="14" max="14" width="28.28515625" bestFit="1" customWidth="1"/>
    <col min="15" max="15" width="21" bestFit="1" customWidth="1"/>
    <col min="16" max="16" width="22.28515625" bestFit="1" customWidth="1"/>
    <col min="17" max="17" width="31" bestFit="1" customWidth="1"/>
    <col min="18" max="18" width="15.28515625" style="6" bestFit="1" customWidth="1"/>
    <col min="19" max="19" width="14.85546875" style="6" bestFit="1" customWidth="1"/>
    <col min="20" max="20" width="12.28515625" style="6" bestFit="1" customWidth="1"/>
    <col min="21" max="21" width="13.85546875" style="6" bestFit="1" customWidth="1"/>
    <col min="22" max="22" width="11.5703125" bestFit="1" customWidth="1"/>
    <col min="23" max="23" width="11.5703125" customWidth="1"/>
  </cols>
  <sheetData>
    <row r="1" spans="1:21" x14ac:dyDescent="0.25">
      <c r="A1" t="s">
        <v>0</v>
      </c>
      <c r="B1" t="s">
        <v>2</v>
      </c>
      <c r="C1" t="s">
        <v>5</v>
      </c>
      <c r="D1" t="s">
        <v>8</v>
      </c>
      <c r="E1" t="s">
        <v>10</v>
      </c>
      <c r="F1" t="s">
        <v>11</v>
      </c>
      <c r="G1" t="s">
        <v>15</v>
      </c>
      <c r="H1" t="s">
        <v>17</v>
      </c>
      <c r="I1" t="s">
        <v>18</v>
      </c>
      <c r="J1" t="s">
        <v>19</v>
      </c>
      <c r="K1" t="s">
        <v>20</v>
      </c>
      <c r="L1" t="s">
        <v>21</v>
      </c>
      <c r="M1" t="s">
        <v>22</v>
      </c>
      <c r="N1" t="s">
        <v>23</v>
      </c>
      <c r="O1" t="s">
        <v>944</v>
      </c>
      <c r="P1" t="s">
        <v>945</v>
      </c>
      <c r="Q1" t="s">
        <v>1010</v>
      </c>
      <c r="R1" s="6" t="s">
        <v>1016</v>
      </c>
      <c r="S1" s="6" t="s">
        <v>1012</v>
      </c>
      <c r="T1" t="s">
        <v>1013</v>
      </c>
      <c r="U1" t="s">
        <v>1014</v>
      </c>
    </row>
    <row r="2" spans="1:21" x14ac:dyDescent="0.25">
      <c r="A2">
        <v>330</v>
      </c>
      <c r="B2" t="s">
        <v>257</v>
      </c>
      <c r="C2">
        <v>0</v>
      </c>
      <c r="D2" t="s">
        <v>260</v>
      </c>
      <c r="E2" t="s">
        <v>84</v>
      </c>
      <c r="F2" t="s">
        <v>92</v>
      </c>
      <c r="G2">
        <v>50580</v>
      </c>
      <c r="O2" t="s">
        <v>947</v>
      </c>
      <c r="P2" t="s">
        <v>947</v>
      </c>
      <c r="Q2">
        <v>36220</v>
      </c>
      <c r="R2" s="9"/>
      <c r="S2"/>
      <c r="T2"/>
      <c r="U2" s="8"/>
    </row>
    <row r="3" spans="1:21" x14ac:dyDescent="0.25">
      <c r="A3">
        <v>330</v>
      </c>
      <c r="B3" t="s">
        <v>257</v>
      </c>
      <c r="C3">
        <v>0</v>
      </c>
      <c r="D3" t="s">
        <v>260</v>
      </c>
      <c r="E3" t="s">
        <v>84</v>
      </c>
      <c r="F3" t="s">
        <v>114</v>
      </c>
      <c r="G3">
        <v>21700</v>
      </c>
      <c r="M3">
        <v>1</v>
      </c>
      <c r="O3" t="s">
        <v>947</v>
      </c>
      <c r="P3" t="s">
        <v>947</v>
      </c>
      <c r="Q3">
        <v>25166.666666666668</v>
      </c>
      <c r="R3" s="9"/>
      <c r="S3"/>
      <c r="T3"/>
      <c r="U3" s="8"/>
    </row>
    <row r="4" spans="1:21" x14ac:dyDescent="0.25">
      <c r="A4">
        <v>330</v>
      </c>
      <c r="B4" t="s">
        <v>257</v>
      </c>
      <c r="C4">
        <v>0</v>
      </c>
      <c r="D4" t="s">
        <v>260</v>
      </c>
      <c r="E4" t="s">
        <v>84</v>
      </c>
      <c r="F4" t="s">
        <v>114</v>
      </c>
      <c r="G4">
        <v>35450</v>
      </c>
      <c r="O4" t="s">
        <v>947</v>
      </c>
      <c r="P4" t="s">
        <v>947</v>
      </c>
      <c r="Q4">
        <v>25166.666666666668</v>
      </c>
      <c r="R4" s="9"/>
      <c r="S4"/>
      <c r="T4"/>
      <c r="U4" s="8"/>
    </row>
    <row r="5" spans="1:21" x14ac:dyDescent="0.25">
      <c r="A5">
        <v>330</v>
      </c>
      <c r="B5" t="s">
        <v>257</v>
      </c>
      <c r="C5">
        <v>0</v>
      </c>
      <c r="D5" t="s">
        <v>260</v>
      </c>
      <c r="E5" t="s">
        <v>84</v>
      </c>
      <c r="F5" t="s">
        <v>121</v>
      </c>
      <c r="G5">
        <v>151338.10579999999</v>
      </c>
      <c r="M5">
        <v>1</v>
      </c>
      <c r="O5" t="s">
        <v>947</v>
      </c>
      <c r="P5" t="s">
        <v>947</v>
      </c>
      <c r="Q5">
        <v>149975.39453333334</v>
      </c>
      <c r="R5" s="9"/>
      <c r="S5"/>
      <c r="T5"/>
      <c r="U5" s="8"/>
    </row>
    <row r="6" spans="1:21" x14ac:dyDescent="0.25">
      <c r="A6">
        <v>330</v>
      </c>
      <c r="B6" t="s">
        <v>257</v>
      </c>
      <c r="C6">
        <v>0</v>
      </c>
      <c r="D6" t="s">
        <v>260</v>
      </c>
      <c r="E6" t="s">
        <v>84</v>
      </c>
      <c r="F6" t="s">
        <v>121</v>
      </c>
      <c r="G6">
        <v>152418.70199999999</v>
      </c>
      <c r="O6" t="s">
        <v>947</v>
      </c>
      <c r="P6" t="s">
        <v>947</v>
      </c>
      <c r="Q6">
        <v>149975.39453333334</v>
      </c>
      <c r="R6" s="9"/>
      <c r="S6"/>
      <c r="T6"/>
      <c r="U6" s="8"/>
    </row>
    <row r="7" spans="1:21" x14ac:dyDescent="0.25">
      <c r="A7">
        <v>330</v>
      </c>
      <c r="B7" t="s">
        <v>257</v>
      </c>
      <c r="C7">
        <v>0</v>
      </c>
      <c r="D7" t="s">
        <v>260</v>
      </c>
      <c r="E7" t="s">
        <v>84</v>
      </c>
      <c r="F7" t="s">
        <v>80</v>
      </c>
      <c r="G7">
        <v>836827.74</v>
      </c>
      <c r="J7">
        <v>1</v>
      </c>
      <c r="N7">
        <v>1</v>
      </c>
      <c r="O7" t="s">
        <v>947</v>
      </c>
      <c r="P7" t="s">
        <v>947</v>
      </c>
      <c r="Q7">
        <v>689735.13113333331</v>
      </c>
      <c r="R7" s="9"/>
      <c r="S7"/>
      <c r="T7"/>
      <c r="U7" s="8"/>
    </row>
    <row r="8" spans="1:21" x14ac:dyDescent="0.25">
      <c r="A8">
        <v>330</v>
      </c>
      <c r="B8" t="s">
        <v>257</v>
      </c>
      <c r="C8">
        <v>0</v>
      </c>
      <c r="D8" t="s">
        <v>260</v>
      </c>
      <c r="E8" t="s">
        <v>84</v>
      </c>
      <c r="F8" t="s">
        <v>106</v>
      </c>
      <c r="G8">
        <v>5136.13</v>
      </c>
      <c r="J8">
        <v>1</v>
      </c>
      <c r="N8">
        <v>1</v>
      </c>
      <c r="O8" t="s">
        <v>947</v>
      </c>
      <c r="P8" t="s">
        <v>947</v>
      </c>
      <c r="Q8">
        <v>5600.9025000000001</v>
      </c>
      <c r="R8" s="9"/>
      <c r="S8"/>
      <c r="T8"/>
      <c r="U8" s="8"/>
    </row>
    <row r="9" spans="1:21" x14ac:dyDescent="0.25">
      <c r="A9">
        <v>330</v>
      </c>
      <c r="B9" t="s">
        <v>257</v>
      </c>
      <c r="C9">
        <v>0</v>
      </c>
      <c r="D9" t="s">
        <v>260</v>
      </c>
      <c r="E9" t="s">
        <v>84</v>
      </c>
      <c r="F9" t="s">
        <v>110</v>
      </c>
      <c r="G9">
        <v>7182</v>
      </c>
      <c r="J9">
        <v>1</v>
      </c>
      <c r="N9">
        <v>1</v>
      </c>
      <c r="O9" t="s">
        <v>947</v>
      </c>
      <c r="P9" t="s">
        <v>947</v>
      </c>
      <c r="Q9">
        <v>5023.3333333333339</v>
      </c>
      <c r="R9" s="9"/>
      <c r="S9"/>
      <c r="T9"/>
      <c r="U9" s="8"/>
    </row>
    <row r="10" spans="1:21" x14ac:dyDescent="0.25">
      <c r="A10">
        <v>330</v>
      </c>
      <c r="B10" t="s">
        <v>257</v>
      </c>
      <c r="C10">
        <v>0</v>
      </c>
      <c r="D10" t="s">
        <v>260</v>
      </c>
      <c r="E10" t="s">
        <v>84</v>
      </c>
      <c r="F10" t="s">
        <v>87</v>
      </c>
      <c r="G10">
        <v>123512.0833</v>
      </c>
      <c r="O10" t="s">
        <v>947</v>
      </c>
      <c r="P10" t="s">
        <v>947</v>
      </c>
      <c r="Q10">
        <v>123349.4111</v>
      </c>
      <c r="R10" s="9"/>
      <c r="S10"/>
      <c r="T10"/>
      <c r="U10" s="8"/>
    </row>
    <row r="11" spans="1:21" x14ac:dyDescent="0.25">
      <c r="A11">
        <v>330</v>
      </c>
      <c r="B11" t="s">
        <v>257</v>
      </c>
      <c r="C11">
        <v>0</v>
      </c>
      <c r="D11" t="s">
        <v>260</v>
      </c>
      <c r="E11" t="s">
        <v>84</v>
      </c>
      <c r="F11" t="s">
        <v>87</v>
      </c>
      <c r="G11">
        <v>122612.8167</v>
      </c>
      <c r="O11" t="s">
        <v>947</v>
      </c>
      <c r="P11" t="s">
        <v>947</v>
      </c>
      <c r="Q11">
        <v>123349.4111</v>
      </c>
      <c r="R11" s="9"/>
      <c r="S11"/>
      <c r="T11"/>
      <c r="U11" s="8"/>
    </row>
    <row r="12" spans="1:21" x14ac:dyDescent="0.25">
      <c r="A12">
        <v>330</v>
      </c>
      <c r="B12" t="s">
        <v>257</v>
      </c>
      <c r="C12">
        <v>0</v>
      </c>
      <c r="D12" t="s">
        <v>260</v>
      </c>
      <c r="E12" t="s">
        <v>84</v>
      </c>
      <c r="F12" t="s">
        <v>98</v>
      </c>
      <c r="G12">
        <v>53600</v>
      </c>
      <c r="O12" t="s">
        <v>947</v>
      </c>
      <c r="P12" t="s">
        <v>947</v>
      </c>
      <c r="Q12">
        <v>38500</v>
      </c>
      <c r="R12" s="9"/>
      <c r="S12"/>
      <c r="T12"/>
      <c r="U12" s="8"/>
    </row>
    <row r="13" spans="1:21" x14ac:dyDescent="0.25">
      <c r="A13">
        <v>330</v>
      </c>
      <c r="B13" t="s">
        <v>257</v>
      </c>
      <c r="C13">
        <v>0</v>
      </c>
      <c r="D13" t="s">
        <v>260</v>
      </c>
      <c r="E13" t="s">
        <v>84</v>
      </c>
      <c r="F13" t="s">
        <v>98</v>
      </c>
      <c r="G13">
        <v>20600</v>
      </c>
      <c r="O13" t="s">
        <v>947</v>
      </c>
      <c r="P13" t="s">
        <v>947</v>
      </c>
      <c r="Q13">
        <v>38500</v>
      </c>
      <c r="R13" s="9"/>
      <c r="S13"/>
      <c r="T13"/>
      <c r="U13" s="8"/>
    </row>
    <row r="14" spans="1:21" x14ac:dyDescent="0.25">
      <c r="A14">
        <v>332</v>
      </c>
      <c r="B14" t="s">
        <v>296</v>
      </c>
      <c r="C14">
        <v>0</v>
      </c>
      <c r="D14" t="s">
        <v>260</v>
      </c>
      <c r="E14" t="s">
        <v>84</v>
      </c>
      <c r="F14" t="s">
        <v>92</v>
      </c>
      <c r="G14">
        <v>21500</v>
      </c>
      <c r="O14" t="s">
        <v>947</v>
      </c>
      <c r="P14" t="s">
        <v>947</v>
      </c>
      <c r="Q14">
        <v>31766.666666666664</v>
      </c>
      <c r="R14" s="9"/>
      <c r="S14"/>
      <c r="T14"/>
      <c r="U14" s="8"/>
    </row>
    <row r="15" spans="1:21" x14ac:dyDescent="0.25">
      <c r="A15">
        <v>332</v>
      </c>
      <c r="B15" t="s">
        <v>296</v>
      </c>
      <c r="C15">
        <v>0</v>
      </c>
      <c r="D15" t="s">
        <v>260</v>
      </c>
      <c r="E15" t="s">
        <v>84</v>
      </c>
      <c r="F15" t="s">
        <v>80</v>
      </c>
      <c r="G15">
        <v>804309.03</v>
      </c>
      <c r="M15">
        <v>1</v>
      </c>
      <c r="O15" t="s">
        <v>947</v>
      </c>
      <c r="P15" t="s">
        <v>947</v>
      </c>
      <c r="Q15">
        <v>827429.73420000006</v>
      </c>
      <c r="R15" s="9"/>
      <c r="S15"/>
      <c r="T15"/>
      <c r="U15" s="8"/>
    </row>
    <row r="16" spans="1:21" x14ac:dyDescent="0.25">
      <c r="A16">
        <v>332</v>
      </c>
      <c r="B16" t="s">
        <v>296</v>
      </c>
      <c r="C16">
        <v>0</v>
      </c>
      <c r="D16" t="s">
        <v>260</v>
      </c>
      <c r="E16" t="s">
        <v>84</v>
      </c>
      <c r="F16" t="s">
        <v>106</v>
      </c>
      <c r="G16">
        <v>11871.3925</v>
      </c>
      <c r="M16">
        <v>1</v>
      </c>
      <c r="O16" t="s">
        <v>947</v>
      </c>
      <c r="P16" t="s">
        <v>947</v>
      </c>
      <c r="Q16">
        <v>7782.9699999999993</v>
      </c>
      <c r="R16" s="9"/>
      <c r="S16"/>
      <c r="T16"/>
      <c r="U16" s="8"/>
    </row>
    <row r="17" spans="1:21" x14ac:dyDescent="0.25">
      <c r="A17">
        <v>332</v>
      </c>
      <c r="B17" t="s">
        <v>296</v>
      </c>
      <c r="C17">
        <v>0</v>
      </c>
      <c r="D17" t="s">
        <v>260</v>
      </c>
      <c r="E17" t="s">
        <v>84</v>
      </c>
      <c r="F17" t="s">
        <v>110</v>
      </c>
      <c r="G17">
        <v>6750</v>
      </c>
      <c r="M17">
        <v>1</v>
      </c>
      <c r="O17" t="s">
        <v>947</v>
      </c>
      <c r="P17" t="s">
        <v>947</v>
      </c>
      <c r="Q17">
        <v>11750</v>
      </c>
      <c r="R17" s="9"/>
      <c r="S17"/>
      <c r="T17"/>
      <c r="U17" s="8"/>
    </row>
    <row r="18" spans="1:21" x14ac:dyDescent="0.25">
      <c r="A18">
        <v>332</v>
      </c>
      <c r="B18" t="s">
        <v>296</v>
      </c>
      <c r="C18">
        <v>0</v>
      </c>
      <c r="D18" t="s">
        <v>260</v>
      </c>
      <c r="E18" t="s">
        <v>84</v>
      </c>
      <c r="F18" t="s">
        <v>87</v>
      </c>
      <c r="G18">
        <v>94579.274999999994</v>
      </c>
      <c r="M18">
        <v>1</v>
      </c>
      <c r="N18">
        <v>1</v>
      </c>
      <c r="O18" t="s">
        <v>947</v>
      </c>
      <c r="P18" t="s">
        <v>947</v>
      </c>
      <c r="Q18">
        <v>114895.93886666666</v>
      </c>
      <c r="R18" s="9"/>
      <c r="S18"/>
      <c r="T18"/>
      <c r="U18" s="8"/>
    </row>
    <row r="19" spans="1:21" x14ac:dyDescent="0.25">
      <c r="A19">
        <v>332</v>
      </c>
      <c r="B19" t="s">
        <v>296</v>
      </c>
      <c r="C19">
        <v>0</v>
      </c>
      <c r="D19" t="s">
        <v>260</v>
      </c>
      <c r="E19" t="s">
        <v>84</v>
      </c>
      <c r="F19" t="s">
        <v>98</v>
      </c>
      <c r="G19">
        <v>29850</v>
      </c>
      <c r="O19" t="s">
        <v>947</v>
      </c>
      <c r="P19" t="s">
        <v>947</v>
      </c>
      <c r="Q19">
        <v>36283.333333333336</v>
      </c>
      <c r="R19" s="9"/>
      <c r="S19"/>
      <c r="T19"/>
      <c r="U19" s="8"/>
    </row>
    <row r="20" spans="1:21" x14ac:dyDescent="0.25">
      <c r="A20">
        <v>332</v>
      </c>
      <c r="B20" t="s">
        <v>296</v>
      </c>
      <c r="C20">
        <v>0</v>
      </c>
      <c r="D20" t="s">
        <v>260</v>
      </c>
      <c r="E20" t="s">
        <v>84</v>
      </c>
      <c r="F20" t="s">
        <v>98</v>
      </c>
      <c r="G20">
        <v>16900</v>
      </c>
      <c r="O20" t="s">
        <v>947</v>
      </c>
      <c r="P20" t="s">
        <v>947</v>
      </c>
      <c r="Q20">
        <v>36283.333333333336</v>
      </c>
      <c r="R20" s="9"/>
      <c r="S20"/>
      <c r="T20"/>
      <c r="U20" s="8"/>
    </row>
    <row r="21" spans="1:21" x14ac:dyDescent="0.25">
      <c r="A21">
        <v>332</v>
      </c>
      <c r="B21" t="s">
        <v>296</v>
      </c>
      <c r="C21">
        <v>0</v>
      </c>
      <c r="D21" t="s">
        <v>260</v>
      </c>
      <c r="E21" t="s">
        <v>84</v>
      </c>
      <c r="F21" t="s">
        <v>121</v>
      </c>
      <c r="G21">
        <v>192655.61499999999</v>
      </c>
      <c r="M21">
        <v>1</v>
      </c>
      <c r="O21" t="s">
        <v>947</v>
      </c>
      <c r="P21" t="s">
        <v>947</v>
      </c>
      <c r="Q21">
        <v>158633.04393333333</v>
      </c>
      <c r="R21" s="9"/>
      <c r="S21"/>
      <c r="T21"/>
      <c r="U21" s="8"/>
    </row>
    <row r="22" spans="1:21" x14ac:dyDescent="0.25">
      <c r="A22">
        <v>332</v>
      </c>
      <c r="B22" t="s">
        <v>296</v>
      </c>
      <c r="C22">
        <v>0</v>
      </c>
      <c r="D22" t="s">
        <v>260</v>
      </c>
      <c r="E22" t="s">
        <v>84</v>
      </c>
      <c r="F22" t="s">
        <v>121</v>
      </c>
      <c r="G22">
        <v>143694.28479999999</v>
      </c>
      <c r="J22">
        <v>1</v>
      </c>
      <c r="O22" t="s">
        <v>947</v>
      </c>
      <c r="P22" t="s">
        <v>947</v>
      </c>
      <c r="Q22">
        <v>158633.04393333333</v>
      </c>
      <c r="R22" s="9"/>
      <c r="S22"/>
      <c r="T22"/>
      <c r="U22" s="8"/>
    </row>
    <row r="23" spans="1:21" x14ac:dyDescent="0.25">
      <c r="A23">
        <v>332</v>
      </c>
      <c r="B23" t="s">
        <v>296</v>
      </c>
      <c r="C23">
        <v>0</v>
      </c>
      <c r="D23" t="s">
        <v>260</v>
      </c>
      <c r="E23" t="s">
        <v>84</v>
      </c>
      <c r="F23" t="s">
        <v>114</v>
      </c>
      <c r="G23">
        <v>38300</v>
      </c>
      <c r="M23">
        <v>1</v>
      </c>
      <c r="O23" t="s">
        <v>947</v>
      </c>
      <c r="P23" t="s">
        <v>947</v>
      </c>
      <c r="Q23">
        <v>29616.666666666664</v>
      </c>
      <c r="R23" s="9"/>
      <c r="S23"/>
      <c r="T23"/>
      <c r="U23" s="8"/>
    </row>
    <row r="24" spans="1:21" x14ac:dyDescent="0.25">
      <c r="A24">
        <v>332</v>
      </c>
      <c r="B24" t="s">
        <v>296</v>
      </c>
      <c r="C24">
        <v>0</v>
      </c>
      <c r="D24" t="s">
        <v>260</v>
      </c>
      <c r="E24" t="s">
        <v>84</v>
      </c>
      <c r="F24" t="s">
        <v>114</v>
      </c>
      <c r="G24">
        <v>27550</v>
      </c>
      <c r="J24">
        <v>1</v>
      </c>
      <c r="O24" t="s">
        <v>947</v>
      </c>
      <c r="P24" t="s">
        <v>947</v>
      </c>
      <c r="Q24">
        <v>29616.666666666664</v>
      </c>
      <c r="R24" s="9"/>
      <c r="S24"/>
      <c r="T24"/>
      <c r="U24" s="8"/>
    </row>
    <row r="25" spans="1:21" x14ac:dyDescent="0.25">
      <c r="A25">
        <v>332</v>
      </c>
      <c r="B25" t="s">
        <v>296</v>
      </c>
      <c r="C25">
        <v>0</v>
      </c>
      <c r="D25" t="s">
        <v>260</v>
      </c>
      <c r="E25" t="s">
        <v>84</v>
      </c>
      <c r="F25" t="s">
        <v>185</v>
      </c>
      <c r="G25">
        <v>17251.724999999999</v>
      </c>
      <c r="M25">
        <v>1</v>
      </c>
      <c r="O25" t="s">
        <v>947</v>
      </c>
      <c r="P25" t="s">
        <v>947</v>
      </c>
      <c r="Q25">
        <v>18144.508333333331</v>
      </c>
      <c r="R25" s="9"/>
      <c r="S25"/>
      <c r="T25"/>
      <c r="U25" s="8"/>
    </row>
    <row r="26" spans="1:21" x14ac:dyDescent="0.25">
      <c r="A26">
        <v>334</v>
      </c>
      <c r="B26" t="s">
        <v>366</v>
      </c>
      <c r="C26">
        <v>0</v>
      </c>
      <c r="D26" t="s">
        <v>260</v>
      </c>
      <c r="E26" t="s">
        <v>84</v>
      </c>
      <c r="F26" t="s">
        <v>125</v>
      </c>
      <c r="G26">
        <v>52050</v>
      </c>
      <c r="N26">
        <v>1</v>
      </c>
      <c r="O26" t="s">
        <v>947</v>
      </c>
      <c r="P26" t="s">
        <v>947</v>
      </c>
      <c r="Q26">
        <v>45025</v>
      </c>
      <c r="R26" s="9"/>
      <c r="S26"/>
      <c r="T26"/>
      <c r="U26" s="8"/>
    </row>
    <row r="27" spans="1:21" x14ac:dyDescent="0.25">
      <c r="A27">
        <v>334</v>
      </c>
      <c r="B27" t="s">
        <v>366</v>
      </c>
      <c r="C27">
        <v>0</v>
      </c>
      <c r="D27" t="s">
        <v>260</v>
      </c>
      <c r="E27" t="s">
        <v>84</v>
      </c>
      <c r="F27" t="s">
        <v>185</v>
      </c>
      <c r="G27">
        <v>19693.75</v>
      </c>
      <c r="N27">
        <v>1</v>
      </c>
      <c r="O27" t="s">
        <v>947</v>
      </c>
      <c r="P27" t="s">
        <v>947</v>
      </c>
      <c r="Q27">
        <v>15807.516666666666</v>
      </c>
      <c r="R27" s="9"/>
      <c r="S27"/>
      <c r="T27"/>
      <c r="U27" s="8"/>
    </row>
    <row r="28" spans="1:21" x14ac:dyDescent="0.25">
      <c r="A28">
        <v>334</v>
      </c>
      <c r="B28" t="s">
        <v>366</v>
      </c>
      <c r="C28">
        <v>0</v>
      </c>
      <c r="D28" t="s">
        <v>260</v>
      </c>
      <c r="E28" t="s">
        <v>84</v>
      </c>
      <c r="F28" t="s">
        <v>185</v>
      </c>
      <c r="G28">
        <v>14573.375</v>
      </c>
      <c r="O28" t="s">
        <v>947</v>
      </c>
      <c r="P28" t="s">
        <v>947</v>
      </c>
      <c r="Q28">
        <v>15807.516666666666</v>
      </c>
      <c r="R28" s="9"/>
      <c r="S28"/>
      <c r="T28"/>
      <c r="U28" s="8"/>
    </row>
    <row r="29" spans="1:21" x14ac:dyDescent="0.25">
      <c r="A29">
        <v>336</v>
      </c>
      <c r="B29" t="s">
        <v>400</v>
      </c>
      <c r="C29">
        <v>0</v>
      </c>
      <c r="D29" t="s">
        <v>260</v>
      </c>
      <c r="E29" t="s">
        <v>84</v>
      </c>
      <c r="F29" t="s">
        <v>92</v>
      </c>
      <c r="G29">
        <v>68240</v>
      </c>
      <c r="O29" t="s">
        <v>947</v>
      </c>
      <c r="P29" t="s">
        <v>947</v>
      </c>
      <c r="Q29">
        <v>42320</v>
      </c>
      <c r="R29" s="9"/>
      <c r="S29"/>
      <c r="T29"/>
      <c r="U29" s="8"/>
    </row>
    <row r="30" spans="1:21" x14ac:dyDescent="0.25">
      <c r="A30">
        <v>336</v>
      </c>
      <c r="B30" t="s">
        <v>400</v>
      </c>
      <c r="C30">
        <v>0</v>
      </c>
      <c r="D30" t="s">
        <v>260</v>
      </c>
      <c r="E30" t="s">
        <v>84</v>
      </c>
      <c r="F30" t="s">
        <v>92</v>
      </c>
      <c r="G30">
        <v>30200</v>
      </c>
      <c r="O30" t="s">
        <v>947</v>
      </c>
      <c r="P30" t="s">
        <v>947</v>
      </c>
      <c r="Q30">
        <v>42320</v>
      </c>
      <c r="R30" s="9"/>
      <c r="S30"/>
      <c r="T30"/>
      <c r="U30" s="8"/>
    </row>
    <row r="31" spans="1:21" x14ac:dyDescent="0.25">
      <c r="A31">
        <v>336</v>
      </c>
      <c r="B31" t="s">
        <v>400</v>
      </c>
      <c r="C31">
        <v>0</v>
      </c>
      <c r="D31" t="s">
        <v>260</v>
      </c>
      <c r="E31" t="s">
        <v>84</v>
      </c>
      <c r="F31" t="s">
        <v>80</v>
      </c>
      <c r="G31">
        <v>828919.11840000004</v>
      </c>
      <c r="O31" t="s">
        <v>947</v>
      </c>
      <c r="P31" t="s">
        <v>947</v>
      </c>
      <c r="Q31">
        <v>786422.47120000003</v>
      </c>
      <c r="R31" s="9"/>
      <c r="S31"/>
      <c r="T31"/>
      <c r="U31" s="8"/>
    </row>
    <row r="32" spans="1:21" x14ac:dyDescent="0.25">
      <c r="A32">
        <v>336</v>
      </c>
      <c r="B32" t="s">
        <v>400</v>
      </c>
      <c r="C32">
        <v>0</v>
      </c>
      <c r="D32" t="s">
        <v>260</v>
      </c>
      <c r="E32" t="s">
        <v>84</v>
      </c>
      <c r="F32" t="s">
        <v>106</v>
      </c>
      <c r="G32">
        <v>12273.145</v>
      </c>
      <c r="O32" t="s">
        <v>947</v>
      </c>
      <c r="P32" t="s">
        <v>947</v>
      </c>
      <c r="Q32">
        <v>8015.3562500000007</v>
      </c>
      <c r="R32" s="9"/>
      <c r="S32"/>
      <c r="T32"/>
      <c r="U32" s="8"/>
    </row>
    <row r="33" spans="1:21" x14ac:dyDescent="0.25">
      <c r="A33">
        <v>336</v>
      </c>
      <c r="B33" t="s">
        <v>400</v>
      </c>
      <c r="C33">
        <v>0</v>
      </c>
      <c r="D33" t="s">
        <v>260</v>
      </c>
      <c r="E33" t="s">
        <v>84</v>
      </c>
      <c r="F33" t="s">
        <v>110</v>
      </c>
      <c r="G33">
        <v>17766</v>
      </c>
      <c r="O33" t="s">
        <v>947</v>
      </c>
      <c r="P33" t="s">
        <v>947</v>
      </c>
      <c r="Q33">
        <v>15561</v>
      </c>
      <c r="R33" s="9"/>
      <c r="S33"/>
      <c r="T33"/>
      <c r="U33" s="8"/>
    </row>
    <row r="34" spans="1:21" x14ac:dyDescent="0.25">
      <c r="A34">
        <v>336</v>
      </c>
      <c r="B34" t="s">
        <v>400</v>
      </c>
      <c r="C34">
        <v>0</v>
      </c>
      <c r="D34" t="s">
        <v>260</v>
      </c>
      <c r="E34" t="s">
        <v>84</v>
      </c>
      <c r="F34" t="s">
        <v>87</v>
      </c>
      <c r="G34">
        <v>111646.15</v>
      </c>
      <c r="O34" t="s">
        <v>947</v>
      </c>
      <c r="P34" t="s">
        <v>947</v>
      </c>
      <c r="Q34">
        <v>131253.17914999998</v>
      </c>
      <c r="R34" s="9"/>
      <c r="S34"/>
      <c r="T34"/>
      <c r="U34" s="8"/>
    </row>
    <row r="35" spans="1:21" x14ac:dyDescent="0.25">
      <c r="A35">
        <v>338</v>
      </c>
      <c r="B35" t="s">
        <v>422</v>
      </c>
      <c r="C35">
        <v>0</v>
      </c>
      <c r="D35" t="s">
        <v>260</v>
      </c>
      <c r="E35" t="s">
        <v>84</v>
      </c>
      <c r="F35" t="s">
        <v>92</v>
      </c>
      <c r="G35">
        <v>31420</v>
      </c>
      <c r="O35" t="s">
        <v>947</v>
      </c>
      <c r="P35" t="s">
        <v>947</v>
      </c>
      <c r="Q35">
        <v>26493.333333333332</v>
      </c>
      <c r="R35" s="9"/>
      <c r="S35"/>
      <c r="T35"/>
      <c r="U35" s="8"/>
    </row>
    <row r="36" spans="1:21" x14ac:dyDescent="0.25">
      <c r="A36">
        <v>338</v>
      </c>
      <c r="B36" t="s">
        <v>422</v>
      </c>
      <c r="C36">
        <v>0</v>
      </c>
      <c r="D36" t="s">
        <v>260</v>
      </c>
      <c r="E36" t="s">
        <v>84</v>
      </c>
      <c r="F36" t="s">
        <v>125</v>
      </c>
      <c r="G36">
        <v>41950</v>
      </c>
      <c r="O36" t="s">
        <v>947</v>
      </c>
      <c r="P36" t="s">
        <v>947</v>
      </c>
      <c r="Q36">
        <v>33925</v>
      </c>
      <c r="R36" s="9"/>
      <c r="S36"/>
      <c r="T36"/>
      <c r="U36" s="8"/>
    </row>
    <row r="37" spans="1:21" x14ac:dyDescent="0.25">
      <c r="A37">
        <v>338</v>
      </c>
      <c r="B37" t="s">
        <v>422</v>
      </c>
      <c r="C37">
        <v>0</v>
      </c>
      <c r="D37" t="s">
        <v>260</v>
      </c>
      <c r="E37" t="s">
        <v>84</v>
      </c>
      <c r="F37" t="s">
        <v>121</v>
      </c>
      <c r="G37">
        <v>175300.40669999999</v>
      </c>
      <c r="O37" t="s">
        <v>947</v>
      </c>
      <c r="P37" t="s">
        <v>947</v>
      </c>
      <c r="Q37">
        <v>169276.77456666666</v>
      </c>
      <c r="R37" s="9"/>
      <c r="S37"/>
      <c r="T37"/>
      <c r="U37" s="8"/>
    </row>
    <row r="38" spans="1:21" x14ac:dyDescent="0.25">
      <c r="A38">
        <v>338</v>
      </c>
      <c r="B38" t="s">
        <v>422</v>
      </c>
      <c r="C38">
        <v>0</v>
      </c>
      <c r="D38" t="s">
        <v>260</v>
      </c>
      <c r="E38" t="s">
        <v>84</v>
      </c>
      <c r="F38" t="s">
        <v>121</v>
      </c>
      <c r="G38">
        <v>147033.4357</v>
      </c>
      <c r="O38" t="s">
        <v>947</v>
      </c>
      <c r="P38" t="s">
        <v>947</v>
      </c>
      <c r="Q38">
        <v>169276.77456666666</v>
      </c>
      <c r="R38" s="9"/>
      <c r="S38"/>
      <c r="T38"/>
      <c r="U38" s="8"/>
    </row>
    <row r="39" spans="1:21" x14ac:dyDescent="0.25">
      <c r="A39">
        <v>338</v>
      </c>
      <c r="B39" t="s">
        <v>422</v>
      </c>
      <c r="C39">
        <v>0</v>
      </c>
      <c r="D39" t="s">
        <v>260</v>
      </c>
      <c r="E39" t="s">
        <v>84</v>
      </c>
      <c r="F39" t="s">
        <v>151</v>
      </c>
      <c r="G39">
        <v>131202.5</v>
      </c>
      <c r="O39" t="s">
        <v>947</v>
      </c>
      <c r="P39" t="s">
        <v>947</v>
      </c>
      <c r="Q39">
        <v>116983.75</v>
      </c>
      <c r="R39" s="9"/>
      <c r="S39"/>
      <c r="T39"/>
      <c r="U39" s="8"/>
    </row>
    <row r="40" spans="1:21" x14ac:dyDescent="0.25">
      <c r="A40">
        <v>338</v>
      </c>
      <c r="B40" t="s">
        <v>422</v>
      </c>
      <c r="C40">
        <v>0</v>
      </c>
      <c r="D40" t="s">
        <v>260</v>
      </c>
      <c r="E40" t="s">
        <v>84</v>
      </c>
      <c r="F40" t="s">
        <v>80</v>
      </c>
      <c r="G40">
        <v>651508.09499999997</v>
      </c>
      <c r="J40">
        <v>1</v>
      </c>
      <c r="N40">
        <v>1</v>
      </c>
      <c r="O40" t="s">
        <v>947</v>
      </c>
      <c r="P40" t="s">
        <v>947</v>
      </c>
      <c r="Q40">
        <v>758314.41500000004</v>
      </c>
      <c r="R40" s="9"/>
      <c r="S40"/>
      <c r="T40"/>
      <c r="U40" s="8"/>
    </row>
    <row r="41" spans="1:21" x14ac:dyDescent="0.25">
      <c r="A41">
        <v>338</v>
      </c>
      <c r="B41" t="s">
        <v>422</v>
      </c>
      <c r="C41">
        <v>0</v>
      </c>
      <c r="D41" t="s">
        <v>260</v>
      </c>
      <c r="E41" t="s">
        <v>84</v>
      </c>
      <c r="F41" t="s">
        <v>80</v>
      </c>
      <c r="G41">
        <v>876794.625</v>
      </c>
      <c r="J41">
        <v>1</v>
      </c>
      <c r="N41">
        <v>1</v>
      </c>
      <c r="O41" t="s">
        <v>947</v>
      </c>
      <c r="P41" t="s">
        <v>947</v>
      </c>
      <c r="Q41">
        <v>758314.41500000004</v>
      </c>
      <c r="R41" s="9"/>
      <c r="S41"/>
      <c r="T41"/>
      <c r="U41" s="8"/>
    </row>
    <row r="42" spans="1:21" x14ac:dyDescent="0.25">
      <c r="A42">
        <v>338</v>
      </c>
      <c r="B42" t="s">
        <v>422</v>
      </c>
      <c r="C42">
        <v>0</v>
      </c>
      <c r="D42" t="s">
        <v>260</v>
      </c>
      <c r="E42" t="s">
        <v>84</v>
      </c>
      <c r="F42" t="s">
        <v>106</v>
      </c>
      <c r="G42">
        <v>6207.47</v>
      </c>
      <c r="J42">
        <v>1</v>
      </c>
      <c r="N42">
        <v>1</v>
      </c>
      <c r="O42" t="s">
        <v>947</v>
      </c>
      <c r="P42" t="s">
        <v>947</v>
      </c>
      <c r="Q42">
        <v>4912.9341666666669</v>
      </c>
      <c r="R42" s="9"/>
      <c r="S42"/>
      <c r="T42"/>
      <c r="U42" s="8"/>
    </row>
    <row r="43" spans="1:21" x14ac:dyDescent="0.25">
      <c r="A43">
        <v>338</v>
      </c>
      <c r="B43" t="s">
        <v>422</v>
      </c>
      <c r="C43">
        <v>0</v>
      </c>
      <c r="D43" t="s">
        <v>260</v>
      </c>
      <c r="E43" t="s">
        <v>84</v>
      </c>
      <c r="F43" t="s">
        <v>106</v>
      </c>
      <c r="G43">
        <v>3174.6325000000002</v>
      </c>
      <c r="J43">
        <v>1</v>
      </c>
      <c r="N43">
        <v>1</v>
      </c>
      <c r="O43" t="s">
        <v>947</v>
      </c>
      <c r="P43" t="s">
        <v>947</v>
      </c>
      <c r="Q43">
        <v>4912.9341666666669</v>
      </c>
      <c r="R43" s="9"/>
      <c r="S43"/>
      <c r="T43"/>
      <c r="U43" s="8"/>
    </row>
    <row r="44" spans="1:21" x14ac:dyDescent="0.25">
      <c r="A44">
        <v>338</v>
      </c>
      <c r="B44" t="s">
        <v>422</v>
      </c>
      <c r="C44">
        <v>0</v>
      </c>
      <c r="D44" t="s">
        <v>260</v>
      </c>
      <c r="E44" t="s">
        <v>84</v>
      </c>
      <c r="F44" t="s">
        <v>110</v>
      </c>
      <c r="G44">
        <v>19592</v>
      </c>
      <c r="J44">
        <v>1</v>
      </c>
      <c r="N44">
        <v>1</v>
      </c>
      <c r="O44" t="s">
        <v>947</v>
      </c>
      <c r="P44" t="s">
        <v>947</v>
      </c>
      <c r="Q44">
        <v>14893</v>
      </c>
      <c r="R44" s="9"/>
      <c r="S44"/>
      <c r="T44"/>
      <c r="U44" s="8"/>
    </row>
    <row r="45" spans="1:21" x14ac:dyDescent="0.25">
      <c r="A45">
        <v>338</v>
      </c>
      <c r="B45" t="s">
        <v>422</v>
      </c>
      <c r="C45">
        <v>0</v>
      </c>
      <c r="D45" t="s">
        <v>260</v>
      </c>
      <c r="E45" t="s">
        <v>84</v>
      </c>
      <c r="F45" t="s">
        <v>110</v>
      </c>
      <c r="G45">
        <v>16383</v>
      </c>
      <c r="J45">
        <v>1</v>
      </c>
      <c r="N45">
        <v>1</v>
      </c>
      <c r="O45" t="s">
        <v>947</v>
      </c>
      <c r="P45" t="s">
        <v>947</v>
      </c>
      <c r="Q45">
        <v>14893</v>
      </c>
      <c r="R45" s="9"/>
      <c r="S45"/>
      <c r="T45"/>
      <c r="U45" s="8"/>
    </row>
    <row r="46" spans="1:21" x14ac:dyDescent="0.25">
      <c r="A46">
        <v>338</v>
      </c>
      <c r="B46" t="s">
        <v>422</v>
      </c>
      <c r="C46">
        <v>0</v>
      </c>
      <c r="D46" t="s">
        <v>260</v>
      </c>
      <c r="E46" t="s">
        <v>84</v>
      </c>
      <c r="F46" t="s">
        <v>114</v>
      </c>
      <c r="G46">
        <v>38700</v>
      </c>
      <c r="O46" t="s">
        <v>947</v>
      </c>
      <c r="P46" t="s">
        <v>947</v>
      </c>
      <c r="Q46">
        <v>47966.666666666664</v>
      </c>
      <c r="R46" s="9"/>
      <c r="S46"/>
      <c r="T46"/>
      <c r="U46" s="8"/>
    </row>
    <row r="47" spans="1:21" x14ac:dyDescent="0.25">
      <c r="A47">
        <v>338</v>
      </c>
      <c r="B47" t="s">
        <v>422</v>
      </c>
      <c r="C47">
        <v>0</v>
      </c>
      <c r="D47" t="s">
        <v>260</v>
      </c>
      <c r="E47" t="s">
        <v>84</v>
      </c>
      <c r="F47" t="s">
        <v>114</v>
      </c>
      <c r="G47">
        <v>50000</v>
      </c>
      <c r="O47" t="s">
        <v>947</v>
      </c>
      <c r="P47" t="s">
        <v>947</v>
      </c>
      <c r="Q47">
        <v>47966.666666666664</v>
      </c>
      <c r="R47" s="9"/>
      <c r="S47"/>
      <c r="T47"/>
      <c r="U47" s="8"/>
    </row>
    <row r="48" spans="1:21" x14ac:dyDescent="0.25">
      <c r="A48">
        <v>340</v>
      </c>
      <c r="B48" t="s">
        <v>456</v>
      </c>
      <c r="C48">
        <v>0</v>
      </c>
      <c r="D48" t="s">
        <v>260</v>
      </c>
      <c r="E48" t="s">
        <v>84</v>
      </c>
      <c r="F48" t="s">
        <v>92</v>
      </c>
      <c r="G48">
        <v>32110</v>
      </c>
      <c r="O48" t="s">
        <v>947</v>
      </c>
      <c r="P48" t="s">
        <v>947</v>
      </c>
      <c r="Q48">
        <v>25766.666666666668</v>
      </c>
      <c r="R48" s="9"/>
      <c r="S48"/>
      <c r="T48"/>
      <c r="U48" s="8"/>
    </row>
    <row r="49" spans="1:21" x14ac:dyDescent="0.25">
      <c r="A49">
        <v>340</v>
      </c>
      <c r="B49" t="s">
        <v>456</v>
      </c>
      <c r="C49">
        <v>0</v>
      </c>
      <c r="D49" t="s">
        <v>260</v>
      </c>
      <c r="E49" t="s">
        <v>84</v>
      </c>
      <c r="F49" t="s">
        <v>80</v>
      </c>
      <c r="G49">
        <v>783241.875</v>
      </c>
      <c r="J49">
        <v>1</v>
      </c>
      <c r="N49">
        <v>1</v>
      </c>
      <c r="O49" t="s">
        <v>947</v>
      </c>
      <c r="P49" t="s">
        <v>947</v>
      </c>
      <c r="Q49">
        <v>711043.51246666664</v>
      </c>
      <c r="R49" s="9"/>
      <c r="S49"/>
      <c r="T49"/>
      <c r="U49" s="8"/>
    </row>
    <row r="50" spans="1:21" x14ac:dyDescent="0.25">
      <c r="A50">
        <v>340</v>
      </c>
      <c r="B50" t="s">
        <v>456</v>
      </c>
      <c r="C50">
        <v>0</v>
      </c>
      <c r="D50" t="s">
        <v>260</v>
      </c>
      <c r="E50" t="s">
        <v>84</v>
      </c>
      <c r="F50" t="s">
        <v>80</v>
      </c>
      <c r="G50">
        <v>736037.19</v>
      </c>
      <c r="M50">
        <v>1</v>
      </c>
      <c r="O50" t="s">
        <v>947</v>
      </c>
      <c r="P50" t="s">
        <v>947</v>
      </c>
      <c r="Q50">
        <v>711043.51246666664</v>
      </c>
      <c r="R50" s="9"/>
      <c r="S50"/>
      <c r="T50"/>
      <c r="U50" s="8"/>
    </row>
    <row r="51" spans="1:21" x14ac:dyDescent="0.25">
      <c r="A51">
        <v>340</v>
      </c>
      <c r="B51" t="s">
        <v>456</v>
      </c>
      <c r="C51">
        <v>0</v>
      </c>
      <c r="D51" t="s">
        <v>260</v>
      </c>
      <c r="E51" t="s">
        <v>84</v>
      </c>
      <c r="F51" t="s">
        <v>106</v>
      </c>
      <c r="G51">
        <v>3883.6075000000001</v>
      </c>
      <c r="J51">
        <v>1</v>
      </c>
      <c r="N51">
        <v>1</v>
      </c>
      <c r="O51" t="s">
        <v>947</v>
      </c>
      <c r="P51" t="s">
        <v>947</v>
      </c>
      <c r="Q51">
        <v>5621.9091666666673</v>
      </c>
      <c r="R51" s="9"/>
      <c r="S51"/>
      <c r="T51"/>
      <c r="U51" s="8"/>
    </row>
    <row r="52" spans="1:21" x14ac:dyDescent="0.25">
      <c r="A52">
        <v>340</v>
      </c>
      <c r="B52" t="s">
        <v>456</v>
      </c>
      <c r="C52">
        <v>0</v>
      </c>
      <c r="D52" t="s">
        <v>260</v>
      </c>
      <c r="E52" t="s">
        <v>84</v>
      </c>
      <c r="F52" t="s">
        <v>106</v>
      </c>
      <c r="G52">
        <v>5774.2075000000004</v>
      </c>
      <c r="M52">
        <v>1</v>
      </c>
      <c r="O52" t="s">
        <v>947</v>
      </c>
      <c r="P52" t="s">
        <v>947</v>
      </c>
      <c r="Q52">
        <v>5621.9091666666673</v>
      </c>
      <c r="R52" s="9"/>
      <c r="S52"/>
      <c r="T52"/>
      <c r="U52" s="8"/>
    </row>
    <row r="53" spans="1:21" x14ac:dyDescent="0.25">
      <c r="A53">
        <v>340</v>
      </c>
      <c r="B53" t="s">
        <v>456</v>
      </c>
      <c r="C53">
        <v>0</v>
      </c>
      <c r="D53" t="s">
        <v>260</v>
      </c>
      <c r="E53" t="s">
        <v>84</v>
      </c>
      <c r="F53" t="s">
        <v>110</v>
      </c>
      <c r="G53">
        <v>9271</v>
      </c>
      <c r="J53">
        <v>1</v>
      </c>
      <c r="N53">
        <v>1</v>
      </c>
      <c r="O53" t="s">
        <v>947</v>
      </c>
      <c r="P53" t="s">
        <v>947</v>
      </c>
      <c r="Q53">
        <v>16903.666666666668</v>
      </c>
      <c r="R53" s="9"/>
      <c r="S53"/>
      <c r="T53"/>
      <c r="U53" s="8"/>
    </row>
    <row r="54" spans="1:21" x14ac:dyDescent="0.25">
      <c r="A54">
        <v>340</v>
      </c>
      <c r="B54" t="s">
        <v>456</v>
      </c>
      <c r="C54">
        <v>0</v>
      </c>
      <c r="D54" t="s">
        <v>260</v>
      </c>
      <c r="E54" t="s">
        <v>84</v>
      </c>
      <c r="F54" t="s">
        <v>110</v>
      </c>
      <c r="G54">
        <v>21120</v>
      </c>
      <c r="M54">
        <v>1</v>
      </c>
      <c r="O54" t="s">
        <v>947</v>
      </c>
      <c r="P54" t="s">
        <v>947</v>
      </c>
      <c r="Q54">
        <v>16903.666666666668</v>
      </c>
      <c r="R54" s="9"/>
      <c r="S54"/>
      <c r="T54"/>
      <c r="U54" s="8"/>
    </row>
    <row r="55" spans="1:21" x14ac:dyDescent="0.25">
      <c r="A55">
        <v>340</v>
      </c>
      <c r="B55" t="s">
        <v>456</v>
      </c>
      <c r="C55">
        <v>0</v>
      </c>
      <c r="D55" t="s">
        <v>260</v>
      </c>
      <c r="E55" t="s">
        <v>84</v>
      </c>
      <c r="F55" t="s">
        <v>87</v>
      </c>
      <c r="G55">
        <v>115561.25</v>
      </c>
      <c r="N55">
        <v>1</v>
      </c>
      <c r="O55" t="s">
        <v>947</v>
      </c>
      <c r="P55" t="s">
        <v>947</v>
      </c>
      <c r="Q55">
        <v>147026.44443333332</v>
      </c>
      <c r="R55" s="9"/>
      <c r="S55"/>
      <c r="T55"/>
      <c r="U55" s="8"/>
    </row>
    <row r="56" spans="1:21" x14ac:dyDescent="0.25">
      <c r="A56">
        <v>373</v>
      </c>
      <c r="B56" t="s">
        <v>796</v>
      </c>
      <c r="C56">
        <v>0</v>
      </c>
      <c r="D56" t="s">
        <v>260</v>
      </c>
      <c r="E56" t="s">
        <v>84</v>
      </c>
      <c r="F56" t="s">
        <v>92</v>
      </c>
      <c r="G56">
        <v>27510</v>
      </c>
      <c r="O56" t="s">
        <v>947</v>
      </c>
      <c r="P56" t="s">
        <v>947</v>
      </c>
      <c r="Q56">
        <v>28400</v>
      </c>
      <c r="R56" s="9"/>
      <c r="S56"/>
      <c r="T56"/>
      <c r="U56" s="8"/>
    </row>
    <row r="57" spans="1:21" x14ac:dyDescent="0.25">
      <c r="A57">
        <v>373</v>
      </c>
      <c r="B57" t="s">
        <v>796</v>
      </c>
      <c r="C57">
        <v>0</v>
      </c>
      <c r="D57" t="s">
        <v>260</v>
      </c>
      <c r="E57" t="s">
        <v>84</v>
      </c>
      <c r="F57" t="s">
        <v>151</v>
      </c>
      <c r="G57">
        <v>118137.5</v>
      </c>
      <c r="M57">
        <v>1</v>
      </c>
      <c r="O57" t="s">
        <v>947</v>
      </c>
      <c r="P57" t="s">
        <v>947</v>
      </c>
      <c r="Q57">
        <v>98628.833333333328</v>
      </c>
      <c r="R57" s="9"/>
      <c r="S57"/>
      <c r="T57"/>
      <c r="U57" s="8"/>
    </row>
    <row r="58" spans="1:21" x14ac:dyDescent="0.25">
      <c r="A58">
        <v>373</v>
      </c>
      <c r="B58" t="s">
        <v>796</v>
      </c>
      <c r="C58">
        <v>0</v>
      </c>
      <c r="D58" t="s">
        <v>260</v>
      </c>
      <c r="E58" t="s">
        <v>84</v>
      </c>
      <c r="F58" t="s">
        <v>151</v>
      </c>
      <c r="G58">
        <v>75952.5</v>
      </c>
      <c r="O58" t="s">
        <v>947</v>
      </c>
      <c r="P58" t="s">
        <v>947</v>
      </c>
      <c r="Q58">
        <v>98628.833333333328</v>
      </c>
      <c r="R58" s="9"/>
      <c r="S58"/>
      <c r="T58"/>
      <c r="U58" s="8"/>
    </row>
    <row r="59" spans="1:21" x14ac:dyDescent="0.25">
      <c r="A59">
        <v>373</v>
      </c>
      <c r="B59" t="s">
        <v>796</v>
      </c>
      <c r="C59">
        <v>0</v>
      </c>
      <c r="D59" t="s">
        <v>260</v>
      </c>
      <c r="E59" t="s">
        <v>84</v>
      </c>
      <c r="F59" t="s">
        <v>98</v>
      </c>
      <c r="G59">
        <v>31800</v>
      </c>
      <c r="O59" t="s">
        <v>947</v>
      </c>
      <c r="P59" t="s">
        <v>947</v>
      </c>
      <c r="Q59">
        <v>38150</v>
      </c>
      <c r="R59" s="9"/>
      <c r="S59"/>
      <c r="T59"/>
      <c r="U59" s="8"/>
    </row>
    <row r="60" spans="1:21" x14ac:dyDescent="0.25">
      <c r="A60">
        <v>373</v>
      </c>
      <c r="B60" t="s">
        <v>796</v>
      </c>
      <c r="C60">
        <v>0</v>
      </c>
      <c r="D60" t="s">
        <v>260</v>
      </c>
      <c r="E60" t="s">
        <v>84</v>
      </c>
      <c r="F60" t="s">
        <v>98</v>
      </c>
      <c r="G60">
        <v>17250</v>
      </c>
      <c r="M60">
        <v>1</v>
      </c>
      <c r="O60" t="s">
        <v>947</v>
      </c>
      <c r="P60" t="s">
        <v>947</v>
      </c>
      <c r="Q60">
        <v>38150</v>
      </c>
      <c r="R60" s="9"/>
      <c r="S60"/>
      <c r="T60"/>
      <c r="U60" s="8"/>
    </row>
    <row r="61" spans="1:21" x14ac:dyDescent="0.25">
      <c r="A61">
        <v>373</v>
      </c>
      <c r="B61" t="s">
        <v>796</v>
      </c>
      <c r="C61">
        <v>0</v>
      </c>
      <c r="D61" t="s">
        <v>260</v>
      </c>
      <c r="E61" t="s">
        <v>84</v>
      </c>
      <c r="F61" t="s">
        <v>87</v>
      </c>
      <c r="G61">
        <v>124164.6</v>
      </c>
      <c r="N61">
        <v>1</v>
      </c>
      <c r="O61" t="s">
        <v>947</v>
      </c>
      <c r="P61" t="s">
        <v>947</v>
      </c>
      <c r="Q61">
        <v>127133.82501</v>
      </c>
      <c r="R61" s="9"/>
      <c r="S61"/>
      <c r="T61"/>
      <c r="U61" s="8"/>
    </row>
    <row r="62" spans="1:21" x14ac:dyDescent="0.25">
      <c r="A62">
        <v>373</v>
      </c>
      <c r="B62" t="s">
        <v>796</v>
      </c>
      <c r="C62">
        <v>0</v>
      </c>
      <c r="D62" t="s">
        <v>260</v>
      </c>
      <c r="E62" t="s">
        <v>84</v>
      </c>
      <c r="F62" t="s">
        <v>110</v>
      </c>
      <c r="G62">
        <v>16380</v>
      </c>
      <c r="J62">
        <v>1</v>
      </c>
      <c r="O62" t="s">
        <v>947</v>
      </c>
      <c r="P62" t="s">
        <v>947</v>
      </c>
      <c r="Q62">
        <v>12223</v>
      </c>
      <c r="R62" s="9"/>
      <c r="S62"/>
      <c r="T62"/>
      <c r="U62" s="8"/>
    </row>
    <row r="63" spans="1:21" x14ac:dyDescent="0.25">
      <c r="A63">
        <v>373</v>
      </c>
      <c r="B63" t="s">
        <v>796</v>
      </c>
      <c r="C63">
        <v>0</v>
      </c>
      <c r="D63" t="s">
        <v>260</v>
      </c>
      <c r="E63" t="s">
        <v>84</v>
      </c>
      <c r="F63" t="s">
        <v>110</v>
      </c>
      <c r="G63">
        <v>10664</v>
      </c>
      <c r="O63" t="s">
        <v>947</v>
      </c>
      <c r="P63" t="s">
        <v>947</v>
      </c>
      <c r="Q63">
        <v>12223</v>
      </c>
      <c r="R63" s="9"/>
      <c r="S63"/>
      <c r="T63"/>
      <c r="U63" s="8"/>
    </row>
    <row r="64" spans="1:21" x14ac:dyDescent="0.25">
      <c r="A64">
        <v>373</v>
      </c>
      <c r="B64" t="s">
        <v>796</v>
      </c>
      <c r="C64">
        <v>0</v>
      </c>
      <c r="D64" t="s">
        <v>260</v>
      </c>
      <c r="E64" t="s">
        <v>84</v>
      </c>
      <c r="F64" t="s">
        <v>106</v>
      </c>
      <c r="G64">
        <v>12036.82</v>
      </c>
      <c r="J64">
        <v>1</v>
      </c>
      <c r="O64" t="s">
        <v>947</v>
      </c>
      <c r="P64" t="s">
        <v>947</v>
      </c>
      <c r="Q64">
        <v>11025.874166666666</v>
      </c>
      <c r="R64" s="9"/>
      <c r="S64"/>
      <c r="T64"/>
      <c r="U64" s="8"/>
    </row>
    <row r="65" spans="1:21" x14ac:dyDescent="0.25">
      <c r="A65">
        <v>373</v>
      </c>
      <c r="B65" t="s">
        <v>796</v>
      </c>
      <c r="C65">
        <v>0</v>
      </c>
      <c r="D65" t="s">
        <v>260</v>
      </c>
      <c r="E65" t="s">
        <v>84</v>
      </c>
      <c r="F65" t="s">
        <v>106</v>
      </c>
      <c r="G65">
        <v>9216.6749999999993</v>
      </c>
      <c r="O65" t="s">
        <v>947</v>
      </c>
      <c r="P65" t="s">
        <v>947</v>
      </c>
      <c r="Q65">
        <v>11025.874166666666</v>
      </c>
      <c r="R65" s="9"/>
      <c r="S65"/>
      <c r="T65"/>
      <c r="U65" s="8"/>
    </row>
    <row r="66" spans="1:21" x14ac:dyDescent="0.25">
      <c r="A66">
        <v>373</v>
      </c>
      <c r="B66" t="s">
        <v>796</v>
      </c>
      <c r="C66">
        <v>0</v>
      </c>
      <c r="D66" t="s">
        <v>260</v>
      </c>
      <c r="E66" t="s">
        <v>84</v>
      </c>
      <c r="F66" t="s">
        <v>80</v>
      </c>
      <c r="G66">
        <v>727670.19180000003</v>
      </c>
      <c r="J66">
        <v>1</v>
      </c>
      <c r="O66" t="s">
        <v>947</v>
      </c>
      <c r="P66" t="s">
        <v>947</v>
      </c>
      <c r="Q66">
        <v>723920.4031</v>
      </c>
      <c r="R66" s="9"/>
      <c r="S66"/>
      <c r="T66"/>
      <c r="U66" s="8"/>
    </row>
    <row r="67" spans="1:21" x14ac:dyDescent="0.25">
      <c r="A67">
        <v>373</v>
      </c>
      <c r="B67" t="s">
        <v>796</v>
      </c>
      <c r="C67">
        <v>0</v>
      </c>
      <c r="D67" t="s">
        <v>260</v>
      </c>
      <c r="E67" t="s">
        <v>84</v>
      </c>
      <c r="F67" t="s">
        <v>80</v>
      </c>
      <c r="G67">
        <v>645713.4375</v>
      </c>
      <c r="O67" t="s">
        <v>947</v>
      </c>
      <c r="P67" t="s">
        <v>947</v>
      </c>
      <c r="Q67">
        <v>723920.4031</v>
      </c>
      <c r="R67" s="9"/>
      <c r="S67"/>
      <c r="T67"/>
      <c r="U67" s="8"/>
    </row>
    <row r="68" spans="1:21" x14ac:dyDescent="0.25">
      <c r="A68">
        <v>375</v>
      </c>
      <c r="B68" t="s">
        <v>826</v>
      </c>
      <c r="C68">
        <v>0</v>
      </c>
      <c r="D68" t="s">
        <v>260</v>
      </c>
      <c r="E68" t="s">
        <v>84</v>
      </c>
      <c r="F68" t="s">
        <v>80</v>
      </c>
      <c r="G68">
        <v>923882.24</v>
      </c>
      <c r="J68">
        <v>1</v>
      </c>
      <c r="N68">
        <v>1</v>
      </c>
      <c r="O68" t="s">
        <v>947</v>
      </c>
      <c r="P68" t="s">
        <v>947</v>
      </c>
      <c r="Q68">
        <v>884250.9711666666</v>
      </c>
      <c r="R68" s="9"/>
      <c r="S68"/>
      <c r="T68"/>
      <c r="U68" s="8"/>
    </row>
    <row r="69" spans="1:21" x14ac:dyDescent="0.25">
      <c r="A69">
        <v>375</v>
      </c>
      <c r="B69" t="s">
        <v>826</v>
      </c>
      <c r="C69">
        <v>0</v>
      </c>
      <c r="D69" t="s">
        <v>260</v>
      </c>
      <c r="E69" t="s">
        <v>84</v>
      </c>
      <c r="F69" t="s">
        <v>80</v>
      </c>
      <c r="G69">
        <v>773050.33349999995</v>
      </c>
      <c r="O69" t="s">
        <v>947</v>
      </c>
      <c r="P69" t="s">
        <v>947</v>
      </c>
      <c r="Q69">
        <v>884250.9711666666</v>
      </c>
      <c r="R69" s="9"/>
      <c r="S69"/>
      <c r="T69"/>
      <c r="U69" s="8"/>
    </row>
    <row r="70" spans="1:21" x14ac:dyDescent="0.25">
      <c r="A70">
        <v>375</v>
      </c>
      <c r="B70" t="s">
        <v>826</v>
      </c>
      <c r="C70">
        <v>0</v>
      </c>
      <c r="D70" t="s">
        <v>260</v>
      </c>
      <c r="E70" t="s">
        <v>84</v>
      </c>
      <c r="F70" t="s">
        <v>106</v>
      </c>
      <c r="G70">
        <v>8578.5974999999999</v>
      </c>
      <c r="J70">
        <v>1</v>
      </c>
      <c r="N70">
        <v>1</v>
      </c>
      <c r="O70" t="s">
        <v>947</v>
      </c>
      <c r="P70" t="s">
        <v>947</v>
      </c>
      <c r="Q70">
        <v>6467.4274999999998</v>
      </c>
      <c r="R70" s="9"/>
      <c r="S70"/>
      <c r="T70"/>
      <c r="U70" s="8"/>
    </row>
    <row r="71" spans="1:21" x14ac:dyDescent="0.25">
      <c r="A71">
        <v>375</v>
      </c>
      <c r="B71" t="s">
        <v>826</v>
      </c>
      <c r="C71">
        <v>0</v>
      </c>
      <c r="D71" t="s">
        <v>260</v>
      </c>
      <c r="E71" t="s">
        <v>84</v>
      </c>
      <c r="F71" t="s">
        <v>106</v>
      </c>
      <c r="G71">
        <v>2568.0650000000001</v>
      </c>
      <c r="O71" t="s">
        <v>947</v>
      </c>
      <c r="P71" t="s">
        <v>947</v>
      </c>
      <c r="Q71">
        <v>6467.4274999999998</v>
      </c>
      <c r="R71" s="9"/>
      <c r="S71"/>
      <c r="T71"/>
      <c r="U71" s="8"/>
    </row>
    <row r="72" spans="1:21" x14ac:dyDescent="0.25">
      <c r="A72">
        <v>375</v>
      </c>
      <c r="B72" t="s">
        <v>826</v>
      </c>
      <c r="C72">
        <v>0</v>
      </c>
      <c r="D72" t="s">
        <v>260</v>
      </c>
      <c r="E72" t="s">
        <v>84</v>
      </c>
      <c r="F72" t="s">
        <v>110</v>
      </c>
      <c r="G72">
        <v>9198</v>
      </c>
      <c r="J72">
        <v>1</v>
      </c>
      <c r="N72">
        <v>1</v>
      </c>
      <c r="O72" t="s">
        <v>947</v>
      </c>
      <c r="P72" t="s">
        <v>947</v>
      </c>
      <c r="Q72">
        <v>9930</v>
      </c>
      <c r="R72" s="9"/>
      <c r="S72"/>
      <c r="T72"/>
      <c r="U72" s="8"/>
    </row>
    <row r="73" spans="1:21" x14ac:dyDescent="0.25">
      <c r="A73">
        <v>375</v>
      </c>
      <c r="B73" t="s">
        <v>826</v>
      </c>
      <c r="C73">
        <v>0</v>
      </c>
      <c r="D73" t="s">
        <v>260</v>
      </c>
      <c r="E73" t="s">
        <v>84</v>
      </c>
      <c r="F73" t="s">
        <v>110</v>
      </c>
      <c r="G73">
        <v>9000</v>
      </c>
      <c r="O73" t="s">
        <v>947</v>
      </c>
      <c r="P73" t="s">
        <v>947</v>
      </c>
      <c r="Q73">
        <v>9930</v>
      </c>
      <c r="R73" s="9"/>
      <c r="S73"/>
      <c r="T73"/>
      <c r="U73" s="8"/>
    </row>
    <row r="74" spans="1:21" x14ac:dyDescent="0.25">
      <c r="A74">
        <v>375</v>
      </c>
      <c r="B74" t="s">
        <v>826</v>
      </c>
      <c r="C74">
        <v>0</v>
      </c>
      <c r="D74" t="s">
        <v>260</v>
      </c>
      <c r="E74" t="s">
        <v>84</v>
      </c>
      <c r="F74" t="s">
        <v>87</v>
      </c>
      <c r="G74">
        <v>124425.0583</v>
      </c>
      <c r="M74">
        <v>1</v>
      </c>
      <c r="N74">
        <v>1</v>
      </c>
      <c r="O74" t="s">
        <v>947</v>
      </c>
      <c r="P74" t="s">
        <v>947</v>
      </c>
      <c r="Q74">
        <v>135828.56390000001</v>
      </c>
      <c r="R74" s="9"/>
      <c r="S74"/>
      <c r="T74"/>
      <c r="U74" s="8"/>
    </row>
    <row r="75" spans="1:21" x14ac:dyDescent="0.25">
      <c r="A75">
        <v>375</v>
      </c>
      <c r="B75" t="s">
        <v>826</v>
      </c>
      <c r="C75">
        <v>0</v>
      </c>
      <c r="D75" t="s">
        <v>260</v>
      </c>
      <c r="E75" t="s">
        <v>84</v>
      </c>
      <c r="F75" t="s">
        <v>87</v>
      </c>
      <c r="G75">
        <v>162512.2917</v>
      </c>
      <c r="N75">
        <v>1</v>
      </c>
      <c r="O75" t="s">
        <v>947</v>
      </c>
      <c r="P75" t="s">
        <v>947</v>
      </c>
      <c r="Q75">
        <v>135828.56390000001</v>
      </c>
      <c r="R75" s="9"/>
      <c r="S75"/>
      <c r="T75"/>
      <c r="U75" s="8"/>
    </row>
    <row r="76" spans="1:21" x14ac:dyDescent="0.25">
      <c r="A76">
        <v>375</v>
      </c>
      <c r="B76" t="s">
        <v>826</v>
      </c>
      <c r="C76">
        <v>0</v>
      </c>
      <c r="D76" t="s">
        <v>260</v>
      </c>
      <c r="E76" t="s">
        <v>84</v>
      </c>
      <c r="F76" t="s">
        <v>98</v>
      </c>
      <c r="G76">
        <v>20650</v>
      </c>
      <c r="O76" t="s">
        <v>947</v>
      </c>
      <c r="P76" t="s">
        <v>947</v>
      </c>
      <c r="Q76">
        <v>21600</v>
      </c>
      <c r="R76" s="9"/>
      <c r="S76"/>
      <c r="T76"/>
      <c r="U76" s="8"/>
    </row>
    <row r="77" spans="1:21" x14ac:dyDescent="0.25">
      <c r="A77">
        <v>375</v>
      </c>
      <c r="B77" t="s">
        <v>826</v>
      </c>
      <c r="C77">
        <v>0</v>
      </c>
      <c r="D77" t="s">
        <v>260</v>
      </c>
      <c r="E77" t="s">
        <v>84</v>
      </c>
      <c r="F77" t="s">
        <v>121</v>
      </c>
      <c r="G77">
        <v>115654.9077</v>
      </c>
      <c r="M77">
        <v>1</v>
      </c>
      <c r="O77" t="s">
        <v>947</v>
      </c>
      <c r="P77" t="s">
        <v>947</v>
      </c>
      <c r="Q77">
        <v>151739.2697</v>
      </c>
      <c r="R77" s="9"/>
      <c r="S77"/>
      <c r="T77"/>
      <c r="U77" s="8"/>
    </row>
    <row r="78" spans="1:21" x14ac:dyDescent="0.25">
      <c r="A78">
        <v>375</v>
      </c>
      <c r="B78" t="s">
        <v>826</v>
      </c>
      <c r="C78">
        <v>0</v>
      </c>
      <c r="D78" t="s">
        <v>260</v>
      </c>
      <c r="E78" t="s">
        <v>84</v>
      </c>
      <c r="F78" t="s">
        <v>114</v>
      </c>
      <c r="G78">
        <v>40000</v>
      </c>
      <c r="M78">
        <v>1</v>
      </c>
      <c r="O78" t="s">
        <v>947</v>
      </c>
      <c r="P78" t="s">
        <v>947</v>
      </c>
      <c r="Q78">
        <v>26250</v>
      </c>
      <c r="R78" s="9"/>
      <c r="S78"/>
      <c r="T78"/>
      <c r="U78" s="8"/>
    </row>
    <row r="79" spans="1:21" x14ac:dyDescent="0.25">
      <c r="A79">
        <v>324</v>
      </c>
      <c r="B79" t="s">
        <v>177</v>
      </c>
      <c r="C79">
        <v>0</v>
      </c>
      <c r="D79" t="s">
        <v>179</v>
      </c>
      <c r="E79" t="s">
        <v>84</v>
      </c>
      <c r="F79" t="s">
        <v>185</v>
      </c>
      <c r="G79">
        <v>14021.95</v>
      </c>
      <c r="J79">
        <v>1</v>
      </c>
      <c r="N79">
        <v>1</v>
      </c>
      <c r="O79" t="s">
        <v>947</v>
      </c>
      <c r="P79" t="s">
        <v>947</v>
      </c>
      <c r="Q79">
        <v>18774.708333333332</v>
      </c>
      <c r="R79" s="9"/>
      <c r="S79"/>
      <c r="T79"/>
      <c r="U79" s="8"/>
    </row>
    <row r="80" spans="1:21" x14ac:dyDescent="0.25">
      <c r="A80">
        <v>324</v>
      </c>
      <c r="B80" t="s">
        <v>177</v>
      </c>
      <c r="C80">
        <v>0</v>
      </c>
      <c r="D80" t="s">
        <v>179</v>
      </c>
      <c r="E80" t="s">
        <v>84</v>
      </c>
      <c r="F80" t="s">
        <v>110</v>
      </c>
      <c r="G80">
        <v>8960</v>
      </c>
      <c r="J80">
        <v>1</v>
      </c>
      <c r="N80">
        <v>1</v>
      </c>
      <c r="O80" t="s">
        <v>947</v>
      </c>
      <c r="P80" t="s">
        <v>947</v>
      </c>
      <c r="Q80">
        <v>11703.333333333334</v>
      </c>
      <c r="R80" s="9"/>
      <c r="S80"/>
      <c r="T80"/>
      <c r="U80" s="8"/>
    </row>
    <row r="81" spans="1:21" x14ac:dyDescent="0.25">
      <c r="A81">
        <v>324</v>
      </c>
      <c r="B81" t="s">
        <v>177</v>
      </c>
      <c r="C81">
        <v>0</v>
      </c>
      <c r="D81" t="s">
        <v>179</v>
      </c>
      <c r="E81" t="s">
        <v>84</v>
      </c>
      <c r="F81" t="s">
        <v>106</v>
      </c>
      <c r="G81">
        <v>8846.4325000000008</v>
      </c>
      <c r="J81">
        <v>1</v>
      </c>
      <c r="N81">
        <v>1</v>
      </c>
      <c r="O81" t="s">
        <v>947</v>
      </c>
      <c r="P81" t="s">
        <v>947</v>
      </c>
      <c r="Q81">
        <v>7058.2400000000007</v>
      </c>
      <c r="R81" s="9"/>
      <c r="S81"/>
      <c r="T81"/>
      <c r="U81" s="8"/>
    </row>
    <row r="82" spans="1:21" x14ac:dyDescent="0.25">
      <c r="A82">
        <v>324</v>
      </c>
      <c r="B82" t="s">
        <v>177</v>
      </c>
      <c r="C82">
        <v>0</v>
      </c>
      <c r="D82" t="s">
        <v>179</v>
      </c>
      <c r="E82" t="s">
        <v>84</v>
      </c>
      <c r="F82" t="s">
        <v>80</v>
      </c>
      <c r="G82">
        <v>902114.97250000003</v>
      </c>
      <c r="J82">
        <v>1</v>
      </c>
      <c r="N82">
        <v>1</v>
      </c>
      <c r="O82" t="s">
        <v>947</v>
      </c>
      <c r="P82" t="s">
        <v>947</v>
      </c>
      <c r="Q82">
        <v>835635.3772333333</v>
      </c>
      <c r="R82" s="9"/>
      <c r="S82"/>
      <c r="T82"/>
      <c r="U82" s="8"/>
    </row>
    <row r="83" spans="1:21" x14ac:dyDescent="0.25">
      <c r="A83">
        <v>367</v>
      </c>
      <c r="B83" t="s">
        <v>733</v>
      </c>
      <c r="C83">
        <v>0</v>
      </c>
      <c r="D83" t="s">
        <v>179</v>
      </c>
      <c r="E83" t="s">
        <v>84</v>
      </c>
      <c r="F83" t="s">
        <v>114</v>
      </c>
      <c r="G83">
        <v>27900</v>
      </c>
      <c r="J83">
        <v>1</v>
      </c>
      <c r="N83">
        <v>1</v>
      </c>
      <c r="O83" t="s">
        <v>947</v>
      </c>
      <c r="P83" t="s">
        <v>947</v>
      </c>
      <c r="Q83">
        <v>31316.666666666664</v>
      </c>
      <c r="R83" s="9"/>
      <c r="S83"/>
      <c r="T83"/>
      <c r="U83" s="8"/>
    </row>
    <row r="84" spans="1:21" x14ac:dyDescent="0.25">
      <c r="A84">
        <v>367</v>
      </c>
      <c r="B84" t="s">
        <v>733</v>
      </c>
      <c r="C84">
        <v>0</v>
      </c>
      <c r="D84" t="s">
        <v>179</v>
      </c>
      <c r="E84" t="s">
        <v>84</v>
      </c>
      <c r="F84" t="s">
        <v>121</v>
      </c>
      <c r="G84">
        <v>184239.31520000001</v>
      </c>
      <c r="J84">
        <v>1</v>
      </c>
      <c r="N84">
        <v>1</v>
      </c>
      <c r="O84" t="s">
        <v>947</v>
      </c>
      <c r="P84" t="s">
        <v>947</v>
      </c>
      <c r="Q84">
        <v>182920.4215</v>
      </c>
      <c r="R84" s="9"/>
      <c r="S84"/>
      <c r="T84"/>
      <c r="U84" s="8"/>
    </row>
    <row r="85" spans="1:21" x14ac:dyDescent="0.25">
      <c r="A85">
        <v>367</v>
      </c>
      <c r="B85" t="s">
        <v>733</v>
      </c>
      <c r="C85">
        <v>0</v>
      </c>
      <c r="D85" t="s">
        <v>179</v>
      </c>
      <c r="E85" t="s">
        <v>84</v>
      </c>
      <c r="F85" t="s">
        <v>110</v>
      </c>
      <c r="G85">
        <v>11532</v>
      </c>
      <c r="J85">
        <v>1</v>
      </c>
      <c r="N85">
        <v>1</v>
      </c>
      <c r="O85" t="s">
        <v>947</v>
      </c>
      <c r="P85" t="s">
        <v>947</v>
      </c>
      <c r="Q85">
        <v>10374.666666666666</v>
      </c>
      <c r="R85" s="9"/>
      <c r="S85"/>
      <c r="T85"/>
      <c r="U85" s="8"/>
    </row>
    <row r="86" spans="1:21" x14ac:dyDescent="0.25">
      <c r="A86">
        <v>367</v>
      </c>
      <c r="B86" t="s">
        <v>733</v>
      </c>
      <c r="C86">
        <v>0</v>
      </c>
      <c r="D86" t="s">
        <v>179</v>
      </c>
      <c r="E86" t="s">
        <v>84</v>
      </c>
      <c r="F86" t="s">
        <v>106</v>
      </c>
      <c r="G86">
        <v>5340.9449999999997</v>
      </c>
      <c r="J86">
        <v>1</v>
      </c>
      <c r="N86">
        <v>1</v>
      </c>
      <c r="O86" t="s">
        <v>947</v>
      </c>
      <c r="P86" t="s">
        <v>947</v>
      </c>
      <c r="Q86">
        <v>7102.8791666666666</v>
      </c>
      <c r="R86" s="9"/>
      <c r="S86"/>
      <c r="T86"/>
      <c r="U86" s="8"/>
    </row>
    <row r="87" spans="1:21" x14ac:dyDescent="0.25">
      <c r="A87">
        <v>367</v>
      </c>
      <c r="B87" t="s">
        <v>733</v>
      </c>
      <c r="C87">
        <v>0</v>
      </c>
      <c r="D87" t="s">
        <v>179</v>
      </c>
      <c r="E87" t="s">
        <v>84</v>
      </c>
      <c r="F87" t="s">
        <v>80</v>
      </c>
      <c r="G87">
        <v>804761.98400000005</v>
      </c>
      <c r="J87">
        <v>1</v>
      </c>
      <c r="N87">
        <v>1</v>
      </c>
      <c r="O87" t="s">
        <v>947</v>
      </c>
      <c r="P87" t="s">
        <v>947</v>
      </c>
      <c r="Q87">
        <v>823789.01633333333</v>
      </c>
      <c r="R87" s="9"/>
      <c r="S87"/>
      <c r="T87"/>
      <c r="U87" s="8"/>
    </row>
    <row r="88" spans="1:21" x14ac:dyDescent="0.25">
      <c r="A88">
        <v>324</v>
      </c>
      <c r="B88" t="s">
        <v>177</v>
      </c>
      <c r="C88">
        <v>0</v>
      </c>
      <c r="D88" t="s">
        <v>179</v>
      </c>
      <c r="E88" t="s">
        <v>84</v>
      </c>
      <c r="F88" t="s">
        <v>92</v>
      </c>
      <c r="G88">
        <v>29320</v>
      </c>
      <c r="O88" t="s">
        <v>947</v>
      </c>
      <c r="P88" t="s">
        <v>947</v>
      </c>
      <c r="Q88">
        <v>48990</v>
      </c>
      <c r="R88" s="9"/>
      <c r="S88"/>
      <c r="T88"/>
      <c r="U88" s="8"/>
    </row>
    <row r="89" spans="1:21" x14ac:dyDescent="0.25">
      <c r="A89">
        <v>324</v>
      </c>
      <c r="B89" t="s">
        <v>177</v>
      </c>
      <c r="C89">
        <v>0</v>
      </c>
      <c r="D89" t="s">
        <v>179</v>
      </c>
      <c r="E89" t="s">
        <v>84</v>
      </c>
      <c r="F89" t="s">
        <v>185</v>
      </c>
      <c r="G89">
        <v>22844.75</v>
      </c>
      <c r="O89" t="s">
        <v>947</v>
      </c>
      <c r="P89" t="s">
        <v>947</v>
      </c>
      <c r="Q89">
        <v>18774.708333333332</v>
      </c>
      <c r="R89" s="9"/>
      <c r="S89"/>
      <c r="T89"/>
      <c r="U89" s="8"/>
    </row>
    <row r="90" spans="1:21" x14ac:dyDescent="0.25">
      <c r="A90">
        <v>324</v>
      </c>
      <c r="B90" t="s">
        <v>177</v>
      </c>
      <c r="C90">
        <v>0</v>
      </c>
      <c r="D90" t="s">
        <v>179</v>
      </c>
      <c r="E90" t="s">
        <v>84</v>
      </c>
      <c r="F90" t="s">
        <v>125</v>
      </c>
      <c r="G90">
        <v>34650</v>
      </c>
      <c r="O90" t="s">
        <v>947</v>
      </c>
      <c r="P90" t="s">
        <v>947</v>
      </c>
      <c r="Q90">
        <v>30350</v>
      </c>
      <c r="R90" s="9"/>
      <c r="S90"/>
      <c r="T90"/>
      <c r="U90" s="8"/>
    </row>
    <row r="91" spans="1:21" x14ac:dyDescent="0.25">
      <c r="A91">
        <v>324</v>
      </c>
      <c r="B91" t="s">
        <v>177</v>
      </c>
      <c r="C91">
        <v>0</v>
      </c>
      <c r="D91" t="s">
        <v>179</v>
      </c>
      <c r="E91" t="s">
        <v>84</v>
      </c>
      <c r="F91" t="s">
        <v>125</v>
      </c>
      <c r="G91">
        <v>40450</v>
      </c>
      <c r="O91" t="s">
        <v>947</v>
      </c>
      <c r="P91" t="s">
        <v>947</v>
      </c>
      <c r="Q91">
        <v>30350</v>
      </c>
      <c r="R91" s="9"/>
      <c r="S91"/>
      <c r="T91"/>
      <c r="U91" s="8"/>
    </row>
    <row r="92" spans="1:21" x14ac:dyDescent="0.25">
      <c r="A92">
        <v>324</v>
      </c>
      <c r="B92" t="s">
        <v>177</v>
      </c>
      <c r="C92">
        <v>0</v>
      </c>
      <c r="D92" t="s">
        <v>179</v>
      </c>
      <c r="E92" t="s">
        <v>84</v>
      </c>
      <c r="F92" t="s">
        <v>87</v>
      </c>
      <c r="G92">
        <v>122415.4167</v>
      </c>
      <c r="N92">
        <v>1</v>
      </c>
      <c r="O92" t="s">
        <v>947</v>
      </c>
      <c r="P92" t="s">
        <v>947</v>
      </c>
      <c r="Q92">
        <v>93441.483333333337</v>
      </c>
      <c r="R92" s="9"/>
      <c r="S92"/>
      <c r="T92"/>
      <c r="U92" s="8"/>
    </row>
    <row r="93" spans="1:21" x14ac:dyDescent="0.25">
      <c r="A93">
        <v>324</v>
      </c>
      <c r="B93" t="s">
        <v>177</v>
      </c>
      <c r="C93">
        <v>0</v>
      </c>
      <c r="D93" t="s">
        <v>179</v>
      </c>
      <c r="E93" t="s">
        <v>84</v>
      </c>
      <c r="F93" t="s">
        <v>110</v>
      </c>
      <c r="G93">
        <v>12400</v>
      </c>
      <c r="O93" t="s">
        <v>947</v>
      </c>
      <c r="P93" t="s">
        <v>947</v>
      </c>
      <c r="Q93">
        <v>11703.333333333334</v>
      </c>
      <c r="R93" s="9"/>
      <c r="S93"/>
      <c r="T93"/>
      <c r="U93" s="8"/>
    </row>
    <row r="94" spans="1:21" x14ac:dyDescent="0.25">
      <c r="A94">
        <v>324</v>
      </c>
      <c r="B94" t="s">
        <v>177</v>
      </c>
      <c r="C94">
        <v>0</v>
      </c>
      <c r="D94" t="s">
        <v>179</v>
      </c>
      <c r="E94" t="s">
        <v>84</v>
      </c>
      <c r="F94" t="s">
        <v>106</v>
      </c>
      <c r="G94">
        <v>7010.9750000000004</v>
      </c>
      <c r="O94" t="s">
        <v>947</v>
      </c>
      <c r="P94" t="s">
        <v>947</v>
      </c>
      <c r="Q94">
        <v>7058.2400000000007</v>
      </c>
      <c r="R94" s="9"/>
      <c r="S94"/>
      <c r="T94"/>
      <c r="U94" s="8"/>
    </row>
    <row r="95" spans="1:21" x14ac:dyDescent="0.25">
      <c r="A95">
        <v>324</v>
      </c>
      <c r="B95" t="s">
        <v>177</v>
      </c>
      <c r="C95">
        <v>0</v>
      </c>
      <c r="D95" t="s">
        <v>179</v>
      </c>
      <c r="E95" t="s">
        <v>84</v>
      </c>
      <c r="F95" t="s">
        <v>80</v>
      </c>
      <c r="G95">
        <v>748472.65919999999</v>
      </c>
      <c r="O95" t="s">
        <v>947</v>
      </c>
      <c r="P95" t="s">
        <v>947</v>
      </c>
      <c r="Q95">
        <v>835635.3772333333</v>
      </c>
      <c r="R95" s="9"/>
      <c r="S95"/>
      <c r="T95"/>
      <c r="U95" s="8"/>
    </row>
    <row r="96" spans="1:21" x14ac:dyDescent="0.25">
      <c r="A96">
        <v>326</v>
      </c>
      <c r="B96" t="s">
        <v>218</v>
      </c>
      <c r="C96">
        <v>0</v>
      </c>
      <c r="D96" t="s">
        <v>179</v>
      </c>
      <c r="E96" t="s">
        <v>84</v>
      </c>
      <c r="F96" t="s">
        <v>92</v>
      </c>
      <c r="G96">
        <v>35540</v>
      </c>
      <c r="O96" t="s">
        <v>947</v>
      </c>
      <c r="P96" t="s">
        <v>947</v>
      </c>
      <c r="Q96">
        <v>52025</v>
      </c>
      <c r="R96" s="9"/>
      <c r="S96"/>
      <c r="T96"/>
      <c r="U96" s="8"/>
    </row>
    <row r="97" spans="1:21" x14ac:dyDescent="0.25">
      <c r="A97">
        <v>326</v>
      </c>
      <c r="B97" t="s">
        <v>218</v>
      </c>
      <c r="C97">
        <v>0</v>
      </c>
      <c r="D97" t="s">
        <v>179</v>
      </c>
      <c r="E97" t="s">
        <v>84</v>
      </c>
      <c r="F97" t="s">
        <v>125</v>
      </c>
      <c r="G97">
        <v>59750</v>
      </c>
      <c r="N97">
        <v>1</v>
      </c>
      <c r="O97" t="s">
        <v>947</v>
      </c>
      <c r="P97" t="s">
        <v>947</v>
      </c>
      <c r="Q97">
        <v>40166.666666666672</v>
      </c>
      <c r="R97" s="9"/>
      <c r="S97"/>
      <c r="T97"/>
      <c r="U97" s="8"/>
    </row>
    <row r="98" spans="1:21" x14ac:dyDescent="0.25">
      <c r="A98">
        <v>326</v>
      </c>
      <c r="B98" t="s">
        <v>218</v>
      </c>
      <c r="C98">
        <v>0</v>
      </c>
      <c r="D98" t="s">
        <v>179</v>
      </c>
      <c r="E98" t="s">
        <v>84</v>
      </c>
      <c r="F98" t="s">
        <v>151</v>
      </c>
      <c r="G98">
        <v>92170</v>
      </c>
      <c r="O98" t="s">
        <v>947</v>
      </c>
      <c r="P98" t="s">
        <v>947</v>
      </c>
      <c r="Q98">
        <v>79204.666666666672</v>
      </c>
      <c r="R98" s="9"/>
      <c r="S98"/>
      <c r="T98"/>
      <c r="U98" s="8"/>
    </row>
    <row r="99" spans="1:21" x14ac:dyDescent="0.25">
      <c r="A99">
        <v>326</v>
      </c>
      <c r="B99" t="s">
        <v>218</v>
      </c>
      <c r="C99">
        <v>0</v>
      </c>
      <c r="D99" t="s">
        <v>179</v>
      </c>
      <c r="E99" t="s">
        <v>84</v>
      </c>
      <c r="F99" t="s">
        <v>151</v>
      </c>
      <c r="G99">
        <v>64902.5</v>
      </c>
      <c r="M99">
        <v>1</v>
      </c>
      <c r="O99" t="s">
        <v>947</v>
      </c>
      <c r="P99" t="s">
        <v>947</v>
      </c>
      <c r="Q99">
        <v>79204.666666666672</v>
      </c>
      <c r="R99" s="9"/>
      <c r="S99"/>
      <c r="T99"/>
      <c r="U99" s="8"/>
    </row>
    <row r="100" spans="1:21" x14ac:dyDescent="0.25">
      <c r="A100">
        <v>326</v>
      </c>
      <c r="B100" t="s">
        <v>218</v>
      </c>
      <c r="C100">
        <v>0</v>
      </c>
      <c r="D100" t="s">
        <v>179</v>
      </c>
      <c r="E100" t="s">
        <v>84</v>
      </c>
      <c r="F100" t="s">
        <v>98</v>
      </c>
      <c r="G100">
        <v>8850</v>
      </c>
      <c r="M100">
        <v>1</v>
      </c>
      <c r="O100" t="s">
        <v>947</v>
      </c>
      <c r="P100" t="s">
        <v>947</v>
      </c>
      <c r="Q100">
        <v>18050</v>
      </c>
      <c r="R100" s="9"/>
      <c r="S100"/>
      <c r="T100"/>
      <c r="U100" s="8"/>
    </row>
    <row r="101" spans="1:21" x14ac:dyDescent="0.25">
      <c r="A101">
        <v>326</v>
      </c>
      <c r="B101" t="s">
        <v>218</v>
      </c>
      <c r="C101">
        <v>0</v>
      </c>
      <c r="D101" t="s">
        <v>179</v>
      </c>
      <c r="E101" t="s">
        <v>84</v>
      </c>
      <c r="F101" t="s">
        <v>98</v>
      </c>
      <c r="G101">
        <v>16700</v>
      </c>
      <c r="M101">
        <v>1</v>
      </c>
      <c r="O101" t="s">
        <v>947</v>
      </c>
      <c r="P101" t="s">
        <v>947</v>
      </c>
      <c r="Q101">
        <v>18050</v>
      </c>
      <c r="R101" s="9"/>
      <c r="S101"/>
      <c r="T101"/>
      <c r="U101" s="8"/>
    </row>
    <row r="102" spans="1:21" x14ac:dyDescent="0.25">
      <c r="A102">
        <v>326</v>
      </c>
      <c r="B102" t="s">
        <v>218</v>
      </c>
      <c r="C102">
        <v>0</v>
      </c>
      <c r="D102" t="s">
        <v>179</v>
      </c>
      <c r="E102" t="s">
        <v>84</v>
      </c>
      <c r="F102" t="s">
        <v>87</v>
      </c>
      <c r="G102">
        <v>112476.875</v>
      </c>
      <c r="O102" t="s">
        <v>947</v>
      </c>
      <c r="P102" t="s">
        <v>947</v>
      </c>
      <c r="Q102">
        <v>100943.59723333333</v>
      </c>
      <c r="R102" s="9"/>
      <c r="S102"/>
      <c r="T102"/>
      <c r="U102" s="8"/>
    </row>
    <row r="103" spans="1:21" x14ac:dyDescent="0.25">
      <c r="A103">
        <v>326</v>
      </c>
      <c r="B103" t="s">
        <v>218</v>
      </c>
      <c r="C103">
        <v>0</v>
      </c>
      <c r="D103" t="s">
        <v>179</v>
      </c>
      <c r="E103" t="s">
        <v>84</v>
      </c>
      <c r="F103" t="s">
        <v>87</v>
      </c>
      <c r="G103">
        <v>78737.925000000003</v>
      </c>
      <c r="N103">
        <v>1</v>
      </c>
      <c r="O103" t="s">
        <v>947</v>
      </c>
      <c r="P103" t="s">
        <v>947</v>
      </c>
      <c r="Q103">
        <v>100943.59723333333</v>
      </c>
      <c r="R103" s="9"/>
      <c r="S103"/>
      <c r="T103"/>
      <c r="U103" s="8"/>
    </row>
    <row r="104" spans="1:21" x14ac:dyDescent="0.25">
      <c r="A104">
        <v>326</v>
      </c>
      <c r="B104" t="s">
        <v>218</v>
      </c>
      <c r="C104">
        <v>0</v>
      </c>
      <c r="D104" t="s">
        <v>179</v>
      </c>
      <c r="E104" t="s">
        <v>84</v>
      </c>
      <c r="F104" t="s">
        <v>110</v>
      </c>
      <c r="G104">
        <v>6875</v>
      </c>
      <c r="M104">
        <v>1</v>
      </c>
      <c r="O104" t="s">
        <v>947</v>
      </c>
      <c r="P104" t="s">
        <v>947</v>
      </c>
      <c r="Q104">
        <v>8766.3333333333339</v>
      </c>
      <c r="R104" s="9"/>
      <c r="S104"/>
      <c r="T104"/>
      <c r="U104" s="8"/>
    </row>
    <row r="105" spans="1:21" x14ac:dyDescent="0.25">
      <c r="A105">
        <v>326</v>
      </c>
      <c r="B105" t="s">
        <v>218</v>
      </c>
      <c r="C105">
        <v>0</v>
      </c>
      <c r="D105" t="s">
        <v>179</v>
      </c>
      <c r="E105" t="s">
        <v>84</v>
      </c>
      <c r="F105" t="s">
        <v>106</v>
      </c>
      <c r="G105">
        <v>10484.952499999999</v>
      </c>
      <c r="M105">
        <v>1</v>
      </c>
      <c r="O105" t="s">
        <v>947</v>
      </c>
      <c r="P105" t="s">
        <v>947</v>
      </c>
      <c r="Q105">
        <v>7291.939166666667</v>
      </c>
      <c r="R105" s="9"/>
      <c r="S105"/>
      <c r="T105"/>
      <c r="U105" s="8"/>
    </row>
    <row r="106" spans="1:21" x14ac:dyDescent="0.25">
      <c r="A106">
        <v>326</v>
      </c>
      <c r="B106" t="s">
        <v>218</v>
      </c>
      <c r="C106">
        <v>0</v>
      </c>
      <c r="D106" t="s">
        <v>179</v>
      </c>
      <c r="E106" t="s">
        <v>84</v>
      </c>
      <c r="F106" t="s">
        <v>80</v>
      </c>
      <c r="G106">
        <v>702418.88</v>
      </c>
      <c r="M106">
        <v>1</v>
      </c>
      <c r="O106" t="s">
        <v>947</v>
      </c>
      <c r="P106" t="s">
        <v>947</v>
      </c>
      <c r="Q106">
        <v>656708.28960000002</v>
      </c>
      <c r="R106" s="9"/>
      <c r="S106"/>
      <c r="T106"/>
      <c r="U106" s="8"/>
    </row>
    <row r="107" spans="1:21" x14ac:dyDescent="0.25">
      <c r="A107">
        <v>367</v>
      </c>
      <c r="B107" t="s">
        <v>733</v>
      </c>
      <c r="C107">
        <v>0</v>
      </c>
      <c r="D107" t="s">
        <v>179</v>
      </c>
      <c r="E107" t="s">
        <v>84</v>
      </c>
      <c r="F107" t="s">
        <v>92</v>
      </c>
      <c r="G107">
        <v>26570</v>
      </c>
      <c r="O107" t="s">
        <v>947</v>
      </c>
      <c r="P107" t="s">
        <v>947</v>
      </c>
      <c r="Q107">
        <v>46565</v>
      </c>
      <c r="R107" s="9"/>
      <c r="S107"/>
      <c r="T107"/>
      <c r="U107" s="8"/>
    </row>
    <row r="108" spans="1:21" x14ac:dyDescent="0.25">
      <c r="A108">
        <v>367</v>
      </c>
      <c r="B108" t="s">
        <v>733</v>
      </c>
      <c r="C108">
        <v>0</v>
      </c>
      <c r="D108" t="s">
        <v>179</v>
      </c>
      <c r="E108" t="s">
        <v>84</v>
      </c>
      <c r="F108" t="s">
        <v>151</v>
      </c>
      <c r="G108">
        <v>108745</v>
      </c>
      <c r="O108" t="s">
        <v>947</v>
      </c>
      <c r="P108" t="s">
        <v>947</v>
      </c>
      <c r="Q108">
        <v>98085</v>
      </c>
      <c r="R108" s="9"/>
      <c r="S108"/>
      <c r="T108"/>
      <c r="U108" s="8"/>
    </row>
    <row r="109" spans="1:21" x14ac:dyDescent="0.25">
      <c r="A109">
        <v>367</v>
      </c>
      <c r="B109" t="s">
        <v>733</v>
      </c>
      <c r="C109">
        <v>0</v>
      </c>
      <c r="D109" t="s">
        <v>179</v>
      </c>
      <c r="E109" t="s">
        <v>84</v>
      </c>
      <c r="F109" t="s">
        <v>98</v>
      </c>
      <c r="G109">
        <v>36350</v>
      </c>
      <c r="O109" t="s">
        <v>947</v>
      </c>
      <c r="P109" t="s">
        <v>947</v>
      </c>
      <c r="Q109">
        <v>44125</v>
      </c>
      <c r="R109" s="9"/>
      <c r="S109"/>
      <c r="T109"/>
      <c r="U109" s="8"/>
    </row>
    <row r="110" spans="1:21" x14ac:dyDescent="0.25">
      <c r="A110">
        <v>367</v>
      </c>
      <c r="B110" t="s">
        <v>733</v>
      </c>
      <c r="C110">
        <v>0</v>
      </c>
      <c r="D110" t="s">
        <v>179</v>
      </c>
      <c r="E110" t="s">
        <v>84</v>
      </c>
      <c r="F110" t="s">
        <v>87</v>
      </c>
      <c r="G110">
        <v>125431.25</v>
      </c>
      <c r="O110" t="s">
        <v>947</v>
      </c>
      <c r="P110" t="s">
        <v>947</v>
      </c>
      <c r="Q110">
        <v>97059.569433333338</v>
      </c>
      <c r="R110" s="9"/>
      <c r="S110"/>
      <c r="T110"/>
      <c r="U110" s="8"/>
    </row>
    <row r="111" spans="1:21" x14ac:dyDescent="0.25">
      <c r="A111">
        <v>367</v>
      </c>
      <c r="B111" t="s">
        <v>733</v>
      </c>
      <c r="C111">
        <v>0</v>
      </c>
      <c r="D111" t="s">
        <v>179</v>
      </c>
      <c r="E111" t="s">
        <v>84</v>
      </c>
      <c r="F111" t="s">
        <v>87</v>
      </c>
      <c r="G111">
        <v>65076.2</v>
      </c>
      <c r="O111" t="s">
        <v>947</v>
      </c>
      <c r="P111" t="s">
        <v>947</v>
      </c>
      <c r="Q111">
        <v>97059.569433333338</v>
      </c>
      <c r="R111" s="9"/>
      <c r="S111"/>
      <c r="T111"/>
      <c r="U111" s="8"/>
    </row>
    <row r="112" spans="1:21" x14ac:dyDescent="0.25">
      <c r="A112">
        <v>367</v>
      </c>
      <c r="B112" t="s">
        <v>733</v>
      </c>
      <c r="C112">
        <v>0</v>
      </c>
      <c r="D112" t="s">
        <v>179</v>
      </c>
      <c r="E112" t="s">
        <v>84</v>
      </c>
      <c r="F112" t="s">
        <v>110</v>
      </c>
      <c r="G112">
        <v>7560</v>
      </c>
      <c r="O112" t="s">
        <v>947</v>
      </c>
      <c r="P112" t="s">
        <v>947</v>
      </c>
      <c r="Q112">
        <v>10374.666666666666</v>
      </c>
      <c r="R112" s="9"/>
      <c r="S112"/>
      <c r="T112"/>
      <c r="U112" s="8"/>
    </row>
    <row r="113" spans="1:21" x14ac:dyDescent="0.25">
      <c r="A113">
        <v>367</v>
      </c>
      <c r="B113" t="s">
        <v>733</v>
      </c>
      <c r="C113">
        <v>0</v>
      </c>
      <c r="D113" t="s">
        <v>179</v>
      </c>
      <c r="E113" t="s">
        <v>84</v>
      </c>
      <c r="F113" t="s">
        <v>106</v>
      </c>
      <c r="G113">
        <v>4970.7025000000003</v>
      </c>
      <c r="O113" t="s">
        <v>947</v>
      </c>
      <c r="P113" t="s">
        <v>947</v>
      </c>
      <c r="Q113">
        <v>7102.8791666666666</v>
      </c>
      <c r="R113" s="9"/>
      <c r="S113"/>
      <c r="T113"/>
      <c r="U113" s="8"/>
    </row>
    <row r="114" spans="1:21" x14ac:dyDescent="0.25">
      <c r="A114">
        <v>367</v>
      </c>
      <c r="B114" t="s">
        <v>733</v>
      </c>
      <c r="C114">
        <v>0</v>
      </c>
      <c r="D114" t="s">
        <v>179</v>
      </c>
      <c r="E114" t="s">
        <v>84</v>
      </c>
      <c r="F114" t="s">
        <v>80</v>
      </c>
      <c r="G114">
        <v>785580.42500000005</v>
      </c>
      <c r="O114" t="s">
        <v>947</v>
      </c>
      <c r="P114" t="s">
        <v>947</v>
      </c>
      <c r="Q114">
        <v>823789.01633333333</v>
      </c>
      <c r="R114" s="9"/>
      <c r="S114"/>
      <c r="T114"/>
      <c r="U114" s="8"/>
    </row>
    <row r="115" spans="1:21" x14ac:dyDescent="0.25">
      <c r="A115">
        <v>369</v>
      </c>
      <c r="B115" t="s">
        <v>768</v>
      </c>
      <c r="C115">
        <v>0</v>
      </c>
      <c r="D115" t="s">
        <v>179</v>
      </c>
      <c r="E115" t="s">
        <v>84</v>
      </c>
      <c r="F115" t="s">
        <v>185</v>
      </c>
      <c r="G115">
        <v>17960.7</v>
      </c>
      <c r="O115" t="s">
        <v>947</v>
      </c>
      <c r="P115" t="s">
        <v>947</v>
      </c>
      <c r="Q115">
        <v>19142.325000000001</v>
      </c>
      <c r="R115" s="9"/>
      <c r="S115"/>
      <c r="T115"/>
      <c r="U115" s="8"/>
    </row>
    <row r="116" spans="1:21" x14ac:dyDescent="0.25">
      <c r="A116">
        <v>369</v>
      </c>
      <c r="B116" t="s">
        <v>768</v>
      </c>
      <c r="C116">
        <v>0</v>
      </c>
      <c r="D116" t="s">
        <v>179</v>
      </c>
      <c r="E116" t="s">
        <v>84</v>
      </c>
      <c r="F116" t="s">
        <v>151</v>
      </c>
      <c r="G116">
        <v>168766</v>
      </c>
      <c r="O116" t="s">
        <v>947</v>
      </c>
      <c r="P116" t="s">
        <v>947</v>
      </c>
      <c r="Q116">
        <v>127887.5</v>
      </c>
      <c r="R116" s="9"/>
      <c r="S116"/>
      <c r="T116"/>
      <c r="U116" s="8"/>
    </row>
    <row r="117" spans="1:21" x14ac:dyDescent="0.25">
      <c r="A117">
        <v>369</v>
      </c>
      <c r="B117" t="s">
        <v>768</v>
      </c>
      <c r="C117">
        <v>0</v>
      </c>
      <c r="D117" t="s">
        <v>179</v>
      </c>
      <c r="E117" t="s">
        <v>84</v>
      </c>
      <c r="F117" t="s">
        <v>98</v>
      </c>
      <c r="G117">
        <v>43550</v>
      </c>
      <c r="O117" t="s">
        <v>947</v>
      </c>
      <c r="P117" t="s">
        <v>947</v>
      </c>
      <c r="Q117">
        <v>39187.5</v>
      </c>
      <c r="R117" s="9"/>
      <c r="S117"/>
      <c r="T117"/>
      <c r="U117" s="8"/>
    </row>
    <row r="118" spans="1:21" x14ac:dyDescent="0.25">
      <c r="A118">
        <v>369</v>
      </c>
      <c r="B118" t="s">
        <v>768</v>
      </c>
      <c r="C118">
        <v>0</v>
      </c>
      <c r="D118" t="s">
        <v>179</v>
      </c>
      <c r="E118" t="s">
        <v>84</v>
      </c>
      <c r="F118" t="s">
        <v>98</v>
      </c>
      <c r="G118">
        <v>43550</v>
      </c>
      <c r="O118" t="s">
        <v>947</v>
      </c>
      <c r="P118" t="s">
        <v>947</v>
      </c>
      <c r="Q118">
        <v>39187.5</v>
      </c>
      <c r="R118" s="9"/>
      <c r="S118"/>
      <c r="T118"/>
      <c r="U118" s="8"/>
    </row>
    <row r="119" spans="1:21" x14ac:dyDescent="0.25">
      <c r="A119">
        <v>369</v>
      </c>
      <c r="B119" t="s">
        <v>768</v>
      </c>
      <c r="C119">
        <v>0</v>
      </c>
      <c r="D119" t="s">
        <v>179</v>
      </c>
      <c r="E119" t="s">
        <v>84</v>
      </c>
      <c r="F119" t="s">
        <v>87</v>
      </c>
      <c r="G119">
        <v>52058.766669999997</v>
      </c>
      <c r="M119">
        <v>1</v>
      </c>
      <c r="N119">
        <v>1</v>
      </c>
      <c r="O119" t="s">
        <v>947</v>
      </c>
      <c r="P119" t="s">
        <v>947</v>
      </c>
      <c r="Q119">
        <v>92026.783334999986</v>
      </c>
      <c r="R119" s="9"/>
      <c r="S119"/>
      <c r="T119"/>
      <c r="U119" s="8"/>
    </row>
    <row r="120" spans="1:21" x14ac:dyDescent="0.25">
      <c r="A120">
        <v>369</v>
      </c>
      <c r="B120" t="s">
        <v>768</v>
      </c>
      <c r="C120">
        <v>0</v>
      </c>
      <c r="D120" t="s">
        <v>179</v>
      </c>
      <c r="E120" t="s">
        <v>84</v>
      </c>
      <c r="F120" t="s">
        <v>80</v>
      </c>
      <c r="G120">
        <v>814542.45</v>
      </c>
      <c r="O120" t="s">
        <v>947</v>
      </c>
      <c r="P120" t="s">
        <v>947</v>
      </c>
      <c r="Q120">
        <v>865895.91999999993</v>
      </c>
      <c r="R120" s="9"/>
      <c r="S120"/>
      <c r="T120"/>
      <c r="U120" s="8"/>
    </row>
    <row r="121" spans="1:21" x14ac:dyDescent="0.25">
      <c r="A121">
        <v>369</v>
      </c>
      <c r="B121" t="s">
        <v>768</v>
      </c>
      <c r="C121">
        <v>0</v>
      </c>
      <c r="D121" t="s">
        <v>179</v>
      </c>
      <c r="E121" t="s">
        <v>84</v>
      </c>
      <c r="F121" t="s">
        <v>106</v>
      </c>
      <c r="G121">
        <v>9334.8374999999996</v>
      </c>
      <c r="O121" t="s">
        <v>947</v>
      </c>
      <c r="P121" t="s">
        <v>947</v>
      </c>
      <c r="Q121">
        <v>8224.11</v>
      </c>
      <c r="R121" s="9"/>
      <c r="S121"/>
      <c r="T121"/>
      <c r="U121" s="8"/>
    </row>
    <row r="122" spans="1:21" x14ac:dyDescent="0.25">
      <c r="A122">
        <v>369</v>
      </c>
      <c r="B122" t="s">
        <v>768</v>
      </c>
      <c r="C122">
        <v>0</v>
      </c>
      <c r="D122" t="s">
        <v>179</v>
      </c>
      <c r="E122" t="s">
        <v>84</v>
      </c>
      <c r="F122" t="s">
        <v>110</v>
      </c>
      <c r="G122">
        <v>13335</v>
      </c>
      <c r="O122" t="s">
        <v>947</v>
      </c>
      <c r="P122" t="s">
        <v>947</v>
      </c>
      <c r="Q122">
        <v>17917.5</v>
      </c>
      <c r="R122" s="9"/>
      <c r="S122"/>
      <c r="T122"/>
      <c r="U122" s="8"/>
    </row>
    <row r="123" spans="1:21" x14ac:dyDescent="0.25">
      <c r="A123">
        <v>378</v>
      </c>
      <c r="B123" t="s">
        <v>854</v>
      </c>
      <c r="C123">
        <v>0</v>
      </c>
      <c r="D123" t="s">
        <v>179</v>
      </c>
      <c r="E123" t="s">
        <v>84</v>
      </c>
      <c r="F123" t="s">
        <v>114</v>
      </c>
      <c r="G123">
        <v>38350</v>
      </c>
      <c r="M123">
        <v>1</v>
      </c>
      <c r="O123" t="s">
        <v>947</v>
      </c>
      <c r="P123" t="s">
        <v>947</v>
      </c>
      <c r="Q123">
        <v>39225</v>
      </c>
      <c r="R123" s="9"/>
      <c r="S123"/>
      <c r="T123"/>
      <c r="U123" s="8"/>
    </row>
    <row r="124" spans="1:21" x14ac:dyDescent="0.25">
      <c r="A124">
        <v>378</v>
      </c>
      <c r="B124" t="s">
        <v>854</v>
      </c>
      <c r="C124">
        <v>0</v>
      </c>
      <c r="D124" t="s">
        <v>179</v>
      </c>
      <c r="E124" t="s">
        <v>84</v>
      </c>
      <c r="F124" t="s">
        <v>121</v>
      </c>
      <c r="G124">
        <v>133003.1678</v>
      </c>
      <c r="M124">
        <v>1</v>
      </c>
      <c r="O124" t="s">
        <v>947</v>
      </c>
      <c r="P124" t="s">
        <v>947</v>
      </c>
      <c r="Q124">
        <v>142410.3443</v>
      </c>
      <c r="R124" s="9"/>
      <c r="S124"/>
      <c r="T124"/>
      <c r="U124" s="8"/>
    </row>
    <row r="125" spans="1:21" x14ac:dyDescent="0.25">
      <c r="A125">
        <v>378</v>
      </c>
      <c r="B125" t="s">
        <v>854</v>
      </c>
      <c r="C125">
        <v>0</v>
      </c>
      <c r="D125" t="s">
        <v>179</v>
      </c>
      <c r="E125" t="s">
        <v>84</v>
      </c>
      <c r="F125" t="s">
        <v>125</v>
      </c>
      <c r="G125">
        <v>22400</v>
      </c>
      <c r="O125" t="s">
        <v>947</v>
      </c>
      <c r="P125" t="s">
        <v>947</v>
      </c>
      <c r="Q125">
        <v>30116.666666666664</v>
      </c>
      <c r="R125" s="9"/>
      <c r="S125"/>
      <c r="T125"/>
      <c r="U125" s="8"/>
    </row>
    <row r="126" spans="1:21" x14ac:dyDescent="0.25">
      <c r="A126">
        <v>378</v>
      </c>
      <c r="B126" t="s">
        <v>854</v>
      </c>
      <c r="C126">
        <v>0</v>
      </c>
      <c r="D126" t="s">
        <v>179</v>
      </c>
      <c r="E126" t="s">
        <v>84</v>
      </c>
      <c r="F126" t="s">
        <v>125</v>
      </c>
      <c r="G126">
        <v>27150</v>
      </c>
      <c r="O126" t="s">
        <v>947</v>
      </c>
      <c r="P126" t="s">
        <v>947</v>
      </c>
      <c r="Q126">
        <v>30116.666666666664</v>
      </c>
      <c r="R126" s="9"/>
      <c r="S126"/>
      <c r="T126"/>
      <c r="U126" s="8"/>
    </row>
    <row r="127" spans="1:21" x14ac:dyDescent="0.25">
      <c r="A127">
        <v>378</v>
      </c>
      <c r="B127" t="s">
        <v>854</v>
      </c>
      <c r="C127">
        <v>0</v>
      </c>
      <c r="D127" t="s">
        <v>179</v>
      </c>
      <c r="E127" t="s">
        <v>84</v>
      </c>
      <c r="F127" t="s">
        <v>98</v>
      </c>
      <c r="G127">
        <v>27450</v>
      </c>
      <c r="O127" t="s">
        <v>947</v>
      </c>
      <c r="P127" t="s">
        <v>947</v>
      </c>
      <c r="Q127">
        <v>33800</v>
      </c>
      <c r="R127" s="9"/>
      <c r="S127"/>
      <c r="T127"/>
      <c r="U127" s="8"/>
    </row>
    <row r="128" spans="1:21" x14ac:dyDescent="0.25">
      <c r="A128">
        <v>378</v>
      </c>
      <c r="B128" t="s">
        <v>854</v>
      </c>
      <c r="C128">
        <v>0</v>
      </c>
      <c r="D128" t="s">
        <v>179</v>
      </c>
      <c r="E128" t="s">
        <v>84</v>
      </c>
      <c r="F128" t="s">
        <v>110</v>
      </c>
      <c r="G128">
        <v>13986</v>
      </c>
      <c r="O128" t="s">
        <v>947</v>
      </c>
      <c r="P128" t="s">
        <v>947</v>
      </c>
      <c r="Q128">
        <v>12233</v>
      </c>
      <c r="R128" s="9"/>
      <c r="S128"/>
      <c r="T128"/>
      <c r="U128" s="8"/>
    </row>
    <row r="129" spans="1:21" x14ac:dyDescent="0.25">
      <c r="A129">
        <v>378</v>
      </c>
      <c r="B129" t="s">
        <v>854</v>
      </c>
      <c r="C129">
        <v>0</v>
      </c>
      <c r="D129" t="s">
        <v>179</v>
      </c>
      <c r="E129" t="s">
        <v>84</v>
      </c>
      <c r="F129" t="s">
        <v>110</v>
      </c>
      <c r="G129">
        <v>11625</v>
      </c>
      <c r="O129" t="s">
        <v>947</v>
      </c>
      <c r="P129" t="s">
        <v>947</v>
      </c>
      <c r="Q129">
        <v>12233</v>
      </c>
      <c r="R129" s="9"/>
      <c r="S129"/>
      <c r="T129"/>
      <c r="U129" s="8"/>
    </row>
    <row r="130" spans="1:21" x14ac:dyDescent="0.25">
      <c r="A130">
        <v>378</v>
      </c>
      <c r="B130" t="s">
        <v>854</v>
      </c>
      <c r="C130">
        <v>0</v>
      </c>
      <c r="D130" t="s">
        <v>179</v>
      </c>
      <c r="E130" t="s">
        <v>84</v>
      </c>
      <c r="F130" t="s">
        <v>106</v>
      </c>
      <c r="G130">
        <v>7010.9750000000004</v>
      </c>
      <c r="O130" t="s">
        <v>947</v>
      </c>
      <c r="P130" t="s">
        <v>947</v>
      </c>
      <c r="Q130">
        <v>7084.498333333333</v>
      </c>
      <c r="R130" s="9"/>
      <c r="S130"/>
      <c r="T130"/>
      <c r="U130" s="8"/>
    </row>
    <row r="131" spans="1:21" x14ac:dyDescent="0.25">
      <c r="A131">
        <v>378</v>
      </c>
      <c r="B131" t="s">
        <v>854</v>
      </c>
      <c r="C131">
        <v>0</v>
      </c>
      <c r="D131" t="s">
        <v>179</v>
      </c>
      <c r="E131" t="s">
        <v>84</v>
      </c>
      <c r="F131" t="s">
        <v>106</v>
      </c>
      <c r="G131">
        <v>10689.7675</v>
      </c>
      <c r="O131" t="s">
        <v>947</v>
      </c>
      <c r="P131" t="s">
        <v>947</v>
      </c>
      <c r="Q131">
        <v>7084.498333333333</v>
      </c>
      <c r="R131" s="9"/>
      <c r="S131"/>
      <c r="T131"/>
      <c r="U131" s="8"/>
    </row>
    <row r="132" spans="1:21" x14ac:dyDescent="0.25">
      <c r="A132">
        <v>378</v>
      </c>
      <c r="B132" t="s">
        <v>854</v>
      </c>
      <c r="C132">
        <v>0</v>
      </c>
      <c r="D132" t="s">
        <v>179</v>
      </c>
      <c r="E132" t="s">
        <v>84</v>
      </c>
      <c r="F132" t="s">
        <v>80</v>
      </c>
      <c r="G132">
        <v>609308.48</v>
      </c>
      <c r="O132" t="s">
        <v>947</v>
      </c>
      <c r="P132" t="s">
        <v>947</v>
      </c>
      <c r="Q132">
        <v>706071.20166666666</v>
      </c>
      <c r="R132" s="9"/>
      <c r="S132"/>
      <c r="T132"/>
      <c r="U132" s="8"/>
    </row>
    <row r="133" spans="1:21" x14ac:dyDescent="0.25">
      <c r="A133">
        <v>378</v>
      </c>
      <c r="B133" t="s">
        <v>854</v>
      </c>
      <c r="C133">
        <v>0</v>
      </c>
      <c r="D133" t="s">
        <v>179</v>
      </c>
      <c r="E133" t="s">
        <v>84</v>
      </c>
      <c r="F133" t="s">
        <v>80</v>
      </c>
      <c r="G133">
        <v>858841.94499999995</v>
      </c>
      <c r="O133" t="s">
        <v>947</v>
      </c>
      <c r="P133" t="s">
        <v>947</v>
      </c>
      <c r="Q133">
        <v>706071.20166666666</v>
      </c>
      <c r="R133" s="9"/>
      <c r="S133"/>
      <c r="T133"/>
      <c r="U133" s="8"/>
    </row>
    <row r="134" spans="1:21" x14ac:dyDescent="0.25">
      <c r="A134">
        <v>381</v>
      </c>
      <c r="B134" t="s">
        <v>887</v>
      </c>
      <c r="C134">
        <v>0</v>
      </c>
      <c r="D134" t="s">
        <v>179</v>
      </c>
      <c r="E134" t="s">
        <v>84</v>
      </c>
      <c r="F134" t="s">
        <v>80</v>
      </c>
      <c r="G134">
        <v>845325.12</v>
      </c>
      <c r="O134" t="s">
        <v>947</v>
      </c>
      <c r="P134" t="s">
        <v>947</v>
      </c>
      <c r="Q134">
        <v>887785.07706666668</v>
      </c>
      <c r="R134" s="9"/>
      <c r="S134"/>
      <c r="T134"/>
      <c r="U134" s="8"/>
    </row>
    <row r="135" spans="1:21" x14ac:dyDescent="0.25">
      <c r="A135">
        <v>381</v>
      </c>
      <c r="B135" t="s">
        <v>887</v>
      </c>
      <c r="C135">
        <v>0</v>
      </c>
      <c r="D135" t="s">
        <v>179</v>
      </c>
      <c r="E135" t="s">
        <v>84</v>
      </c>
      <c r="F135" t="s">
        <v>80</v>
      </c>
      <c r="G135">
        <v>893860.36120000004</v>
      </c>
      <c r="O135" t="s">
        <v>947</v>
      </c>
      <c r="P135" t="s">
        <v>947</v>
      </c>
      <c r="Q135">
        <v>887785.07706666668</v>
      </c>
      <c r="R135" s="9"/>
      <c r="S135"/>
      <c r="T135"/>
      <c r="U135" s="8"/>
    </row>
    <row r="136" spans="1:21" x14ac:dyDescent="0.25">
      <c r="A136">
        <v>381</v>
      </c>
      <c r="B136" t="s">
        <v>887</v>
      </c>
      <c r="C136">
        <v>0</v>
      </c>
      <c r="D136" t="s">
        <v>179</v>
      </c>
      <c r="E136" t="s">
        <v>84</v>
      </c>
      <c r="F136" t="s">
        <v>106</v>
      </c>
      <c r="G136">
        <v>1339.175</v>
      </c>
      <c r="O136" t="s">
        <v>947</v>
      </c>
      <c r="P136" t="s">
        <v>947</v>
      </c>
      <c r="Q136">
        <v>7530.8900000000012</v>
      </c>
      <c r="R136" s="9"/>
      <c r="S136"/>
      <c r="T136"/>
      <c r="U136" s="8"/>
    </row>
    <row r="137" spans="1:21" x14ac:dyDescent="0.25">
      <c r="A137">
        <v>381</v>
      </c>
      <c r="B137" t="s">
        <v>887</v>
      </c>
      <c r="C137">
        <v>0</v>
      </c>
      <c r="D137" t="s">
        <v>179</v>
      </c>
      <c r="E137" t="s">
        <v>84</v>
      </c>
      <c r="F137" t="s">
        <v>106</v>
      </c>
      <c r="G137">
        <v>11367.2325</v>
      </c>
      <c r="O137" t="s">
        <v>947</v>
      </c>
      <c r="P137" t="s">
        <v>947</v>
      </c>
      <c r="Q137">
        <v>7530.8900000000012</v>
      </c>
      <c r="R137" s="9"/>
      <c r="S137"/>
      <c r="T137"/>
      <c r="U137" s="8"/>
    </row>
    <row r="138" spans="1:21" x14ac:dyDescent="0.25">
      <c r="A138">
        <v>381</v>
      </c>
      <c r="B138" t="s">
        <v>887</v>
      </c>
      <c r="C138">
        <v>0</v>
      </c>
      <c r="D138" t="s">
        <v>179</v>
      </c>
      <c r="E138" t="s">
        <v>84</v>
      </c>
      <c r="F138" t="s">
        <v>110</v>
      </c>
      <c r="G138">
        <v>20736</v>
      </c>
      <c r="O138" t="s">
        <v>947</v>
      </c>
      <c r="P138" t="s">
        <v>947</v>
      </c>
      <c r="Q138">
        <v>12357</v>
      </c>
      <c r="R138" s="9"/>
      <c r="S138"/>
      <c r="T138"/>
      <c r="U138" s="8"/>
    </row>
    <row r="139" spans="1:21" x14ac:dyDescent="0.25">
      <c r="A139">
        <v>381</v>
      </c>
      <c r="B139" t="s">
        <v>887</v>
      </c>
      <c r="C139">
        <v>0</v>
      </c>
      <c r="D139" t="s">
        <v>179</v>
      </c>
      <c r="E139" t="s">
        <v>84</v>
      </c>
      <c r="F139" t="s">
        <v>110</v>
      </c>
      <c r="G139">
        <v>8901</v>
      </c>
      <c r="O139" t="s">
        <v>947</v>
      </c>
      <c r="P139" t="s">
        <v>947</v>
      </c>
      <c r="Q139">
        <v>12357</v>
      </c>
      <c r="R139" s="9"/>
      <c r="S139"/>
      <c r="T139"/>
      <c r="U139" s="8"/>
    </row>
    <row r="140" spans="1:21" x14ac:dyDescent="0.25">
      <c r="A140">
        <v>381</v>
      </c>
      <c r="B140" t="s">
        <v>887</v>
      </c>
      <c r="C140">
        <v>0</v>
      </c>
      <c r="D140" t="s">
        <v>179</v>
      </c>
      <c r="E140" t="s">
        <v>84</v>
      </c>
      <c r="F140" t="s">
        <v>87</v>
      </c>
      <c r="G140">
        <v>113916.25</v>
      </c>
      <c r="O140" t="s">
        <v>947</v>
      </c>
      <c r="P140" t="s">
        <v>947</v>
      </c>
      <c r="Q140">
        <v>114682.08887666666</v>
      </c>
      <c r="R140" s="9"/>
      <c r="S140"/>
      <c r="T140"/>
      <c r="U140" s="8"/>
    </row>
    <row r="141" spans="1:21" x14ac:dyDescent="0.25">
      <c r="A141">
        <v>381</v>
      </c>
      <c r="B141" t="s">
        <v>887</v>
      </c>
      <c r="C141">
        <v>0</v>
      </c>
      <c r="D141" t="s">
        <v>179</v>
      </c>
      <c r="E141" t="s">
        <v>84</v>
      </c>
      <c r="F141" t="s">
        <v>87</v>
      </c>
      <c r="G141">
        <v>42051.68333</v>
      </c>
      <c r="O141" t="s">
        <v>947</v>
      </c>
      <c r="P141" t="s">
        <v>947</v>
      </c>
      <c r="Q141">
        <v>114682.08887666666</v>
      </c>
      <c r="R141" s="9"/>
      <c r="S141"/>
      <c r="T141"/>
      <c r="U141" s="8"/>
    </row>
    <row r="142" spans="1:21" x14ac:dyDescent="0.25">
      <c r="A142">
        <v>381</v>
      </c>
      <c r="B142" t="s">
        <v>887</v>
      </c>
      <c r="C142">
        <v>0</v>
      </c>
      <c r="D142" t="s">
        <v>179</v>
      </c>
      <c r="E142" t="s">
        <v>84</v>
      </c>
      <c r="F142" t="s">
        <v>98</v>
      </c>
      <c r="G142">
        <v>50400</v>
      </c>
      <c r="O142" t="s">
        <v>947</v>
      </c>
      <c r="P142" t="s">
        <v>947</v>
      </c>
      <c r="Q142">
        <v>35100</v>
      </c>
      <c r="R142" s="9"/>
      <c r="S142"/>
      <c r="T142"/>
      <c r="U142" s="8"/>
    </row>
    <row r="143" spans="1:21" x14ac:dyDescent="0.25">
      <c r="A143">
        <v>383</v>
      </c>
      <c r="B143" t="s">
        <v>912</v>
      </c>
      <c r="C143">
        <v>0</v>
      </c>
      <c r="D143" t="s">
        <v>179</v>
      </c>
      <c r="E143" t="s">
        <v>84</v>
      </c>
      <c r="F143" t="s">
        <v>92</v>
      </c>
      <c r="G143">
        <v>35140</v>
      </c>
      <c r="O143" t="s">
        <v>947</v>
      </c>
      <c r="P143" t="s">
        <v>947</v>
      </c>
      <c r="Q143">
        <v>29703.333333333332</v>
      </c>
      <c r="R143" s="9"/>
      <c r="S143"/>
      <c r="T143"/>
      <c r="U143" s="8"/>
    </row>
    <row r="144" spans="1:21" x14ac:dyDescent="0.25">
      <c r="A144">
        <v>383</v>
      </c>
      <c r="B144" t="s">
        <v>912</v>
      </c>
      <c r="C144">
        <v>0</v>
      </c>
      <c r="D144" t="s">
        <v>179</v>
      </c>
      <c r="E144" t="s">
        <v>84</v>
      </c>
      <c r="F144" t="s">
        <v>92</v>
      </c>
      <c r="G144">
        <v>27110</v>
      </c>
      <c r="M144">
        <v>1</v>
      </c>
      <c r="N144">
        <v>1</v>
      </c>
      <c r="O144" t="s">
        <v>947</v>
      </c>
      <c r="P144" t="s">
        <v>947</v>
      </c>
      <c r="Q144">
        <v>29703.333333333332</v>
      </c>
      <c r="R144" s="9"/>
      <c r="S144"/>
      <c r="T144"/>
      <c r="U144" s="8"/>
    </row>
    <row r="145" spans="1:21" x14ac:dyDescent="0.25">
      <c r="A145">
        <v>383</v>
      </c>
      <c r="B145" t="s">
        <v>912</v>
      </c>
      <c r="C145">
        <v>0</v>
      </c>
      <c r="D145" t="s">
        <v>179</v>
      </c>
      <c r="E145" t="s">
        <v>84</v>
      </c>
      <c r="F145" t="s">
        <v>80</v>
      </c>
      <c r="G145">
        <v>747478.50249999994</v>
      </c>
      <c r="N145">
        <v>1</v>
      </c>
      <c r="O145" t="s">
        <v>947</v>
      </c>
      <c r="P145" t="s">
        <v>947</v>
      </c>
      <c r="Q145">
        <v>874857.81183333334</v>
      </c>
      <c r="R145" s="9"/>
      <c r="S145"/>
      <c r="T145"/>
      <c r="U145" s="8"/>
    </row>
    <row r="146" spans="1:21" x14ac:dyDescent="0.25">
      <c r="A146">
        <v>383</v>
      </c>
      <c r="B146" t="s">
        <v>912</v>
      </c>
      <c r="C146">
        <v>0</v>
      </c>
      <c r="D146" t="s">
        <v>179</v>
      </c>
      <c r="E146" t="s">
        <v>84</v>
      </c>
      <c r="F146" t="s">
        <v>80</v>
      </c>
      <c r="G146">
        <v>872135.03500000003</v>
      </c>
      <c r="O146" t="s">
        <v>947</v>
      </c>
      <c r="P146" t="s">
        <v>947</v>
      </c>
      <c r="Q146">
        <v>874857.81183333334</v>
      </c>
      <c r="R146" s="9"/>
      <c r="S146"/>
      <c r="T146"/>
      <c r="U146" s="8"/>
    </row>
    <row r="147" spans="1:21" x14ac:dyDescent="0.25">
      <c r="A147">
        <v>383</v>
      </c>
      <c r="B147" t="s">
        <v>912</v>
      </c>
      <c r="C147">
        <v>0</v>
      </c>
      <c r="D147" t="s">
        <v>179</v>
      </c>
      <c r="E147" t="s">
        <v>84</v>
      </c>
      <c r="F147" t="s">
        <v>106</v>
      </c>
      <c r="G147">
        <v>7089.75</v>
      </c>
      <c r="N147">
        <v>1</v>
      </c>
      <c r="O147" t="s">
        <v>947</v>
      </c>
      <c r="P147" t="s">
        <v>947</v>
      </c>
      <c r="Q147">
        <v>9665.6924999999992</v>
      </c>
      <c r="R147" s="9"/>
      <c r="S147"/>
      <c r="T147"/>
      <c r="U147" s="8"/>
    </row>
    <row r="148" spans="1:21" x14ac:dyDescent="0.25">
      <c r="A148">
        <v>383</v>
      </c>
      <c r="B148" t="s">
        <v>912</v>
      </c>
      <c r="C148">
        <v>0</v>
      </c>
      <c r="D148" t="s">
        <v>179</v>
      </c>
      <c r="E148" t="s">
        <v>84</v>
      </c>
      <c r="F148" t="s">
        <v>106</v>
      </c>
      <c r="G148">
        <v>10453.442499999999</v>
      </c>
      <c r="O148" t="s">
        <v>947</v>
      </c>
      <c r="P148" t="s">
        <v>947</v>
      </c>
      <c r="Q148">
        <v>9665.6924999999992</v>
      </c>
      <c r="R148" s="9"/>
      <c r="S148"/>
      <c r="T148"/>
      <c r="U148" s="8"/>
    </row>
    <row r="149" spans="1:21" x14ac:dyDescent="0.25">
      <c r="A149">
        <v>383</v>
      </c>
      <c r="B149" t="s">
        <v>912</v>
      </c>
      <c r="C149">
        <v>0</v>
      </c>
      <c r="D149" t="s">
        <v>179</v>
      </c>
      <c r="E149" t="s">
        <v>84</v>
      </c>
      <c r="F149" t="s">
        <v>110</v>
      </c>
      <c r="G149">
        <v>16256</v>
      </c>
      <c r="N149">
        <v>1</v>
      </c>
      <c r="O149" t="s">
        <v>947</v>
      </c>
      <c r="P149" t="s">
        <v>947</v>
      </c>
      <c r="Q149">
        <v>13940.666666666666</v>
      </c>
      <c r="R149" s="9"/>
      <c r="S149"/>
      <c r="T149"/>
      <c r="U149" s="8"/>
    </row>
    <row r="150" spans="1:21" x14ac:dyDescent="0.25">
      <c r="A150">
        <v>383</v>
      </c>
      <c r="B150" t="s">
        <v>912</v>
      </c>
      <c r="C150">
        <v>0</v>
      </c>
      <c r="D150" t="s">
        <v>179</v>
      </c>
      <c r="E150" t="s">
        <v>84</v>
      </c>
      <c r="F150" t="s">
        <v>110</v>
      </c>
      <c r="G150">
        <v>15738</v>
      </c>
      <c r="O150" t="s">
        <v>947</v>
      </c>
      <c r="P150" t="s">
        <v>947</v>
      </c>
      <c r="Q150">
        <v>13940.666666666666</v>
      </c>
      <c r="R150" s="9"/>
      <c r="S150"/>
      <c r="T150"/>
      <c r="U150" s="8"/>
    </row>
    <row r="151" spans="1:21" x14ac:dyDescent="0.25">
      <c r="A151">
        <v>383</v>
      </c>
      <c r="B151" t="s">
        <v>912</v>
      </c>
      <c r="C151">
        <v>0</v>
      </c>
      <c r="D151" t="s">
        <v>179</v>
      </c>
      <c r="E151" t="s">
        <v>84</v>
      </c>
      <c r="F151" t="s">
        <v>87</v>
      </c>
      <c r="G151">
        <v>98974.166670000006</v>
      </c>
      <c r="O151" t="s">
        <v>947</v>
      </c>
      <c r="P151" t="s">
        <v>947</v>
      </c>
      <c r="Q151">
        <v>115215.80002333333</v>
      </c>
      <c r="R151" s="9"/>
      <c r="S151"/>
      <c r="T151"/>
      <c r="U151" s="8"/>
    </row>
    <row r="152" spans="1:21" x14ac:dyDescent="0.25">
      <c r="A152">
        <v>383</v>
      </c>
      <c r="B152" t="s">
        <v>912</v>
      </c>
      <c r="C152">
        <v>0</v>
      </c>
      <c r="D152" t="s">
        <v>179</v>
      </c>
      <c r="E152" t="s">
        <v>84</v>
      </c>
      <c r="F152" t="s">
        <v>87</v>
      </c>
      <c r="G152">
        <v>119734.0667</v>
      </c>
      <c r="O152" t="s">
        <v>947</v>
      </c>
      <c r="P152" t="s">
        <v>947</v>
      </c>
      <c r="Q152">
        <v>115215.80002333333</v>
      </c>
      <c r="R152" s="9"/>
      <c r="S152"/>
      <c r="T152"/>
      <c r="U152" s="8"/>
    </row>
    <row r="153" spans="1:21" x14ac:dyDescent="0.25">
      <c r="A153">
        <v>383</v>
      </c>
      <c r="B153" t="s">
        <v>912</v>
      </c>
      <c r="C153">
        <v>0</v>
      </c>
      <c r="D153" t="s">
        <v>179</v>
      </c>
      <c r="E153" t="s">
        <v>84</v>
      </c>
      <c r="F153" t="s">
        <v>98</v>
      </c>
      <c r="G153">
        <v>48900</v>
      </c>
      <c r="M153">
        <v>1</v>
      </c>
      <c r="O153" t="s">
        <v>947</v>
      </c>
      <c r="P153" t="s">
        <v>947</v>
      </c>
      <c r="Q153">
        <v>55050</v>
      </c>
      <c r="R153" s="9"/>
      <c r="S153"/>
      <c r="T153"/>
      <c r="U153" s="8"/>
    </row>
    <row r="154" spans="1:21" x14ac:dyDescent="0.25">
      <c r="A154">
        <v>383</v>
      </c>
      <c r="B154" t="s">
        <v>912</v>
      </c>
      <c r="C154">
        <v>0</v>
      </c>
      <c r="D154" t="s">
        <v>179</v>
      </c>
      <c r="E154" t="s">
        <v>84</v>
      </c>
      <c r="F154" t="s">
        <v>121</v>
      </c>
      <c r="G154">
        <v>105544.1578</v>
      </c>
      <c r="N154">
        <v>1</v>
      </c>
      <c r="O154" t="s">
        <v>947</v>
      </c>
      <c r="P154" t="s">
        <v>947</v>
      </c>
      <c r="Q154">
        <v>128176.29536666667</v>
      </c>
      <c r="R154" s="9"/>
      <c r="S154"/>
      <c r="T154"/>
      <c r="U154" s="8"/>
    </row>
    <row r="155" spans="1:21" x14ac:dyDescent="0.25">
      <c r="A155">
        <v>383</v>
      </c>
      <c r="B155" t="s">
        <v>912</v>
      </c>
      <c r="C155">
        <v>0</v>
      </c>
      <c r="D155" t="s">
        <v>179</v>
      </c>
      <c r="E155" t="s">
        <v>84</v>
      </c>
      <c r="F155" t="s">
        <v>114</v>
      </c>
      <c r="G155">
        <v>23500</v>
      </c>
      <c r="N155">
        <v>1</v>
      </c>
      <c r="O155" t="s">
        <v>947</v>
      </c>
      <c r="P155" t="s">
        <v>947</v>
      </c>
      <c r="Q155">
        <v>30533.333333333332</v>
      </c>
      <c r="R155" s="9"/>
      <c r="S155"/>
      <c r="T155"/>
      <c r="U155" s="8"/>
    </row>
    <row r="156" spans="1:21" x14ac:dyDescent="0.25">
      <c r="A156">
        <v>318</v>
      </c>
      <c r="B156" t="s">
        <v>72</v>
      </c>
      <c r="C156">
        <v>0</v>
      </c>
      <c r="D156" t="s">
        <v>77</v>
      </c>
      <c r="E156" t="s">
        <v>84</v>
      </c>
      <c r="F156" t="s">
        <v>80</v>
      </c>
      <c r="G156">
        <v>614935.16839999997</v>
      </c>
      <c r="O156" t="s">
        <v>947</v>
      </c>
      <c r="P156" t="s">
        <v>947</v>
      </c>
      <c r="Q156">
        <v>745866.46846666664</v>
      </c>
      <c r="R156" s="9"/>
      <c r="S156"/>
      <c r="T156"/>
      <c r="U156" s="8"/>
    </row>
    <row r="157" spans="1:21" x14ac:dyDescent="0.25">
      <c r="A157">
        <v>318</v>
      </c>
      <c r="B157" t="s">
        <v>72</v>
      </c>
      <c r="C157">
        <v>0</v>
      </c>
      <c r="D157" t="s">
        <v>77</v>
      </c>
      <c r="E157" t="s">
        <v>84</v>
      </c>
      <c r="F157" t="s">
        <v>87</v>
      </c>
      <c r="G157">
        <v>107610.4167</v>
      </c>
      <c r="O157" t="s">
        <v>947</v>
      </c>
      <c r="P157" t="s">
        <v>947</v>
      </c>
      <c r="Q157">
        <v>109194.18611</v>
      </c>
      <c r="R157" s="9"/>
      <c r="S157"/>
      <c r="T157"/>
      <c r="U157" s="8"/>
    </row>
    <row r="158" spans="1:21" x14ac:dyDescent="0.25">
      <c r="A158">
        <v>318</v>
      </c>
      <c r="B158" t="s">
        <v>72</v>
      </c>
      <c r="C158">
        <v>0</v>
      </c>
      <c r="D158" t="s">
        <v>77</v>
      </c>
      <c r="E158" t="s">
        <v>84</v>
      </c>
      <c r="F158" t="s">
        <v>92</v>
      </c>
      <c r="G158">
        <v>14510</v>
      </c>
      <c r="O158" t="s">
        <v>947</v>
      </c>
      <c r="P158" t="s">
        <v>947</v>
      </c>
      <c r="Q158">
        <v>21656.666666666668</v>
      </c>
      <c r="R158" s="9"/>
      <c r="S158"/>
      <c r="T158"/>
      <c r="U158" s="8"/>
    </row>
    <row r="159" spans="1:21" x14ac:dyDescent="0.25">
      <c r="A159">
        <v>318</v>
      </c>
      <c r="B159" t="s">
        <v>72</v>
      </c>
      <c r="C159">
        <v>0</v>
      </c>
      <c r="D159" t="s">
        <v>77</v>
      </c>
      <c r="E159" t="s">
        <v>84</v>
      </c>
      <c r="F159" t="s">
        <v>92</v>
      </c>
      <c r="G159">
        <v>29420</v>
      </c>
      <c r="O159" t="s">
        <v>947</v>
      </c>
      <c r="P159" t="s">
        <v>947</v>
      </c>
      <c r="Q159">
        <v>21656.666666666668</v>
      </c>
      <c r="R159" s="9"/>
      <c r="S159"/>
      <c r="T159"/>
      <c r="U159" s="8"/>
    </row>
    <row r="160" spans="1:21" x14ac:dyDescent="0.25">
      <c r="A160">
        <v>318</v>
      </c>
      <c r="B160" t="s">
        <v>72</v>
      </c>
      <c r="C160">
        <v>0</v>
      </c>
      <c r="D160" t="s">
        <v>77</v>
      </c>
      <c r="E160" t="s">
        <v>84</v>
      </c>
      <c r="F160" t="s">
        <v>98</v>
      </c>
      <c r="G160">
        <v>52850</v>
      </c>
      <c r="M160">
        <v>1</v>
      </c>
      <c r="O160" t="s">
        <v>947</v>
      </c>
      <c r="P160" t="s">
        <v>947</v>
      </c>
      <c r="Q160">
        <v>37833.333333333336</v>
      </c>
      <c r="R160" s="9"/>
      <c r="S160"/>
      <c r="T160"/>
      <c r="U160" s="8"/>
    </row>
    <row r="161" spans="1:21" x14ac:dyDescent="0.25">
      <c r="A161">
        <v>318</v>
      </c>
      <c r="B161" t="s">
        <v>72</v>
      </c>
      <c r="C161">
        <v>0</v>
      </c>
      <c r="D161" t="s">
        <v>77</v>
      </c>
      <c r="E161" t="s">
        <v>84</v>
      </c>
      <c r="F161" t="s">
        <v>106</v>
      </c>
      <c r="G161">
        <v>6302</v>
      </c>
      <c r="O161" t="s">
        <v>947</v>
      </c>
      <c r="P161" t="s">
        <v>947</v>
      </c>
      <c r="Q161">
        <v>7050.3624999999993</v>
      </c>
      <c r="R161" s="9"/>
      <c r="S161"/>
      <c r="T161"/>
      <c r="U161" s="8"/>
    </row>
    <row r="162" spans="1:21" x14ac:dyDescent="0.25">
      <c r="A162">
        <v>318</v>
      </c>
      <c r="B162" t="s">
        <v>72</v>
      </c>
      <c r="C162">
        <v>0</v>
      </c>
      <c r="D162" t="s">
        <v>77</v>
      </c>
      <c r="E162" t="s">
        <v>84</v>
      </c>
      <c r="F162" t="s">
        <v>110</v>
      </c>
      <c r="G162">
        <v>12400</v>
      </c>
      <c r="O162" t="s">
        <v>947</v>
      </c>
      <c r="P162" t="s">
        <v>947</v>
      </c>
      <c r="Q162">
        <v>14980</v>
      </c>
      <c r="R162" s="9"/>
      <c r="S162"/>
      <c r="T162"/>
      <c r="U162" s="8"/>
    </row>
    <row r="163" spans="1:21" x14ac:dyDescent="0.25">
      <c r="A163">
        <v>318</v>
      </c>
      <c r="B163" t="s">
        <v>72</v>
      </c>
      <c r="C163">
        <v>0</v>
      </c>
      <c r="D163" t="s">
        <v>77</v>
      </c>
      <c r="E163" t="s">
        <v>84</v>
      </c>
      <c r="F163" t="s">
        <v>114</v>
      </c>
      <c r="G163">
        <v>39250</v>
      </c>
      <c r="J163">
        <v>1</v>
      </c>
      <c r="O163" t="s">
        <v>947</v>
      </c>
      <c r="P163" t="s">
        <v>947</v>
      </c>
      <c r="Q163">
        <v>37483.333333333336</v>
      </c>
      <c r="R163" s="9"/>
      <c r="S163"/>
      <c r="T163"/>
      <c r="U163" s="8"/>
    </row>
    <row r="164" spans="1:21" x14ac:dyDescent="0.25">
      <c r="A164">
        <v>318</v>
      </c>
      <c r="B164" t="s">
        <v>72</v>
      </c>
      <c r="C164">
        <v>0</v>
      </c>
      <c r="D164" t="s">
        <v>77</v>
      </c>
      <c r="E164" t="s">
        <v>84</v>
      </c>
      <c r="F164" t="s">
        <v>114</v>
      </c>
      <c r="G164">
        <v>36200</v>
      </c>
      <c r="M164">
        <v>1</v>
      </c>
      <c r="O164" t="s">
        <v>947</v>
      </c>
      <c r="P164" t="s">
        <v>947</v>
      </c>
      <c r="Q164">
        <v>37483.333333333336</v>
      </c>
      <c r="R164" s="9"/>
      <c r="S164"/>
      <c r="T164"/>
      <c r="U164" s="8"/>
    </row>
    <row r="165" spans="1:21" x14ac:dyDescent="0.25">
      <c r="A165">
        <v>318</v>
      </c>
      <c r="B165" t="s">
        <v>72</v>
      </c>
      <c r="C165">
        <v>0</v>
      </c>
      <c r="D165" t="s">
        <v>77</v>
      </c>
      <c r="E165" t="s">
        <v>84</v>
      </c>
      <c r="F165" t="s">
        <v>121</v>
      </c>
      <c r="G165">
        <v>161541.30129999999</v>
      </c>
      <c r="J165">
        <v>1</v>
      </c>
      <c r="O165" t="s">
        <v>947</v>
      </c>
      <c r="P165" t="s">
        <v>947</v>
      </c>
      <c r="Q165">
        <v>145472.97853333334</v>
      </c>
      <c r="R165" s="9"/>
      <c r="S165"/>
      <c r="T165"/>
      <c r="U165" s="8"/>
    </row>
    <row r="166" spans="1:21" x14ac:dyDescent="0.25">
      <c r="A166">
        <v>318</v>
      </c>
      <c r="B166" t="s">
        <v>72</v>
      </c>
      <c r="C166">
        <v>0</v>
      </c>
      <c r="D166" t="s">
        <v>77</v>
      </c>
      <c r="E166" t="s">
        <v>84</v>
      </c>
      <c r="F166" t="s">
        <v>121</v>
      </c>
      <c r="G166">
        <v>138331.54800000001</v>
      </c>
      <c r="M166">
        <v>1</v>
      </c>
      <c r="O166" t="s">
        <v>947</v>
      </c>
      <c r="P166" t="s">
        <v>947</v>
      </c>
      <c r="Q166">
        <v>145472.97853333334</v>
      </c>
      <c r="R166" s="9"/>
      <c r="S166"/>
      <c r="T166"/>
      <c r="U166" s="8"/>
    </row>
    <row r="167" spans="1:21" x14ac:dyDescent="0.25">
      <c r="A167">
        <v>318</v>
      </c>
      <c r="B167" t="s">
        <v>72</v>
      </c>
      <c r="C167">
        <v>0</v>
      </c>
      <c r="D167" t="s">
        <v>77</v>
      </c>
      <c r="E167" t="s">
        <v>84</v>
      </c>
      <c r="F167" t="s">
        <v>125</v>
      </c>
      <c r="G167">
        <v>8700</v>
      </c>
      <c r="O167" t="s">
        <v>947</v>
      </c>
      <c r="P167" t="s">
        <v>947</v>
      </c>
      <c r="Q167">
        <v>38916.666666666672</v>
      </c>
      <c r="R167" s="9"/>
      <c r="S167"/>
      <c r="T167"/>
      <c r="U167" s="8"/>
    </row>
    <row r="168" spans="1:21" x14ac:dyDescent="0.25">
      <c r="A168">
        <v>318</v>
      </c>
      <c r="B168" t="s">
        <v>72</v>
      </c>
      <c r="C168">
        <v>0</v>
      </c>
      <c r="D168" t="s">
        <v>77</v>
      </c>
      <c r="E168" t="s">
        <v>84</v>
      </c>
      <c r="F168" t="s">
        <v>125</v>
      </c>
      <c r="G168">
        <v>69900</v>
      </c>
      <c r="O168" t="s">
        <v>947</v>
      </c>
      <c r="P168" t="s">
        <v>947</v>
      </c>
      <c r="Q168">
        <v>38916.666666666672</v>
      </c>
      <c r="R168" s="9"/>
      <c r="S168"/>
      <c r="T168"/>
      <c r="U168" s="8"/>
    </row>
    <row r="169" spans="1:21" x14ac:dyDescent="0.25">
      <c r="A169">
        <v>323</v>
      </c>
      <c r="B169" t="s">
        <v>133</v>
      </c>
      <c r="C169">
        <v>0</v>
      </c>
      <c r="D169" t="s">
        <v>137</v>
      </c>
      <c r="E169" t="s">
        <v>84</v>
      </c>
      <c r="F169" t="s">
        <v>125</v>
      </c>
      <c r="G169">
        <v>49050</v>
      </c>
      <c r="O169" t="s">
        <v>947</v>
      </c>
      <c r="P169" t="s">
        <v>947</v>
      </c>
      <c r="Q169">
        <v>40150</v>
      </c>
      <c r="R169" s="9"/>
      <c r="S169"/>
      <c r="T169"/>
      <c r="U169" s="8"/>
    </row>
    <row r="170" spans="1:21" x14ac:dyDescent="0.25">
      <c r="A170">
        <v>323</v>
      </c>
      <c r="B170" t="s">
        <v>133</v>
      </c>
      <c r="C170">
        <v>0</v>
      </c>
      <c r="D170" t="s">
        <v>137</v>
      </c>
      <c r="E170" t="s">
        <v>84</v>
      </c>
      <c r="F170" t="s">
        <v>125</v>
      </c>
      <c r="G170">
        <v>50600</v>
      </c>
      <c r="O170" t="s">
        <v>947</v>
      </c>
      <c r="P170" t="s">
        <v>947</v>
      </c>
      <c r="Q170">
        <v>40150</v>
      </c>
      <c r="R170" s="9"/>
      <c r="S170"/>
      <c r="T170"/>
      <c r="U170" s="8"/>
    </row>
    <row r="171" spans="1:21" x14ac:dyDescent="0.25">
      <c r="A171">
        <v>323</v>
      </c>
      <c r="B171" t="s">
        <v>133</v>
      </c>
      <c r="C171">
        <v>0</v>
      </c>
      <c r="D171" t="s">
        <v>137</v>
      </c>
      <c r="E171" t="s">
        <v>84</v>
      </c>
      <c r="F171" t="s">
        <v>151</v>
      </c>
      <c r="G171">
        <v>93203.5</v>
      </c>
      <c r="O171" t="s">
        <v>947</v>
      </c>
      <c r="P171" t="s">
        <v>947</v>
      </c>
      <c r="Q171">
        <v>104828.75</v>
      </c>
      <c r="R171" s="9"/>
      <c r="S171"/>
      <c r="T171"/>
      <c r="U171" s="8"/>
    </row>
    <row r="172" spans="1:21" x14ac:dyDescent="0.25">
      <c r="A172">
        <v>323</v>
      </c>
      <c r="B172" t="s">
        <v>133</v>
      </c>
      <c r="C172">
        <v>0</v>
      </c>
      <c r="D172" t="s">
        <v>137</v>
      </c>
      <c r="E172" t="s">
        <v>84</v>
      </c>
      <c r="F172" t="s">
        <v>98</v>
      </c>
      <c r="G172">
        <v>17500</v>
      </c>
      <c r="M172">
        <v>1</v>
      </c>
      <c r="O172" t="s">
        <v>947</v>
      </c>
      <c r="P172" t="s">
        <v>947</v>
      </c>
      <c r="Q172">
        <v>32250</v>
      </c>
      <c r="R172" s="9"/>
      <c r="S172"/>
      <c r="T172"/>
      <c r="U172" s="8"/>
    </row>
    <row r="173" spans="1:21" x14ac:dyDescent="0.25">
      <c r="A173">
        <v>323</v>
      </c>
      <c r="B173" t="s">
        <v>133</v>
      </c>
      <c r="C173">
        <v>0</v>
      </c>
      <c r="D173" t="s">
        <v>137</v>
      </c>
      <c r="E173" t="s">
        <v>84</v>
      </c>
      <c r="F173" t="s">
        <v>87</v>
      </c>
      <c r="G173">
        <v>116315.2083</v>
      </c>
      <c r="O173" t="s">
        <v>947</v>
      </c>
      <c r="P173" t="s">
        <v>947</v>
      </c>
      <c r="Q173">
        <v>93203.872213333336</v>
      </c>
      <c r="R173" s="9"/>
      <c r="S173"/>
      <c r="T173"/>
      <c r="U173" s="8"/>
    </row>
    <row r="174" spans="1:21" x14ac:dyDescent="0.25">
      <c r="A174">
        <v>333</v>
      </c>
      <c r="B174" t="s">
        <v>337</v>
      </c>
      <c r="C174">
        <v>0</v>
      </c>
      <c r="D174" t="s">
        <v>338</v>
      </c>
      <c r="E174" t="s">
        <v>84</v>
      </c>
      <c r="F174" t="s">
        <v>80</v>
      </c>
      <c r="G174">
        <v>861318.65</v>
      </c>
      <c r="J174">
        <v>1</v>
      </c>
      <c r="O174" t="s">
        <v>947</v>
      </c>
      <c r="P174" t="s">
        <v>947</v>
      </c>
      <c r="Q174">
        <v>837017.14029999997</v>
      </c>
      <c r="R174" s="9"/>
      <c r="S174"/>
      <c r="T174"/>
      <c r="U174" s="8"/>
    </row>
    <row r="175" spans="1:21" x14ac:dyDescent="0.25">
      <c r="A175">
        <v>333</v>
      </c>
      <c r="B175" t="s">
        <v>337</v>
      </c>
      <c r="C175">
        <v>0</v>
      </c>
      <c r="D175" t="s">
        <v>338</v>
      </c>
      <c r="E175" t="s">
        <v>84</v>
      </c>
      <c r="F175" t="s">
        <v>106</v>
      </c>
      <c r="G175">
        <v>9846.875</v>
      </c>
      <c r="J175">
        <v>1</v>
      </c>
      <c r="O175" t="s">
        <v>947</v>
      </c>
      <c r="P175" t="s">
        <v>947</v>
      </c>
      <c r="Q175">
        <v>7549.2708333333339</v>
      </c>
      <c r="R175" s="9"/>
      <c r="S175"/>
      <c r="T175"/>
      <c r="U175" s="8"/>
    </row>
    <row r="176" spans="1:21" x14ac:dyDescent="0.25">
      <c r="A176">
        <v>333</v>
      </c>
      <c r="B176" t="s">
        <v>337</v>
      </c>
      <c r="C176">
        <v>0</v>
      </c>
      <c r="D176" t="s">
        <v>338</v>
      </c>
      <c r="E176" t="s">
        <v>84</v>
      </c>
      <c r="F176" t="s">
        <v>110</v>
      </c>
      <c r="G176">
        <v>11008</v>
      </c>
      <c r="J176">
        <v>1</v>
      </c>
      <c r="O176" t="s">
        <v>947</v>
      </c>
      <c r="P176" t="s">
        <v>947</v>
      </c>
      <c r="Q176">
        <v>12020</v>
      </c>
      <c r="R176" s="9"/>
      <c r="S176"/>
      <c r="T176"/>
      <c r="U176" s="8"/>
    </row>
    <row r="177" spans="1:21" x14ac:dyDescent="0.25">
      <c r="A177">
        <v>333</v>
      </c>
      <c r="B177" t="s">
        <v>337</v>
      </c>
      <c r="C177">
        <v>0</v>
      </c>
      <c r="D177" t="s">
        <v>338</v>
      </c>
      <c r="E177" t="s">
        <v>84</v>
      </c>
      <c r="F177" t="s">
        <v>87</v>
      </c>
      <c r="G177">
        <v>93795.158330000006</v>
      </c>
      <c r="O177" t="s">
        <v>947</v>
      </c>
      <c r="P177" t="s">
        <v>947</v>
      </c>
      <c r="Q177">
        <v>108474.041665</v>
      </c>
      <c r="R177" s="9"/>
      <c r="S177"/>
      <c r="T177"/>
      <c r="U177" s="8"/>
    </row>
    <row r="178" spans="1:21" x14ac:dyDescent="0.25">
      <c r="A178">
        <v>333</v>
      </c>
      <c r="B178" t="s">
        <v>337</v>
      </c>
      <c r="C178">
        <v>0</v>
      </c>
      <c r="D178" t="s">
        <v>338</v>
      </c>
      <c r="E178" t="s">
        <v>84</v>
      </c>
      <c r="F178" t="s">
        <v>98</v>
      </c>
      <c r="G178">
        <v>19250</v>
      </c>
      <c r="O178" t="s">
        <v>947</v>
      </c>
      <c r="P178" t="s">
        <v>947</v>
      </c>
      <c r="Q178">
        <v>31766.666666666664</v>
      </c>
      <c r="R178" s="9"/>
      <c r="S178"/>
      <c r="T178"/>
      <c r="U178" s="8"/>
    </row>
    <row r="179" spans="1:21" x14ac:dyDescent="0.25">
      <c r="A179">
        <v>333</v>
      </c>
      <c r="B179" t="s">
        <v>337</v>
      </c>
      <c r="C179">
        <v>0</v>
      </c>
      <c r="D179" t="s">
        <v>338</v>
      </c>
      <c r="E179" t="s">
        <v>84</v>
      </c>
      <c r="F179" t="s">
        <v>185</v>
      </c>
      <c r="G179">
        <v>12604</v>
      </c>
      <c r="J179">
        <v>1</v>
      </c>
      <c r="O179" t="s">
        <v>947</v>
      </c>
      <c r="P179" t="s">
        <v>947</v>
      </c>
      <c r="Q179">
        <v>16726.558333333334</v>
      </c>
      <c r="R179" s="9"/>
      <c r="S179"/>
      <c r="T179"/>
      <c r="U179" s="8"/>
    </row>
    <row r="180" spans="1:21" x14ac:dyDescent="0.25">
      <c r="A180">
        <v>334</v>
      </c>
      <c r="B180" t="s">
        <v>366</v>
      </c>
      <c r="C180">
        <v>0</v>
      </c>
      <c r="D180" t="s">
        <v>338</v>
      </c>
      <c r="E180" t="s">
        <v>84</v>
      </c>
      <c r="F180" t="s">
        <v>92</v>
      </c>
      <c r="G180">
        <v>23450</v>
      </c>
      <c r="J180">
        <v>1</v>
      </c>
      <c r="M180">
        <v>1</v>
      </c>
      <c r="O180" t="s">
        <v>947</v>
      </c>
      <c r="P180" t="s">
        <v>947</v>
      </c>
      <c r="Q180">
        <v>27166.666666666668</v>
      </c>
      <c r="R180" s="9"/>
      <c r="S180"/>
      <c r="T180"/>
      <c r="U180" s="8"/>
    </row>
    <row r="181" spans="1:21" x14ac:dyDescent="0.25">
      <c r="A181">
        <v>334</v>
      </c>
      <c r="B181" t="s">
        <v>366</v>
      </c>
      <c r="C181">
        <v>0</v>
      </c>
      <c r="D181" t="s">
        <v>338</v>
      </c>
      <c r="E181" t="s">
        <v>84</v>
      </c>
      <c r="F181" t="s">
        <v>92</v>
      </c>
      <c r="G181">
        <v>30040</v>
      </c>
      <c r="O181" t="s">
        <v>947</v>
      </c>
      <c r="P181" t="s">
        <v>947</v>
      </c>
      <c r="Q181">
        <v>27166.666666666668</v>
      </c>
      <c r="R181" s="9"/>
      <c r="S181"/>
      <c r="T181"/>
      <c r="U181" s="8"/>
    </row>
    <row r="182" spans="1:21" x14ac:dyDescent="0.25">
      <c r="A182">
        <v>334</v>
      </c>
      <c r="B182" t="s">
        <v>366</v>
      </c>
      <c r="C182">
        <v>0</v>
      </c>
      <c r="D182" t="s">
        <v>338</v>
      </c>
      <c r="E182" t="s">
        <v>84</v>
      </c>
      <c r="F182" t="s">
        <v>80</v>
      </c>
      <c r="G182">
        <v>724100.86499999999</v>
      </c>
      <c r="N182">
        <v>1</v>
      </c>
      <c r="O182" t="s">
        <v>947</v>
      </c>
      <c r="P182" t="s">
        <v>947</v>
      </c>
      <c r="Q182">
        <v>836563.7093333333</v>
      </c>
      <c r="R182" s="9"/>
      <c r="S182"/>
      <c r="T182"/>
      <c r="U182" s="8"/>
    </row>
    <row r="183" spans="1:21" x14ac:dyDescent="0.25">
      <c r="A183">
        <v>334</v>
      </c>
      <c r="B183" t="s">
        <v>366</v>
      </c>
      <c r="C183">
        <v>0</v>
      </c>
      <c r="D183" t="s">
        <v>338</v>
      </c>
      <c r="E183" t="s">
        <v>84</v>
      </c>
      <c r="F183" t="s">
        <v>80</v>
      </c>
      <c r="G183">
        <v>906544.9</v>
      </c>
      <c r="O183" t="s">
        <v>947</v>
      </c>
      <c r="P183" t="s">
        <v>947</v>
      </c>
      <c r="Q183">
        <v>836563.7093333333</v>
      </c>
      <c r="R183" s="9"/>
      <c r="S183"/>
      <c r="T183"/>
      <c r="U183" s="8"/>
    </row>
    <row r="184" spans="1:21" x14ac:dyDescent="0.25">
      <c r="A184">
        <v>334</v>
      </c>
      <c r="B184" t="s">
        <v>366</v>
      </c>
      <c r="C184">
        <v>0</v>
      </c>
      <c r="D184" t="s">
        <v>338</v>
      </c>
      <c r="E184" t="s">
        <v>84</v>
      </c>
      <c r="F184" t="s">
        <v>106</v>
      </c>
      <c r="G184">
        <v>11382.987499999999</v>
      </c>
      <c r="N184">
        <v>1</v>
      </c>
      <c r="O184" t="s">
        <v>947</v>
      </c>
      <c r="P184" t="s">
        <v>947</v>
      </c>
      <c r="Q184">
        <v>10274.885833333334</v>
      </c>
      <c r="R184" s="9"/>
      <c r="S184"/>
      <c r="T184"/>
      <c r="U184" s="8"/>
    </row>
    <row r="185" spans="1:21" x14ac:dyDescent="0.25">
      <c r="A185">
        <v>334</v>
      </c>
      <c r="B185" t="s">
        <v>366</v>
      </c>
      <c r="C185">
        <v>0</v>
      </c>
      <c r="D185" t="s">
        <v>338</v>
      </c>
      <c r="E185" t="s">
        <v>84</v>
      </c>
      <c r="F185" t="s">
        <v>106</v>
      </c>
      <c r="G185">
        <v>9137.9</v>
      </c>
      <c r="O185" t="s">
        <v>947</v>
      </c>
      <c r="P185" t="s">
        <v>947</v>
      </c>
      <c r="Q185">
        <v>10274.885833333334</v>
      </c>
      <c r="R185" s="9"/>
      <c r="S185"/>
      <c r="T185"/>
      <c r="U185" s="8"/>
    </row>
    <row r="186" spans="1:21" x14ac:dyDescent="0.25">
      <c r="A186">
        <v>334</v>
      </c>
      <c r="B186" t="s">
        <v>366</v>
      </c>
      <c r="C186">
        <v>0</v>
      </c>
      <c r="D186" t="s">
        <v>338</v>
      </c>
      <c r="E186" t="s">
        <v>84</v>
      </c>
      <c r="F186" t="s">
        <v>110</v>
      </c>
      <c r="G186">
        <v>13696</v>
      </c>
      <c r="N186">
        <v>1</v>
      </c>
      <c r="O186" t="s">
        <v>947</v>
      </c>
      <c r="P186" t="s">
        <v>947</v>
      </c>
      <c r="Q186">
        <v>8960</v>
      </c>
      <c r="R186" s="9"/>
      <c r="S186"/>
      <c r="T186"/>
      <c r="U186" s="8"/>
    </row>
    <row r="187" spans="1:21" x14ac:dyDescent="0.25">
      <c r="A187">
        <v>334</v>
      </c>
      <c r="B187" t="s">
        <v>366</v>
      </c>
      <c r="C187">
        <v>0</v>
      </c>
      <c r="D187" t="s">
        <v>338</v>
      </c>
      <c r="E187" t="s">
        <v>84</v>
      </c>
      <c r="F187" t="s">
        <v>110</v>
      </c>
      <c r="G187">
        <v>6528</v>
      </c>
      <c r="O187" t="s">
        <v>947</v>
      </c>
      <c r="P187" t="s">
        <v>947</v>
      </c>
      <c r="Q187">
        <v>8960</v>
      </c>
      <c r="R187" s="9"/>
      <c r="S187"/>
      <c r="T187"/>
      <c r="U187" s="8"/>
    </row>
    <row r="188" spans="1:21" x14ac:dyDescent="0.25">
      <c r="A188">
        <v>334</v>
      </c>
      <c r="B188" t="s">
        <v>366</v>
      </c>
      <c r="C188">
        <v>0</v>
      </c>
      <c r="D188" t="s">
        <v>338</v>
      </c>
      <c r="E188" t="s">
        <v>84</v>
      </c>
      <c r="F188" t="s">
        <v>87</v>
      </c>
      <c r="G188">
        <v>131904.32500000001</v>
      </c>
      <c r="M188">
        <v>1</v>
      </c>
      <c r="N188">
        <v>1</v>
      </c>
      <c r="O188" t="s">
        <v>947</v>
      </c>
      <c r="P188" t="s">
        <v>947</v>
      </c>
      <c r="Q188">
        <v>108672.35555666668</v>
      </c>
      <c r="R188" s="9"/>
      <c r="S188"/>
      <c r="T188"/>
      <c r="U188" s="8"/>
    </row>
    <row r="189" spans="1:21" x14ac:dyDescent="0.25">
      <c r="A189">
        <v>334</v>
      </c>
      <c r="B189" t="s">
        <v>366</v>
      </c>
      <c r="C189">
        <v>0</v>
      </c>
      <c r="D189" t="s">
        <v>338</v>
      </c>
      <c r="E189" t="s">
        <v>84</v>
      </c>
      <c r="F189" t="s">
        <v>87</v>
      </c>
      <c r="G189">
        <v>85172.616670000003</v>
      </c>
      <c r="O189" t="s">
        <v>947</v>
      </c>
      <c r="P189" t="s">
        <v>947</v>
      </c>
      <c r="Q189">
        <v>108672.35555666668</v>
      </c>
      <c r="R189" s="9"/>
      <c r="S189"/>
      <c r="T189"/>
      <c r="U189" s="8"/>
    </row>
    <row r="190" spans="1:21" x14ac:dyDescent="0.25">
      <c r="A190">
        <v>334</v>
      </c>
      <c r="B190" t="s">
        <v>366</v>
      </c>
      <c r="C190">
        <v>0</v>
      </c>
      <c r="D190" t="s">
        <v>338</v>
      </c>
      <c r="E190" t="s">
        <v>84</v>
      </c>
      <c r="F190" t="s">
        <v>98</v>
      </c>
      <c r="G190">
        <v>19100</v>
      </c>
      <c r="O190" t="s">
        <v>947</v>
      </c>
      <c r="P190" t="s">
        <v>947</v>
      </c>
      <c r="Q190">
        <v>24616.666666666668</v>
      </c>
      <c r="R190" s="9"/>
      <c r="S190"/>
      <c r="T190"/>
      <c r="U190" s="8"/>
    </row>
    <row r="191" spans="1:21" x14ac:dyDescent="0.25">
      <c r="A191">
        <v>340</v>
      </c>
      <c r="B191" t="s">
        <v>456</v>
      </c>
      <c r="C191">
        <v>0</v>
      </c>
      <c r="D191" t="s">
        <v>472</v>
      </c>
      <c r="E191" t="s">
        <v>84</v>
      </c>
      <c r="F191" t="s">
        <v>87</v>
      </c>
      <c r="G191">
        <v>151871.88329999999</v>
      </c>
      <c r="O191" t="s">
        <v>947</v>
      </c>
      <c r="P191" t="s">
        <v>947</v>
      </c>
      <c r="Q191">
        <v>147026.44443333332</v>
      </c>
      <c r="R191" s="9"/>
      <c r="S191"/>
      <c r="T191"/>
      <c r="U191" s="8"/>
    </row>
    <row r="192" spans="1:21" x14ac:dyDescent="0.25">
      <c r="A192">
        <v>340</v>
      </c>
      <c r="B192" t="s">
        <v>456</v>
      </c>
      <c r="C192">
        <v>0</v>
      </c>
      <c r="D192" t="s">
        <v>472</v>
      </c>
      <c r="E192" t="s">
        <v>84</v>
      </c>
      <c r="F192" t="s">
        <v>98</v>
      </c>
      <c r="G192">
        <v>21950</v>
      </c>
      <c r="O192" t="s">
        <v>947</v>
      </c>
      <c r="P192" t="s">
        <v>947</v>
      </c>
      <c r="Q192">
        <v>36483.333333333328</v>
      </c>
      <c r="R192" s="9"/>
      <c r="S192"/>
      <c r="T192"/>
      <c r="U192" s="8"/>
    </row>
    <row r="193" spans="1:21" x14ac:dyDescent="0.25">
      <c r="A193">
        <v>340</v>
      </c>
      <c r="B193" t="s">
        <v>456</v>
      </c>
      <c r="C193">
        <v>0</v>
      </c>
      <c r="D193" t="s">
        <v>472</v>
      </c>
      <c r="E193" t="s">
        <v>84</v>
      </c>
      <c r="F193" t="s">
        <v>98</v>
      </c>
      <c r="G193">
        <v>30850</v>
      </c>
      <c r="M193">
        <v>1</v>
      </c>
      <c r="O193" t="s">
        <v>947</v>
      </c>
      <c r="P193" t="s">
        <v>947</v>
      </c>
      <c r="Q193">
        <v>36483.333333333328</v>
      </c>
      <c r="R193" s="9"/>
      <c r="S193"/>
      <c r="T193"/>
      <c r="U193" s="8"/>
    </row>
    <row r="194" spans="1:21" x14ac:dyDescent="0.25">
      <c r="A194">
        <v>341</v>
      </c>
      <c r="B194" t="s">
        <v>481</v>
      </c>
      <c r="C194">
        <v>0</v>
      </c>
      <c r="D194" t="s">
        <v>472</v>
      </c>
      <c r="E194" t="s">
        <v>84</v>
      </c>
      <c r="F194" t="s">
        <v>80</v>
      </c>
      <c r="G194">
        <v>726861.22089999996</v>
      </c>
      <c r="O194" t="s">
        <v>947</v>
      </c>
      <c r="P194" t="s">
        <v>947</v>
      </c>
      <c r="Q194">
        <v>791032.91916666669</v>
      </c>
      <c r="R194" s="9"/>
      <c r="S194"/>
      <c r="T194"/>
      <c r="U194" s="8"/>
    </row>
    <row r="195" spans="1:21" x14ac:dyDescent="0.25">
      <c r="A195">
        <v>341</v>
      </c>
      <c r="B195" t="s">
        <v>481</v>
      </c>
      <c r="C195">
        <v>0</v>
      </c>
      <c r="D195" t="s">
        <v>472</v>
      </c>
      <c r="E195" t="s">
        <v>84</v>
      </c>
      <c r="F195" t="s">
        <v>80</v>
      </c>
      <c r="G195">
        <v>621145.79859999998</v>
      </c>
      <c r="O195" t="s">
        <v>947</v>
      </c>
      <c r="P195" t="s">
        <v>947</v>
      </c>
      <c r="Q195">
        <v>791032.91916666669</v>
      </c>
      <c r="R195" s="9"/>
      <c r="S195"/>
      <c r="T195"/>
      <c r="U195" s="8"/>
    </row>
    <row r="196" spans="1:21" x14ac:dyDescent="0.25">
      <c r="A196">
        <v>341</v>
      </c>
      <c r="B196" t="s">
        <v>481</v>
      </c>
      <c r="C196">
        <v>0</v>
      </c>
      <c r="D196" t="s">
        <v>472</v>
      </c>
      <c r="E196" t="s">
        <v>84</v>
      </c>
      <c r="F196" t="s">
        <v>106</v>
      </c>
      <c r="G196">
        <v>6168.0825000000004</v>
      </c>
      <c r="O196" t="s">
        <v>947</v>
      </c>
      <c r="P196" t="s">
        <v>947</v>
      </c>
      <c r="Q196">
        <v>10028.057500000001</v>
      </c>
      <c r="R196" s="9"/>
      <c r="S196"/>
      <c r="T196"/>
      <c r="U196" s="8"/>
    </row>
    <row r="197" spans="1:21" x14ac:dyDescent="0.25">
      <c r="A197">
        <v>341</v>
      </c>
      <c r="B197" t="s">
        <v>481</v>
      </c>
      <c r="C197">
        <v>0</v>
      </c>
      <c r="D197" t="s">
        <v>338</v>
      </c>
      <c r="E197" t="s">
        <v>84</v>
      </c>
      <c r="F197" t="s">
        <v>106</v>
      </c>
      <c r="G197">
        <v>13588.6875</v>
      </c>
      <c r="O197" t="s">
        <v>947</v>
      </c>
      <c r="P197" t="s">
        <v>947</v>
      </c>
      <c r="Q197">
        <v>10028.057500000001</v>
      </c>
      <c r="R197" s="9"/>
      <c r="S197"/>
      <c r="T197"/>
      <c r="U197" s="8"/>
    </row>
    <row r="198" spans="1:21" x14ac:dyDescent="0.25">
      <c r="A198">
        <v>341</v>
      </c>
      <c r="B198" t="s">
        <v>481</v>
      </c>
      <c r="C198">
        <v>0</v>
      </c>
      <c r="D198" t="s">
        <v>338</v>
      </c>
      <c r="E198" t="s">
        <v>84</v>
      </c>
      <c r="F198" t="s">
        <v>110</v>
      </c>
      <c r="G198">
        <v>12474</v>
      </c>
      <c r="O198" t="s">
        <v>947</v>
      </c>
      <c r="P198" t="s">
        <v>947</v>
      </c>
      <c r="Q198">
        <v>16579.333333333332</v>
      </c>
      <c r="R198" s="9"/>
      <c r="S198"/>
      <c r="T198"/>
      <c r="U198" s="8"/>
    </row>
    <row r="199" spans="1:21" x14ac:dyDescent="0.25">
      <c r="A199">
        <v>341</v>
      </c>
      <c r="B199" t="s">
        <v>481</v>
      </c>
      <c r="C199">
        <v>0</v>
      </c>
      <c r="D199" t="s">
        <v>338</v>
      </c>
      <c r="E199" t="s">
        <v>84</v>
      </c>
      <c r="F199" t="s">
        <v>110</v>
      </c>
      <c r="G199">
        <v>18688</v>
      </c>
      <c r="O199" t="s">
        <v>947</v>
      </c>
      <c r="P199" t="s">
        <v>947</v>
      </c>
      <c r="Q199">
        <v>16579.333333333332</v>
      </c>
      <c r="R199" s="9"/>
      <c r="S199"/>
      <c r="T199"/>
      <c r="U199" s="8"/>
    </row>
    <row r="200" spans="1:21" x14ac:dyDescent="0.25">
      <c r="A200">
        <v>341</v>
      </c>
      <c r="B200" t="s">
        <v>481</v>
      </c>
      <c r="C200">
        <v>0</v>
      </c>
      <c r="D200" t="s">
        <v>338</v>
      </c>
      <c r="E200" t="s">
        <v>84</v>
      </c>
      <c r="F200" t="s">
        <v>87</v>
      </c>
      <c r="G200">
        <v>95881.56667</v>
      </c>
      <c r="O200" t="s">
        <v>947</v>
      </c>
      <c r="P200" t="s">
        <v>947</v>
      </c>
      <c r="Q200">
        <v>91396.2</v>
      </c>
      <c r="R200" s="9"/>
      <c r="S200"/>
      <c r="T200"/>
      <c r="U200" s="8"/>
    </row>
    <row r="201" spans="1:21" x14ac:dyDescent="0.25">
      <c r="A201">
        <v>341</v>
      </c>
      <c r="B201" t="s">
        <v>481</v>
      </c>
      <c r="C201">
        <v>0</v>
      </c>
      <c r="D201" t="s">
        <v>338</v>
      </c>
      <c r="E201" t="s">
        <v>84</v>
      </c>
      <c r="F201" t="s">
        <v>98</v>
      </c>
      <c r="G201">
        <v>36850</v>
      </c>
      <c r="O201" t="s">
        <v>947</v>
      </c>
      <c r="P201" t="s">
        <v>947</v>
      </c>
      <c r="Q201">
        <v>28966.666666666668</v>
      </c>
      <c r="R201" s="9"/>
      <c r="S201"/>
      <c r="T201"/>
      <c r="U201" s="8"/>
    </row>
    <row r="202" spans="1:21" x14ac:dyDescent="0.25">
      <c r="A202">
        <v>342</v>
      </c>
      <c r="B202" t="s">
        <v>505</v>
      </c>
      <c r="C202">
        <v>0</v>
      </c>
      <c r="D202" t="s">
        <v>338</v>
      </c>
      <c r="E202" t="s">
        <v>84</v>
      </c>
      <c r="F202" t="s">
        <v>87</v>
      </c>
      <c r="G202">
        <v>153774.6</v>
      </c>
      <c r="O202" t="s">
        <v>947</v>
      </c>
      <c r="P202" t="s">
        <v>947</v>
      </c>
      <c r="Q202">
        <v>143791.27776666667</v>
      </c>
      <c r="R202" s="9"/>
      <c r="S202"/>
      <c r="T202"/>
      <c r="U202" s="8"/>
    </row>
    <row r="203" spans="1:21" x14ac:dyDescent="0.25">
      <c r="A203">
        <v>342</v>
      </c>
      <c r="B203" t="s">
        <v>505</v>
      </c>
      <c r="C203">
        <v>0</v>
      </c>
      <c r="D203" t="s">
        <v>338</v>
      </c>
      <c r="E203" t="s">
        <v>84</v>
      </c>
      <c r="F203" t="s">
        <v>87</v>
      </c>
      <c r="G203">
        <v>145154.79999999999</v>
      </c>
      <c r="O203" t="s">
        <v>947</v>
      </c>
      <c r="P203" t="s">
        <v>947</v>
      </c>
      <c r="Q203">
        <v>143791.27776666667</v>
      </c>
      <c r="R203" s="9"/>
      <c r="S203"/>
      <c r="T203"/>
      <c r="U203" s="8"/>
    </row>
    <row r="204" spans="1:21" x14ac:dyDescent="0.25">
      <c r="A204">
        <v>343</v>
      </c>
      <c r="B204" t="s">
        <v>514</v>
      </c>
      <c r="C204">
        <v>0</v>
      </c>
      <c r="D204" t="s">
        <v>338</v>
      </c>
      <c r="E204" t="s">
        <v>84</v>
      </c>
      <c r="F204" t="s">
        <v>92</v>
      </c>
      <c r="G204">
        <v>50780</v>
      </c>
      <c r="O204" t="s">
        <v>947</v>
      </c>
      <c r="P204" t="s">
        <v>947</v>
      </c>
      <c r="Q204">
        <v>52585</v>
      </c>
      <c r="R204" s="9"/>
      <c r="S204"/>
      <c r="T204"/>
      <c r="U204" s="8"/>
    </row>
    <row r="205" spans="1:21" x14ac:dyDescent="0.25">
      <c r="A205">
        <v>343</v>
      </c>
      <c r="B205" t="s">
        <v>514</v>
      </c>
      <c r="C205">
        <v>0</v>
      </c>
      <c r="D205" t="s">
        <v>338</v>
      </c>
      <c r="E205" t="s">
        <v>84</v>
      </c>
      <c r="F205" t="s">
        <v>80</v>
      </c>
      <c r="G205">
        <v>766626.6825</v>
      </c>
      <c r="J205">
        <v>1</v>
      </c>
      <c r="N205">
        <v>1</v>
      </c>
      <c r="O205" t="s">
        <v>947</v>
      </c>
      <c r="P205" t="s">
        <v>947</v>
      </c>
      <c r="Q205">
        <v>825872.91529999999</v>
      </c>
      <c r="R205" s="9"/>
      <c r="S205"/>
      <c r="T205"/>
      <c r="U205" s="8"/>
    </row>
    <row r="206" spans="1:21" x14ac:dyDescent="0.25">
      <c r="A206">
        <v>343</v>
      </c>
      <c r="B206" t="s">
        <v>514</v>
      </c>
      <c r="C206">
        <v>0</v>
      </c>
      <c r="D206" t="s">
        <v>338</v>
      </c>
      <c r="E206" t="s">
        <v>84</v>
      </c>
      <c r="F206" t="s">
        <v>80</v>
      </c>
      <c r="G206">
        <v>942912.96</v>
      </c>
      <c r="O206" t="s">
        <v>947</v>
      </c>
      <c r="P206" t="s">
        <v>947</v>
      </c>
      <c r="Q206">
        <v>825872.91529999999</v>
      </c>
      <c r="R206" s="9"/>
      <c r="S206"/>
      <c r="T206"/>
      <c r="U206" s="8"/>
    </row>
    <row r="207" spans="1:21" x14ac:dyDescent="0.25">
      <c r="A207">
        <v>343</v>
      </c>
      <c r="B207" t="s">
        <v>514</v>
      </c>
      <c r="C207">
        <v>0</v>
      </c>
      <c r="D207" t="s">
        <v>338</v>
      </c>
      <c r="E207" t="s">
        <v>84</v>
      </c>
      <c r="F207" t="s">
        <v>106</v>
      </c>
      <c r="G207">
        <v>11107.275</v>
      </c>
      <c r="J207">
        <v>1</v>
      </c>
      <c r="N207">
        <v>1</v>
      </c>
      <c r="O207" t="s">
        <v>947</v>
      </c>
      <c r="P207" t="s">
        <v>947</v>
      </c>
      <c r="Q207">
        <v>7738.3308333333334</v>
      </c>
      <c r="R207" s="9"/>
      <c r="S207"/>
      <c r="T207"/>
      <c r="U207" s="8"/>
    </row>
    <row r="208" spans="1:21" x14ac:dyDescent="0.25">
      <c r="A208">
        <v>343</v>
      </c>
      <c r="B208" t="s">
        <v>514</v>
      </c>
      <c r="C208">
        <v>0</v>
      </c>
      <c r="D208" t="s">
        <v>338</v>
      </c>
      <c r="E208" t="s">
        <v>84</v>
      </c>
      <c r="F208" t="s">
        <v>106</v>
      </c>
      <c r="G208">
        <v>4852.54</v>
      </c>
      <c r="O208" t="s">
        <v>947</v>
      </c>
      <c r="P208" t="s">
        <v>947</v>
      </c>
      <c r="Q208">
        <v>7738.3308333333334</v>
      </c>
      <c r="R208" s="9"/>
      <c r="S208"/>
      <c r="T208"/>
      <c r="U208" s="8"/>
    </row>
    <row r="209" spans="1:21" x14ac:dyDescent="0.25">
      <c r="A209">
        <v>343</v>
      </c>
      <c r="B209" t="s">
        <v>514</v>
      </c>
      <c r="C209">
        <v>0</v>
      </c>
      <c r="D209" t="s">
        <v>338</v>
      </c>
      <c r="E209" t="s">
        <v>84</v>
      </c>
      <c r="F209" t="s">
        <v>87</v>
      </c>
      <c r="G209">
        <v>181764.27499999999</v>
      </c>
      <c r="O209" t="s">
        <v>947</v>
      </c>
      <c r="P209" t="s">
        <v>947</v>
      </c>
      <c r="Q209">
        <v>133351.01110999999</v>
      </c>
      <c r="R209" s="9"/>
      <c r="S209"/>
      <c r="T209"/>
      <c r="U209" s="8"/>
    </row>
    <row r="210" spans="1:21" x14ac:dyDescent="0.25">
      <c r="A210">
        <v>344</v>
      </c>
      <c r="B210" t="s">
        <v>533</v>
      </c>
      <c r="C210">
        <v>0</v>
      </c>
      <c r="D210" t="s">
        <v>338</v>
      </c>
      <c r="E210" t="s">
        <v>84</v>
      </c>
      <c r="F210" t="s">
        <v>87</v>
      </c>
      <c r="G210">
        <v>144247.3083</v>
      </c>
      <c r="O210" t="s">
        <v>947</v>
      </c>
      <c r="P210" t="s">
        <v>947</v>
      </c>
      <c r="Q210">
        <v>138920.25</v>
      </c>
      <c r="R210" s="9"/>
      <c r="S210"/>
      <c r="T210"/>
      <c r="U210" s="8"/>
    </row>
    <row r="211" spans="1:21" x14ac:dyDescent="0.25">
      <c r="A211">
        <v>344</v>
      </c>
      <c r="B211" t="s">
        <v>533</v>
      </c>
      <c r="C211">
        <v>0</v>
      </c>
      <c r="D211" t="s">
        <v>338</v>
      </c>
      <c r="E211" t="s">
        <v>84</v>
      </c>
      <c r="F211" t="s">
        <v>87</v>
      </c>
      <c r="G211">
        <v>110892.1917</v>
      </c>
      <c r="O211" t="s">
        <v>947</v>
      </c>
      <c r="P211" t="s">
        <v>947</v>
      </c>
      <c r="Q211">
        <v>138920.25</v>
      </c>
      <c r="R211" s="9"/>
      <c r="S211"/>
      <c r="T211"/>
      <c r="U211" s="8"/>
    </row>
    <row r="212" spans="1:21" x14ac:dyDescent="0.25">
      <c r="A212">
        <v>345</v>
      </c>
      <c r="B212" t="s">
        <v>538</v>
      </c>
      <c r="C212">
        <v>0</v>
      </c>
      <c r="D212" t="s">
        <v>338</v>
      </c>
      <c r="E212" t="s">
        <v>84</v>
      </c>
      <c r="F212" t="s">
        <v>92</v>
      </c>
      <c r="G212">
        <v>13050</v>
      </c>
      <c r="O212" t="s">
        <v>947</v>
      </c>
      <c r="P212" t="s">
        <v>947</v>
      </c>
      <c r="Q212">
        <v>28613.333333333336</v>
      </c>
      <c r="R212" s="9"/>
      <c r="S212"/>
      <c r="T212"/>
      <c r="U212" s="8"/>
    </row>
    <row r="213" spans="1:21" x14ac:dyDescent="0.25">
      <c r="A213">
        <v>345</v>
      </c>
      <c r="B213" t="s">
        <v>538</v>
      </c>
      <c r="C213">
        <v>0</v>
      </c>
      <c r="D213" t="s">
        <v>338</v>
      </c>
      <c r="E213" t="s">
        <v>84</v>
      </c>
      <c r="F213" t="s">
        <v>92</v>
      </c>
      <c r="G213">
        <v>45550</v>
      </c>
      <c r="M213">
        <v>1</v>
      </c>
      <c r="O213" t="s">
        <v>947</v>
      </c>
      <c r="P213" t="s">
        <v>947</v>
      </c>
      <c r="Q213">
        <v>28613.333333333336</v>
      </c>
      <c r="R213" s="9"/>
      <c r="S213"/>
      <c r="T213"/>
      <c r="U213" s="8"/>
    </row>
    <row r="214" spans="1:21" x14ac:dyDescent="0.25">
      <c r="A214">
        <v>345</v>
      </c>
      <c r="B214" t="s">
        <v>538</v>
      </c>
      <c r="C214">
        <v>0</v>
      </c>
      <c r="D214" t="s">
        <v>338</v>
      </c>
      <c r="E214" t="s">
        <v>84</v>
      </c>
      <c r="F214" t="s">
        <v>98</v>
      </c>
      <c r="G214">
        <v>33450</v>
      </c>
      <c r="O214" t="s">
        <v>947</v>
      </c>
      <c r="P214" t="s">
        <v>947</v>
      </c>
      <c r="Q214">
        <v>23825</v>
      </c>
      <c r="R214" s="9"/>
      <c r="S214"/>
      <c r="T214"/>
      <c r="U214" s="8"/>
    </row>
    <row r="215" spans="1:21" x14ac:dyDescent="0.25">
      <c r="A215">
        <v>345</v>
      </c>
      <c r="B215" t="s">
        <v>538</v>
      </c>
      <c r="C215">
        <v>0</v>
      </c>
      <c r="D215" t="s">
        <v>338</v>
      </c>
      <c r="E215" t="s">
        <v>84</v>
      </c>
      <c r="F215" t="s">
        <v>87</v>
      </c>
      <c r="G215">
        <v>108523.39169999999</v>
      </c>
      <c r="N215">
        <v>1</v>
      </c>
      <c r="O215" t="s">
        <v>947</v>
      </c>
      <c r="P215" t="s">
        <v>947</v>
      </c>
      <c r="Q215">
        <v>127258.57084999999</v>
      </c>
      <c r="R215" s="9"/>
      <c r="S215"/>
      <c r="T215"/>
      <c r="U215" s="8"/>
    </row>
    <row r="216" spans="1:21" x14ac:dyDescent="0.25">
      <c r="A216">
        <v>345</v>
      </c>
      <c r="B216" t="s">
        <v>538</v>
      </c>
      <c r="C216">
        <v>0</v>
      </c>
      <c r="D216" t="s">
        <v>552</v>
      </c>
      <c r="E216" t="s">
        <v>84</v>
      </c>
      <c r="F216" t="s">
        <v>106</v>
      </c>
      <c r="G216">
        <v>6845.5474999999997</v>
      </c>
      <c r="M216">
        <v>1</v>
      </c>
      <c r="O216" t="s">
        <v>947</v>
      </c>
      <c r="P216" t="s">
        <v>947</v>
      </c>
      <c r="Q216">
        <v>8098.07</v>
      </c>
      <c r="R216" s="9"/>
      <c r="S216"/>
      <c r="T216"/>
      <c r="U216" s="8"/>
    </row>
    <row r="217" spans="1:21" x14ac:dyDescent="0.25">
      <c r="A217">
        <v>345</v>
      </c>
      <c r="B217" t="s">
        <v>538</v>
      </c>
      <c r="C217">
        <v>0</v>
      </c>
      <c r="D217" t="s">
        <v>552</v>
      </c>
      <c r="E217" t="s">
        <v>84</v>
      </c>
      <c r="F217" t="s">
        <v>80</v>
      </c>
      <c r="G217">
        <v>654254.38</v>
      </c>
      <c r="M217">
        <v>1</v>
      </c>
      <c r="O217" t="s">
        <v>947</v>
      </c>
      <c r="P217" t="s">
        <v>947</v>
      </c>
      <c r="Q217">
        <v>775087.81499999994</v>
      </c>
      <c r="R217" s="9"/>
      <c r="S217"/>
      <c r="T217"/>
      <c r="U217" s="8"/>
    </row>
    <row r="218" spans="1:21" x14ac:dyDescent="0.25">
      <c r="A218">
        <v>347</v>
      </c>
      <c r="B218" t="s">
        <v>556</v>
      </c>
      <c r="C218">
        <v>0</v>
      </c>
      <c r="D218" t="s">
        <v>552</v>
      </c>
      <c r="E218" t="s">
        <v>84</v>
      </c>
      <c r="F218" t="s">
        <v>185</v>
      </c>
      <c r="G218">
        <v>15439.9</v>
      </c>
      <c r="O218" t="s">
        <v>947</v>
      </c>
      <c r="P218" t="s">
        <v>947</v>
      </c>
      <c r="Q218">
        <v>16175.133333333333</v>
      </c>
      <c r="R218" s="9"/>
      <c r="S218"/>
      <c r="T218"/>
      <c r="U218" s="8"/>
    </row>
    <row r="219" spans="1:21" x14ac:dyDescent="0.25">
      <c r="A219">
        <v>347</v>
      </c>
      <c r="B219" t="s">
        <v>556</v>
      </c>
      <c r="C219">
        <v>0</v>
      </c>
      <c r="D219" t="s">
        <v>552</v>
      </c>
      <c r="E219" t="s">
        <v>84</v>
      </c>
      <c r="F219" t="s">
        <v>185</v>
      </c>
      <c r="G219">
        <v>19536.2</v>
      </c>
      <c r="O219" t="s">
        <v>947</v>
      </c>
      <c r="P219" t="s">
        <v>947</v>
      </c>
      <c r="Q219">
        <v>16175.133333333333</v>
      </c>
      <c r="R219" s="9"/>
      <c r="S219"/>
      <c r="T219"/>
      <c r="U219" s="8"/>
    </row>
    <row r="220" spans="1:21" x14ac:dyDescent="0.25">
      <c r="A220">
        <v>347</v>
      </c>
      <c r="B220" t="s">
        <v>556</v>
      </c>
      <c r="C220">
        <v>0</v>
      </c>
      <c r="D220" t="s">
        <v>552</v>
      </c>
      <c r="E220" t="s">
        <v>84</v>
      </c>
      <c r="F220" t="s">
        <v>98</v>
      </c>
      <c r="G220">
        <v>23350</v>
      </c>
      <c r="M220">
        <v>1</v>
      </c>
      <c r="O220" t="s">
        <v>947</v>
      </c>
      <c r="P220" t="s">
        <v>947</v>
      </c>
      <c r="Q220">
        <v>30133.333333333332</v>
      </c>
      <c r="R220" s="9"/>
      <c r="S220"/>
      <c r="T220"/>
      <c r="U220" s="8"/>
    </row>
    <row r="221" spans="1:21" x14ac:dyDescent="0.25">
      <c r="A221">
        <v>347</v>
      </c>
      <c r="B221" t="s">
        <v>556</v>
      </c>
      <c r="C221">
        <v>0</v>
      </c>
      <c r="D221" t="s">
        <v>552</v>
      </c>
      <c r="E221" t="s">
        <v>84</v>
      </c>
      <c r="F221" t="s">
        <v>87</v>
      </c>
      <c r="G221">
        <v>99179.791670000006</v>
      </c>
      <c r="O221" t="s">
        <v>947</v>
      </c>
      <c r="P221" t="s">
        <v>947</v>
      </c>
      <c r="Q221">
        <v>87986.9375</v>
      </c>
      <c r="R221" s="9"/>
      <c r="S221"/>
      <c r="T221"/>
      <c r="U221" s="8"/>
    </row>
    <row r="222" spans="1:21" x14ac:dyDescent="0.25">
      <c r="A222">
        <v>347</v>
      </c>
      <c r="B222" t="s">
        <v>556</v>
      </c>
      <c r="C222">
        <v>0</v>
      </c>
      <c r="D222" t="s">
        <v>552</v>
      </c>
      <c r="E222" t="s">
        <v>84</v>
      </c>
      <c r="F222" t="s">
        <v>110</v>
      </c>
      <c r="G222">
        <v>12065</v>
      </c>
      <c r="O222" t="s">
        <v>947</v>
      </c>
      <c r="P222" t="s">
        <v>947</v>
      </c>
      <c r="Q222">
        <v>14816.666666666666</v>
      </c>
      <c r="R222" s="9"/>
      <c r="S222"/>
      <c r="T222"/>
      <c r="U222" s="8"/>
    </row>
    <row r="223" spans="1:21" x14ac:dyDescent="0.25">
      <c r="A223">
        <v>347</v>
      </c>
      <c r="B223" t="s">
        <v>556</v>
      </c>
      <c r="C223">
        <v>0</v>
      </c>
      <c r="D223" t="s">
        <v>552</v>
      </c>
      <c r="E223" t="s">
        <v>84</v>
      </c>
      <c r="F223" t="s">
        <v>110</v>
      </c>
      <c r="G223">
        <v>14097</v>
      </c>
      <c r="O223" t="s">
        <v>947</v>
      </c>
      <c r="P223" t="s">
        <v>947</v>
      </c>
      <c r="Q223">
        <v>14816.666666666666</v>
      </c>
      <c r="R223" s="9"/>
      <c r="S223"/>
      <c r="T223"/>
      <c r="U223" s="8"/>
    </row>
    <row r="224" spans="1:21" x14ac:dyDescent="0.25">
      <c r="A224">
        <v>347</v>
      </c>
      <c r="B224" t="s">
        <v>556</v>
      </c>
      <c r="C224">
        <v>0</v>
      </c>
      <c r="D224" t="s">
        <v>552</v>
      </c>
      <c r="E224" t="s">
        <v>84</v>
      </c>
      <c r="F224" t="s">
        <v>106</v>
      </c>
      <c r="G224">
        <v>10083.200000000001</v>
      </c>
      <c r="O224" t="s">
        <v>947</v>
      </c>
      <c r="P224" t="s">
        <v>947</v>
      </c>
      <c r="Q224">
        <v>7780.3441666666668</v>
      </c>
      <c r="R224" s="9"/>
      <c r="S224"/>
      <c r="T224"/>
      <c r="U224" s="8"/>
    </row>
    <row r="225" spans="1:21" x14ac:dyDescent="0.25">
      <c r="A225">
        <v>347</v>
      </c>
      <c r="B225" t="s">
        <v>556</v>
      </c>
      <c r="C225">
        <v>0</v>
      </c>
      <c r="D225" t="s">
        <v>552</v>
      </c>
      <c r="E225" t="s">
        <v>84</v>
      </c>
      <c r="F225" t="s">
        <v>106</v>
      </c>
      <c r="G225">
        <v>4521.6850000000004</v>
      </c>
      <c r="O225" t="s">
        <v>947</v>
      </c>
      <c r="P225" t="s">
        <v>947</v>
      </c>
      <c r="Q225">
        <v>7780.3441666666668</v>
      </c>
      <c r="R225" s="9"/>
      <c r="S225"/>
      <c r="T225"/>
      <c r="U225" s="8"/>
    </row>
    <row r="226" spans="1:21" x14ac:dyDescent="0.25">
      <c r="A226">
        <v>347</v>
      </c>
      <c r="B226" t="s">
        <v>556</v>
      </c>
      <c r="C226">
        <v>0</v>
      </c>
      <c r="D226" t="s">
        <v>552</v>
      </c>
      <c r="E226" t="s">
        <v>84</v>
      </c>
      <c r="F226" t="s">
        <v>80</v>
      </c>
      <c r="G226">
        <v>891654.0625</v>
      </c>
      <c r="O226" t="s">
        <v>947</v>
      </c>
      <c r="P226" t="s">
        <v>947</v>
      </c>
      <c r="Q226">
        <v>834064.01939999999</v>
      </c>
      <c r="R226" s="9"/>
      <c r="S226"/>
      <c r="T226"/>
      <c r="U226" s="8"/>
    </row>
    <row r="227" spans="1:21" x14ac:dyDescent="0.25">
      <c r="A227">
        <v>347</v>
      </c>
      <c r="B227" t="s">
        <v>556</v>
      </c>
      <c r="C227">
        <v>0</v>
      </c>
      <c r="D227" t="s">
        <v>552</v>
      </c>
      <c r="E227" t="s">
        <v>84</v>
      </c>
      <c r="F227" t="s">
        <v>80</v>
      </c>
      <c r="G227">
        <v>804946.53319999995</v>
      </c>
      <c r="O227" t="s">
        <v>947</v>
      </c>
      <c r="P227" t="s">
        <v>947</v>
      </c>
      <c r="Q227">
        <v>834064.01939999999</v>
      </c>
      <c r="R227" s="9"/>
      <c r="S227"/>
      <c r="T227"/>
      <c r="U227" s="8"/>
    </row>
    <row r="228" spans="1:21" x14ac:dyDescent="0.25">
      <c r="A228">
        <v>350</v>
      </c>
      <c r="B228" t="s">
        <v>584</v>
      </c>
      <c r="C228">
        <v>0</v>
      </c>
      <c r="D228" t="s">
        <v>552</v>
      </c>
      <c r="E228" t="s">
        <v>84</v>
      </c>
      <c r="F228" t="s">
        <v>92</v>
      </c>
      <c r="G228">
        <v>46800</v>
      </c>
      <c r="O228" t="s">
        <v>947</v>
      </c>
      <c r="P228" t="s">
        <v>947</v>
      </c>
      <c r="Q228">
        <v>38485</v>
      </c>
      <c r="R228" s="9"/>
      <c r="S228"/>
      <c r="T228"/>
      <c r="U228" s="8"/>
    </row>
    <row r="229" spans="1:21" x14ac:dyDescent="0.25">
      <c r="A229">
        <v>350</v>
      </c>
      <c r="B229" t="s">
        <v>584</v>
      </c>
      <c r="C229">
        <v>0</v>
      </c>
      <c r="D229" t="s">
        <v>552</v>
      </c>
      <c r="E229" t="s">
        <v>84</v>
      </c>
      <c r="F229" t="s">
        <v>80</v>
      </c>
      <c r="G229">
        <v>767907.3125</v>
      </c>
      <c r="J229">
        <v>1</v>
      </c>
      <c r="O229" t="s">
        <v>947</v>
      </c>
      <c r="P229" t="s">
        <v>947</v>
      </c>
      <c r="Q229">
        <v>831311.73625000007</v>
      </c>
      <c r="R229" s="9"/>
      <c r="S229"/>
      <c r="T229"/>
      <c r="U229" s="8"/>
    </row>
    <row r="230" spans="1:21" x14ac:dyDescent="0.25">
      <c r="A230">
        <v>350</v>
      </c>
      <c r="B230" t="s">
        <v>584</v>
      </c>
      <c r="C230">
        <v>0</v>
      </c>
      <c r="D230" t="s">
        <v>552</v>
      </c>
      <c r="E230" t="s">
        <v>84</v>
      </c>
      <c r="F230" t="s">
        <v>98</v>
      </c>
      <c r="G230">
        <v>22000</v>
      </c>
      <c r="M230">
        <v>1</v>
      </c>
      <c r="O230" t="s">
        <v>947</v>
      </c>
      <c r="P230" t="s">
        <v>947</v>
      </c>
      <c r="Q230">
        <v>23066.666666666668</v>
      </c>
      <c r="R230" s="9"/>
      <c r="S230"/>
      <c r="T230"/>
      <c r="U230" s="8"/>
    </row>
    <row r="231" spans="1:21" x14ac:dyDescent="0.25">
      <c r="A231">
        <v>350</v>
      </c>
      <c r="B231" t="s">
        <v>584</v>
      </c>
      <c r="C231">
        <v>0</v>
      </c>
      <c r="D231" t="s">
        <v>552</v>
      </c>
      <c r="E231" t="s">
        <v>84</v>
      </c>
      <c r="F231" t="s">
        <v>106</v>
      </c>
      <c r="G231">
        <v>13147.547500000001</v>
      </c>
      <c r="J231">
        <v>1</v>
      </c>
      <c r="O231" t="s">
        <v>947</v>
      </c>
      <c r="P231" t="s">
        <v>947</v>
      </c>
      <c r="Q231">
        <v>9449.0612500000007</v>
      </c>
      <c r="R231" s="9"/>
      <c r="S231"/>
      <c r="T231"/>
      <c r="U231" s="8"/>
    </row>
    <row r="232" spans="1:21" x14ac:dyDescent="0.25">
      <c r="A232">
        <v>350</v>
      </c>
      <c r="B232" t="s">
        <v>584</v>
      </c>
      <c r="C232">
        <v>0</v>
      </c>
      <c r="D232" t="s">
        <v>552</v>
      </c>
      <c r="E232" t="s">
        <v>84</v>
      </c>
      <c r="F232" t="s">
        <v>110</v>
      </c>
      <c r="G232">
        <v>7680</v>
      </c>
      <c r="J232">
        <v>1</v>
      </c>
      <c r="O232" t="s">
        <v>947</v>
      </c>
      <c r="P232" t="s">
        <v>947</v>
      </c>
      <c r="Q232">
        <v>13794</v>
      </c>
      <c r="R232" s="9"/>
      <c r="S232"/>
      <c r="T232"/>
      <c r="U232" s="8"/>
    </row>
    <row r="233" spans="1:21" x14ac:dyDescent="0.25">
      <c r="A233">
        <v>350</v>
      </c>
      <c r="B233" t="s">
        <v>584</v>
      </c>
      <c r="C233">
        <v>0</v>
      </c>
      <c r="D233" t="s">
        <v>552</v>
      </c>
      <c r="E233" t="s">
        <v>84</v>
      </c>
      <c r="F233" t="s">
        <v>185</v>
      </c>
      <c r="G233">
        <v>19299.875</v>
      </c>
      <c r="J233">
        <v>1</v>
      </c>
      <c r="O233" t="s">
        <v>947</v>
      </c>
      <c r="P233" t="s">
        <v>947</v>
      </c>
      <c r="Q233">
        <v>20323.95</v>
      </c>
      <c r="R233" s="9"/>
      <c r="S233"/>
      <c r="T233"/>
      <c r="U233" s="8"/>
    </row>
    <row r="234" spans="1:21" x14ac:dyDescent="0.25">
      <c r="A234">
        <v>356</v>
      </c>
      <c r="B234" t="s">
        <v>607</v>
      </c>
      <c r="C234">
        <v>0</v>
      </c>
      <c r="D234" t="s">
        <v>552</v>
      </c>
      <c r="E234" t="s">
        <v>84</v>
      </c>
      <c r="F234" t="s">
        <v>98</v>
      </c>
      <c r="G234">
        <v>29750</v>
      </c>
      <c r="O234" t="s">
        <v>947</v>
      </c>
      <c r="P234" t="s">
        <v>947</v>
      </c>
      <c r="Q234">
        <v>36666.666666666664</v>
      </c>
      <c r="R234" s="9"/>
      <c r="S234"/>
      <c r="T234"/>
      <c r="U234" s="8"/>
    </row>
    <row r="235" spans="1:21" x14ac:dyDescent="0.25">
      <c r="A235">
        <v>356</v>
      </c>
      <c r="B235" t="s">
        <v>607</v>
      </c>
      <c r="C235">
        <v>0</v>
      </c>
      <c r="D235" t="s">
        <v>552</v>
      </c>
      <c r="E235" t="s">
        <v>84</v>
      </c>
      <c r="F235" t="s">
        <v>98</v>
      </c>
      <c r="G235">
        <v>16600</v>
      </c>
      <c r="M235">
        <v>1</v>
      </c>
      <c r="O235" t="s">
        <v>947</v>
      </c>
      <c r="P235" t="s">
        <v>947</v>
      </c>
      <c r="Q235">
        <v>36666.666666666664</v>
      </c>
      <c r="R235" s="9"/>
      <c r="S235"/>
      <c r="T235"/>
      <c r="U235" s="8"/>
    </row>
    <row r="236" spans="1:21" x14ac:dyDescent="0.25">
      <c r="A236">
        <v>356</v>
      </c>
      <c r="B236" t="s">
        <v>607</v>
      </c>
      <c r="C236">
        <v>0</v>
      </c>
      <c r="D236" t="s">
        <v>552</v>
      </c>
      <c r="E236" t="s">
        <v>84</v>
      </c>
      <c r="F236" t="s">
        <v>87</v>
      </c>
      <c r="G236">
        <v>110045.01669999999</v>
      </c>
      <c r="O236" t="s">
        <v>947</v>
      </c>
      <c r="P236" t="s">
        <v>947</v>
      </c>
      <c r="Q236">
        <v>116541.85279999999</v>
      </c>
      <c r="R236" s="9"/>
      <c r="S236"/>
      <c r="T236"/>
      <c r="U236" s="8"/>
    </row>
    <row r="237" spans="1:21" x14ac:dyDescent="0.25">
      <c r="A237">
        <v>356</v>
      </c>
      <c r="B237" t="s">
        <v>607</v>
      </c>
      <c r="C237">
        <v>0</v>
      </c>
      <c r="D237" t="s">
        <v>552</v>
      </c>
      <c r="E237" t="s">
        <v>84</v>
      </c>
      <c r="F237" t="s">
        <v>80</v>
      </c>
      <c r="G237">
        <v>761723.66339999996</v>
      </c>
      <c r="O237" t="s">
        <v>947</v>
      </c>
      <c r="P237" t="s">
        <v>947</v>
      </c>
      <c r="Q237">
        <v>729332.05169999995</v>
      </c>
      <c r="R237" s="9"/>
      <c r="S237"/>
      <c r="T237"/>
      <c r="U237" s="8"/>
    </row>
    <row r="238" spans="1:21" x14ac:dyDescent="0.25">
      <c r="A238">
        <v>358</v>
      </c>
      <c r="B238" t="s">
        <v>630</v>
      </c>
      <c r="C238">
        <v>0</v>
      </c>
      <c r="D238" t="s">
        <v>552</v>
      </c>
      <c r="E238" t="s">
        <v>84</v>
      </c>
      <c r="F238" t="s">
        <v>92</v>
      </c>
      <c r="G238">
        <v>27090</v>
      </c>
      <c r="O238" t="s">
        <v>947</v>
      </c>
      <c r="P238" t="s">
        <v>947</v>
      </c>
      <c r="Q238">
        <v>29100</v>
      </c>
      <c r="R238" s="9"/>
      <c r="S238"/>
      <c r="T238"/>
      <c r="U238" s="8"/>
    </row>
    <row r="239" spans="1:21" x14ac:dyDescent="0.25">
      <c r="A239">
        <v>358</v>
      </c>
      <c r="B239" t="s">
        <v>630</v>
      </c>
      <c r="C239">
        <v>0</v>
      </c>
      <c r="D239" t="s">
        <v>552</v>
      </c>
      <c r="E239" t="s">
        <v>84</v>
      </c>
      <c r="F239" t="s">
        <v>98</v>
      </c>
      <c r="G239">
        <v>34400</v>
      </c>
      <c r="M239">
        <v>1</v>
      </c>
      <c r="O239" t="s">
        <v>947</v>
      </c>
      <c r="P239" t="s">
        <v>947</v>
      </c>
      <c r="Q239">
        <v>30216.666666666668</v>
      </c>
      <c r="R239" s="9"/>
      <c r="S239"/>
      <c r="T239"/>
      <c r="U239" s="8"/>
    </row>
    <row r="240" spans="1:21" x14ac:dyDescent="0.25">
      <c r="A240">
        <v>358</v>
      </c>
      <c r="B240" t="s">
        <v>630</v>
      </c>
      <c r="C240">
        <v>0</v>
      </c>
      <c r="D240" t="s">
        <v>552</v>
      </c>
      <c r="E240" t="s">
        <v>84</v>
      </c>
      <c r="F240" t="s">
        <v>98</v>
      </c>
      <c r="G240">
        <v>21250</v>
      </c>
      <c r="O240" t="s">
        <v>947</v>
      </c>
      <c r="P240" t="s">
        <v>947</v>
      </c>
      <c r="Q240">
        <v>30216.666666666668</v>
      </c>
      <c r="R240" s="9"/>
      <c r="S240"/>
      <c r="T240"/>
      <c r="U240" s="8"/>
    </row>
    <row r="241" spans="1:21" x14ac:dyDescent="0.25">
      <c r="A241">
        <v>358</v>
      </c>
      <c r="B241" t="s">
        <v>630</v>
      </c>
      <c r="C241">
        <v>0</v>
      </c>
      <c r="D241" t="s">
        <v>552</v>
      </c>
      <c r="E241" t="s">
        <v>84</v>
      </c>
      <c r="F241" t="s">
        <v>87</v>
      </c>
      <c r="G241">
        <v>101570.52499999999</v>
      </c>
      <c r="M241">
        <v>1</v>
      </c>
      <c r="N241">
        <v>1</v>
      </c>
      <c r="O241" t="s">
        <v>947</v>
      </c>
      <c r="P241" t="s">
        <v>947</v>
      </c>
      <c r="Q241">
        <v>109087.2611</v>
      </c>
      <c r="R241" s="9"/>
      <c r="S241"/>
      <c r="T241"/>
      <c r="U241" s="8"/>
    </row>
    <row r="242" spans="1:21" x14ac:dyDescent="0.25">
      <c r="A242">
        <v>358</v>
      </c>
      <c r="B242" t="s">
        <v>630</v>
      </c>
      <c r="C242">
        <v>0</v>
      </c>
      <c r="D242" t="s">
        <v>552</v>
      </c>
      <c r="E242" t="s">
        <v>84</v>
      </c>
      <c r="F242" t="s">
        <v>87</v>
      </c>
      <c r="G242">
        <v>115698.3333</v>
      </c>
      <c r="N242">
        <v>1</v>
      </c>
      <c r="O242" t="s">
        <v>947</v>
      </c>
      <c r="P242" t="s">
        <v>947</v>
      </c>
      <c r="Q242">
        <v>109087.2611</v>
      </c>
      <c r="R242" s="9"/>
      <c r="S242"/>
      <c r="T242"/>
      <c r="U242" s="8"/>
    </row>
    <row r="243" spans="1:21" x14ac:dyDescent="0.25">
      <c r="A243">
        <v>358</v>
      </c>
      <c r="B243" t="s">
        <v>630</v>
      </c>
      <c r="C243">
        <v>0</v>
      </c>
      <c r="D243" t="s">
        <v>552</v>
      </c>
      <c r="E243" t="s">
        <v>84</v>
      </c>
      <c r="F243" t="s">
        <v>80</v>
      </c>
      <c r="G243">
        <v>797565.82929999998</v>
      </c>
      <c r="O243" t="s">
        <v>947</v>
      </c>
      <c r="P243" t="s">
        <v>947</v>
      </c>
      <c r="Q243">
        <v>801505.2209666667</v>
      </c>
      <c r="R243" s="9"/>
      <c r="S243"/>
      <c r="T243"/>
      <c r="U243" s="8"/>
    </row>
    <row r="244" spans="1:21" x14ac:dyDescent="0.25">
      <c r="A244">
        <v>358</v>
      </c>
      <c r="B244" t="s">
        <v>630</v>
      </c>
      <c r="C244">
        <v>0</v>
      </c>
      <c r="D244" t="s">
        <v>552</v>
      </c>
      <c r="E244" t="s">
        <v>84</v>
      </c>
      <c r="F244" t="s">
        <v>80</v>
      </c>
      <c r="G244">
        <v>808227.59360000002</v>
      </c>
      <c r="O244" t="s">
        <v>947</v>
      </c>
      <c r="P244" t="s">
        <v>947</v>
      </c>
      <c r="Q244">
        <v>801505.2209666667</v>
      </c>
      <c r="R244" s="9"/>
      <c r="S244"/>
      <c r="T244"/>
      <c r="U244" s="8"/>
    </row>
    <row r="245" spans="1:21" x14ac:dyDescent="0.25">
      <c r="A245">
        <v>361</v>
      </c>
      <c r="B245" t="s">
        <v>647</v>
      </c>
      <c r="C245">
        <v>0</v>
      </c>
      <c r="D245" t="s">
        <v>552</v>
      </c>
      <c r="E245" t="s">
        <v>84</v>
      </c>
      <c r="F245" t="s">
        <v>92</v>
      </c>
      <c r="G245">
        <v>38480</v>
      </c>
      <c r="J245">
        <v>1</v>
      </c>
      <c r="O245" t="s">
        <v>947</v>
      </c>
      <c r="P245" t="s">
        <v>947</v>
      </c>
      <c r="Q245">
        <v>48485</v>
      </c>
      <c r="R245" s="9"/>
      <c r="S245"/>
      <c r="T245"/>
      <c r="U245" s="8"/>
    </row>
    <row r="246" spans="1:21" x14ac:dyDescent="0.25">
      <c r="A246">
        <v>361</v>
      </c>
      <c r="B246" t="s">
        <v>647</v>
      </c>
      <c r="C246">
        <v>0</v>
      </c>
      <c r="D246" t="s">
        <v>552</v>
      </c>
      <c r="E246" t="s">
        <v>84</v>
      </c>
      <c r="F246" t="s">
        <v>98</v>
      </c>
      <c r="G246">
        <v>22650</v>
      </c>
      <c r="M246">
        <v>1</v>
      </c>
      <c r="O246" t="s">
        <v>947</v>
      </c>
      <c r="P246" t="s">
        <v>947</v>
      </c>
      <c r="Q246">
        <v>29333.333333333332</v>
      </c>
      <c r="R246" s="9"/>
      <c r="S246"/>
      <c r="T246"/>
      <c r="U246" s="8"/>
    </row>
    <row r="247" spans="1:21" x14ac:dyDescent="0.25">
      <c r="A247">
        <v>361</v>
      </c>
      <c r="B247" t="s">
        <v>647</v>
      </c>
      <c r="C247">
        <v>0</v>
      </c>
      <c r="D247" t="s">
        <v>552</v>
      </c>
      <c r="E247" t="s">
        <v>84</v>
      </c>
      <c r="F247" t="s">
        <v>87</v>
      </c>
      <c r="G247">
        <v>127967.2917</v>
      </c>
      <c r="O247" t="s">
        <v>947</v>
      </c>
      <c r="P247" t="s">
        <v>947</v>
      </c>
      <c r="Q247">
        <v>128325.07920000001</v>
      </c>
      <c r="R247" s="9"/>
      <c r="S247"/>
      <c r="T247"/>
      <c r="U247" s="8"/>
    </row>
    <row r="248" spans="1:21" x14ac:dyDescent="0.25">
      <c r="A248">
        <v>361</v>
      </c>
      <c r="B248" t="s">
        <v>647</v>
      </c>
      <c r="C248">
        <v>0</v>
      </c>
      <c r="D248" t="s">
        <v>552</v>
      </c>
      <c r="E248" t="s">
        <v>84</v>
      </c>
      <c r="F248" t="s">
        <v>80</v>
      </c>
      <c r="G248">
        <v>921879.46180000005</v>
      </c>
      <c r="O248" t="s">
        <v>947</v>
      </c>
      <c r="P248" t="s">
        <v>947</v>
      </c>
      <c r="Q248">
        <v>752620.27560000005</v>
      </c>
      <c r="R248" s="9"/>
      <c r="S248"/>
      <c r="T248"/>
      <c r="U248" s="8"/>
    </row>
    <row r="249" spans="1:21" x14ac:dyDescent="0.25">
      <c r="A249">
        <v>361</v>
      </c>
      <c r="B249" t="s">
        <v>647</v>
      </c>
      <c r="C249">
        <v>0</v>
      </c>
      <c r="D249" t="s">
        <v>552</v>
      </c>
      <c r="E249" t="s">
        <v>84</v>
      </c>
      <c r="F249" t="s">
        <v>80</v>
      </c>
      <c r="G249">
        <v>664739.125</v>
      </c>
      <c r="M249">
        <v>1</v>
      </c>
      <c r="O249" t="s">
        <v>947</v>
      </c>
      <c r="P249" t="s">
        <v>947</v>
      </c>
      <c r="Q249">
        <v>752620.27560000005</v>
      </c>
      <c r="R249" s="9"/>
      <c r="S249"/>
      <c r="T249"/>
      <c r="U249" s="8"/>
    </row>
    <row r="250" spans="1:21" x14ac:dyDescent="0.25">
      <c r="A250">
        <v>362</v>
      </c>
      <c r="B250" t="s">
        <v>666</v>
      </c>
      <c r="C250">
        <v>0</v>
      </c>
      <c r="D250" t="s">
        <v>552</v>
      </c>
      <c r="E250" t="s">
        <v>84</v>
      </c>
      <c r="F250" t="s">
        <v>98</v>
      </c>
      <c r="G250">
        <v>32950</v>
      </c>
      <c r="O250" t="s">
        <v>947</v>
      </c>
      <c r="P250" t="s">
        <v>947</v>
      </c>
      <c r="Q250">
        <v>27483.333333333332</v>
      </c>
      <c r="R250" s="9"/>
      <c r="S250"/>
      <c r="T250"/>
      <c r="U250" s="8"/>
    </row>
    <row r="251" spans="1:21" x14ac:dyDescent="0.25">
      <c r="A251">
        <v>362</v>
      </c>
      <c r="B251" t="s">
        <v>666</v>
      </c>
      <c r="C251">
        <v>0</v>
      </c>
      <c r="D251" t="s">
        <v>552</v>
      </c>
      <c r="E251" t="s">
        <v>84</v>
      </c>
      <c r="F251" t="s">
        <v>80</v>
      </c>
      <c r="G251">
        <v>718279.31240000005</v>
      </c>
      <c r="O251" t="s">
        <v>947</v>
      </c>
      <c r="P251" t="s">
        <v>947</v>
      </c>
      <c r="Q251">
        <v>815339.00746666675</v>
      </c>
      <c r="R251" s="9"/>
      <c r="S251"/>
      <c r="T251"/>
      <c r="U251" s="8"/>
    </row>
    <row r="252" spans="1:21" x14ac:dyDescent="0.25">
      <c r="A252">
        <v>362</v>
      </c>
      <c r="B252" t="s">
        <v>666</v>
      </c>
      <c r="C252">
        <v>0</v>
      </c>
      <c r="D252" t="s">
        <v>552</v>
      </c>
      <c r="E252" t="s">
        <v>84</v>
      </c>
      <c r="F252" t="s">
        <v>80</v>
      </c>
      <c r="G252">
        <v>939807.3</v>
      </c>
      <c r="O252" t="s">
        <v>947</v>
      </c>
      <c r="P252" t="s">
        <v>947</v>
      </c>
      <c r="Q252">
        <v>815339.00746666675</v>
      </c>
      <c r="R252" s="9"/>
      <c r="S252"/>
      <c r="T252"/>
      <c r="U252" s="8"/>
    </row>
    <row r="253" spans="1:21" x14ac:dyDescent="0.25">
      <c r="A253">
        <v>363</v>
      </c>
      <c r="B253" t="s">
        <v>685</v>
      </c>
      <c r="C253">
        <v>0</v>
      </c>
      <c r="D253" t="s">
        <v>552</v>
      </c>
      <c r="E253" t="s">
        <v>84</v>
      </c>
      <c r="F253" t="s">
        <v>92</v>
      </c>
      <c r="G253">
        <v>37810</v>
      </c>
      <c r="O253" t="s">
        <v>947</v>
      </c>
      <c r="P253" t="s">
        <v>947</v>
      </c>
      <c r="Q253">
        <v>39333.333333333336</v>
      </c>
      <c r="R253" s="9"/>
      <c r="S253"/>
      <c r="T253"/>
      <c r="U253" s="8"/>
    </row>
    <row r="254" spans="1:21" x14ac:dyDescent="0.25">
      <c r="A254">
        <v>363</v>
      </c>
      <c r="B254" t="s">
        <v>685</v>
      </c>
      <c r="C254">
        <v>0</v>
      </c>
      <c r="D254" t="s">
        <v>552</v>
      </c>
      <c r="E254" t="s">
        <v>84</v>
      </c>
      <c r="F254" t="s">
        <v>98</v>
      </c>
      <c r="G254">
        <v>21400</v>
      </c>
      <c r="M254">
        <v>1</v>
      </c>
      <c r="O254" t="s">
        <v>947</v>
      </c>
      <c r="P254" t="s">
        <v>947</v>
      </c>
      <c r="Q254">
        <v>34116.666666666664</v>
      </c>
      <c r="R254" s="9"/>
      <c r="S254"/>
      <c r="T254"/>
      <c r="U254" s="8"/>
    </row>
    <row r="255" spans="1:21" x14ac:dyDescent="0.25">
      <c r="A255">
        <v>363</v>
      </c>
      <c r="B255" t="s">
        <v>685</v>
      </c>
      <c r="C255">
        <v>0</v>
      </c>
      <c r="D255" t="s">
        <v>552</v>
      </c>
      <c r="E255" t="s">
        <v>84</v>
      </c>
      <c r="F255" t="s">
        <v>87</v>
      </c>
      <c r="G255">
        <v>114637.3083</v>
      </c>
      <c r="O255" t="s">
        <v>947</v>
      </c>
      <c r="P255" t="s">
        <v>947</v>
      </c>
      <c r="Q255">
        <v>100280.11387666667</v>
      </c>
      <c r="R255" s="9"/>
      <c r="S255"/>
      <c r="T255"/>
      <c r="U255" s="8"/>
    </row>
    <row r="256" spans="1:21" x14ac:dyDescent="0.25">
      <c r="A256">
        <v>363</v>
      </c>
      <c r="B256" t="s">
        <v>685</v>
      </c>
      <c r="C256">
        <v>0</v>
      </c>
      <c r="D256" t="s">
        <v>552</v>
      </c>
      <c r="E256" t="s">
        <v>84</v>
      </c>
      <c r="F256" t="s">
        <v>87</v>
      </c>
      <c r="G256">
        <v>101759.7</v>
      </c>
      <c r="O256" t="s">
        <v>947</v>
      </c>
      <c r="P256" t="s">
        <v>947</v>
      </c>
      <c r="Q256">
        <v>100280.11387666667</v>
      </c>
      <c r="R256" s="9"/>
      <c r="S256"/>
      <c r="T256"/>
      <c r="U256" s="8"/>
    </row>
    <row r="257" spans="1:21" x14ac:dyDescent="0.25">
      <c r="A257">
        <v>363</v>
      </c>
      <c r="B257" t="s">
        <v>685</v>
      </c>
      <c r="C257">
        <v>0</v>
      </c>
      <c r="D257" t="s">
        <v>552</v>
      </c>
      <c r="E257" t="s">
        <v>84</v>
      </c>
      <c r="F257" t="s">
        <v>80</v>
      </c>
      <c r="G257">
        <v>873108.54399999999</v>
      </c>
      <c r="J257">
        <v>1</v>
      </c>
      <c r="O257" t="s">
        <v>947</v>
      </c>
      <c r="P257" t="s">
        <v>947</v>
      </c>
      <c r="Q257">
        <v>747040.61526666663</v>
      </c>
      <c r="R257" s="9"/>
      <c r="S257"/>
      <c r="T257"/>
      <c r="U257" s="8"/>
    </row>
    <row r="258" spans="1:21" x14ac:dyDescent="0.25">
      <c r="A258">
        <v>363</v>
      </c>
      <c r="B258" t="s">
        <v>685</v>
      </c>
      <c r="C258">
        <v>0</v>
      </c>
      <c r="D258" t="s">
        <v>552</v>
      </c>
      <c r="E258" t="s">
        <v>84</v>
      </c>
      <c r="F258" t="s">
        <v>106</v>
      </c>
      <c r="G258">
        <v>9098.5125000000007</v>
      </c>
      <c r="J258">
        <v>1</v>
      </c>
      <c r="O258" t="s">
        <v>947</v>
      </c>
      <c r="P258" t="s">
        <v>947</v>
      </c>
      <c r="Q258">
        <v>10621.495833333334</v>
      </c>
      <c r="R258" s="9"/>
      <c r="S258"/>
      <c r="T258"/>
      <c r="U258" s="8"/>
    </row>
    <row r="259" spans="1:21" x14ac:dyDescent="0.25">
      <c r="A259">
        <v>363</v>
      </c>
      <c r="B259" t="s">
        <v>685</v>
      </c>
      <c r="C259">
        <v>0</v>
      </c>
      <c r="D259" t="s">
        <v>552</v>
      </c>
      <c r="E259" t="s">
        <v>84</v>
      </c>
      <c r="F259" t="s">
        <v>110</v>
      </c>
      <c r="G259">
        <v>9250</v>
      </c>
      <c r="J259">
        <v>1</v>
      </c>
      <c r="O259" t="s">
        <v>947</v>
      </c>
      <c r="P259" t="s">
        <v>947</v>
      </c>
      <c r="Q259">
        <v>11143.333333333334</v>
      </c>
      <c r="R259" s="9"/>
      <c r="S259"/>
      <c r="T259"/>
      <c r="U259" s="8"/>
    </row>
    <row r="260" spans="1:21" x14ac:dyDescent="0.25">
      <c r="A260">
        <v>364</v>
      </c>
      <c r="B260" t="s">
        <v>710</v>
      </c>
      <c r="C260">
        <v>0</v>
      </c>
      <c r="D260" t="s">
        <v>552</v>
      </c>
      <c r="E260" t="s">
        <v>84</v>
      </c>
      <c r="F260" t="s">
        <v>92</v>
      </c>
      <c r="G260">
        <v>41680</v>
      </c>
      <c r="O260" t="s">
        <v>947</v>
      </c>
      <c r="P260" t="s">
        <v>947</v>
      </c>
      <c r="Q260">
        <v>37863.333333333336</v>
      </c>
      <c r="R260" s="9"/>
      <c r="S260"/>
      <c r="T260"/>
      <c r="U260" s="8"/>
    </row>
    <row r="261" spans="1:21" x14ac:dyDescent="0.25">
      <c r="A261">
        <v>364</v>
      </c>
      <c r="B261" t="s">
        <v>710</v>
      </c>
      <c r="C261">
        <v>0</v>
      </c>
      <c r="D261" t="s">
        <v>552</v>
      </c>
      <c r="E261" t="s">
        <v>84</v>
      </c>
      <c r="F261" t="s">
        <v>98</v>
      </c>
      <c r="G261">
        <v>26750</v>
      </c>
      <c r="M261">
        <v>1</v>
      </c>
      <c r="O261" t="s">
        <v>947</v>
      </c>
      <c r="P261" t="s">
        <v>947</v>
      </c>
      <c r="Q261">
        <v>31400</v>
      </c>
      <c r="R261" s="9"/>
      <c r="S261"/>
      <c r="T261"/>
      <c r="U261" s="8"/>
    </row>
    <row r="262" spans="1:21" x14ac:dyDescent="0.25">
      <c r="A262">
        <v>364</v>
      </c>
      <c r="B262" t="s">
        <v>710</v>
      </c>
      <c r="C262">
        <v>0</v>
      </c>
      <c r="D262" t="s">
        <v>552</v>
      </c>
      <c r="E262" t="s">
        <v>84</v>
      </c>
      <c r="F262" t="s">
        <v>87</v>
      </c>
      <c r="G262">
        <v>172571.46669999999</v>
      </c>
      <c r="M262">
        <v>1</v>
      </c>
      <c r="N262">
        <v>1</v>
      </c>
      <c r="O262" t="s">
        <v>947</v>
      </c>
      <c r="P262" t="s">
        <v>947</v>
      </c>
      <c r="Q262">
        <v>154258.96113333333</v>
      </c>
      <c r="R262" s="9"/>
      <c r="S262"/>
      <c r="T262"/>
      <c r="U262" s="8"/>
    </row>
    <row r="263" spans="1:21" x14ac:dyDescent="0.25">
      <c r="A263">
        <v>364</v>
      </c>
      <c r="B263" t="s">
        <v>710</v>
      </c>
      <c r="C263">
        <v>0</v>
      </c>
      <c r="D263" t="s">
        <v>552</v>
      </c>
      <c r="E263" t="s">
        <v>84</v>
      </c>
      <c r="F263" t="s">
        <v>110</v>
      </c>
      <c r="G263">
        <v>12750</v>
      </c>
      <c r="J263">
        <v>1</v>
      </c>
      <c r="N263">
        <v>1</v>
      </c>
      <c r="O263" t="s">
        <v>947</v>
      </c>
      <c r="P263" t="s">
        <v>947</v>
      </c>
      <c r="Q263">
        <v>15299.666666666666</v>
      </c>
      <c r="R263" s="9"/>
      <c r="S263"/>
      <c r="T263"/>
      <c r="U263" s="8"/>
    </row>
    <row r="264" spans="1:21" x14ac:dyDescent="0.25">
      <c r="A264">
        <v>364</v>
      </c>
      <c r="B264" t="s">
        <v>710</v>
      </c>
      <c r="C264">
        <v>0</v>
      </c>
      <c r="D264" t="s">
        <v>552</v>
      </c>
      <c r="E264" t="s">
        <v>84</v>
      </c>
      <c r="F264" t="s">
        <v>110</v>
      </c>
      <c r="G264">
        <v>18774</v>
      </c>
      <c r="M264">
        <v>1</v>
      </c>
      <c r="O264" t="s">
        <v>947</v>
      </c>
      <c r="P264" t="s">
        <v>947</v>
      </c>
      <c r="Q264">
        <v>15299.666666666666</v>
      </c>
      <c r="R264" s="9"/>
      <c r="S264"/>
      <c r="T264"/>
      <c r="U264" s="8"/>
    </row>
    <row r="265" spans="1:21" x14ac:dyDescent="0.25">
      <c r="A265">
        <v>364</v>
      </c>
      <c r="B265" t="s">
        <v>710</v>
      </c>
      <c r="C265">
        <v>0</v>
      </c>
      <c r="D265" t="s">
        <v>552</v>
      </c>
      <c r="E265" t="s">
        <v>84</v>
      </c>
      <c r="F265" t="s">
        <v>106</v>
      </c>
      <c r="G265">
        <v>10839.44</v>
      </c>
      <c r="J265">
        <v>1</v>
      </c>
      <c r="N265">
        <v>1</v>
      </c>
      <c r="O265" t="s">
        <v>947</v>
      </c>
      <c r="P265" t="s">
        <v>947</v>
      </c>
      <c r="Q265">
        <v>10064.819166666666</v>
      </c>
      <c r="R265" s="9"/>
      <c r="S265"/>
      <c r="T265"/>
      <c r="U265" s="8"/>
    </row>
    <row r="266" spans="1:21" x14ac:dyDescent="0.25">
      <c r="A266">
        <v>364</v>
      </c>
      <c r="B266" t="s">
        <v>710</v>
      </c>
      <c r="C266">
        <v>0</v>
      </c>
      <c r="D266" t="s">
        <v>552</v>
      </c>
      <c r="E266" t="s">
        <v>84</v>
      </c>
      <c r="F266" t="s">
        <v>106</v>
      </c>
      <c r="G266">
        <v>8428.9249999999993</v>
      </c>
      <c r="M266">
        <v>1</v>
      </c>
      <c r="O266" t="s">
        <v>947</v>
      </c>
      <c r="P266" t="s">
        <v>947</v>
      </c>
      <c r="Q266">
        <v>10064.819166666666</v>
      </c>
      <c r="R266" s="9"/>
      <c r="S266"/>
      <c r="T266"/>
      <c r="U266" s="8"/>
    </row>
    <row r="267" spans="1:21" x14ac:dyDescent="0.25">
      <c r="A267">
        <v>364</v>
      </c>
      <c r="B267" t="s">
        <v>710</v>
      </c>
      <c r="C267">
        <v>0</v>
      </c>
      <c r="D267" t="s">
        <v>552</v>
      </c>
      <c r="E267" t="s">
        <v>84</v>
      </c>
      <c r="F267" t="s">
        <v>80</v>
      </c>
      <c r="G267">
        <v>654508.57499999995</v>
      </c>
      <c r="J267">
        <v>1</v>
      </c>
      <c r="N267">
        <v>1</v>
      </c>
      <c r="O267" t="s">
        <v>947</v>
      </c>
      <c r="P267" t="s">
        <v>947</v>
      </c>
      <c r="Q267">
        <v>706387.15280000004</v>
      </c>
      <c r="R267" s="9"/>
      <c r="S267"/>
      <c r="T267"/>
      <c r="U267" s="8"/>
    </row>
    <row r="268" spans="1:21" x14ac:dyDescent="0.25">
      <c r="A268">
        <v>364</v>
      </c>
      <c r="B268" t="s">
        <v>710</v>
      </c>
      <c r="C268">
        <v>0</v>
      </c>
      <c r="D268" t="s">
        <v>552</v>
      </c>
      <c r="E268" t="s">
        <v>84</v>
      </c>
      <c r="F268" t="s">
        <v>80</v>
      </c>
      <c r="G268">
        <v>632653.89</v>
      </c>
      <c r="M268">
        <v>1</v>
      </c>
      <c r="O268" t="s">
        <v>947</v>
      </c>
      <c r="P268" t="s">
        <v>947</v>
      </c>
      <c r="Q268">
        <v>706387.15280000004</v>
      </c>
      <c r="R268" s="9"/>
      <c r="S268"/>
      <c r="T268"/>
      <c r="U268" s="8"/>
    </row>
    <row r="269" spans="1:21" x14ac:dyDescent="0.25">
      <c r="A269">
        <v>318</v>
      </c>
      <c r="B269" t="s">
        <v>72</v>
      </c>
      <c r="C269">
        <v>0</v>
      </c>
      <c r="D269" t="s">
        <v>77</v>
      </c>
      <c r="E269" t="s">
        <v>84</v>
      </c>
      <c r="F269" t="s">
        <v>87</v>
      </c>
      <c r="G269">
        <v>133998.9583</v>
      </c>
      <c r="K269">
        <v>1</v>
      </c>
      <c r="N269">
        <v>1</v>
      </c>
      <c r="O269" t="s">
        <v>947</v>
      </c>
      <c r="P269" t="s">
        <v>947</v>
      </c>
      <c r="Q269">
        <v>109194.18611</v>
      </c>
      <c r="R269" s="9"/>
      <c r="S269"/>
      <c r="T269"/>
      <c r="U269" s="8"/>
    </row>
    <row r="270" spans="1:21" x14ac:dyDescent="0.25">
      <c r="A270">
        <v>318</v>
      </c>
      <c r="B270" t="s">
        <v>72</v>
      </c>
      <c r="C270">
        <v>0</v>
      </c>
      <c r="D270" t="s">
        <v>77</v>
      </c>
      <c r="E270" t="s">
        <v>84</v>
      </c>
      <c r="F270" t="s">
        <v>98</v>
      </c>
      <c r="G270">
        <v>20700</v>
      </c>
      <c r="K270">
        <v>1</v>
      </c>
      <c r="M270">
        <v>1</v>
      </c>
      <c r="O270" t="s">
        <v>947</v>
      </c>
      <c r="P270" t="s">
        <v>947</v>
      </c>
      <c r="Q270">
        <v>37833.333333333336</v>
      </c>
      <c r="R270" s="9"/>
      <c r="S270"/>
      <c r="T270"/>
      <c r="U270" s="8"/>
    </row>
    <row r="271" spans="1:21" x14ac:dyDescent="0.25">
      <c r="A271">
        <v>323</v>
      </c>
      <c r="B271" t="s">
        <v>133</v>
      </c>
      <c r="C271">
        <v>0</v>
      </c>
      <c r="D271" t="s">
        <v>137</v>
      </c>
      <c r="E271" t="s">
        <v>84</v>
      </c>
      <c r="F271" t="s">
        <v>87</v>
      </c>
      <c r="G271">
        <v>67406.616670000003</v>
      </c>
      <c r="K271">
        <v>1</v>
      </c>
      <c r="O271" t="s">
        <v>947</v>
      </c>
      <c r="P271" t="s">
        <v>947</v>
      </c>
      <c r="Q271">
        <v>93203.872213333336</v>
      </c>
      <c r="R271" s="9"/>
      <c r="S271"/>
      <c r="T271"/>
      <c r="U271" s="8"/>
    </row>
    <row r="272" spans="1:21" x14ac:dyDescent="0.25">
      <c r="A272">
        <v>324</v>
      </c>
      <c r="B272" t="s">
        <v>177</v>
      </c>
      <c r="C272">
        <v>0</v>
      </c>
      <c r="D272" t="s">
        <v>179</v>
      </c>
      <c r="E272" t="s">
        <v>84</v>
      </c>
      <c r="F272" t="s">
        <v>87</v>
      </c>
      <c r="G272">
        <v>56933.45</v>
      </c>
      <c r="K272">
        <v>1</v>
      </c>
      <c r="O272" t="s">
        <v>947</v>
      </c>
      <c r="P272" t="s">
        <v>947</v>
      </c>
      <c r="Q272">
        <v>93441.483333333337</v>
      </c>
      <c r="R272" s="9"/>
      <c r="S272"/>
      <c r="T272"/>
      <c r="U272" s="8"/>
    </row>
    <row r="273" spans="1:21" x14ac:dyDescent="0.25">
      <c r="A273">
        <v>333</v>
      </c>
      <c r="B273" t="s">
        <v>337</v>
      </c>
      <c r="C273">
        <v>0</v>
      </c>
      <c r="D273" t="s">
        <v>338</v>
      </c>
      <c r="E273" t="s">
        <v>84</v>
      </c>
      <c r="F273" t="s">
        <v>92</v>
      </c>
      <c r="G273">
        <v>24280</v>
      </c>
      <c r="J273">
        <v>1</v>
      </c>
      <c r="K273">
        <v>1</v>
      </c>
      <c r="O273" t="s">
        <v>947</v>
      </c>
      <c r="P273" t="s">
        <v>947</v>
      </c>
      <c r="Q273">
        <v>31286.666666666668</v>
      </c>
      <c r="R273" s="9"/>
      <c r="S273"/>
      <c r="T273"/>
      <c r="U273" s="8"/>
    </row>
    <row r="274" spans="1:21" x14ac:dyDescent="0.25">
      <c r="A274">
        <v>336</v>
      </c>
      <c r="B274" t="s">
        <v>400</v>
      </c>
      <c r="C274">
        <v>0</v>
      </c>
      <c r="D274" t="s">
        <v>260</v>
      </c>
      <c r="E274" t="s">
        <v>84</v>
      </c>
      <c r="F274" t="s">
        <v>98</v>
      </c>
      <c r="G274">
        <v>25350</v>
      </c>
      <c r="K274">
        <v>1</v>
      </c>
      <c r="M274">
        <v>1</v>
      </c>
      <c r="O274" t="s">
        <v>947</v>
      </c>
      <c r="P274" t="s">
        <v>947</v>
      </c>
      <c r="Q274">
        <v>36783.333333333336</v>
      </c>
      <c r="R274" s="9"/>
      <c r="S274"/>
      <c r="T274"/>
      <c r="U274" s="8"/>
    </row>
    <row r="275" spans="1:21" x14ac:dyDescent="0.25">
      <c r="A275">
        <v>338</v>
      </c>
      <c r="B275" t="s">
        <v>422</v>
      </c>
      <c r="C275">
        <v>0</v>
      </c>
      <c r="D275" t="s">
        <v>260</v>
      </c>
      <c r="E275" t="s">
        <v>84</v>
      </c>
      <c r="F275" t="s">
        <v>92</v>
      </c>
      <c r="G275">
        <v>25640</v>
      </c>
      <c r="J275">
        <v>1</v>
      </c>
      <c r="K275">
        <v>1</v>
      </c>
      <c r="N275">
        <v>1</v>
      </c>
      <c r="O275" t="s">
        <v>947</v>
      </c>
      <c r="P275" t="s">
        <v>947</v>
      </c>
      <c r="Q275">
        <v>26493.333333333332</v>
      </c>
      <c r="R275" s="9"/>
      <c r="S275"/>
      <c r="T275"/>
      <c r="U275" s="8"/>
    </row>
    <row r="276" spans="1:21" x14ac:dyDescent="0.25">
      <c r="A276">
        <v>347</v>
      </c>
      <c r="B276" t="s">
        <v>556</v>
      </c>
      <c r="C276">
        <v>0</v>
      </c>
      <c r="D276" t="s">
        <v>552</v>
      </c>
      <c r="E276" t="s">
        <v>84</v>
      </c>
      <c r="F276" t="s">
        <v>92</v>
      </c>
      <c r="G276">
        <v>34420</v>
      </c>
      <c r="K276">
        <v>1</v>
      </c>
      <c r="O276" t="s">
        <v>947</v>
      </c>
      <c r="P276" t="s">
        <v>947</v>
      </c>
      <c r="Q276">
        <v>32550</v>
      </c>
      <c r="R276" s="9"/>
      <c r="S276"/>
      <c r="T276"/>
      <c r="U276" s="8"/>
    </row>
    <row r="277" spans="1:21" x14ac:dyDescent="0.25">
      <c r="A277">
        <v>347</v>
      </c>
      <c r="B277" t="s">
        <v>556</v>
      </c>
      <c r="C277">
        <v>0</v>
      </c>
      <c r="D277" t="s">
        <v>552</v>
      </c>
      <c r="E277" t="s">
        <v>84</v>
      </c>
      <c r="F277" t="s">
        <v>98</v>
      </c>
      <c r="G277">
        <v>32650</v>
      </c>
      <c r="K277">
        <v>1</v>
      </c>
      <c r="M277">
        <v>1</v>
      </c>
      <c r="O277" t="s">
        <v>947</v>
      </c>
      <c r="P277" t="s">
        <v>947</v>
      </c>
      <c r="Q277">
        <v>30133.333333333332</v>
      </c>
      <c r="R277" s="9"/>
      <c r="S277"/>
      <c r="T277"/>
      <c r="U277" s="8"/>
    </row>
    <row r="278" spans="1:21" x14ac:dyDescent="0.25">
      <c r="A278">
        <v>350</v>
      </c>
      <c r="B278" t="s">
        <v>584</v>
      </c>
      <c r="C278">
        <v>0</v>
      </c>
      <c r="D278" t="s">
        <v>552</v>
      </c>
      <c r="E278" t="s">
        <v>84</v>
      </c>
      <c r="F278" t="s">
        <v>87</v>
      </c>
      <c r="G278">
        <v>103909.1667</v>
      </c>
      <c r="K278">
        <v>1</v>
      </c>
      <c r="O278" t="s">
        <v>947</v>
      </c>
      <c r="P278" t="s">
        <v>947</v>
      </c>
      <c r="Q278">
        <v>122096.46946666666</v>
      </c>
      <c r="R278" s="9"/>
      <c r="S278"/>
      <c r="T278"/>
      <c r="U278" s="8"/>
    </row>
    <row r="279" spans="1:21" x14ac:dyDescent="0.25">
      <c r="A279">
        <v>350</v>
      </c>
      <c r="B279" t="s">
        <v>584</v>
      </c>
      <c r="C279">
        <v>0</v>
      </c>
      <c r="D279" t="s">
        <v>552</v>
      </c>
      <c r="E279" t="s">
        <v>84</v>
      </c>
      <c r="F279" t="s">
        <v>98</v>
      </c>
      <c r="G279">
        <v>16750</v>
      </c>
      <c r="K279">
        <v>1</v>
      </c>
      <c r="O279" t="s">
        <v>947</v>
      </c>
      <c r="P279" t="s">
        <v>947</v>
      </c>
      <c r="Q279">
        <v>23066.666666666668</v>
      </c>
      <c r="R279" s="9"/>
      <c r="S279"/>
      <c r="T279"/>
      <c r="U279" s="8"/>
    </row>
    <row r="280" spans="1:21" x14ac:dyDescent="0.25">
      <c r="A280">
        <v>356</v>
      </c>
      <c r="B280" t="s">
        <v>607</v>
      </c>
      <c r="C280">
        <v>0</v>
      </c>
      <c r="D280" t="s">
        <v>552</v>
      </c>
      <c r="E280" t="s">
        <v>84</v>
      </c>
      <c r="F280" t="s">
        <v>92</v>
      </c>
      <c r="G280">
        <v>77780</v>
      </c>
      <c r="K280">
        <v>1</v>
      </c>
      <c r="N280">
        <v>1</v>
      </c>
      <c r="O280" t="s">
        <v>947</v>
      </c>
      <c r="P280" t="s">
        <v>947</v>
      </c>
      <c r="Q280">
        <v>65180</v>
      </c>
      <c r="R280" s="9"/>
      <c r="S280"/>
      <c r="T280"/>
      <c r="U280" s="8"/>
    </row>
    <row r="281" spans="1:21" x14ac:dyDescent="0.25">
      <c r="A281">
        <v>362</v>
      </c>
      <c r="B281" t="s">
        <v>666</v>
      </c>
      <c r="C281">
        <v>0</v>
      </c>
      <c r="D281" t="s">
        <v>552</v>
      </c>
      <c r="E281" t="s">
        <v>84</v>
      </c>
      <c r="F281" t="s">
        <v>87</v>
      </c>
      <c r="G281">
        <v>96361.358330000003</v>
      </c>
      <c r="K281">
        <v>1</v>
      </c>
      <c r="O281" t="s">
        <v>947</v>
      </c>
      <c r="P281" t="s">
        <v>947</v>
      </c>
      <c r="Q281">
        <v>112854.31111</v>
      </c>
      <c r="R281" s="9"/>
      <c r="S281"/>
      <c r="T281"/>
      <c r="U281" s="8"/>
    </row>
    <row r="282" spans="1:21" x14ac:dyDescent="0.25">
      <c r="A282">
        <v>362</v>
      </c>
      <c r="B282" t="s">
        <v>666</v>
      </c>
      <c r="C282">
        <v>0</v>
      </c>
      <c r="D282" t="s">
        <v>552</v>
      </c>
      <c r="E282" t="s">
        <v>84</v>
      </c>
      <c r="F282" t="s">
        <v>87</v>
      </c>
      <c r="G282">
        <v>169632.4</v>
      </c>
      <c r="K282">
        <v>1</v>
      </c>
      <c r="O282" t="s">
        <v>947</v>
      </c>
      <c r="P282" t="s">
        <v>947</v>
      </c>
      <c r="Q282">
        <v>112854.31111</v>
      </c>
      <c r="R282" s="9"/>
      <c r="S282"/>
      <c r="T282"/>
      <c r="U282" s="8"/>
    </row>
    <row r="283" spans="1:21" x14ac:dyDescent="0.25">
      <c r="A283">
        <v>364</v>
      </c>
      <c r="B283" t="s">
        <v>710</v>
      </c>
      <c r="C283">
        <v>0</v>
      </c>
      <c r="D283" t="s">
        <v>552</v>
      </c>
      <c r="E283" t="s">
        <v>84</v>
      </c>
      <c r="F283" t="s">
        <v>92</v>
      </c>
      <c r="G283">
        <v>43020</v>
      </c>
      <c r="K283">
        <v>1</v>
      </c>
      <c r="O283" t="s">
        <v>947</v>
      </c>
      <c r="P283" t="s">
        <v>947</v>
      </c>
      <c r="Q283">
        <v>37863.333333333336</v>
      </c>
      <c r="R283" s="9"/>
      <c r="S283"/>
      <c r="T283"/>
      <c r="U283" s="8"/>
    </row>
    <row r="284" spans="1:21" x14ac:dyDescent="0.25">
      <c r="A284">
        <v>364</v>
      </c>
      <c r="B284" t="s">
        <v>710</v>
      </c>
      <c r="C284">
        <v>0</v>
      </c>
      <c r="D284" t="s">
        <v>552</v>
      </c>
      <c r="E284" t="s">
        <v>84</v>
      </c>
      <c r="F284" t="s">
        <v>87</v>
      </c>
      <c r="G284">
        <v>154630</v>
      </c>
      <c r="K284">
        <v>1</v>
      </c>
      <c r="N284">
        <v>1</v>
      </c>
      <c r="O284" t="s">
        <v>947</v>
      </c>
      <c r="P284" t="s">
        <v>947</v>
      </c>
      <c r="Q284">
        <v>154258.96113333333</v>
      </c>
      <c r="R284" s="9"/>
      <c r="S284"/>
      <c r="T284"/>
      <c r="U284" s="8"/>
    </row>
    <row r="285" spans="1:21" x14ac:dyDescent="0.25">
      <c r="A285">
        <v>369</v>
      </c>
      <c r="B285" t="s">
        <v>768</v>
      </c>
      <c r="C285">
        <v>0</v>
      </c>
      <c r="D285" t="s">
        <v>179</v>
      </c>
      <c r="E285" t="s">
        <v>84</v>
      </c>
      <c r="F285" t="s">
        <v>92</v>
      </c>
      <c r="G285">
        <v>32510</v>
      </c>
      <c r="K285">
        <v>1</v>
      </c>
      <c r="M285">
        <v>1</v>
      </c>
      <c r="O285" t="s">
        <v>947</v>
      </c>
      <c r="P285" t="s">
        <v>947</v>
      </c>
      <c r="Q285">
        <v>26410</v>
      </c>
      <c r="R285" s="9"/>
      <c r="S285"/>
      <c r="T285"/>
      <c r="U285" s="8"/>
    </row>
    <row r="286" spans="1:21" x14ac:dyDescent="0.25">
      <c r="A286">
        <v>378</v>
      </c>
      <c r="B286" t="s">
        <v>854</v>
      </c>
      <c r="C286">
        <v>0</v>
      </c>
      <c r="D286" t="s">
        <v>179</v>
      </c>
      <c r="E286" t="s">
        <v>84</v>
      </c>
      <c r="F286" t="s">
        <v>92</v>
      </c>
      <c r="G286">
        <v>21840</v>
      </c>
      <c r="K286">
        <v>1</v>
      </c>
      <c r="O286" t="s">
        <v>947</v>
      </c>
      <c r="P286" t="s">
        <v>947</v>
      </c>
      <c r="Q286">
        <v>37666.666666666664</v>
      </c>
      <c r="R286" s="9"/>
      <c r="S286"/>
      <c r="T286"/>
      <c r="U286" s="8"/>
    </row>
    <row r="287" spans="1:21" x14ac:dyDescent="0.25">
      <c r="A287">
        <v>378</v>
      </c>
      <c r="B287" t="s">
        <v>854</v>
      </c>
      <c r="C287">
        <v>0</v>
      </c>
      <c r="D287" t="s">
        <v>179</v>
      </c>
      <c r="E287" t="s">
        <v>84</v>
      </c>
      <c r="F287" t="s">
        <v>92</v>
      </c>
      <c r="G287">
        <v>23630</v>
      </c>
      <c r="K287">
        <v>1</v>
      </c>
      <c r="M287">
        <v>1</v>
      </c>
      <c r="N287">
        <v>1</v>
      </c>
      <c r="O287" t="s">
        <v>947</v>
      </c>
      <c r="P287" t="s">
        <v>947</v>
      </c>
      <c r="Q287">
        <v>37666.666666666664</v>
      </c>
      <c r="R287" s="9"/>
      <c r="S287"/>
      <c r="T287"/>
      <c r="U287" s="8"/>
    </row>
    <row r="288" spans="1:21" x14ac:dyDescent="0.25">
      <c r="A288">
        <v>323</v>
      </c>
      <c r="B288" t="s">
        <v>133</v>
      </c>
      <c r="C288">
        <v>0</v>
      </c>
      <c r="D288" t="s">
        <v>137</v>
      </c>
      <c r="E288" t="s">
        <v>84</v>
      </c>
      <c r="F288" t="s">
        <v>98</v>
      </c>
      <c r="G288">
        <v>30000</v>
      </c>
      <c r="L288">
        <v>1</v>
      </c>
      <c r="O288" t="s">
        <v>947</v>
      </c>
      <c r="P288" t="s">
        <v>947</v>
      </c>
      <c r="Q288">
        <v>32250</v>
      </c>
      <c r="R288" s="9"/>
      <c r="S288"/>
      <c r="T288"/>
      <c r="U288" s="8"/>
    </row>
    <row r="289" spans="1:21" x14ac:dyDescent="0.25">
      <c r="A289">
        <v>324</v>
      </c>
      <c r="B289" t="s">
        <v>177</v>
      </c>
      <c r="C289">
        <v>0</v>
      </c>
      <c r="D289" t="s">
        <v>179</v>
      </c>
      <c r="E289" t="s">
        <v>84</v>
      </c>
      <c r="F289" t="s">
        <v>98</v>
      </c>
      <c r="G289">
        <v>14900</v>
      </c>
      <c r="L289">
        <v>1</v>
      </c>
      <c r="O289" t="s">
        <v>947</v>
      </c>
      <c r="P289" t="s">
        <v>947</v>
      </c>
      <c r="Q289">
        <v>27083.333333333336</v>
      </c>
      <c r="R289" s="9"/>
      <c r="S289"/>
      <c r="T289"/>
      <c r="U289" s="8"/>
    </row>
    <row r="290" spans="1:21" x14ac:dyDescent="0.25">
      <c r="A290">
        <v>324</v>
      </c>
      <c r="B290" t="s">
        <v>177</v>
      </c>
      <c r="C290">
        <v>0</v>
      </c>
      <c r="D290" t="s">
        <v>179</v>
      </c>
      <c r="E290" t="s">
        <v>84</v>
      </c>
      <c r="F290" t="s">
        <v>98</v>
      </c>
      <c r="G290">
        <v>47450</v>
      </c>
      <c r="L290">
        <v>1</v>
      </c>
      <c r="N290">
        <v>1</v>
      </c>
      <c r="O290" t="s">
        <v>947</v>
      </c>
      <c r="P290" t="s">
        <v>947</v>
      </c>
      <c r="Q290">
        <v>27083.333333333336</v>
      </c>
      <c r="R290" s="9"/>
      <c r="S290"/>
      <c r="T290"/>
      <c r="U290" s="8"/>
    </row>
    <row r="291" spans="1:21" x14ac:dyDescent="0.25">
      <c r="A291">
        <v>332</v>
      </c>
      <c r="B291" t="s">
        <v>296</v>
      </c>
      <c r="C291">
        <v>0</v>
      </c>
      <c r="D291" t="s">
        <v>260</v>
      </c>
      <c r="E291" t="s">
        <v>84</v>
      </c>
      <c r="F291" t="s">
        <v>92</v>
      </c>
      <c r="G291">
        <v>33400</v>
      </c>
      <c r="K291">
        <v>1</v>
      </c>
      <c r="L291">
        <v>1</v>
      </c>
      <c r="O291" t="s">
        <v>947</v>
      </c>
      <c r="P291" t="s">
        <v>947</v>
      </c>
      <c r="Q291">
        <v>31766.666666666664</v>
      </c>
      <c r="R291" s="9"/>
      <c r="S291"/>
      <c r="T291"/>
      <c r="U291" s="8"/>
    </row>
    <row r="292" spans="1:21" x14ac:dyDescent="0.25">
      <c r="A292">
        <v>332</v>
      </c>
      <c r="B292" t="s">
        <v>296</v>
      </c>
      <c r="C292">
        <v>0</v>
      </c>
      <c r="D292" t="s">
        <v>260</v>
      </c>
      <c r="E292" t="s">
        <v>84</v>
      </c>
      <c r="F292" t="s">
        <v>87</v>
      </c>
      <c r="G292">
        <v>119193.9583</v>
      </c>
      <c r="L292">
        <v>1</v>
      </c>
      <c r="O292" t="s">
        <v>947</v>
      </c>
      <c r="P292" t="s">
        <v>947</v>
      </c>
      <c r="Q292">
        <v>114895.93886666666</v>
      </c>
      <c r="R292" s="9"/>
      <c r="S292"/>
      <c r="T292"/>
      <c r="U292" s="8"/>
    </row>
    <row r="293" spans="1:21" x14ac:dyDescent="0.25">
      <c r="A293">
        <v>333</v>
      </c>
      <c r="B293" t="s">
        <v>337</v>
      </c>
      <c r="C293">
        <v>0</v>
      </c>
      <c r="D293" t="s">
        <v>338</v>
      </c>
      <c r="E293" t="s">
        <v>84</v>
      </c>
      <c r="F293" t="s">
        <v>98</v>
      </c>
      <c r="G293">
        <v>40900</v>
      </c>
      <c r="L293">
        <v>1</v>
      </c>
      <c r="O293" t="s">
        <v>947</v>
      </c>
      <c r="P293" t="s">
        <v>947</v>
      </c>
      <c r="Q293">
        <v>31766.666666666664</v>
      </c>
      <c r="R293" s="9"/>
      <c r="S293"/>
      <c r="T293"/>
      <c r="U293" s="8"/>
    </row>
    <row r="294" spans="1:21" x14ac:dyDescent="0.25">
      <c r="A294">
        <v>334</v>
      </c>
      <c r="B294" t="s">
        <v>366</v>
      </c>
      <c r="C294">
        <v>0</v>
      </c>
      <c r="D294" t="s">
        <v>338</v>
      </c>
      <c r="E294" t="s">
        <v>84</v>
      </c>
      <c r="F294" t="s">
        <v>98</v>
      </c>
      <c r="G294">
        <v>24250</v>
      </c>
      <c r="L294">
        <v>1</v>
      </c>
      <c r="N294">
        <v>1</v>
      </c>
      <c r="O294" t="s">
        <v>947</v>
      </c>
      <c r="P294" t="s">
        <v>947</v>
      </c>
      <c r="Q294">
        <v>24616.666666666668</v>
      </c>
      <c r="R294" s="9"/>
      <c r="S294"/>
      <c r="T294"/>
      <c r="U294" s="8"/>
    </row>
    <row r="295" spans="1:21" x14ac:dyDescent="0.25">
      <c r="A295">
        <v>336</v>
      </c>
      <c r="B295" t="s">
        <v>400</v>
      </c>
      <c r="C295">
        <v>0</v>
      </c>
      <c r="D295" t="s">
        <v>260</v>
      </c>
      <c r="E295" t="s">
        <v>84</v>
      </c>
      <c r="F295" t="s">
        <v>98</v>
      </c>
      <c r="G295">
        <v>37350</v>
      </c>
      <c r="L295">
        <v>1</v>
      </c>
      <c r="O295" t="s">
        <v>947</v>
      </c>
      <c r="P295" t="s">
        <v>947</v>
      </c>
      <c r="Q295">
        <v>36783.333333333336</v>
      </c>
      <c r="R295" s="9"/>
      <c r="S295"/>
      <c r="T295"/>
      <c r="U295" s="8"/>
    </row>
    <row r="296" spans="1:21" x14ac:dyDescent="0.25">
      <c r="A296">
        <v>341</v>
      </c>
      <c r="B296" t="s">
        <v>481</v>
      </c>
      <c r="C296">
        <v>0</v>
      </c>
      <c r="D296" t="s">
        <v>472</v>
      </c>
      <c r="E296" t="s">
        <v>84</v>
      </c>
      <c r="F296" t="s">
        <v>92</v>
      </c>
      <c r="G296">
        <v>49710</v>
      </c>
      <c r="K296">
        <v>1</v>
      </c>
      <c r="L296">
        <v>1</v>
      </c>
      <c r="O296" t="s">
        <v>947</v>
      </c>
      <c r="P296" t="s">
        <v>947</v>
      </c>
      <c r="Q296">
        <v>38780</v>
      </c>
      <c r="R296" s="9"/>
      <c r="S296"/>
      <c r="T296"/>
      <c r="U296" s="8"/>
    </row>
    <row r="297" spans="1:21" x14ac:dyDescent="0.25">
      <c r="A297">
        <v>341</v>
      </c>
      <c r="B297" t="s">
        <v>481</v>
      </c>
      <c r="C297">
        <v>0</v>
      </c>
      <c r="D297" t="s">
        <v>338</v>
      </c>
      <c r="E297" t="s">
        <v>84</v>
      </c>
      <c r="F297" t="s">
        <v>98</v>
      </c>
      <c r="G297">
        <v>20500</v>
      </c>
      <c r="L297">
        <v>1</v>
      </c>
      <c r="N297">
        <v>1</v>
      </c>
      <c r="O297" t="s">
        <v>947</v>
      </c>
      <c r="P297" t="s">
        <v>947</v>
      </c>
      <c r="Q297">
        <v>28966.666666666668</v>
      </c>
      <c r="R297" s="9"/>
      <c r="S297"/>
      <c r="T297"/>
      <c r="U297" s="8"/>
    </row>
    <row r="298" spans="1:21" x14ac:dyDescent="0.25">
      <c r="A298">
        <v>343</v>
      </c>
      <c r="B298" t="s">
        <v>514</v>
      </c>
      <c r="C298">
        <v>0</v>
      </c>
      <c r="D298" t="s">
        <v>338</v>
      </c>
      <c r="E298" t="s">
        <v>84</v>
      </c>
      <c r="F298" t="s">
        <v>87</v>
      </c>
      <c r="G298">
        <v>122741.675</v>
      </c>
      <c r="L298">
        <v>1</v>
      </c>
      <c r="N298">
        <v>1</v>
      </c>
      <c r="O298" t="s">
        <v>947</v>
      </c>
      <c r="P298" t="s">
        <v>947</v>
      </c>
      <c r="Q298">
        <v>133351.01110999999</v>
      </c>
      <c r="R298" s="9"/>
      <c r="S298"/>
      <c r="T298"/>
      <c r="U298" s="8"/>
    </row>
    <row r="299" spans="1:21" x14ac:dyDescent="0.25">
      <c r="A299">
        <v>343</v>
      </c>
      <c r="B299" t="s">
        <v>514</v>
      </c>
      <c r="C299">
        <v>0</v>
      </c>
      <c r="D299" t="s">
        <v>338</v>
      </c>
      <c r="E299" t="s">
        <v>84</v>
      </c>
      <c r="F299" t="s">
        <v>98</v>
      </c>
      <c r="G299">
        <v>28350</v>
      </c>
      <c r="L299">
        <v>1</v>
      </c>
      <c r="N299">
        <v>1</v>
      </c>
      <c r="O299" t="s">
        <v>947</v>
      </c>
      <c r="P299" t="s">
        <v>947</v>
      </c>
      <c r="Q299">
        <v>30325</v>
      </c>
      <c r="R299" s="9"/>
      <c r="S299"/>
      <c r="T299"/>
      <c r="U299" s="8"/>
    </row>
    <row r="300" spans="1:21" x14ac:dyDescent="0.25">
      <c r="A300">
        <v>347</v>
      </c>
      <c r="B300" t="s">
        <v>556</v>
      </c>
      <c r="C300">
        <v>0</v>
      </c>
      <c r="D300" t="s">
        <v>552</v>
      </c>
      <c r="E300" t="s">
        <v>84</v>
      </c>
      <c r="F300" t="s">
        <v>92</v>
      </c>
      <c r="G300">
        <v>34780</v>
      </c>
      <c r="J300">
        <v>1</v>
      </c>
      <c r="L300">
        <v>1</v>
      </c>
      <c r="O300" t="s">
        <v>947</v>
      </c>
      <c r="P300" t="s">
        <v>947</v>
      </c>
      <c r="Q300">
        <v>32550</v>
      </c>
      <c r="R300" s="9"/>
      <c r="S300"/>
      <c r="T300"/>
      <c r="U300" s="8"/>
    </row>
    <row r="301" spans="1:21" x14ac:dyDescent="0.25">
      <c r="A301">
        <v>350</v>
      </c>
      <c r="B301" t="s">
        <v>584</v>
      </c>
      <c r="C301">
        <v>0</v>
      </c>
      <c r="D301" t="s">
        <v>552</v>
      </c>
      <c r="E301" t="s">
        <v>84</v>
      </c>
      <c r="F301" t="s">
        <v>87</v>
      </c>
      <c r="G301">
        <v>153355.125</v>
      </c>
      <c r="L301">
        <v>1</v>
      </c>
      <c r="N301">
        <v>1</v>
      </c>
      <c r="O301" t="s">
        <v>947</v>
      </c>
      <c r="P301" t="s">
        <v>947</v>
      </c>
      <c r="Q301">
        <v>122096.46946666666</v>
      </c>
      <c r="R301" s="9"/>
      <c r="S301"/>
      <c r="T301"/>
      <c r="U301" s="8"/>
    </row>
    <row r="302" spans="1:21" x14ac:dyDescent="0.25">
      <c r="A302">
        <v>356</v>
      </c>
      <c r="B302" t="s">
        <v>607</v>
      </c>
      <c r="C302">
        <v>0</v>
      </c>
      <c r="D302" t="s">
        <v>552</v>
      </c>
      <c r="E302" t="s">
        <v>84</v>
      </c>
      <c r="F302" t="s">
        <v>87</v>
      </c>
      <c r="G302">
        <v>127309.2917</v>
      </c>
      <c r="K302">
        <v>1</v>
      </c>
      <c r="L302">
        <v>1</v>
      </c>
      <c r="O302" t="s">
        <v>947</v>
      </c>
      <c r="P302" t="s">
        <v>947</v>
      </c>
      <c r="Q302">
        <v>116541.85279999999</v>
      </c>
      <c r="R302" s="9"/>
      <c r="S302"/>
      <c r="T302"/>
      <c r="U302" s="8"/>
    </row>
    <row r="303" spans="1:21" x14ac:dyDescent="0.25">
      <c r="A303">
        <v>361</v>
      </c>
      <c r="B303" t="s">
        <v>647</v>
      </c>
      <c r="C303">
        <v>0</v>
      </c>
      <c r="D303" t="s">
        <v>552</v>
      </c>
      <c r="E303" t="s">
        <v>84</v>
      </c>
      <c r="F303" t="s">
        <v>98</v>
      </c>
      <c r="G303">
        <v>18250</v>
      </c>
      <c r="L303">
        <v>1</v>
      </c>
      <c r="O303" t="s">
        <v>947</v>
      </c>
      <c r="P303" t="s">
        <v>947</v>
      </c>
      <c r="Q303">
        <v>29333.333333333332</v>
      </c>
      <c r="R303" s="9"/>
      <c r="S303"/>
      <c r="T303"/>
      <c r="U303" s="8"/>
    </row>
    <row r="304" spans="1:21" x14ac:dyDescent="0.25">
      <c r="A304">
        <v>362</v>
      </c>
      <c r="B304" t="s">
        <v>666</v>
      </c>
      <c r="C304">
        <v>0</v>
      </c>
      <c r="D304" t="s">
        <v>552</v>
      </c>
      <c r="E304" t="s">
        <v>84</v>
      </c>
      <c r="F304" t="s">
        <v>92</v>
      </c>
      <c r="G304">
        <v>38410</v>
      </c>
      <c r="L304">
        <v>1</v>
      </c>
      <c r="M304">
        <v>1</v>
      </c>
      <c r="O304" t="s">
        <v>947</v>
      </c>
      <c r="P304" t="s">
        <v>947</v>
      </c>
      <c r="Q304">
        <v>40866.666666666664</v>
      </c>
      <c r="R304" s="9"/>
      <c r="S304"/>
      <c r="T304"/>
      <c r="U304" s="8"/>
    </row>
    <row r="305" spans="1:21" x14ac:dyDescent="0.25">
      <c r="A305">
        <v>362</v>
      </c>
      <c r="B305" t="s">
        <v>666</v>
      </c>
      <c r="C305">
        <v>0</v>
      </c>
      <c r="D305" t="s">
        <v>552</v>
      </c>
      <c r="E305" t="s">
        <v>84</v>
      </c>
      <c r="F305" t="s">
        <v>92</v>
      </c>
      <c r="G305">
        <v>28570</v>
      </c>
      <c r="J305">
        <v>1</v>
      </c>
      <c r="L305">
        <v>1</v>
      </c>
      <c r="N305">
        <v>1</v>
      </c>
      <c r="O305" t="s">
        <v>947</v>
      </c>
      <c r="P305" t="s">
        <v>947</v>
      </c>
      <c r="Q305">
        <v>40866.666666666664</v>
      </c>
      <c r="R305" s="9"/>
      <c r="S305"/>
      <c r="T305"/>
      <c r="U305" s="8"/>
    </row>
    <row r="306" spans="1:21" x14ac:dyDescent="0.25">
      <c r="A306">
        <v>362</v>
      </c>
      <c r="B306" t="s">
        <v>666</v>
      </c>
      <c r="C306">
        <v>0</v>
      </c>
      <c r="D306" t="s">
        <v>552</v>
      </c>
      <c r="E306" t="s">
        <v>84</v>
      </c>
      <c r="F306" t="s">
        <v>98</v>
      </c>
      <c r="G306">
        <v>20550</v>
      </c>
      <c r="L306">
        <v>1</v>
      </c>
      <c r="N306">
        <v>1</v>
      </c>
      <c r="O306" t="s">
        <v>947</v>
      </c>
      <c r="P306" t="s">
        <v>947</v>
      </c>
      <c r="Q306">
        <v>27483.333333333332</v>
      </c>
      <c r="R306" s="9"/>
      <c r="S306"/>
      <c r="T306"/>
      <c r="U306" s="8"/>
    </row>
    <row r="307" spans="1:21" x14ac:dyDescent="0.25">
      <c r="A307">
        <v>363</v>
      </c>
      <c r="B307" t="s">
        <v>685</v>
      </c>
      <c r="C307">
        <v>0</v>
      </c>
      <c r="D307" t="s">
        <v>552</v>
      </c>
      <c r="E307" t="s">
        <v>84</v>
      </c>
      <c r="F307" t="s">
        <v>98</v>
      </c>
      <c r="G307">
        <v>30950</v>
      </c>
      <c r="K307">
        <v>1</v>
      </c>
      <c r="L307">
        <v>1</v>
      </c>
      <c r="O307" t="s">
        <v>947</v>
      </c>
      <c r="P307" t="s">
        <v>947</v>
      </c>
      <c r="Q307">
        <v>34116.666666666664</v>
      </c>
      <c r="R307" s="9"/>
      <c r="S307"/>
      <c r="T307"/>
      <c r="U307" s="8"/>
    </row>
    <row r="308" spans="1:21" x14ac:dyDescent="0.25">
      <c r="A308">
        <v>369</v>
      </c>
      <c r="B308" t="s">
        <v>768</v>
      </c>
      <c r="C308">
        <v>0</v>
      </c>
      <c r="D308" t="s">
        <v>179</v>
      </c>
      <c r="E308" t="s">
        <v>84</v>
      </c>
      <c r="F308" t="s">
        <v>98</v>
      </c>
      <c r="G308">
        <v>34500</v>
      </c>
      <c r="K308">
        <v>1</v>
      </c>
      <c r="L308">
        <v>1</v>
      </c>
      <c r="O308" t="s">
        <v>947</v>
      </c>
      <c r="P308" t="s">
        <v>947</v>
      </c>
      <c r="Q308">
        <v>39187.5</v>
      </c>
      <c r="R308" s="9"/>
      <c r="S308"/>
      <c r="T308"/>
      <c r="U308" s="8"/>
    </row>
    <row r="309" spans="1:21" x14ac:dyDescent="0.25">
      <c r="A309">
        <v>373</v>
      </c>
      <c r="B309" t="s">
        <v>796</v>
      </c>
      <c r="C309">
        <v>0</v>
      </c>
      <c r="D309" t="s">
        <v>260</v>
      </c>
      <c r="E309" t="s">
        <v>84</v>
      </c>
      <c r="F309" t="s">
        <v>87</v>
      </c>
      <c r="G309">
        <v>160661.6667</v>
      </c>
      <c r="L309">
        <v>1</v>
      </c>
      <c r="O309" t="s">
        <v>947</v>
      </c>
      <c r="P309" t="s">
        <v>947</v>
      </c>
      <c r="Q309">
        <v>127133.82501</v>
      </c>
      <c r="R309" s="9"/>
      <c r="S309"/>
      <c r="T309"/>
      <c r="U309" s="8"/>
    </row>
    <row r="310" spans="1:21" x14ac:dyDescent="0.25">
      <c r="A310">
        <v>375</v>
      </c>
      <c r="B310" t="s">
        <v>826</v>
      </c>
      <c r="C310">
        <v>0</v>
      </c>
      <c r="D310" t="s">
        <v>260</v>
      </c>
      <c r="E310" t="s">
        <v>84</v>
      </c>
      <c r="F310" t="s">
        <v>92</v>
      </c>
      <c r="G310">
        <v>44140</v>
      </c>
      <c r="J310">
        <v>1</v>
      </c>
      <c r="K310">
        <v>1</v>
      </c>
      <c r="L310">
        <v>1</v>
      </c>
      <c r="M310">
        <v>1</v>
      </c>
      <c r="O310" t="s">
        <v>947</v>
      </c>
      <c r="P310" t="s">
        <v>947</v>
      </c>
      <c r="Q310">
        <v>33080</v>
      </c>
      <c r="R310" s="9"/>
      <c r="S310"/>
      <c r="T310"/>
      <c r="U310" s="8"/>
    </row>
    <row r="311" spans="1:21" x14ac:dyDescent="0.25">
      <c r="A311">
        <v>378</v>
      </c>
      <c r="B311" t="s">
        <v>854</v>
      </c>
      <c r="C311">
        <v>0</v>
      </c>
      <c r="D311" t="s">
        <v>179</v>
      </c>
      <c r="E311" t="s">
        <v>84</v>
      </c>
      <c r="F311" t="s">
        <v>87</v>
      </c>
      <c r="G311">
        <v>119010.26669999999</v>
      </c>
      <c r="L311">
        <v>1</v>
      </c>
      <c r="O311" t="s">
        <v>947</v>
      </c>
      <c r="P311" t="s">
        <v>947</v>
      </c>
      <c r="Q311">
        <v>112430.26669999999</v>
      </c>
      <c r="R311" s="9"/>
      <c r="S311"/>
      <c r="T311"/>
      <c r="U311" s="8"/>
    </row>
    <row r="312" spans="1:21" x14ac:dyDescent="0.25">
      <c r="A312">
        <v>324</v>
      </c>
      <c r="B312" t="s">
        <v>177</v>
      </c>
      <c r="C312">
        <v>1</v>
      </c>
      <c r="D312" t="s">
        <v>179</v>
      </c>
      <c r="E312" t="s">
        <v>182</v>
      </c>
      <c r="F312" t="s">
        <v>92</v>
      </c>
      <c r="G312">
        <v>68660</v>
      </c>
      <c r="H312">
        <v>48990</v>
      </c>
      <c r="K312">
        <v>1</v>
      </c>
      <c r="M312">
        <v>1</v>
      </c>
      <c r="O312" t="s">
        <v>947</v>
      </c>
      <c r="P312" t="s">
        <v>947</v>
      </c>
      <c r="Q312">
        <v>48990</v>
      </c>
      <c r="R312" s="9">
        <v>48990</v>
      </c>
      <c r="S312">
        <v>68660</v>
      </c>
      <c r="T312">
        <v>19670</v>
      </c>
      <c r="U312" s="8">
        <v>0.401510512349459</v>
      </c>
    </row>
    <row r="313" spans="1:21" x14ac:dyDescent="0.25">
      <c r="A313">
        <v>326</v>
      </c>
      <c r="B313" t="s">
        <v>218</v>
      </c>
      <c r="C313">
        <v>1</v>
      </c>
      <c r="D313" t="s">
        <v>179</v>
      </c>
      <c r="E313" t="s">
        <v>238</v>
      </c>
      <c r="F313" t="s">
        <v>98</v>
      </c>
      <c r="G313">
        <v>28600</v>
      </c>
      <c r="H313">
        <v>18050</v>
      </c>
      <c r="K313">
        <v>1</v>
      </c>
      <c r="L313">
        <v>1</v>
      </c>
      <c r="O313" t="s">
        <v>947</v>
      </c>
      <c r="P313" t="s">
        <v>947</v>
      </c>
      <c r="Q313">
        <v>18050</v>
      </c>
      <c r="R313" s="9">
        <v>18050</v>
      </c>
      <c r="S313">
        <v>28600</v>
      </c>
      <c r="T313">
        <v>10550</v>
      </c>
      <c r="U313" s="8">
        <v>0.58448753462603897</v>
      </c>
    </row>
    <row r="314" spans="1:21" x14ac:dyDescent="0.25">
      <c r="A314">
        <v>332</v>
      </c>
      <c r="B314" t="s">
        <v>296</v>
      </c>
      <c r="C314">
        <v>1</v>
      </c>
      <c r="D314" t="s">
        <v>260</v>
      </c>
      <c r="E314" t="s">
        <v>316</v>
      </c>
      <c r="F314" t="s">
        <v>87</v>
      </c>
      <c r="G314">
        <v>130914.5833</v>
      </c>
      <c r="H314">
        <v>114895.93889999999</v>
      </c>
      <c r="K314">
        <v>1</v>
      </c>
      <c r="O314" t="s">
        <v>947</v>
      </c>
      <c r="P314" t="s">
        <v>947</v>
      </c>
      <c r="Q314">
        <v>114895.93886666666</v>
      </c>
      <c r="R314" s="9">
        <v>114895.93886666666</v>
      </c>
      <c r="S314">
        <v>130914.5833</v>
      </c>
      <c r="T314">
        <v>16018.644433333335</v>
      </c>
      <c r="U314" s="8">
        <v>0.13941871741805001</v>
      </c>
    </row>
    <row r="315" spans="1:21" x14ac:dyDescent="0.25">
      <c r="A315">
        <v>332</v>
      </c>
      <c r="B315" t="s">
        <v>296</v>
      </c>
      <c r="C315">
        <v>1</v>
      </c>
      <c r="D315" t="s">
        <v>260</v>
      </c>
      <c r="E315" t="s">
        <v>158</v>
      </c>
      <c r="F315" t="s">
        <v>98</v>
      </c>
      <c r="G315">
        <v>62100</v>
      </c>
      <c r="H315">
        <v>36283.333330000001</v>
      </c>
      <c r="K315">
        <v>1</v>
      </c>
      <c r="M315">
        <v>1</v>
      </c>
      <c r="O315" t="s">
        <v>947</v>
      </c>
      <c r="P315" t="s">
        <v>947</v>
      </c>
      <c r="Q315">
        <v>36283.333333333336</v>
      </c>
      <c r="R315" s="9">
        <v>36283.333333333336</v>
      </c>
      <c r="S315">
        <v>62100</v>
      </c>
      <c r="T315">
        <v>25816.666666666664</v>
      </c>
      <c r="U315" s="8">
        <v>0.71152962792834196</v>
      </c>
    </row>
    <row r="316" spans="1:21" x14ac:dyDescent="0.25">
      <c r="A316">
        <v>333</v>
      </c>
      <c r="B316" t="s">
        <v>337</v>
      </c>
      <c r="C316">
        <v>1</v>
      </c>
      <c r="D316" t="s">
        <v>338</v>
      </c>
      <c r="E316" t="s">
        <v>140</v>
      </c>
      <c r="F316" t="s">
        <v>92</v>
      </c>
      <c r="G316">
        <v>48690</v>
      </c>
      <c r="H316">
        <v>31286.666669999999</v>
      </c>
      <c r="K316">
        <v>1</v>
      </c>
      <c r="M316">
        <v>1</v>
      </c>
      <c r="O316" t="s">
        <v>947</v>
      </c>
      <c r="P316" t="s">
        <v>947</v>
      </c>
      <c r="Q316">
        <v>31286.666666666668</v>
      </c>
      <c r="R316" s="9">
        <v>31286.666666666668</v>
      </c>
      <c r="S316">
        <v>48690</v>
      </c>
      <c r="T316">
        <v>17403.333333333332</v>
      </c>
      <c r="U316" s="8">
        <v>0.55625399531216702</v>
      </c>
    </row>
    <row r="317" spans="1:21" x14ac:dyDescent="0.25">
      <c r="A317">
        <v>336</v>
      </c>
      <c r="B317" t="s">
        <v>400</v>
      </c>
      <c r="C317">
        <v>1</v>
      </c>
      <c r="D317" t="s">
        <v>260</v>
      </c>
      <c r="E317" t="s">
        <v>238</v>
      </c>
      <c r="F317" t="s">
        <v>98</v>
      </c>
      <c r="G317">
        <v>47650</v>
      </c>
      <c r="H317">
        <v>36783.333330000001</v>
      </c>
      <c r="K317">
        <v>1</v>
      </c>
      <c r="L317">
        <v>1</v>
      </c>
      <c r="O317" t="s">
        <v>947</v>
      </c>
      <c r="P317" t="s">
        <v>947</v>
      </c>
      <c r="Q317">
        <v>36783.333333333336</v>
      </c>
      <c r="R317" s="9">
        <v>36783.333333333336</v>
      </c>
      <c r="S317">
        <v>47650</v>
      </c>
      <c r="T317">
        <v>10866.666666666664</v>
      </c>
      <c r="U317" s="8">
        <v>0.29542365201631199</v>
      </c>
    </row>
    <row r="318" spans="1:21" x14ac:dyDescent="0.25">
      <c r="A318">
        <v>340</v>
      </c>
      <c r="B318" t="s">
        <v>456</v>
      </c>
      <c r="C318">
        <v>1</v>
      </c>
      <c r="D318" t="s">
        <v>260</v>
      </c>
      <c r="E318" t="s">
        <v>316</v>
      </c>
      <c r="F318" t="s">
        <v>87</v>
      </c>
      <c r="G318">
        <v>173646.2</v>
      </c>
      <c r="H318">
        <v>147026.44440000001</v>
      </c>
      <c r="K318">
        <v>1</v>
      </c>
      <c r="O318" t="s">
        <v>947</v>
      </c>
      <c r="P318" t="s">
        <v>947</v>
      </c>
      <c r="Q318">
        <v>147026.44443333332</v>
      </c>
      <c r="R318" s="9">
        <v>147026.44443333332</v>
      </c>
      <c r="S318">
        <v>173646.2</v>
      </c>
      <c r="T318">
        <v>26619.755566666689</v>
      </c>
      <c r="U318" s="8">
        <v>0.18105420197886199</v>
      </c>
    </row>
    <row r="319" spans="1:21" x14ac:dyDescent="0.25">
      <c r="A319">
        <v>341</v>
      </c>
      <c r="B319" t="s">
        <v>481</v>
      </c>
      <c r="C319">
        <v>1</v>
      </c>
      <c r="D319" t="s">
        <v>338</v>
      </c>
      <c r="E319" t="s">
        <v>158</v>
      </c>
      <c r="F319" t="s">
        <v>98</v>
      </c>
      <c r="G319">
        <v>29550</v>
      </c>
      <c r="H319">
        <v>28966.666669999999</v>
      </c>
      <c r="K319">
        <v>1</v>
      </c>
      <c r="M319">
        <v>1</v>
      </c>
      <c r="O319" t="s">
        <v>947</v>
      </c>
      <c r="P319" t="s">
        <v>947</v>
      </c>
      <c r="Q319">
        <v>28966.666666666668</v>
      </c>
      <c r="R319" s="9">
        <v>28966.666666666668</v>
      </c>
      <c r="S319">
        <v>29550</v>
      </c>
      <c r="T319">
        <v>583.33333333333212</v>
      </c>
      <c r="U319" s="8">
        <v>2.01380897583429E-2</v>
      </c>
    </row>
    <row r="320" spans="1:21" x14ac:dyDescent="0.25">
      <c r="A320">
        <v>343</v>
      </c>
      <c r="B320" t="s">
        <v>514</v>
      </c>
      <c r="C320">
        <v>1</v>
      </c>
      <c r="D320" t="s">
        <v>338</v>
      </c>
      <c r="E320" t="s">
        <v>528</v>
      </c>
      <c r="F320" t="s">
        <v>98</v>
      </c>
      <c r="G320">
        <v>32300</v>
      </c>
      <c r="H320">
        <v>30325</v>
      </c>
      <c r="K320">
        <v>1</v>
      </c>
      <c r="O320" t="s">
        <v>947</v>
      </c>
      <c r="P320" t="s">
        <v>947</v>
      </c>
      <c r="Q320">
        <v>30325</v>
      </c>
      <c r="R320" s="9">
        <v>30325</v>
      </c>
      <c r="S320">
        <v>32300</v>
      </c>
      <c r="T320">
        <v>1975</v>
      </c>
      <c r="U320" s="8">
        <v>6.5127782357790598E-2</v>
      </c>
    </row>
    <row r="321" spans="1:21" x14ac:dyDescent="0.25">
      <c r="A321">
        <v>345</v>
      </c>
      <c r="B321" t="s">
        <v>538</v>
      </c>
      <c r="C321">
        <v>1</v>
      </c>
      <c r="D321" t="s">
        <v>338</v>
      </c>
      <c r="E321" t="s">
        <v>289</v>
      </c>
      <c r="F321" t="s">
        <v>98</v>
      </c>
      <c r="G321">
        <v>14200</v>
      </c>
      <c r="H321">
        <v>23825</v>
      </c>
      <c r="K321">
        <v>1</v>
      </c>
      <c r="L321">
        <v>1</v>
      </c>
      <c r="O321" t="s">
        <v>947</v>
      </c>
      <c r="P321" t="s">
        <v>947</v>
      </c>
      <c r="Q321">
        <v>23825</v>
      </c>
      <c r="R321" s="9">
        <v>23825</v>
      </c>
      <c r="S321">
        <v>14200</v>
      </c>
      <c r="T321">
        <v>-9625</v>
      </c>
      <c r="U321" s="8">
        <v>-0.40398740818467999</v>
      </c>
    </row>
    <row r="322" spans="1:21" x14ac:dyDescent="0.25">
      <c r="A322">
        <v>345</v>
      </c>
      <c r="B322" t="s">
        <v>538</v>
      </c>
      <c r="C322">
        <v>1</v>
      </c>
      <c r="D322" t="s">
        <v>338</v>
      </c>
      <c r="E322" t="s">
        <v>495</v>
      </c>
      <c r="F322" t="s">
        <v>87</v>
      </c>
      <c r="G322">
        <v>145993.75</v>
      </c>
      <c r="H322">
        <v>127258.5708</v>
      </c>
      <c r="K322">
        <v>1</v>
      </c>
      <c r="O322" t="s">
        <v>947</v>
      </c>
      <c r="P322" t="s">
        <v>947</v>
      </c>
      <c r="Q322">
        <v>127258.57084999999</v>
      </c>
      <c r="R322" s="9">
        <v>127258.57084999999</v>
      </c>
      <c r="S322">
        <v>145993.75</v>
      </c>
      <c r="T322">
        <v>18735.179150000011</v>
      </c>
      <c r="U322" s="8">
        <v>0.147221354324992</v>
      </c>
    </row>
    <row r="323" spans="1:21" x14ac:dyDescent="0.25">
      <c r="A323">
        <v>367</v>
      </c>
      <c r="B323" t="s">
        <v>733</v>
      </c>
      <c r="C323">
        <v>1</v>
      </c>
      <c r="D323" t="s">
        <v>179</v>
      </c>
      <c r="E323" t="s">
        <v>203</v>
      </c>
      <c r="F323" t="s">
        <v>98</v>
      </c>
      <c r="G323">
        <v>51900</v>
      </c>
      <c r="H323">
        <v>44125</v>
      </c>
      <c r="K323">
        <v>1</v>
      </c>
      <c r="O323" t="s">
        <v>947</v>
      </c>
      <c r="P323" t="s">
        <v>947</v>
      </c>
      <c r="Q323">
        <v>44125</v>
      </c>
      <c r="R323" s="9">
        <v>44125</v>
      </c>
      <c r="S323">
        <v>51900</v>
      </c>
      <c r="T323">
        <v>7775</v>
      </c>
      <c r="U323" s="8">
        <v>0.17620396600566601</v>
      </c>
    </row>
    <row r="324" spans="1:21" x14ac:dyDescent="0.25">
      <c r="A324">
        <v>369</v>
      </c>
      <c r="B324" t="s">
        <v>768</v>
      </c>
      <c r="C324">
        <v>1</v>
      </c>
      <c r="D324" t="s">
        <v>179</v>
      </c>
      <c r="E324" t="s">
        <v>141</v>
      </c>
      <c r="F324" t="s">
        <v>92</v>
      </c>
      <c r="G324">
        <v>20310</v>
      </c>
      <c r="H324">
        <v>26410</v>
      </c>
      <c r="K324">
        <v>1</v>
      </c>
      <c r="N324">
        <v>1</v>
      </c>
      <c r="O324" t="s">
        <v>947</v>
      </c>
      <c r="P324" t="s">
        <v>947</v>
      </c>
      <c r="Q324">
        <v>26410</v>
      </c>
      <c r="R324" s="9">
        <v>26410</v>
      </c>
      <c r="S324">
        <v>20310</v>
      </c>
      <c r="T324">
        <v>-6100</v>
      </c>
      <c r="U324" s="8">
        <v>-0.230973116243847</v>
      </c>
    </row>
    <row r="325" spans="1:21" x14ac:dyDescent="0.25">
      <c r="A325">
        <v>369</v>
      </c>
      <c r="B325" t="s">
        <v>768</v>
      </c>
      <c r="C325">
        <v>1</v>
      </c>
      <c r="D325" t="s">
        <v>179</v>
      </c>
      <c r="E325" t="s">
        <v>158</v>
      </c>
      <c r="F325" t="s">
        <v>98</v>
      </c>
      <c r="G325">
        <v>35150</v>
      </c>
      <c r="H325">
        <v>39187.5</v>
      </c>
      <c r="K325">
        <v>1</v>
      </c>
      <c r="M325">
        <v>1</v>
      </c>
      <c r="O325" t="s">
        <v>947</v>
      </c>
      <c r="P325" t="s">
        <v>947</v>
      </c>
      <c r="Q325">
        <v>39187.5</v>
      </c>
      <c r="R325" s="9">
        <v>39187.5</v>
      </c>
      <c r="S325">
        <v>35150</v>
      </c>
      <c r="T325">
        <v>-4037.5</v>
      </c>
      <c r="U325" s="8">
        <v>-0.103030303030303</v>
      </c>
    </row>
    <row r="326" spans="1:21" x14ac:dyDescent="0.25">
      <c r="A326">
        <v>381</v>
      </c>
      <c r="B326" t="s">
        <v>887</v>
      </c>
      <c r="C326">
        <v>1</v>
      </c>
      <c r="D326" t="s">
        <v>179</v>
      </c>
      <c r="E326" t="s">
        <v>182</v>
      </c>
      <c r="F326" t="s">
        <v>92</v>
      </c>
      <c r="G326">
        <v>16840</v>
      </c>
      <c r="H326">
        <v>39090</v>
      </c>
      <c r="J326">
        <v>1</v>
      </c>
      <c r="K326">
        <v>1</v>
      </c>
      <c r="L326">
        <v>1</v>
      </c>
      <c r="N326">
        <v>1</v>
      </c>
      <c r="O326" t="s">
        <v>947</v>
      </c>
      <c r="P326" t="s">
        <v>947</v>
      </c>
      <c r="Q326">
        <v>39090</v>
      </c>
      <c r="R326" s="9">
        <v>39090</v>
      </c>
      <c r="S326">
        <v>16840</v>
      </c>
      <c r="T326">
        <v>-22250</v>
      </c>
      <c r="U326" s="8">
        <v>-0.56919928370427197</v>
      </c>
    </row>
    <row r="327" spans="1:21" x14ac:dyDescent="0.25">
      <c r="A327">
        <v>318</v>
      </c>
      <c r="B327" t="s">
        <v>72</v>
      </c>
      <c r="C327">
        <v>1</v>
      </c>
      <c r="D327" t="s">
        <v>77</v>
      </c>
      <c r="E327" t="s">
        <v>103</v>
      </c>
      <c r="F327" t="s">
        <v>98</v>
      </c>
      <c r="G327">
        <v>39950</v>
      </c>
      <c r="H327">
        <v>37833.333330000001</v>
      </c>
      <c r="L327">
        <v>1</v>
      </c>
      <c r="N327">
        <v>1</v>
      </c>
      <c r="O327" t="s">
        <v>947</v>
      </c>
      <c r="P327" t="s">
        <v>947</v>
      </c>
      <c r="Q327">
        <v>37833.333333333336</v>
      </c>
      <c r="R327" s="9">
        <v>37833.333333333336</v>
      </c>
      <c r="S327">
        <v>39950</v>
      </c>
      <c r="T327">
        <v>2116.6666666666642</v>
      </c>
      <c r="U327" s="8">
        <v>5.59471365638766E-2</v>
      </c>
    </row>
    <row r="328" spans="1:21" x14ac:dyDescent="0.25">
      <c r="A328">
        <v>326</v>
      </c>
      <c r="B328" t="s">
        <v>218</v>
      </c>
      <c r="C328">
        <v>1</v>
      </c>
      <c r="D328" t="s">
        <v>179</v>
      </c>
      <c r="E328" t="s">
        <v>221</v>
      </c>
      <c r="F328" t="s">
        <v>92</v>
      </c>
      <c r="G328">
        <v>68510</v>
      </c>
      <c r="H328">
        <v>52025</v>
      </c>
      <c r="L328">
        <v>1</v>
      </c>
      <c r="O328" t="s">
        <v>947</v>
      </c>
      <c r="P328" t="s">
        <v>947</v>
      </c>
      <c r="Q328">
        <v>52025</v>
      </c>
      <c r="R328" s="9">
        <v>52025</v>
      </c>
      <c r="S328">
        <v>68510</v>
      </c>
      <c r="T328">
        <v>16485</v>
      </c>
      <c r="U328" s="8">
        <v>0.31686689091782799</v>
      </c>
    </row>
    <row r="329" spans="1:21" x14ac:dyDescent="0.25">
      <c r="A329">
        <v>333</v>
      </c>
      <c r="B329" t="s">
        <v>337</v>
      </c>
      <c r="C329">
        <v>1</v>
      </c>
      <c r="D329" t="s">
        <v>338</v>
      </c>
      <c r="E329" t="s">
        <v>103</v>
      </c>
      <c r="F329" t="s">
        <v>98</v>
      </c>
      <c r="G329">
        <v>35150</v>
      </c>
      <c r="H329">
        <v>31766.666669999999</v>
      </c>
      <c r="L329">
        <v>1</v>
      </c>
      <c r="N329">
        <v>1</v>
      </c>
      <c r="O329" t="s">
        <v>947</v>
      </c>
      <c r="P329" t="s">
        <v>947</v>
      </c>
      <c r="Q329">
        <v>31766.666666666664</v>
      </c>
      <c r="R329" s="9">
        <v>31766.666666666664</v>
      </c>
      <c r="S329">
        <v>35150</v>
      </c>
      <c r="T329">
        <v>3383.3333333333358</v>
      </c>
      <c r="U329" s="8">
        <v>0.106505771248688</v>
      </c>
    </row>
    <row r="330" spans="1:21" x14ac:dyDescent="0.25">
      <c r="A330">
        <v>334</v>
      </c>
      <c r="B330" t="s">
        <v>366</v>
      </c>
      <c r="C330">
        <v>1</v>
      </c>
      <c r="D330" t="s">
        <v>260</v>
      </c>
      <c r="E330" t="s">
        <v>203</v>
      </c>
      <c r="F330" t="s">
        <v>98</v>
      </c>
      <c r="G330">
        <v>30500</v>
      </c>
      <c r="H330">
        <v>24616.666669999999</v>
      </c>
      <c r="L330">
        <v>1</v>
      </c>
      <c r="O330" t="s">
        <v>947</v>
      </c>
      <c r="P330" t="s">
        <v>947</v>
      </c>
      <c r="Q330">
        <v>24616.666666666668</v>
      </c>
      <c r="R330" s="9">
        <v>24616.666666666668</v>
      </c>
      <c r="S330">
        <v>30500</v>
      </c>
      <c r="T330">
        <v>5883.3333333333321</v>
      </c>
      <c r="U330" s="8">
        <v>0.238997968855789</v>
      </c>
    </row>
    <row r="331" spans="1:21" x14ac:dyDescent="0.25">
      <c r="A331">
        <v>341</v>
      </c>
      <c r="B331" t="s">
        <v>481</v>
      </c>
      <c r="C331">
        <v>1</v>
      </c>
      <c r="D331" t="s">
        <v>472</v>
      </c>
      <c r="E331" t="s">
        <v>182</v>
      </c>
      <c r="F331" t="s">
        <v>92</v>
      </c>
      <c r="G331">
        <v>27850</v>
      </c>
      <c r="H331">
        <v>38780</v>
      </c>
      <c r="L331">
        <v>1</v>
      </c>
      <c r="N331">
        <v>1</v>
      </c>
      <c r="O331" t="s">
        <v>947</v>
      </c>
      <c r="P331" t="s">
        <v>947</v>
      </c>
      <c r="Q331">
        <v>38780</v>
      </c>
      <c r="R331" s="9">
        <v>38780</v>
      </c>
      <c r="S331">
        <v>27850</v>
      </c>
      <c r="T331">
        <v>-10930</v>
      </c>
      <c r="U331" s="8">
        <v>-0.28184631253223302</v>
      </c>
    </row>
    <row r="332" spans="1:21" x14ac:dyDescent="0.25">
      <c r="A332">
        <v>347</v>
      </c>
      <c r="B332" t="s">
        <v>556</v>
      </c>
      <c r="C332">
        <v>1</v>
      </c>
      <c r="D332" t="s">
        <v>552</v>
      </c>
      <c r="E332" t="s">
        <v>384</v>
      </c>
      <c r="F332" t="s">
        <v>87</v>
      </c>
      <c r="G332">
        <v>76794.083329999994</v>
      </c>
      <c r="H332">
        <v>87986.9375</v>
      </c>
      <c r="L332">
        <v>1</v>
      </c>
      <c r="O332" t="s">
        <v>947</v>
      </c>
      <c r="P332" t="s">
        <v>947</v>
      </c>
      <c r="Q332">
        <v>87986.9375</v>
      </c>
      <c r="R332" s="9">
        <v>87986.9375</v>
      </c>
      <c r="S332">
        <v>76794.083329999994</v>
      </c>
      <c r="T332">
        <v>-11192.854170000006</v>
      </c>
      <c r="U332" s="8">
        <v>-0.12721040745394699</v>
      </c>
    </row>
    <row r="333" spans="1:21" x14ac:dyDescent="0.25">
      <c r="A333">
        <v>356</v>
      </c>
      <c r="B333" t="s">
        <v>607</v>
      </c>
      <c r="C333">
        <v>1</v>
      </c>
      <c r="D333" t="s">
        <v>552</v>
      </c>
      <c r="E333" t="s">
        <v>103</v>
      </c>
      <c r="F333" t="s">
        <v>98</v>
      </c>
      <c r="G333">
        <v>63650</v>
      </c>
      <c r="H333">
        <v>36666.666669999999</v>
      </c>
      <c r="L333">
        <v>1</v>
      </c>
      <c r="N333">
        <v>1</v>
      </c>
      <c r="O333" t="s">
        <v>947</v>
      </c>
      <c r="P333" t="s">
        <v>947</v>
      </c>
      <c r="Q333">
        <v>36666.666666666664</v>
      </c>
      <c r="R333" s="9">
        <v>36666.666666666664</v>
      </c>
      <c r="S333">
        <v>63650</v>
      </c>
      <c r="T333">
        <v>26983.333333333336</v>
      </c>
      <c r="U333" s="8">
        <v>0.73590909090909096</v>
      </c>
    </row>
    <row r="334" spans="1:21" x14ac:dyDescent="0.25">
      <c r="A334">
        <v>364</v>
      </c>
      <c r="B334" t="s">
        <v>710</v>
      </c>
      <c r="C334">
        <v>1</v>
      </c>
      <c r="D334" t="s">
        <v>552</v>
      </c>
      <c r="E334" t="s">
        <v>140</v>
      </c>
      <c r="F334" t="s">
        <v>92</v>
      </c>
      <c r="G334">
        <v>28890</v>
      </c>
      <c r="H334">
        <v>37863.333330000001</v>
      </c>
      <c r="L334">
        <v>1</v>
      </c>
      <c r="O334" t="s">
        <v>947</v>
      </c>
      <c r="P334" t="s">
        <v>947</v>
      </c>
      <c r="Q334">
        <v>37863.333333333336</v>
      </c>
      <c r="R334" s="9">
        <v>37863.333333333336</v>
      </c>
      <c r="S334">
        <v>28890</v>
      </c>
      <c r="T334">
        <v>-8973.3333333333358</v>
      </c>
      <c r="U334" s="8">
        <v>-0.236992693018752</v>
      </c>
    </row>
    <row r="335" spans="1:21" x14ac:dyDescent="0.25">
      <c r="A335">
        <v>373</v>
      </c>
      <c r="B335" t="s">
        <v>796</v>
      </c>
      <c r="C335">
        <v>1</v>
      </c>
      <c r="D335" t="s">
        <v>260</v>
      </c>
      <c r="E335" t="s">
        <v>103</v>
      </c>
      <c r="F335" t="s">
        <v>98</v>
      </c>
      <c r="G335">
        <v>65400</v>
      </c>
      <c r="H335">
        <v>38150</v>
      </c>
      <c r="L335">
        <v>1</v>
      </c>
      <c r="N335">
        <v>1</v>
      </c>
      <c r="O335" t="s">
        <v>947</v>
      </c>
      <c r="P335" t="s">
        <v>947</v>
      </c>
      <c r="Q335">
        <v>38150</v>
      </c>
      <c r="R335" s="9">
        <v>38150</v>
      </c>
      <c r="S335">
        <v>65400</v>
      </c>
      <c r="T335">
        <v>27250</v>
      </c>
      <c r="U335" s="8">
        <v>0.71428571428571397</v>
      </c>
    </row>
    <row r="336" spans="1:21" x14ac:dyDescent="0.25">
      <c r="A336">
        <v>375</v>
      </c>
      <c r="B336" t="s">
        <v>826</v>
      </c>
      <c r="C336">
        <v>1</v>
      </c>
      <c r="D336" t="s">
        <v>260</v>
      </c>
      <c r="E336" t="s">
        <v>316</v>
      </c>
      <c r="F336" t="s">
        <v>87</v>
      </c>
      <c r="G336">
        <v>120548.3417</v>
      </c>
      <c r="H336">
        <v>135828.56390000001</v>
      </c>
      <c r="L336">
        <v>1</v>
      </c>
      <c r="O336" t="s">
        <v>947</v>
      </c>
      <c r="P336" t="s">
        <v>947</v>
      </c>
      <c r="Q336">
        <v>135828.56390000001</v>
      </c>
      <c r="R336" s="9">
        <v>135828.56390000001</v>
      </c>
      <c r="S336">
        <v>120548.3417</v>
      </c>
      <c r="T336">
        <v>-15280.222200000004</v>
      </c>
      <c r="U336" s="8">
        <v>-0.112496383391417</v>
      </c>
    </row>
    <row r="337" spans="1:21" x14ac:dyDescent="0.25">
      <c r="A337">
        <v>381</v>
      </c>
      <c r="B337" t="s">
        <v>887</v>
      </c>
      <c r="C337">
        <v>1</v>
      </c>
      <c r="D337" t="s">
        <v>179</v>
      </c>
      <c r="E337" t="s">
        <v>316</v>
      </c>
      <c r="F337" t="s">
        <v>87</v>
      </c>
      <c r="G337">
        <v>188078.3333</v>
      </c>
      <c r="H337">
        <v>114682.0889</v>
      </c>
      <c r="L337">
        <v>1</v>
      </c>
      <c r="O337" t="s">
        <v>947</v>
      </c>
      <c r="P337" t="s">
        <v>947</v>
      </c>
      <c r="Q337">
        <v>114682.08887666666</v>
      </c>
      <c r="R337" s="9">
        <v>114682.08887666666</v>
      </c>
      <c r="S337">
        <v>188078.3333</v>
      </c>
      <c r="T337">
        <v>73396.244423333337</v>
      </c>
      <c r="U337" s="8">
        <v>0.63999744983949802</v>
      </c>
    </row>
    <row r="338" spans="1:21" x14ac:dyDescent="0.25">
      <c r="A338">
        <v>324</v>
      </c>
      <c r="B338" t="s">
        <v>177</v>
      </c>
      <c r="C338">
        <v>1</v>
      </c>
      <c r="D338" t="s">
        <v>179</v>
      </c>
      <c r="E338" t="s">
        <v>207</v>
      </c>
      <c r="F338" t="s">
        <v>87</v>
      </c>
      <c r="G338">
        <v>100975.5833</v>
      </c>
      <c r="H338">
        <v>93441.483330000003</v>
      </c>
      <c r="M338">
        <v>1</v>
      </c>
      <c r="N338">
        <v>1</v>
      </c>
      <c r="O338" t="s">
        <v>947</v>
      </c>
      <c r="P338" t="s">
        <v>947</v>
      </c>
      <c r="Q338">
        <v>93441.483333333337</v>
      </c>
      <c r="R338" s="9">
        <v>93441.483333333337</v>
      </c>
      <c r="S338">
        <v>100975.5833</v>
      </c>
      <c r="T338">
        <v>7534.0999666666612</v>
      </c>
      <c r="U338" s="8">
        <v>8.0629070707175093E-2</v>
      </c>
    </row>
    <row r="339" spans="1:21" x14ac:dyDescent="0.25">
      <c r="A339">
        <v>330</v>
      </c>
      <c r="B339" t="s">
        <v>257</v>
      </c>
      <c r="C339">
        <v>1</v>
      </c>
      <c r="D339" t="s">
        <v>260</v>
      </c>
      <c r="E339" t="s">
        <v>207</v>
      </c>
      <c r="F339" t="s">
        <v>87</v>
      </c>
      <c r="G339">
        <v>123923.3333</v>
      </c>
      <c r="H339">
        <v>123349.4111</v>
      </c>
      <c r="M339">
        <v>1</v>
      </c>
      <c r="N339">
        <v>1</v>
      </c>
      <c r="O339" t="s">
        <v>947</v>
      </c>
      <c r="P339" t="s">
        <v>947</v>
      </c>
      <c r="Q339">
        <v>123349.4111</v>
      </c>
      <c r="R339" s="9">
        <v>123349.4111</v>
      </c>
      <c r="S339">
        <v>123923.3333</v>
      </c>
      <c r="T339">
        <v>573.92220000000088</v>
      </c>
      <c r="U339" s="8">
        <v>4.6528167008006204E-3</v>
      </c>
    </row>
    <row r="340" spans="1:21" x14ac:dyDescent="0.25">
      <c r="A340">
        <v>343</v>
      </c>
      <c r="B340" t="s">
        <v>514</v>
      </c>
      <c r="C340">
        <v>1</v>
      </c>
      <c r="D340" t="s">
        <v>338</v>
      </c>
      <c r="E340" t="s">
        <v>207</v>
      </c>
      <c r="F340" t="s">
        <v>87</v>
      </c>
      <c r="G340">
        <v>95547.083329999994</v>
      </c>
      <c r="H340">
        <v>133351.0111</v>
      </c>
      <c r="M340">
        <v>1</v>
      </c>
      <c r="N340">
        <v>1</v>
      </c>
      <c r="O340" t="s">
        <v>947</v>
      </c>
      <c r="P340" t="s">
        <v>947</v>
      </c>
      <c r="Q340">
        <v>133351.01110999999</v>
      </c>
      <c r="R340" s="9">
        <v>133351.01110999999</v>
      </c>
      <c r="S340">
        <v>95547.083329999994</v>
      </c>
      <c r="T340">
        <v>-37803.927779999998</v>
      </c>
      <c r="U340" s="8">
        <v>-0.28349187205499199</v>
      </c>
    </row>
    <row r="341" spans="1:21" x14ac:dyDescent="0.25">
      <c r="A341">
        <v>347</v>
      </c>
      <c r="B341" t="s">
        <v>556</v>
      </c>
      <c r="C341">
        <v>1</v>
      </c>
      <c r="D341" t="s">
        <v>552</v>
      </c>
      <c r="E341" t="s">
        <v>301</v>
      </c>
      <c r="F341" t="s">
        <v>92</v>
      </c>
      <c r="G341">
        <v>28450</v>
      </c>
      <c r="H341">
        <v>32550</v>
      </c>
      <c r="M341">
        <v>1</v>
      </c>
      <c r="O341" t="s">
        <v>947</v>
      </c>
      <c r="P341" t="s">
        <v>947</v>
      </c>
      <c r="Q341">
        <v>32550</v>
      </c>
      <c r="R341" s="9">
        <v>32550</v>
      </c>
      <c r="S341">
        <v>28450</v>
      </c>
      <c r="T341">
        <v>-4100</v>
      </c>
      <c r="U341" s="8">
        <v>-0.12596006144393199</v>
      </c>
    </row>
    <row r="342" spans="1:21" x14ac:dyDescent="0.25">
      <c r="A342">
        <v>363</v>
      </c>
      <c r="B342" t="s">
        <v>685</v>
      </c>
      <c r="C342">
        <v>1</v>
      </c>
      <c r="D342" t="s">
        <v>552</v>
      </c>
      <c r="E342" t="s">
        <v>693</v>
      </c>
      <c r="F342" t="s">
        <v>98</v>
      </c>
      <c r="G342">
        <v>50000</v>
      </c>
      <c r="H342">
        <v>34116.666669999999</v>
      </c>
      <c r="M342">
        <v>1</v>
      </c>
      <c r="O342" t="s">
        <v>947</v>
      </c>
      <c r="P342" t="s">
        <v>947</v>
      </c>
      <c r="Q342">
        <v>34116.666666666664</v>
      </c>
      <c r="R342" s="9">
        <v>34116.666666666664</v>
      </c>
      <c r="S342">
        <v>50000</v>
      </c>
      <c r="T342">
        <v>15883.333333333336</v>
      </c>
      <c r="U342" s="8">
        <v>0.46555935515388402</v>
      </c>
    </row>
    <row r="343" spans="1:21" x14ac:dyDescent="0.25">
      <c r="A343">
        <v>363</v>
      </c>
      <c r="B343" t="s">
        <v>685</v>
      </c>
      <c r="C343">
        <v>1</v>
      </c>
      <c r="D343" t="s">
        <v>552</v>
      </c>
      <c r="E343" t="s">
        <v>700</v>
      </c>
      <c r="F343" t="s">
        <v>80</v>
      </c>
      <c r="G343">
        <v>695741.97759999998</v>
      </c>
      <c r="H343">
        <v>747040.61529999995</v>
      </c>
      <c r="M343">
        <v>1</v>
      </c>
      <c r="O343" t="s">
        <v>947</v>
      </c>
      <c r="P343" t="s">
        <v>947</v>
      </c>
      <c r="Q343">
        <v>747040.61526666663</v>
      </c>
      <c r="R343" s="9">
        <v>747040.61526666663</v>
      </c>
      <c r="S343">
        <v>695741.97759999998</v>
      </c>
      <c r="T343">
        <v>-51298.637666666647</v>
      </c>
      <c r="U343" s="8">
        <v>-6.8669141433969905E-2</v>
      </c>
    </row>
    <row r="344" spans="1:21" x14ac:dyDescent="0.25">
      <c r="A344">
        <v>363</v>
      </c>
      <c r="B344" t="s">
        <v>685</v>
      </c>
      <c r="C344">
        <v>1</v>
      </c>
      <c r="D344" t="s">
        <v>552</v>
      </c>
      <c r="E344" t="s">
        <v>700</v>
      </c>
      <c r="F344" t="s">
        <v>106</v>
      </c>
      <c r="G344">
        <v>13817.135</v>
      </c>
      <c r="H344">
        <v>10621.49583</v>
      </c>
      <c r="M344">
        <v>1</v>
      </c>
      <c r="O344" t="s">
        <v>947</v>
      </c>
      <c r="P344" t="s">
        <v>947</v>
      </c>
      <c r="Q344">
        <v>10621.495833333334</v>
      </c>
      <c r="R344" s="9">
        <v>10621.495833333334</v>
      </c>
      <c r="S344">
        <v>13817.135</v>
      </c>
      <c r="T344">
        <v>3195.6391666666659</v>
      </c>
      <c r="U344" s="8">
        <v>0.30086526576019801</v>
      </c>
    </row>
    <row r="345" spans="1:21" x14ac:dyDescent="0.25">
      <c r="A345">
        <v>363</v>
      </c>
      <c r="B345" t="s">
        <v>685</v>
      </c>
      <c r="C345">
        <v>1</v>
      </c>
      <c r="D345" t="s">
        <v>552</v>
      </c>
      <c r="E345" t="s">
        <v>700</v>
      </c>
      <c r="F345" t="s">
        <v>110</v>
      </c>
      <c r="G345">
        <v>9300</v>
      </c>
      <c r="H345">
        <v>11143.333329999999</v>
      </c>
      <c r="M345">
        <v>1</v>
      </c>
      <c r="O345" t="s">
        <v>947</v>
      </c>
      <c r="P345" t="s">
        <v>947</v>
      </c>
      <c r="Q345">
        <v>11143.333333333334</v>
      </c>
      <c r="R345" s="9">
        <v>11143.333333333334</v>
      </c>
      <c r="S345">
        <v>9300</v>
      </c>
      <c r="T345">
        <v>-1843.3333333333339</v>
      </c>
      <c r="U345" s="8">
        <v>-0.165420281184565</v>
      </c>
    </row>
    <row r="346" spans="1:21" x14ac:dyDescent="0.25">
      <c r="A346">
        <v>367</v>
      </c>
      <c r="B346" t="s">
        <v>733</v>
      </c>
      <c r="C346">
        <v>1</v>
      </c>
      <c r="D346" t="s">
        <v>179</v>
      </c>
      <c r="E346" t="s">
        <v>700</v>
      </c>
      <c r="F346" t="s">
        <v>114</v>
      </c>
      <c r="G346">
        <v>42850</v>
      </c>
      <c r="H346">
        <v>31316.666669999999</v>
      </c>
      <c r="M346">
        <v>1</v>
      </c>
      <c r="O346" t="s">
        <v>947</v>
      </c>
      <c r="P346" t="s">
        <v>947</v>
      </c>
      <c r="Q346">
        <v>31316.666666666664</v>
      </c>
      <c r="R346" s="9">
        <v>31316.666666666664</v>
      </c>
      <c r="S346">
        <v>42850</v>
      </c>
      <c r="T346">
        <v>11533.333333333336</v>
      </c>
      <c r="U346" s="8">
        <v>0.36828100053219798</v>
      </c>
    </row>
    <row r="347" spans="1:21" x14ac:dyDescent="0.25">
      <c r="A347">
        <v>367</v>
      </c>
      <c r="B347" t="s">
        <v>733</v>
      </c>
      <c r="C347">
        <v>1</v>
      </c>
      <c r="D347" t="s">
        <v>179</v>
      </c>
      <c r="E347" t="s">
        <v>700</v>
      </c>
      <c r="F347" t="s">
        <v>121</v>
      </c>
      <c r="G347">
        <v>193795.97099999999</v>
      </c>
      <c r="H347">
        <v>182920.4215</v>
      </c>
      <c r="M347">
        <v>1</v>
      </c>
      <c r="O347" t="s">
        <v>947</v>
      </c>
      <c r="P347" t="s">
        <v>947</v>
      </c>
      <c r="Q347">
        <v>182920.4215</v>
      </c>
      <c r="R347" s="9">
        <v>182920.4215</v>
      </c>
      <c r="S347">
        <v>193795.97099999999</v>
      </c>
      <c r="T347">
        <v>10875.549499999994</v>
      </c>
      <c r="U347" s="8">
        <v>5.9455086593488901E-2</v>
      </c>
    </row>
    <row r="348" spans="1:21" x14ac:dyDescent="0.25">
      <c r="A348">
        <v>369</v>
      </c>
      <c r="B348" t="s">
        <v>768</v>
      </c>
      <c r="C348">
        <v>1</v>
      </c>
      <c r="D348" t="s">
        <v>179</v>
      </c>
      <c r="E348" t="s">
        <v>700</v>
      </c>
      <c r="F348" t="s">
        <v>121</v>
      </c>
      <c r="G348">
        <v>145024.3322</v>
      </c>
      <c r="H348">
        <v>151042.9981</v>
      </c>
      <c r="M348">
        <v>1</v>
      </c>
      <c r="O348" t="s">
        <v>947</v>
      </c>
      <c r="P348" t="s">
        <v>947</v>
      </c>
      <c r="Q348">
        <v>151042.9981</v>
      </c>
      <c r="R348" s="9">
        <v>151042.9981</v>
      </c>
      <c r="S348">
        <v>145024.3322</v>
      </c>
      <c r="T348">
        <v>-6018.6658999999927</v>
      </c>
      <c r="U348" s="8">
        <v>-3.9847367807246903E-2</v>
      </c>
    </row>
    <row r="349" spans="1:21" x14ac:dyDescent="0.25">
      <c r="A349">
        <v>369</v>
      </c>
      <c r="B349" t="s">
        <v>768</v>
      </c>
      <c r="C349">
        <v>1</v>
      </c>
      <c r="D349" t="s">
        <v>179</v>
      </c>
      <c r="E349" t="s">
        <v>700</v>
      </c>
      <c r="F349" t="s">
        <v>114</v>
      </c>
      <c r="G349">
        <v>46350</v>
      </c>
      <c r="H349">
        <v>46475</v>
      </c>
      <c r="M349">
        <v>1</v>
      </c>
      <c r="O349" t="s">
        <v>947</v>
      </c>
      <c r="P349" t="s">
        <v>947</v>
      </c>
      <c r="Q349">
        <v>46475</v>
      </c>
      <c r="R349" s="9">
        <v>46475</v>
      </c>
      <c r="S349">
        <v>46350</v>
      </c>
      <c r="T349">
        <v>-125</v>
      </c>
      <c r="U349" s="8">
        <v>-2.68961807423346E-3</v>
      </c>
    </row>
    <row r="350" spans="1:21" x14ac:dyDescent="0.25">
      <c r="A350">
        <v>375</v>
      </c>
      <c r="B350" t="s">
        <v>826</v>
      </c>
      <c r="C350">
        <v>1</v>
      </c>
      <c r="D350" t="s">
        <v>260</v>
      </c>
      <c r="E350" t="s">
        <v>158</v>
      </c>
      <c r="F350" t="s">
        <v>98</v>
      </c>
      <c r="G350">
        <v>22550</v>
      </c>
      <c r="H350">
        <v>21600</v>
      </c>
      <c r="M350">
        <v>1</v>
      </c>
      <c r="O350" t="s">
        <v>947</v>
      </c>
      <c r="P350" t="s">
        <v>947</v>
      </c>
      <c r="Q350">
        <v>21600</v>
      </c>
      <c r="R350" s="9">
        <v>21600</v>
      </c>
      <c r="S350">
        <v>22550</v>
      </c>
      <c r="T350">
        <v>950</v>
      </c>
      <c r="U350" s="8">
        <v>4.3981481481481503E-2</v>
      </c>
    </row>
    <row r="351" spans="1:21" x14ac:dyDescent="0.25">
      <c r="A351">
        <v>378</v>
      </c>
      <c r="B351" t="s">
        <v>854</v>
      </c>
      <c r="C351">
        <v>1</v>
      </c>
      <c r="D351" t="s">
        <v>179</v>
      </c>
      <c r="E351" t="s">
        <v>693</v>
      </c>
      <c r="F351" t="s">
        <v>98</v>
      </c>
      <c r="G351">
        <v>40150</v>
      </c>
      <c r="H351">
        <v>33800</v>
      </c>
      <c r="M351">
        <v>1</v>
      </c>
      <c r="O351" t="s">
        <v>947</v>
      </c>
      <c r="P351" t="s">
        <v>947</v>
      </c>
      <c r="Q351">
        <v>33800</v>
      </c>
      <c r="R351" s="9">
        <v>33800</v>
      </c>
      <c r="S351">
        <v>40150</v>
      </c>
      <c r="T351">
        <v>6350</v>
      </c>
      <c r="U351" s="8">
        <v>0.18786982248520701</v>
      </c>
    </row>
    <row r="352" spans="1:21" x14ac:dyDescent="0.25">
      <c r="A352">
        <v>383</v>
      </c>
      <c r="B352" t="s">
        <v>912</v>
      </c>
      <c r="C352">
        <v>1</v>
      </c>
      <c r="D352" t="s">
        <v>179</v>
      </c>
      <c r="E352" t="s">
        <v>693</v>
      </c>
      <c r="F352" t="s">
        <v>98</v>
      </c>
      <c r="G352">
        <v>61200</v>
      </c>
      <c r="H352">
        <v>55050</v>
      </c>
      <c r="M352">
        <v>1</v>
      </c>
      <c r="O352" t="s">
        <v>947</v>
      </c>
      <c r="P352" t="s">
        <v>947</v>
      </c>
      <c r="Q352">
        <v>55050</v>
      </c>
      <c r="R352" s="9">
        <v>55050</v>
      </c>
      <c r="S352">
        <v>61200</v>
      </c>
      <c r="T352">
        <v>6150</v>
      </c>
      <c r="U352" s="8">
        <v>0.11171662125340601</v>
      </c>
    </row>
    <row r="353" spans="1:21" x14ac:dyDescent="0.25">
      <c r="A353">
        <v>332</v>
      </c>
      <c r="B353" t="s">
        <v>296</v>
      </c>
      <c r="C353">
        <v>1</v>
      </c>
      <c r="D353" t="s">
        <v>260</v>
      </c>
      <c r="E353" t="s">
        <v>326</v>
      </c>
      <c r="F353" t="s">
        <v>121</v>
      </c>
      <c r="G353">
        <v>139549.23199999999</v>
      </c>
      <c r="H353">
        <v>158633.04389999999</v>
      </c>
      <c r="J353">
        <v>1</v>
      </c>
      <c r="N353">
        <v>1</v>
      </c>
      <c r="O353" t="s">
        <v>947</v>
      </c>
      <c r="P353" t="s">
        <v>947</v>
      </c>
      <c r="Q353">
        <v>158633.04393333333</v>
      </c>
      <c r="R353" s="9">
        <v>158633.04393333333</v>
      </c>
      <c r="S353">
        <v>139549.23199999999</v>
      </c>
      <c r="T353">
        <v>-19083.811933333345</v>
      </c>
      <c r="U353" s="8">
        <v>-0.120301618503604</v>
      </c>
    </row>
    <row r="354" spans="1:21" x14ac:dyDescent="0.25">
      <c r="A354">
        <v>332</v>
      </c>
      <c r="B354" t="s">
        <v>296</v>
      </c>
      <c r="C354">
        <v>1</v>
      </c>
      <c r="D354" t="s">
        <v>260</v>
      </c>
      <c r="E354" t="s">
        <v>326</v>
      </c>
      <c r="F354" t="s">
        <v>114</v>
      </c>
      <c r="G354">
        <v>23000</v>
      </c>
      <c r="H354">
        <v>29616.666669999999</v>
      </c>
      <c r="J354">
        <v>1</v>
      </c>
      <c r="N354">
        <v>1</v>
      </c>
      <c r="O354" t="s">
        <v>947</v>
      </c>
      <c r="P354" t="s">
        <v>947</v>
      </c>
      <c r="Q354">
        <v>29616.666666666664</v>
      </c>
      <c r="R354" s="9">
        <v>29616.666666666664</v>
      </c>
      <c r="S354">
        <v>23000</v>
      </c>
      <c r="T354">
        <v>-6616.6666666666642</v>
      </c>
      <c r="U354" s="8">
        <v>-0.22341024198086701</v>
      </c>
    </row>
    <row r="355" spans="1:21" x14ac:dyDescent="0.25">
      <c r="A355">
        <v>334</v>
      </c>
      <c r="B355" t="s">
        <v>366</v>
      </c>
      <c r="C355">
        <v>1</v>
      </c>
      <c r="D355" t="s">
        <v>338</v>
      </c>
      <c r="E355" t="s">
        <v>188</v>
      </c>
      <c r="F355" t="s">
        <v>80</v>
      </c>
      <c r="G355">
        <v>879045.36300000001</v>
      </c>
      <c r="H355">
        <v>836563.70929999999</v>
      </c>
      <c r="J355">
        <v>1</v>
      </c>
      <c r="N355">
        <v>1</v>
      </c>
      <c r="O355" t="s">
        <v>947</v>
      </c>
      <c r="P355" t="s">
        <v>947</v>
      </c>
      <c r="Q355">
        <v>836563.7093333333</v>
      </c>
      <c r="R355" s="9">
        <v>836563.7093333333</v>
      </c>
      <c r="S355">
        <v>879045.36300000001</v>
      </c>
      <c r="T355">
        <v>42481.653666666709</v>
      </c>
      <c r="U355" s="8">
        <v>5.0781133812893703E-2</v>
      </c>
    </row>
    <row r="356" spans="1:21" x14ac:dyDescent="0.25">
      <c r="A356">
        <v>334</v>
      </c>
      <c r="B356" t="s">
        <v>366</v>
      </c>
      <c r="C356">
        <v>1</v>
      </c>
      <c r="D356" t="s">
        <v>338</v>
      </c>
      <c r="E356" t="s">
        <v>188</v>
      </c>
      <c r="F356" t="s">
        <v>106</v>
      </c>
      <c r="G356">
        <v>10303.77</v>
      </c>
      <c r="H356">
        <v>10274.885829999999</v>
      </c>
      <c r="J356">
        <v>1</v>
      </c>
      <c r="N356">
        <v>1</v>
      </c>
      <c r="O356" t="s">
        <v>947</v>
      </c>
      <c r="P356" t="s">
        <v>947</v>
      </c>
      <c r="Q356">
        <v>10274.885833333334</v>
      </c>
      <c r="R356" s="9">
        <v>10274.885833333334</v>
      </c>
      <c r="S356">
        <v>10303.77</v>
      </c>
      <c r="T356">
        <v>28.884166666666715</v>
      </c>
      <c r="U356" s="8">
        <v>2.8111423460260702E-3</v>
      </c>
    </row>
    <row r="357" spans="1:21" x14ac:dyDescent="0.25">
      <c r="A357">
        <v>334</v>
      </c>
      <c r="B357" t="s">
        <v>366</v>
      </c>
      <c r="C357">
        <v>1</v>
      </c>
      <c r="D357" t="s">
        <v>338</v>
      </c>
      <c r="E357" t="s">
        <v>188</v>
      </c>
      <c r="F357" t="s">
        <v>110</v>
      </c>
      <c r="G357">
        <v>6656</v>
      </c>
      <c r="H357">
        <v>8960</v>
      </c>
      <c r="J357">
        <v>1</v>
      </c>
      <c r="N357">
        <v>1</v>
      </c>
      <c r="O357" t="s">
        <v>947</v>
      </c>
      <c r="P357" t="s">
        <v>947</v>
      </c>
      <c r="Q357">
        <v>8960</v>
      </c>
      <c r="R357" s="9">
        <v>8960</v>
      </c>
      <c r="S357">
        <v>6656</v>
      </c>
      <c r="T357">
        <v>-2304</v>
      </c>
      <c r="U357" s="8">
        <v>-0.25714285714285701</v>
      </c>
    </row>
    <row r="358" spans="1:21" x14ac:dyDescent="0.25">
      <c r="A358">
        <v>334</v>
      </c>
      <c r="B358" t="s">
        <v>366</v>
      </c>
      <c r="C358">
        <v>1</v>
      </c>
      <c r="D358" t="s">
        <v>260</v>
      </c>
      <c r="E358" t="s">
        <v>188</v>
      </c>
      <c r="F358" t="s">
        <v>185</v>
      </c>
      <c r="G358">
        <v>13155.424999999999</v>
      </c>
      <c r="H358">
        <v>15807.516670000001</v>
      </c>
      <c r="J358">
        <v>1</v>
      </c>
      <c r="N358">
        <v>1</v>
      </c>
      <c r="O358" t="s">
        <v>947</v>
      </c>
      <c r="P358" t="s">
        <v>947</v>
      </c>
      <c r="Q358">
        <v>15807.516666666666</v>
      </c>
      <c r="R358" s="9">
        <v>15807.516666666666</v>
      </c>
      <c r="S358">
        <v>13155.424999999999</v>
      </c>
      <c r="T358">
        <v>-2652.0916666666672</v>
      </c>
      <c r="U358" s="8">
        <v>-0.167774086378738</v>
      </c>
    </row>
    <row r="359" spans="1:21" x14ac:dyDescent="0.25">
      <c r="A359">
        <v>338</v>
      </c>
      <c r="B359" t="s">
        <v>422</v>
      </c>
      <c r="C359">
        <v>1</v>
      </c>
      <c r="D359" t="s">
        <v>260</v>
      </c>
      <c r="E359" t="s">
        <v>436</v>
      </c>
      <c r="F359" t="s">
        <v>121</v>
      </c>
      <c r="G359">
        <v>185496.48130000001</v>
      </c>
      <c r="H359">
        <v>169276.7746</v>
      </c>
      <c r="J359">
        <v>1</v>
      </c>
      <c r="O359" t="s">
        <v>947</v>
      </c>
      <c r="P359" t="s">
        <v>947</v>
      </c>
      <c r="Q359">
        <v>169276.77456666666</v>
      </c>
      <c r="R359" s="9">
        <v>169276.77456666666</v>
      </c>
      <c r="S359">
        <v>185496.48130000001</v>
      </c>
      <c r="T359">
        <v>16219.706733333354</v>
      </c>
      <c r="U359" s="8">
        <v>9.5817673599076697E-2</v>
      </c>
    </row>
    <row r="360" spans="1:21" x14ac:dyDescent="0.25">
      <c r="A360">
        <v>338</v>
      </c>
      <c r="B360" t="s">
        <v>422</v>
      </c>
      <c r="C360">
        <v>1</v>
      </c>
      <c r="D360" t="s">
        <v>260</v>
      </c>
      <c r="E360" t="s">
        <v>436</v>
      </c>
      <c r="F360" t="s">
        <v>114</v>
      </c>
      <c r="G360">
        <v>55200</v>
      </c>
      <c r="H360">
        <v>47966.666669999999</v>
      </c>
      <c r="J360">
        <v>1</v>
      </c>
      <c r="O360" t="s">
        <v>947</v>
      </c>
      <c r="P360" t="s">
        <v>947</v>
      </c>
      <c r="Q360">
        <v>47966.666666666664</v>
      </c>
      <c r="R360" s="9">
        <v>47966.666666666664</v>
      </c>
      <c r="S360">
        <v>55200</v>
      </c>
      <c r="T360">
        <v>7233.3333333333358</v>
      </c>
      <c r="U360" s="8">
        <v>0.150799166087561</v>
      </c>
    </row>
    <row r="361" spans="1:21" x14ac:dyDescent="0.25">
      <c r="A361">
        <v>343</v>
      </c>
      <c r="B361" t="s">
        <v>514</v>
      </c>
      <c r="C361">
        <v>1</v>
      </c>
      <c r="D361" t="s">
        <v>338</v>
      </c>
      <c r="E361" t="s">
        <v>326</v>
      </c>
      <c r="F361" t="s">
        <v>80</v>
      </c>
      <c r="G361">
        <v>768079.10340000002</v>
      </c>
      <c r="H361">
        <v>825872.91529999999</v>
      </c>
      <c r="J361">
        <v>1</v>
      </c>
      <c r="N361">
        <v>1</v>
      </c>
      <c r="O361" t="s">
        <v>947</v>
      </c>
      <c r="P361" t="s">
        <v>947</v>
      </c>
      <c r="Q361">
        <v>825872.91529999999</v>
      </c>
      <c r="R361" s="9">
        <v>825872.91529999999</v>
      </c>
      <c r="S361">
        <v>768079.10340000002</v>
      </c>
      <c r="T361">
        <v>-57793.811899999972</v>
      </c>
      <c r="U361" s="8">
        <v>-6.9979061946844806E-2</v>
      </c>
    </row>
    <row r="362" spans="1:21" x14ac:dyDescent="0.25">
      <c r="A362">
        <v>343</v>
      </c>
      <c r="B362" t="s">
        <v>514</v>
      </c>
      <c r="C362">
        <v>1</v>
      </c>
      <c r="D362" t="s">
        <v>338</v>
      </c>
      <c r="E362" t="s">
        <v>326</v>
      </c>
      <c r="F362" t="s">
        <v>106</v>
      </c>
      <c r="G362">
        <v>7255.1774999999998</v>
      </c>
      <c r="H362">
        <v>7738.330833</v>
      </c>
      <c r="J362">
        <v>1</v>
      </c>
      <c r="N362">
        <v>1</v>
      </c>
      <c r="O362" t="s">
        <v>947</v>
      </c>
      <c r="P362" t="s">
        <v>947</v>
      </c>
      <c r="Q362">
        <v>7738.3308333333334</v>
      </c>
      <c r="R362" s="9">
        <v>7738.3308333333334</v>
      </c>
      <c r="S362">
        <v>7255.1774999999998</v>
      </c>
      <c r="T362">
        <v>-483.15333333333365</v>
      </c>
      <c r="U362" s="8">
        <v>-6.2436375975568399E-2</v>
      </c>
    </row>
    <row r="363" spans="1:21" x14ac:dyDescent="0.25">
      <c r="A363">
        <v>361</v>
      </c>
      <c r="B363" t="s">
        <v>647</v>
      </c>
      <c r="C363">
        <v>1</v>
      </c>
      <c r="D363" t="s">
        <v>552</v>
      </c>
      <c r="E363" t="s">
        <v>326</v>
      </c>
      <c r="F363" t="s">
        <v>80</v>
      </c>
      <c r="G363">
        <v>671242.23999999999</v>
      </c>
      <c r="H363">
        <v>752620.27560000005</v>
      </c>
      <c r="J363">
        <v>1</v>
      </c>
      <c r="N363">
        <v>1</v>
      </c>
      <c r="O363" t="s">
        <v>947</v>
      </c>
      <c r="P363" t="s">
        <v>947</v>
      </c>
      <c r="Q363">
        <v>752620.27560000005</v>
      </c>
      <c r="R363" s="9">
        <v>752620.27560000005</v>
      </c>
      <c r="S363">
        <v>671242.23999999999</v>
      </c>
      <c r="T363">
        <v>-81378.035600000061</v>
      </c>
      <c r="U363" s="8">
        <v>-0.108126286572766</v>
      </c>
    </row>
    <row r="364" spans="1:21" x14ac:dyDescent="0.25">
      <c r="A364">
        <v>362</v>
      </c>
      <c r="B364" t="s">
        <v>666</v>
      </c>
      <c r="C364">
        <v>1</v>
      </c>
      <c r="D364" t="s">
        <v>552</v>
      </c>
      <c r="E364" t="s">
        <v>680</v>
      </c>
      <c r="F364" t="s">
        <v>80</v>
      </c>
      <c r="G364">
        <v>787930.41</v>
      </c>
      <c r="H364">
        <v>815339.00749999995</v>
      </c>
      <c r="J364">
        <v>1</v>
      </c>
      <c r="O364" t="s">
        <v>947</v>
      </c>
      <c r="P364" t="s">
        <v>947</v>
      </c>
      <c r="Q364">
        <v>815339.00746666675</v>
      </c>
      <c r="R364" s="9">
        <v>815339.00746666675</v>
      </c>
      <c r="S364">
        <v>787930.41</v>
      </c>
      <c r="T364">
        <v>-27408.597466666717</v>
      </c>
      <c r="U364" s="8">
        <v>-3.3616197944248701E-2</v>
      </c>
    </row>
    <row r="365" spans="1:21" x14ac:dyDescent="0.25">
      <c r="A365">
        <v>364</v>
      </c>
      <c r="B365" t="s">
        <v>710</v>
      </c>
      <c r="C365">
        <v>1</v>
      </c>
      <c r="D365" t="s">
        <v>552</v>
      </c>
      <c r="E365" t="s">
        <v>188</v>
      </c>
      <c r="F365" t="s">
        <v>110</v>
      </c>
      <c r="G365">
        <v>14375</v>
      </c>
      <c r="H365">
        <v>15299.666670000001</v>
      </c>
      <c r="J365">
        <v>1</v>
      </c>
      <c r="N365">
        <v>1</v>
      </c>
      <c r="O365" t="s">
        <v>947</v>
      </c>
      <c r="P365" t="s">
        <v>947</v>
      </c>
      <c r="Q365">
        <v>15299.666666666666</v>
      </c>
      <c r="R365" s="9">
        <v>15299.666666666666</v>
      </c>
      <c r="S365">
        <v>14375</v>
      </c>
      <c r="T365">
        <v>-924.66666666666606</v>
      </c>
      <c r="U365" s="8">
        <v>-6.04370465587485E-2</v>
      </c>
    </row>
    <row r="366" spans="1:21" x14ac:dyDescent="0.25">
      <c r="A366">
        <v>364</v>
      </c>
      <c r="B366" t="s">
        <v>710</v>
      </c>
      <c r="C366">
        <v>1</v>
      </c>
      <c r="D366" t="s">
        <v>552</v>
      </c>
      <c r="E366" t="s">
        <v>188</v>
      </c>
      <c r="F366" t="s">
        <v>106</v>
      </c>
      <c r="G366">
        <v>10926.092500000001</v>
      </c>
      <c r="H366">
        <v>10064.819170000001</v>
      </c>
      <c r="J366">
        <v>1</v>
      </c>
      <c r="N366">
        <v>1</v>
      </c>
      <c r="O366" t="s">
        <v>947</v>
      </c>
      <c r="P366" t="s">
        <v>947</v>
      </c>
      <c r="Q366">
        <v>10064.819166666666</v>
      </c>
      <c r="R366" s="9">
        <v>10064.819166666666</v>
      </c>
      <c r="S366">
        <v>10926.092500000001</v>
      </c>
      <c r="T366">
        <v>861.27333333333445</v>
      </c>
      <c r="U366" s="8">
        <v>8.5572658492042902E-2</v>
      </c>
    </row>
    <row r="367" spans="1:21" x14ac:dyDescent="0.25">
      <c r="A367">
        <v>364</v>
      </c>
      <c r="B367" t="s">
        <v>710</v>
      </c>
      <c r="C367">
        <v>1</v>
      </c>
      <c r="D367" t="s">
        <v>552</v>
      </c>
      <c r="E367" t="s">
        <v>188</v>
      </c>
      <c r="F367" t="s">
        <v>80</v>
      </c>
      <c r="G367">
        <v>831998.99340000004</v>
      </c>
      <c r="H367">
        <v>706387.15280000004</v>
      </c>
      <c r="J367">
        <v>1</v>
      </c>
      <c r="N367">
        <v>1</v>
      </c>
      <c r="O367" t="s">
        <v>947</v>
      </c>
      <c r="P367" t="s">
        <v>947</v>
      </c>
      <c r="Q367">
        <v>706387.15280000004</v>
      </c>
      <c r="R367" s="9">
        <v>706387.15280000004</v>
      </c>
      <c r="S367">
        <v>831998.99340000004</v>
      </c>
      <c r="T367">
        <v>125611.8406</v>
      </c>
      <c r="U367" s="8">
        <v>0.177822940440091</v>
      </c>
    </row>
    <row r="368" spans="1:21" x14ac:dyDescent="0.25">
      <c r="A368">
        <v>367</v>
      </c>
      <c r="B368" t="s">
        <v>733</v>
      </c>
      <c r="C368">
        <v>1</v>
      </c>
      <c r="D368" t="s">
        <v>179</v>
      </c>
      <c r="E368" t="s">
        <v>79</v>
      </c>
      <c r="F368" t="s">
        <v>110</v>
      </c>
      <c r="G368">
        <v>12032</v>
      </c>
      <c r="H368">
        <v>10374.666670000001</v>
      </c>
      <c r="J368">
        <v>1</v>
      </c>
      <c r="O368" t="s">
        <v>947</v>
      </c>
      <c r="P368" t="s">
        <v>947</v>
      </c>
      <c r="Q368">
        <v>10374.666666666666</v>
      </c>
      <c r="R368" s="9">
        <v>10374.666666666666</v>
      </c>
      <c r="S368">
        <v>12032</v>
      </c>
      <c r="T368">
        <v>1657.3333333333339</v>
      </c>
      <c r="U368" s="8">
        <v>0.15974810435676701</v>
      </c>
    </row>
    <row r="369" spans="1:21" x14ac:dyDescent="0.25">
      <c r="A369">
        <v>367</v>
      </c>
      <c r="B369" t="s">
        <v>733</v>
      </c>
      <c r="C369">
        <v>1</v>
      </c>
      <c r="D369" t="s">
        <v>179</v>
      </c>
      <c r="E369" t="s">
        <v>79</v>
      </c>
      <c r="F369" t="s">
        <v>106</v>
      </c>
      <c r="G369">
        <v>10996.99</v>
      </c>
      <c r="H369">
        <v>7102.8791670000001</v>
      </c>
      <c r="J369">
        <v>1</v>
      </c>
      <c r="O369" t="s">
        <v>947</v>
      </c>
      <c r="P369" t="s">
        <v>947</v>
      </c>
      <c r="Q369">
        <v>7102.8791666666666</v>
      </c>
      <c r="R369" s="9">
        <v>7102.8791666666666</v>
      </c>
      <c r="S369">
        <v>10996.99</v>
      </c>
      <c r="T369">
        <v>3894.1108333333332</v>
      </c>
      <c r="U369" s="8">
        <v>0.54824399260628498</v>
      </c>
    </row>
    <row r="370" spans="1:21" x14ac:dyDescent="0.25">
      <c r="A370">
        <v>367</v>
      </c>
      <c r="B370" t="s">
        <v>733</v>
      </c>
      <c r="C370">
        <v>1</v>
      </c>
      <c r="D370" t="s">
        <v>179</v>
      </c>
      <c r="E370" t="s">
        <v>79</v>
      </c>
      <c r="F370" t="s">
        <v>80</v>
      </c>
      <c r="G370">
        <v>881024.64</v>
      </c>
      <c r="H370">
        <v>823789.01630000002</v>
      </c>
      <c r="J370">
        <v>1</v>
      </c>
      <c r="O370" t="s">
        <v>947</v>
      </c>
      <c r="P370" t="s">
        <v>947</v>
      </c>
      <c r="Q370">
        <v>823789.01633333333</v>
      </c>
      <c r="R370" s="9">
        <v>823789.01633333333</v>
      </c>
      <c r="S370">
        <v>881024.64</v>
      </c>
      <c r="T370">
        <v>57235.623666666681</v>
      </c>
      <c r="U370" s="8">
        <v>6.9478498173502198E-2</v>
      </c>
    </row>
    <row r="371" spans="1:21" x14ac:dyDescent="0.25">
      <c r="A371">
        <v>369</v>
      </c>
      <c r="B371" t="s">
        <v>768</v>
      </c>
      <c r="C371">
        <v>1</v>
      </c>
      <c r="D371" t="s">
        <v>179</v>
      </c>
      <c r="E371" t="s">
        <v>79</v>
      </c>
      <c r="F371" t="s">
        <v>185</v>
      </c>
      <c r="G371">
        <v>20323.95</v>
      </c>
      <c r="H371">
        <v>19142.325000000001</v>
      </c>
      <c r="J371">
        <v>1</v>
      </c>
      <c r="O371" t="s">
        <v>947</v>
      </c>
      <c r="P371" t="s">
        <v>947</v>
      </c>
      <c r="Q371">
        <v>19142.325000000001</v>
      </c>
      <c r="R371" s="9">
        <v>19142.325000000001</v>
      </c>
      <c r="S371">
        <v>20323.95</v>
      </c>
      <c r="T371">
        <v>1181.625</v>
      </c>
      <c r="U371" s="8">
        <v>6.1728395061728399E-2</v>
      </c>
    </row>
    <row r="372" spans="1:21" x14ac:dyDescent="0.25">
      <c r="A372">
        <v>369</v>
      </c>
      <c r="B372" t="s">
        <v>768</v>
      </c>
      <c r="C372">
        <v>1</v>
      </c>
      <c r="D372" t="s">
        <v>179</v>
      </c>
      <c r="E372" t="s">
        <v>79</v>
      </c>
      <c r="F372" t="s">
        <v>80</v>
      </c>
      <c r="G372">
        <v>917249.39</v>
      </c>
      <c r="H372">
        <v>865895.92</v>
      </c>
      <c r="J372">
        <v>1</v>
      </c>
      <c r="O372" t="s">
        <v>947</v>
      </c>
      <c r="P372" t="s">
        <v>947</v>
      </c>
      <c r="Q372">
        <v>865895.91999999993</v>
      </c>
      <c r="R372" s="9">
        <v>865895.91999999993</v>
      </c>
      <c r="S372">
        <v>917249.39</v>
      </c>
      <c r="T372">
        <v>51353.470000000088</v>
      </c>
      <c r="U372" s="8">
        <v>5.9306746704615602E-2</v>
      </c>
    </row>
    <row r="373" spans="1:21" x14ac:dyDescent="0.25">
      <c r="A373">
        <v>369</v>
      </c>
      <c r="B373" t="s">
        <v>768</v>
      </c>
      <c r="C373">
        <v>1</v>
      </c>
      <c r="D373" t="s">
        <v>179</v>
      </c>
      <c r="E373" t="s">
        <v>79</v>
      </c>
      <c r="F373" t="s">
        <v>106</v>
      </c>
      <c r="G373">
        <v>7113.3824999999997</v>
      </c>
      <c r="H373">
        <v>8224.11</v>
      </c>
      <c r="J373">
        <v>1</v>
      </c>
      <c r="O373" t="s">
        <v>947</v>
      </c>
      <c r="P373" t="s">
        <v>947</v>
      </c>
      <c r="Q373">
        <v>8224.11</v>
      </c>
      <c r="R373" s="9">
        <v>8224.11</v>
      </c>
      <c r="S373">
        <v>7113.3824999999997</v>
      </c>
      <c r="T373">
        <v>-1110.7275000000009</v>
      </c>
      <c r="U373" s="8">
        <v>-0.13505747126436801</v>
      </c>
    </row>
    <row r="374" spans="1:21" x14ac:dyDescent="0.25">
      <c r="A374">
        <v>369</v>
      </c>
      <c r="B374" t="s">
        <v>768</v>
      </c>
      <c r="C374">
        <v>1</v>
      </c>
      <c r="D374" t="s">
        <v>179</v>
      </c>
      <c r="E374" t="s">
        <v>79</v>
      </c>
      <c r="F374" t="s">
        <v>110</v>
      </c>
      <c r="G374">
        <v>22500</v>
      </c>
      <c r="H374">
        <v>17917.5</v>
      </c>
      <c r="J374">
        <v>1</v>
      </c>
      <c r="O374" t="s">
        <v>947</v>
      </c>
      <c r="P374" t="s">
        <v>947</v>
      </c>
      <c r="Q374">
        <v>17917.5</v>
      </c>
      <c r="R374" s="9">
        <v>17917.5</v>
      </c>
      <c r="S374">
        <v>22500</v>
      </c>
      <c r="T374">
        <v>4582.5</v>
      </c>
      <c r="U374" s="8">
        <v>0.25575554625366298</v>
      </c>
    </row>
    <row r="375" spans="1:21" x14ac:dyDescent="0.25">
      <c r="A375">
        <v>378</v>
      </c>
      <c r="B375" t="s">
        <v>854</v>
      </c>
      <c r="C375">
        <v>1</v>
      </c>
      <c r="D375" t="s">
        <v>179</v>
      </c>
      <c r="E375" t="s">
        <v>188</v>
      </c>
      <c r="F375" t="s">
        <v>110</v>
      </c>
      <c r="G375">
        <v>11088</v>
      </c>
      <c r="H375">
        <v>12233</v>
      </c>
      <c r="J375">
        <v>1</v>
      </c>
      <c r="N375">
        <v>1</v>
      </c>
      <c r="O375" t="s">
        <v>947</v>
      </c>
      <c r="P375" t="s">
        <v>947</v>
      </c>
      <c r="Q375">
        <v>12233</v>
      </c>
      <c r="R375" s="9">
        <v>12233</v>
      </c>
      <c r="S375">
        <v>11088</v>
      </c>
      <c r="T375">
        <v>-1145</v>
      </c>
      <c r="U375" s="8">
        <v>-9.3599280634349705E-2</v>
      </c>
    </row>
    <row r="376" spans="1:21" x14ac:dyDescent="0.25">
      <c r="A376">
        <v>378</v>
      </c>
      <c r="B376" t="s">
        <v>854</v>
      </c>
      <c r="C376">
        <v>1</v>
      </c>
      <c r="D376" t="s">
        <v>179</v>
      </c>
      <c r="E376" t="s">
        <v>188</v>
      </c>
      <c r="F376" t="s">
        <v>106</v>
      </c>
      <c r="G376">
        <v>3552.7525000000001</v>
      </c>
      <c r="H376">
        <v>7084.4983329999995</v>
      </c>
      <c r="J376">
        <v>1</v>
      </c>
      <c r="N376">
        <v>1</v>
      </c>
      <c r="O376" t="s">
        <v>947</v>
      </c>
      <c r="P376" t="s">
        <v>947</v>
      </c>
      <c r="Q376">
        <v>7084.498333333333</v>
      </c>
      <c r="R376" s="9">
        <v>7084.498333333333</v>
      </c>
      <c r="S376">
        <v>3552.7525000000001</v>
      </c>
      <c r="T376">
        <v>-3531.7458333333329</v>
      </c>
      <c r="U376" s="8">
        <v>-0.498517420311342</v>
      </c>
    </row>
    <row r="377" spans="1:21" x14ac:dyDescent="0.25">
      <c r="A377">
        <v>378</v>
      </c>
      <c r="B377" t="s">
        <v>854</v>
      </c>
      <c r="C377">
        <v>1</v>
      </c>
      <c r="D377" t="s">
        <v>179</v>
      </c>
      <c r="E377" t="s">
        <v>188</v>
      </c>
      <c r="F377" t="s">
        <v>80</v>
      </c>
      <c r="G377">
        <v>650063.18000000005</v>
      </c>
      <c r="H377">
        <v>706071.20169999998</v>
      </c>
      <c r="J377">
        <v>1</v>
      </c>
      <c r="N377">
        <v>1</v>
      </c>
      <c r="O377" t="s">
        <v>947</v>
      </c>
      <c r="P377" t="s">
        <v>947</v>
      </c>
      <c r="Q377">
        <v>706071.20166666666</v>
      </c>
      <c r="R377" s="9">
        <v>706071.20166666666</v>
      </c>
      <c r="S377">
        <v>650063.18000000005</v>
      </c>
      <c r="T377">
        <v>-56008.021666666609</v>
      </c>
      <c r="U377" s="8">
        <v>-7.9323475500007401E-2</v>
      </c>
    </row>
    <row r="378" spans="1:21" x14ac:dyDescent="0.25">
      <c r="A378">
        <v>383</v>
      </c>
      <c r="B378" t="s">
        <v>912</v>
      </c>
      <c r="C378">
        <v>1</v>
      </c>
      <c r="D378" t="s">
        <v>179</v>
      </c>
      <c r="E378" t="s">
        <v>436</v>
      </c>
      <c r="F378" t="s">
        <v>121</v>
      </c>
      <c r="G378">
        <v>133961.44750000001</v>
      </c>
      <c r="H378">
        <v>128176.2954</v>
      </c>
      <c r="J378">
        <v>1</v>
      </c>
      <c r="O378" t="s">
        <v>947</v>
      </c>
      <c r="P378" t="s">
        <v>947</v>
      </c>
      <c r="Q378">
        <v>128176.29536666667</v>
      </c>
      <c r="R378" s="9">
        <v>128176.29536666667</v>
      </c>
      <c r="S378">
        <v>133961.44750000001</v>
      </c>
      <c r="T378">
        <v>5785.1521333333367</v>
      </c>
      <c r="U378" s="8">
        <v>4.5134337178212899E-2</v>
      </c>
    </row>
    <row r="379" spans="1:21" x14ac:dyDescent="0.25">
      <c r="A379">
        <v>383</v>
      </c>
      <c r="B379" t="s">
        <v>912</v>
      </c>
      <c r="C379">
        <v>1</v>
      </c>
      <c r="D379" t="s">
        <v>179</v>
      </c>
      <c r="E379" t="s">
        <v>436</v>
      </c>
      <c r="F379" t="s">
        <v>114</v>
      </c>
      <c r="G379">
        <v>36150</v>
      </c>
      <c r="H379">
        <v>30533.333330000001</v>
      </c>
      <c r="J379">
        <v>1</v>
      </c>
      <c r="O379" t="s">
        <v>947</v>
      </c>
      <c r="P379" t="s">
        <v>947</v>
      </c>
      <c r="Q379">
        <v>30533.333333333332</v>
      </c>
      <c r="R379" s="9">
        <v>30533.333333333332</v>
      </c>
      <c r="S379">
        <v>36150</v>
      </c>
      <c r="T379">
        <v>5616.6666666666679</v>
      </c>
      <c r="U379" s="8">
        <v>0.18395196506550199</v>
      </c>
    </row>
    <row r="380" spans="1:21" x14ac:dyDescent="0.25">
      <c r="A380">
        <v>318</v>
      </c>
      <c r="B380" t="s">
        <v>72</v>
      </c>
      <c r="C380">
        <v>1</v>
      </c>
      <c r="D380" t="s">
        <v>77</v>
      </c>
      <c r="E380" t="s">
        <v>90</v>
      </c>
      <c r="F380" t="s">
        <v>87</v>
      </c>
      <c r="G380">
        <v>85973.18333</v>
      </c>
      <c r="H380">
        <v>109194.18610000001</v>
      </c>
      <c r="N380">
        <v>1</v>
      </c>
      <c r="O380" t="s">
        <v>947</v>
      </c>
      <c r="P380" t="s">
        <v>947</v>
      </c>
      <c r="Q380">
        <v>109194.18611</v>
      </c>
      <c r="R380" s="9">
        <v>109194.18611</v>
      </c>
      <c r="S380">
        <v>85973.18333</v>
      </c>
      <c r="T380">
        <v>-23221.002779999995</v>
      </c>
      <c r="U380" s="8">
        <v>-0.212657867668958</v>
      </c>
    </row>
    <row r="381" spans="1:21" x14ac:dyDescent="0.25">
      <c r="A381">
        <v>318</v>
      </c>
      <c r="B381" t="s">
        <v>72</v>
      </c>
      <c r="C381">
        <v>1</v>
      </c>
      <c r="D381" t="s">
        <v>77</v>
      </c>
      <c r="E381" t="s">
        <v>130</v>
      </c>
      <c r="F381" t="s">
        <v>125</v>
      </c>
      <c r="G381">
        <v>38150</v>
      </c>
      <c r="H381">
        <v>38916.666669999999</v>
      </c>
      <c r="N381">
        <v>1</v>
      </c>
      <c r="O381" t="s">
        <v>947</v>
      </c>
      <c r="P381" t="s">
        <v>947</v>
      </c>
      <c r="Q381">
        <v>38916.666666666672</v>
      </c>
      <c r="R381" s="9">
        <v>38916.666666666672</v>
      </c>
      <c r="S381">
        <v>38150</v>
      </c>
      <c r="T381">
        <v>-766.66666666667152</v>
      </c>
      <c r="U381" s="8">
        <v>-1.9700214132762399E-2</v>
      </c>
    </row>
    <row r="382" spans="1:21" x14ac:dyDescent="0.25">
      <c r="A382">
        <v>323</v>
      </c>
      <c r="B382" t="s">
        <v>133</v>
      </c>
      <c r="C382">
        <v>1</v>
      </c>
      <c r="D382" t="s">
        <v>137</v>
      </c>
      <c r="E382" t="s">
        <v>163</v>
      </c>
      <c r="F382" t="s">
        <v>87</v>
      </c>
      <c r="G382">
        <v>95889.791670000006</v>
      </c>
      <c r="H382">
        <v>93203.872220000005</v>
      </c>
      <c r="N382">
        <v>1</v>
      </c>
      <c r="O382" t="s">
        <v>947</v>
      </c>
      <c r="P382" t="s">
        <v>947</v>
      </c>
      <c r="Q382">
        <v>93203.872213333336</v>
      </c>
      <c r="R382" s="9">
        <v>93203.872213333336</v>
      </c>
      <c r="S382">
        <v>95889.791670000006</v>
      </c>
      <c r="T382">
        <v>2685.9194566666702</v>
      </c>
      <c r="U382" s="8">
        <v>2.8817680992039699E-2</v>
      </c>
    </row>
    <row r="383" spans="1:21" x14ac:dyDescent="0.25">
      <c r="A383">
        <v>324</v>
      </c>
      <c r="B383" t="s">
        <v>177</v>
      </c>
      <c r="C383">
        <v>1</v>
      </c>
      <c r="D383" t="s">
        <v>179</v>
      </c>
      <c r="E383" t="s">
        <v>188</v>
      </c>
      <c r="F383" t="s">
        <v>185</v>
      </c>
      <c r="G383">
        <v>19457.424999999999</v>
      </c>
      <c r="H383">
        <v>18774.708330000001</v>
      </c>
      <c r="N383">
        <v>1</v>
      </c>
      <c r="O383" t="s">
        <v>947</v>
      </c>
      <c r="P383" t="s">
        <v>947</v>
      </c>
      <c r="Q383">
        <v>18774.708333333332</v>
      </c>
      <c r="R383" s="9">
        <v>18774.708333333332</v>
      </c>
      <c r="S383">
        <v>19457.424999999999</v>
      </c>
      <c r="T383">
        <v>682.71666666666715</v>
      </c>
      <c r="U383" s="8">
        <v>3.6363636363636397E-2</v>
      </c>
    </row>
    <row r="384" spans="1:21" x14ac:dyDescent="0.25">
      <c r="A384">
        <v>324</v>
      </c>
      <c r="B384" t="s">
        <v>177</v>
      </c>
      <c r="C384">
        <v>1</v>
      </c>
      <c r="D384" t="s">
        <v>179</v>
      </c>
      <c r="E384" t="s">
        <v>130</v>
      </c>
      <c r="F384" t="s">
        <v>125</v>
      </c>
      <c r="G384">
        <v>15950</v>
      </c>
      <c r="H384">
        <v>30350</v>
      </c>
      <c r="N384">
        <v>1</v>
      </c>
      <c r="O384" t="s">
        <v>947</v>
      </c>
      <c r="P384" t="s">
        <v>947</v>
      </c>
      <c r="Q384">
        <v>30350</v>
      </c>
      <c r="R384" s="9">
        <v>30350</v>
      </c>
      <c r="S384">
        <v>15950</v>
      </c>
      <c r="T384">
        <v>-14400</v>
      </c>
      <c r="U384" s="8">
        <v>-0.47446457990115298</v>
      </c>
    </row>
    <row r="385" spans="1:21" x14ac:dyDescent="0.25">
      <c r="A385">
        <v>324</v>
      </c>
      <c r="B385" t="s">
        <v>177</v>
      </c>
      <c r="C385">
        <v>1</v>
      </c>
      <c r="D385" t="s">
        <v>179</v>
      </c>
      <c r="E385" t="s">
        <v>188</v>
      </c>
      <c r="F385" t="s">
        <v>110</v>
      </c>
      <c r="G385">
        <v>13750</v>
      </c>
      <c r="H385">
        <v>11703.333329999999</v>
      </c>
      <c r="N385">
        <v>1</v>
      </c>
      <c r="O385" t="s">
        <v>947</v>
      </c>
      <c r="P385" t="s">
        <v>947</v>
      </c>
      <c r="Q385">
        <v>11703.333333333334</v>
      </c>
      <c r="R385" s="9">
        <v>11703.333333333334</v>
      </c>
      <c r="S385">
        <v>13750</v>
      </c>
      <c r="T385">
        <v>2046.6666666666661</v>
      </c>
      <c r="U385" s="8">
        <v>0.17487895186556501</v>
      </c>
    </row>
    <row r="386" spans="1:21" x14ac:dyDescent="0.25">
      <c r="A386">
        <v>324</v>
      </c>
      <c r="B386" t="s">
        <v>177</v>
      </c>
      <c r="C386">
        <v>1</v>
      </c>
      <c r="D386" t="s">
        <v>179</v>
      </c>
      <c r="E386" t="s">
        <v>188</v>
      </c>
      <c r="F386" t="s">
        <v>106</v>
      </c>
      <c r="G386">
        <v>5317.3125</v>
      </c>
      <c r="H386">
        <v>7058.24</v>
      </c>
      <c r="N386">
        <v>1</v>
      </c>
      <c r="O386" t="s">
        <v>947</v>
      </c>
      <c r="P386" t="s">
        <v>947</v>
      </c>
      <c r="Q386">
        <v>7058.2400000000007</v>
      </c>
      <c r="R386" s="9">
        <v>7058.2400000000007</v>
      </c>
      <c r="S386">
        <v>5317.3125</v>
      </c>
      <c r="T386">
        <v>-1740.9275000000007</v>
      </c>
      <c r="U386" s="8">
        <v>-0.246651785714286</v>
      </c>
    </row>
    <row r="387" spans="1:21" x14ac:dyDescent="0.25">
      <c r="A387">
        <v>324</v>
      </c>
      <c r="B387" t="s">
        <v>177</v>
      </c>
      <c r="C387">
        <v>1</v>
      </c>
      <c r="D387" t="s">
        <v>179</v>
      </c>
      <c r="E387" t="s">
        <v>188</v>
      </c>
      <c r="F387" t="s">
        <v>80</v>
      </c>
      <c r="G387">
        <v>856318.5</v>
      </c>
      <c r="H387">
        <v>835635.37719999999</v>
      </c>
      <c r="N387">
        <v>1</v>
      </c>
      <c r="O387" t="s">
        <v>947</v>
      </c>
      <c r="P387" t="s">
        <v>947</v>
      </c>
      <c r="Q387">
        <v>835635.3772333333</v>
      </c>
      <c r="R387" s="9">
        <v>835635.3772333333</v>
      </c>
      <c r="S387">
        <v>856318.5</v>
      </c>
      <c r="T387">
        <v>20683.122766666696</v>
      </c>
      <c r="U387" s="8">
        <v>2.4751372823809199E-2</v>
      </c>
    </row>
    <row r="388" spans="1:21" x14ac:dyDescent="0.25">
      <c r="A388">
        <v>336</v>
      </c>
      <c r="B388" t="s">
        <v>400</v>
      </c>
      <c r="C388">
        <v>1</v>
      </c>
      <c r="D388" t="s">
        <v>260</v>
      </c>
      <c r="E388" t="s">
        <v>326</v>
      </c>
      <c r="F388" t="s">
        <v>80</v>
      </c>
      <c r="G388">
        <v>743925.82400000002</v>
      </c>
      <c r="H388">
        <v>786422.47120000003</v>
      </c>
      <c r="N388">
        <v>1</v>
      </c>
      <c r="O388" t="s">
        <v>947</v>
      </c>
      <c r="P388" t="s">
        <v>947</v>
      </c>
      <c r="Q388">
        <v>786422.47120000003</v>
      </c>
      <c r="R388" s="9">
        <v>786422.47120000003</v>
      </c>
      <c r="S388">
        <v>743925.82400000002</v>
      </c>
      <c r="T388">
        <v>-42496.647200000007</v>
      </c>
      <c r="U388" s="8">
        <v>-5.4037936041113503E-2</v>
      </c>
    </row>
    <row r="389" spans="1:21" x14ac:dyDescent="0.25">
      <c r="A389">
        <v>336</v>
      </c>
      <c r="B389" t="s">
        <v>400</v>
      </c>
      <c r="C389">
        <v>1</v>
      </c>
      <c r="D389" t="s">
        <v>260</v>
      </c>
      <c r="E389" t="s">
        <v>326</v>
      </c>
      <c r="F389" t="s">
        <v>106</v>
      </c>
      <c r="G389">
        <v>3757.5675000000001</v>
      </c>
      <c r="H389">
        <v>8015.3562499999998</v>
      </c>
      <c r="N389">
        <v>1</v>
      </c>
      <c r="O389" t="s">
        <v>947</v>
      </c>
      <c r="P389" t="s">
        <v>947</v>
      </c>
      <c r="Q389">
        <v>8015.3562500000007</v>
      </c>
      <c r="R389" s="9">
        <v>8015.3562500000007</v>
      </c>
      <c r="S389">
        <v>3757.5675000000001</v>
      </c>
      <c r="T389">
        <v>-4257.7887500000006</v>
      </c>
      <c r="U389" s="8">
        <v>-0.53120393120393095</v>
      </c>
    </row>
    <row r="390" spans="1:21" x14ac:dyDescent="0.25">
      <c r="A390">
        <v>336</v>
      </c>
      <c r="B390" t="s">
        <v>400</v>
      </c>
      <c r="C390">
        <v>1</v>
      </c>
      <c r="D390" t="s">
        <v>260</v>
      </c>
      <c r="E390" t="s">
        <v>326</v>
      </c>
      <c r="F390" t="s">
        <v>110</v>
      </c>
      <c r="G390">
        <v>13356</v>
      </c>
      <c r="H390">
        <v>15561</v>
      </c>
      <c r="N390">
        <v>1</v>
      </c>
      <c r="O390" t="s">
        <v>947</v>
      </c>
      <c r="P390" t="s">
        <v>947</v>
      </c>
      <c r="Q390">
        <v>15561</v>
      </c>
      <c r="R390" s="9">
        <v>15561</v>
      </c>
      <c r="S390">
        <v>13356</v>
      </c>
      <c r="T390">
        <v>-2205</v>
      </c>
      <c r="U390" s="8">
        <v>-0.14170040485829999</v>
      </c>
    </row>
    <row r="391" spans="1:21" x14ac:dyDescent="0.25">
      <c r="A391">
        <v>338</v>
      </c>
      <c r="B391" t="s">
        <v>422</v>
      </c>
      <c r="C391">
        <v>1</v>
      </c>
      <c r="D391" t="s">
        <v>260</v>
      </c>
      <c r="E391" t="s">
        <v>140</v>
      </c>
      <c r="F391" t="s">
        <v>125</v>
      </c>
      <c r="G391">
        <v>25900</v>
      </c>
      <c r="H391">
        <v>33925</v>
      </c>
      <c r="N391">
        <v>1</v>
      </c>
      <c r="O391" t="s">
        <v>947</v>
      </c>
      <c r="P391" t="s">
        <v>947</v>
      </c>
      <c r="Q391">
        <v>33925</v>
      </c>
      <c r="R391" s="9">
        <v>33925</v>
      </c>
      <c r="S391">
        <v>25900</v>
      </c>
      <c r="T391">
        <v>-8025</v>
      </c>
      <c r="U391" s="8">
        <v>-0.236551215917465</v>
      </c>
    </row>
    <row r="392" spans="1:21" x14ac:dyDescent="0.25">
      <c r="A392">
        <v>362</v>
      </c>
      <c r="B392" t="s">
        <v>666</v>
      </c>
      <c r="C392">
        <v>1</v>
      </c>
      <c r="D392" t="s">
        <v>552</v>
      </c>
      <c r="E392" t="s">
        <v>163</v>
      </c>
      <c r="F392" t="s">
        <v>87</v>
      </c>
      <c r="G392">
        <v>72569.175000000003</v>
      </c>
      <c r="H392">
        <v>112854.31110000001</v>
      </c>
      <c r="N392">
        <v>1</v>
      </c>
      <c r="O392" t="s">
        <v>947</v>
      </c>
      <c r="P392" t="s">
        <v>947</v>
      </c>
      <c r="Q392">
        <v>112854.31111</v>
      </c>
      <c r="R392" s="9">
        <v>112854.31111</v>
      </c>
      <c r="S392">
        <v>72569.175000000003</v>
      </c>
      <c r="T392">
        <v>-40285.136109999992</v>
      </c>
      <c r="U392" s="8">
        <v>-0.356965859024506</v>
      </c>
    </row>
    <row r="393" spans="1:21" x14ac:dyDescent="0.25">
      <c r="A393">
        <v>369</v>
      </c>
      <c r="B393" t="s">
        <v>768</v>
      </c>
      <c r="C393">
        <v>1</v>
      </c>
      <c r="D393" t="s">
        <v>179</v>
      </c>
      <c r="E393" t="s">
        <v>163</v>
      </c>
      <c r="F393" t="s">
        <v>87</v>
      </c>
      <c r="G393">
        <v>131994.79999999999</v>
      </c>
      <c r="H393">
        <v>92026.783330000006</v>
      </c>
      <c r="N393">
        <v>1</v>
      </c>
      <c r="O393" t="s">
        <v>947</v>
      </c>
      <c r="P393" t="s">
        <v>947</v>
      </c>
      <c r="Q393">
        <v>92026.783334999986</v>
      </c>
      <c r="R393" s="9">
        <v>92026.783334999986</v>
      </c>
      <c r="S393">
        <v>131994.79999999999</v>
      </c>
      <c r="T393">
        <v>39968.016665000003</v>
      </c>
      <c r="U393" s="8">
        <v>0.43430852645915802</v>
      </c>
    </row>
    <row r="394" spans="1:21" x14ac:dyDescent="0.25">
      <c r="A394">
        <v>378</v>
      </c>
      <c r="B394" t="s">
        <v>854</v>
      </c>
      <c r="C394">
        <v>1</v>
      </c>
      <c r="D394" t="s">
        <v>179</v>
      </c>
      <c r="E394" t="s">
        <v>326</v>
      </c>
      <c r="F394" t="s">
        <v>114</v>
      </c>
      <c r="G394">
        <v>40100</v>
      </c>
      <c r="H394">
        <v>39225</v>
      </c>
      <c r="N394">
        <v>1</v>
      </c>
      <c r="O394" t="s">
        <v>947</v>
      </c>
      <c r="P394" t="s">
        <v>947</v>
      </c>
      <c r="Q394">
        <v>39225</v>
      </c>
      <c r="R394" s="9">
        <v>39225</v>
      </c>
      <c r="S394">
        <v>40100</v>
      </c>
      <c r="T394">
        <v>875</v>
      </c>
      <c r="U394" s="8">
        <v>2.2307202039515601E-2</v>
      </c>
    </row>
    <row r="395" spans="1:21" x14ac:dyDescent="0.25">
      <c r="A395">
        <v>378</v>
      </c>
      <c r="B395" t="s">
        <v>854</v>
      </c>
      <c r="C395">
        <v>1</v>
      </c>
      <c r="D395" t="s">
        <v>179</v>
      </c>
      <c r="E395" t="s">
        <v>326</v>
      </c>
      <c r="F395" t="s">
        <v>121</v>
      </c>
      <c r="G395">
        <v>151817.5208</v>
      </c>
      <c r="H395">
        <v>142410.3443</v>
      </c>
      <c r="N395">
        <v>1</v>
      </c>
      <c r="O395" t="s">
        <v>947</v>
      </c>
      <c r="P395" t="s">
        <v>947</v>
      </c>
      <c r="Q395">
        <v>142410.3443</v>
      </c>
      <c r="R395" s="9">
        <v>142410.3443</v>
      </c>
      <c r="S395">
        <v>151817.5208</v>
      </c>
      <c r="T395">
        <v>9407.1765000000014</v>
      </c>
      <c r="U395" s="8">
        <v>6.6056834187430594E-2</v>
      </c>
    </row>
    <row r="396" spans="1:21" x14ac:dyDescent="0.25">
      <c r="A396">
        <v>378</v>
      </c>
      <c r="B396" t="s">
        <v>854</v>
      </c>
      <c r="C396">
        <v>1</v>
      </c>
      <c r="D396" t="s">
        <v>179</v>
      </c>
      <c r="E396" t="s">
        <v>130</v>
      </c>
      <c r="F396" t="s">
        <v>125</v>
      </c>
      <c r="G396">
        <v>40800</v>
      </c>
      <c r="H396">
        <v>30116.666669999999</v>
      </c>
      <c r="N396">
        <v>1</v>
      </c>
      <c r="O396" t="s">
        <v>947</v>
      </c>
      <c r="P396" t="s">
        <v>947</v>
      </c>
      <c r="Q396">
        <v>30116.666666666664</v>
      </c>
      <c r="R396" s="9">
        <v>30116.666666666664</v>
      </c>
      <c r="S396">
        <v>40800</v>
      </c>
      <c r="T396">
        <v>10683.333333333336</v>
      </c>
      <c r="U396" s="8">
        <v>0.35473159933591603</v>
      </c>
    </row>
    <row r="397" spans="1:21" x14ac:dyDescent="0.25">
      <c r="A397">
        <v>378</v>
      </c>
      <c r="B397" t="s">
        <v>854</v>
      </c>
      <c r="C397">
        <v>1</v>
      </c>
      <c r="D397" t="s">
        <v>179</v>
      </c>
      <c r="E397" t="s">
        <v>163</v>
      </c>
      <c r="F397" t="s">
        <v>87</v>
      </c>
      <c r="G397">
        <v>105850.26669999999</v>
      </c>
      <c r="H397">
        <v>112430.26669999999</v>
      </c>
      <c r="N397">
        <v>1</v>
      </c>
      <c r="O397" t="s">
        <v>947</v>
      </c>
      <c r="P397" t="s">
        <v>947</v>
      </c>
      <c r="Q397">
        <v>112430.26669999999</v>
      </c>
      <c r="R397" s="9">
        <v>112430.26669999999</v>
      </c>
      <c r="S397">
        <v>105850.26669999999</v>
      </c>
      <c r="T397">
        <v>-6580</v>
      </c>
      <c r="U397" s="8">
        <v>-5.8525165803951597E-2</v>
      </c>
    </row>
    <row r="398" spans="1:21" x14ac:dyDescent="0.25">
      <c r="A398">
        <v>318</v>
      </c>
      <c r="B398" t="s">
        <v>72</v>
      </c>
      <c r="C398">
        <v>1</v>
      </c>
      <c r="D398" t="s">
        <v>77</v>
      </c>
      <c r="E398" t="s">
        <v>118</v>
      </c>
      <c r="F398" t="s">
        <v>114</v>
      </c>
      <c r="G398">
        <v>37000</v>
      </c>
      <c r="H398">
        <v>37483.333330000001</v>
      </c>
      <c r="O398" t="s">
        <v>947</v>
      </c>
      <c r="P398" t="s">
        <v>947</v>
      </c>
      <c r="Q398">
        <v>37483.333333333336</v>
      </c>
      <c r="R398" s="9">
        <v>37483.333333333336</v>
      </c>
      <c r="S398">
        <v>37000</v>
      </c>
      <c r="T398">
        <v>-483.33333333333576</v>
      </c>
      <c r="U398" s="8">
        <v>-1.2894619831036101E-2</v>
      </c>
    </row>
    <row r="399" spans="1:21" x14ac:dyDescent="0.25">
      <c r="A399">
        <v>318</v>
      </c>
      <c r="B399" t="s">
        <v>72</v>
      </c>
      <c r="C399">
        <v>1</v>
      </c>
      <c r="D399" t="s">
        <v>77</v>
      </c>
      <c r="E399" t="s">
        <v>118</v>
      </c>
      <c r="F399" t="s">
        <v>121</v>
      </c>
      <c r="G399">
        <v>136546.0863</v>
      </c>
      <c r="H399">
        <v>145472.9786</v>
      </c>
      <c r="O399" t="s">
        <v>947</v>
      </c>
      <c r="P399" t="s">
        <v>947</v>
      </c>
      <c r="Q399">
        <v>145472.97853333334</v>
      </c>
      <c r="R399" s="9">
        <v>145472.97853333334</v>
      </c>
      <c r="S399">
        <v>136546.0863</v>
      </c>
      <c r="T399">
        <v>-8926.8922333333467</v>
      </c>
      <c r="U399" s="8">
        <v>-6.1364607525980198E-2</v>
      </c>
    </row>
    <row r="400" spans="1:21" x14ac:dyDescent="0.25">
      <c r="A400">
        <v>323</v>
      </c>
      <c r="B400" t="s">
        <v>133</v>
      </c>
      <c r="C400">
        <v>1</v>
      </c>
      <c r="D400" t="s">
        <v>137</v>
      </c>
      <c r="E400" t="s">
        <v>141</v>
      </c>
      <c r="F400" t="s">
        <v>92</v>
      </c>
      <c r="G400">
        <v>43070</v>
      </c>
      <c r="H400">
        <v>33935</v>
      </c>
      <c r="O400" t="s">
        <v>947</v>
      </c>
      <c r="P400" t="s">
        <v>947</v>
      </c>
      <c r="Q400">
        <v>33935</v>
      </c>
      <c r="R400" s="9">
        <v>33935</v>
      </c>
      <c r="S400">
        <v>43070</v>
      </c>
      <c r="T400">
        <v>9135</v>
      </c>
      <c r="U400" s="8">
        <v>0.269191100633564</v>
      </c>
    </row>
    <row r="401" spans="1:21" x14ac:dyDescent="0.25">
      <c r="A401">
        <v>323</v>
      </c>
      <c r="B401" t="s">
        <v>133</v>
      </c>
      <c r="C401">
        <v>1</v>
      </c>
      <c r="D401" t="s">
        <v>137</v>
      </c>
      <c r="E401" t="s">
        <v>141</v>
      </c>
      <c r="F401" t="s">
        <v>125</v>
      </c>
      <c r="G401">
        <v>20800</v>
      </c>
      <c r="H401">
        <v>40150</v>
      </c>
      <c r="O401" t="s">
        <v>947</v>
      </c>
      <c r="P401" t="s">
        <v>947</v>
      </c>
      <c r="Q401">
        <v>40150</v>
      </c>
      <c r="R401" s="9">
        <v>40150</v>
      </c>
      <c r="S401">
        <v>20800</v>
      </c>
      <c r="T401">
        <v>-19350</v>
      </c>
      <c r="U401" s="8">
        <v>-0.48194271481942702</v>
      </c>
    </row>
    <row r="402" spans="1:21" x14ac:dyDescent="0.25">
      <c r="A402">
        <v>323</v>
      </c>
      <c r="B402" t="s">
        <v>133</v>
      </c>
      <c r="C402">
        <v>1</v>
      </c>
      <c r="D402" t="s">
        <v>137</v>
      </c>
      <c r="E402" t="s">
        <v>150</v>
      </c>
      <c r="F402" t="s">
        <v>151</v>
      </c>
      <c r="G402">
        <v>116454</v>
      </c>
      <c r="H402">
        <v>104828.75</v>
      </c>
      <c r="O402" t="s">
        <v>947</v>
      </c>
      <c r="P402" t="s">
        <v>947</v>
      </c>
      <c r="Q402">
        <v>104828.75</v>
      </c>
      <c r="R402" s="9">
        <v>104828.75</v>
      </c>
      <c r="S402">
        <v>116454</v>
      </c>
      <c r="T402">
        <v>11625.25</v>
      </c>
      <c r="U402" s="8">
        <v>0.11089753526585</v>
      </c>
    </row>
    <row r="403" spans="1:21" x14ac:dyDescent="0.25">
      <c r="A403">
        <v>323</v>
      </c>
      <c r="B403" t="s">
        <v>133</v>
      </c>
      <c r="C403">
        <v>1</v>
      </c>
      <c r="D403" t="s">
        <v>137</v>
      </c>
      <c r="E403" t="s">
        <v>167</v>
      </c>
      <c r="F403" t="s">
        <v>110</v>
      </c>
      <c r="G403">
        <v>10250</v>
      </c>
      <c r="H403">
        <v>9606</v>
      </c>
      <c r="O403" t="s">
        <v>947</v>
      </c>
      <c r="P403" t="s">
        <v>947</v>
      </c>
      <c r="Q403">
        <v>9606</v>
      </c>
      <c r="R403" s="9">
        <v>9606</v>
      </c>
      <c r="S403">
        <v>10250</v>
      </c>
      <c r="T403">
        <v>644</v>
      </c>
      <c r="U403" s="8">
        <v>6.7041432438059601E-2</v>
      </c>
    </row>
    <row r="404" spans="1:21" x14ac:dyDescent="0.25">
      <c r="A404">
        <v>323</v>
      </c>
      <c r="B404" t="s">
        <v>133</v>
      </c>
      <c r="C404">
        <v>1</v>
      </c>
      <c r="D404" t="s">
        <v>137</v>
      </c>
      <c r="E404" t="s">
        <v>167</v>
      </c>
      <c r="F404" t="s">
        <v>106</v>
      </c>
      <c r="G404">
        <v>7200.0349999999999</v>
      </c>
      <c r="H404">
        <v>9810.1133329999993</v>
      </c>
      <c r="O404" t="s">
        <v>947</v>
      </c>
      <c r="P404" t="s">
        <v>947</v>
      </c>
      <c r="Q404">
        <v>9810.1133333333328</v>
      </c>
      <c r="R404" s="9">
        <v>9810.1133333333328</v>
      </c>
      <c r="S404">
        <v>7200.0349999999999</v>
      </c>
      <c r="T404">
        <v>-2610.0783333333329</v>
      </c>
      <c r="U404" s="8">
        <v>-0.26605995717344799</v>
      </c>
    </row>
    <row r="405" spans="1:21" x14ac:dyDescent="0.25">
      <c r="A405">
        <v>323</v>
      </c>
      <c r="B405" t="s">
        <v>133</v>
      </c>
      <c r="C405">
        <v>1</v>
      </c>
      <c r="D405" t="s">
        <v>137</v>
      </c>
      <c r="E405" t="s">
        <v>167</v>
      </c>
      <c r="F405" t="s">
        <v>80</v>
      </c>
      <c r="G405">
        <v>685626.90079999994</v>
      </c>
      <c r="H405">
        <v>649602.47699999996</v>
      </c>
      <c r="O405" t="s">
        <v>947</v>
      </c>
      <c r="P405" t="s">
        <v>947</v>
      </c>
      <c r="Q405">
        <v>649602.47703333327</v>
      </c>
      <c r="R405" s="9">
        <v>649602.47703333327</v>
      </c>
      <c r="S405">
        <v>685626.90079999994</v>
      </c>
      <c r="T405">
        <v>36024.423766666674</v>
      </c>
      <c r="U405" s="8">
        <v>5.5456105911397498E-2</v>
      </c>
    </row>
    <row r="406" spans="1:21" x14ac:dyDescent="0.25">
      <c r="A406">
        <v>324</v>
      </c>
      <c r="B406" t="s">
        <v>177</v>
      </c>
      <c r="C406">
        <v>1</v>
      </c>
      <c r="D406" t="s">
        <v>179</v>
      </c>
      <c r="E406" t="s">
        <v>203</v>
      </c>
      <c r="F406" t="s">
        <v>98</v>
      </c>
      <c r="G406">
        <v>18900</v>
      </c>
      <c r="H406">
        <v>27083.333330000001</v>
      </c>
      <c r="O406" t="s">
        <v>947</v>
      </c>
      <c r="P406" t="s">
        <v>947</v>
      </c>
      <c r="Q406">
        <v>27083.333333333336</v>
      </c>
      <c r="R406" s="9">
        <v>27083.333333333336</v>
      </c>
      <c r="S406">
        <v>18900</v>
      </c>
      <c r="T406">
        <v>-8183.3333333333358</v>
      </c>
      <c r="U406" s="8">
        <v>-0.302153846153846</v>
      </c>
    </row>
    <row r="407" spans="1:21" x14ac:dyDescent="0.25">
      <c r="A407">
        <v>326</v>
      </c>
      <c r="B407" t="s">
        <v>218</v>
      </c>
      <c r="C407">
        <v>1</v>
      </c>
      <c r="D407" t="s">
        <v>179</v>
      </c>
      <c r="E407" t="s">
        <v>141</v>
      </c>
      <c r="F407" t="s">
        <v>125</v>
      </c>
      <c r="G407">
        <v>52150</v>
      </c>
      <c r="H407">
        <v>40166.666669999999</v>
      </c>
      <c r="O407" t="s">
        <v>947</v>
      </c>
      <c r="P407" t="s">
        <v>947</v>
      </c>
      <c r="Q407">
        <v>40166.666666666672</v>
      </c>
      <c r="R407" s="9">
        <v>40166.666666666672</v>
      </c>
      <c r="S407">
        <v>52150</v>
      </c>
      <c r="T407">
        <v>11983.333333333328</v>
      </c>
      <c r="U407" s="8">
        <v>0.29834024896265499</v>
      </c>
    </row>
    <row r="408" spans="1:21" x14ac:dyDescent="0.25">
      <c r="A408">
        <v>326</v>
      </c>
      <c r="B408" t="s">
        <v>218</v>
      </c>
      <c r="C408">
        <v>1</v>
      </c>
      <c r="D408" t="s">
        <v>179</v>
      </c>
      <c r="E408" t="s">
        <v>229</v>
      </c>
      <c r="F408" t="s">
        <v>151</v>
      </c>
      <c r="G408">
        <v>80541.5</v>
      </c>
      <c r="H408">
        <v>79204.666670000006</v>
      </c>
      <c r="O408" t="s">
        <v>947</v>
      </c>
      <c r="P408" t="s">
        <v>947</v>
      </c>
      <c r="Q408">
        <v>79204.666666666672</v>
      </c>
      <c r="R408" s="9">
        <v>79204.666666666672</v>
      </c>
      <c r="S408">
        <v>80541.5</v>
      </c>
      <c r="T408">
        <v>1336.8333333333285</v>
      </c>
      <c r="U408" s="8">
        <v>1.6878214246635201E-2</v>
      </c>
    </row>
    <row r="409" spans="1:21" x14ac:dyDescent="0.25">
      <c r="A409">
        <v>326</v>
      </c>
      <c r="B409" t="s">
        <v>218</v>
      </c>
      <c r="C409">
        <v>1</v>
      </c>
      <c r="D409" t="s">
        <v>179</v>
      </c>
      <c r="E409" t="s">
        <v>243</v>
      </c>
      <c r="F409" t="s">
        <v>87</v>
      </c>
      <c r="G409">
        <v>111615.9917</v>
      </c>
      <c r="H409">
        <v>100943.5972</v>
      </c>
      <c r="O409" t="s">
        <v>947</v>
      </c>
      <c r="P409" t="s">
        <v>947</v>
      </c>
      <c r="Q409">
        <v>100943.59723333333</v>
      </c>
      <c r="R409" s="9">
        <v>100943.59723333333</v>
      </c>
      <c r="S409">
        <v>111615.9917</v>
      </c>
      <c r="T409">
        <v>10672.394466666665</v>
      </c>
      <c r="U409" s="8">
        <v>0.105726314091989</v>
      </c>
    </row>
    <row r="410" spans="1:21" x14ac:dyDescent="0.25">
      <c r="A410">
        <v>330</v>
      </c>
      <c r="B410" t="s">
        <v>257</v>
      </c>
      <c r="C410">
        <v>1</v>
      </c>
      <c r="D410" t="s">
        <v>260</v>
      </c>
      <c r="E410" t="s">
        <v>181</v>
      </c>
      <c r="F410" t="s">
        <v>92</v>
      </c>
      <c r="G410">
        <v>39670</v>
      </c>
      <c r="H410">
        <v>36220</v>
      </c>
      <c r="O410" t="s">
        <v>947</v>
      </c>
      <c r="P410" t="s">
        <v>947</v>
      </c>
      <c r="Q410">
        <v>36220</v>
      </c>
      <c r="R410" s="9">
        <v>36220</v>
      </c>
      <c r="S410">
        <v>39670</v>
      </c>
      <c r="T410">
        <v>3450</v>
      </c>
      <c r="U410" s="8">
        <v>9.5251242407509706E-2</v>
      </c>
    </row>
    <row r="411" spans="1:21" x14ac:dyDescent="0.25">
      <c r="A411">
        <v>330</v>
      </c>
      <c r="B411" t="s">
        <v>257</v>
      </c>
      <c r="C411">
        <v>1</v>
      </c>
      <c r="D411" t="s">
        <v>260</v>
      </c>
      <c r="E411" t="s">
        <v>267</v>
      </c>
      <c r="F411" t="s">
        <v>114</v>
      </c>
      <c r="G411">
        <v>18350</v>
      </c>
      <c r="H411">
        <v>25166.666669999999</v>
      </c>
      <c r="O411" t="s">
        <v>947</v>
      </c>
      <c r="P411" t="s">
        <v>947</v>
      </c>
      <c r="Q411">
        <v>25166.666666666668</v>
      </c>
      <c r="R411" s="9">
        <v>25166.666666666668</v>
      </c>
      <c r="S411">
        <v>18350</v>
      </c>
      <c r="T411">
        <v>-6816.6666666666679</v>
      </c>
      <c r="U411" s="8">
        <v>-0.27086092715231802</v>
      </c>
    </row>
    <row r="412" spans="1:21" x14ac:dyDescent="0.25">
      <c r="A412">
        <v>330</v>
      </c>
      <c r="B412" t="s">
        <v>257</v>
      </c>
      <c r="C412">
        <v>1</v>
      </c>
      <c r="D412" t="s">
        <v>260</v>
      </c>
      <c r="E412" t="s">
        <v>267</v>
      </c>
      <c r="F412" t="s">
        <v>121</v>
      </c>
      <c r="G412">
        <v>146169.37580000001</v>
      </c>
      <c r="H412">
        <v>149975.3946</v>
      </c>
      <c r="O412" t="s">
        <v>947</v>
      </c>
      <c r="P412" t="s">
        <v>947</v>
      </c>
      <c r="Q412">
        <v>149975.39453333334</v>
      </c>
      <c r="R412" s="9">
        <v>149975.39453333334</v>
      </c>
      <c r="S412">
        <v>146169.37580000001</v>
      </c>
      <c r="T412">
        <v>-3806.0187333333306</v>
      </c>
      <c r="U412" s="8">
        <v>-2.53776210769521E-2</v>
      </c>
    </row>
    <row r="413" spans="1:21" x14ac:dyDescent="0.25">
      <c r="A413">
        <v>330</v>
      </c>
      <c r="B413" t="s">
        <v>257</v>
      </c>
      <c r="C413">
        <v>1</v>
      </c>
      <c r="D413" t="s">
        <v>260</v>
      </c>
      <c r="E413" t="s">
        <v>276</v>
      </c>
      <c r="F413" t="s">
        <v>80</v>
      </c>
      <c r="G413">
        <v>557667.92339999997</v>
      </c>
      <c r="H413">
        <v>689735.1311</v>
      </c>
      <c r="O413" t="s">
        <v>947</v>
      </c>
      <c r="P413" t="s">
        <v>947</v>
      </c>
      <c r="Q413">
        <v>689735.13113333331</v>
      </c>
      <c r="R413" s="9">
        <v>689735.13113333331</v>
      </c>
      <c r="S413">
        <v>557667.92339999997</v>
      </c>
      <c r="T413">
        <v>-132067.20773333334</v>
      </c>
      <c r="U413" s="8">
        <v>-0.19147525154522399</v>
      </c>
    </row>
    <row r="414" spans="1:21" x14ac:dyDescent="0.25">
      <c r="A414">
        <v>330</v>
      </c>
      <c r="B414" t="s">
        <v>257</v>
      </c>
      <c r="C414">
        <v>1</v>
      </c>
      <c r="D414" t="s">
        <v>260</v>
      </c>
      <c r="E414" t="s">
        <v>276</v>
      </c>
      <c r="F414" t="s">
        <v>106</v>
      </c>
      <c r="G414">
        <v>2638.9625000000001</v>
      </c>
      <c r="H414">
        <v>5600.9025000000001</v>
      </c>
      <c r="O414" t="s">
        <v>947</v>
      </c>
      <c r="P414" t="s">
        <v>947</v>
      </c>
      <c r="Q414">
        <v>5600.9025000000001</v>
      </c>
      <c r="R414" s="9">
        <v>5600.9025000000001</v>
      </c>
      <c r="S414">
        <v>2638.9625000000001</v>
      </c>
      <c r="T414">
        <v>-2961.94</v>
      </c>
      <c r="U414" s="8">
        <v>-0.52883263009845305</v>
      </c>
    </row>
    <row r="415" spans="1:21" x14ac:dyDescent="0.25">
      <c r="A415">
        <v>330</v>
      </c>
      <c r="B415" t="s">
        <v>257</v>
      </c>
      <c r="C415">
        <v>1</v>
      </c>
      <c r="D415" t="s">
        <v>260</v>
      </c>
      <c r="E415" t="s">
        <v>276</v>
      </c>
      <c r="F415" t="s">
        <v>110</v>
      </c>
      <c r="G415">
        <v>6400</v>
      </c>
      <c r="H415">
        <v>5023.3333329999996</v>
      </c>
      <c r="O415" t="s">
        <v>947</v>
      </c>
      <c r="P415" t="s">
        <v>947</v>
      </c>
      <c r="Q415">
        <v>5023.3333333333339</v>
      </c>
      <c r="R415" s="9">
        <v>5023.3333333333339</v>
      </c>
      <c r="S415">
        <v>6400</v>
      </c>
      <c r="T415">
        <v>1376.6666666666661</v>
      </c>
      <c r="U415" s="8">
        <v>0.27405441274054398</v>
      </c>
    </row>
    <row r="416" spans="1:21" x14ac:dyDescent="0.25">
      <c r="A416">
        <v>330</v>
      </c>
      <c r="B416" t="s">
        <v>257</v>
      </c>
      <c r="C416">
        <v>1</v>
      </c>
      <c r="D416" t="s">
        <v>260</v>
      </c>
      <c r="E416" t="s">
        <v>289</v>
      </c>
      <c r="F416" t="s">
        <v>98</v>
      </c>
      <c r="G416">
        <v>41300</v>
      </c>
      <c r="H416">
        <v>38500</v>
      </c>
      <c r="O416" t="s">
        <v>947</v>
      </c>
      <c r="P416" t="s">
        <v>947</v>
      </c>
      <c r="Q416">
        <v>38500</v>
      </c>
      <c r="R416" s="9">
        <v>38500</v>
      </c>
      <c r="S416">
        <v>41300</v>
      </c>
      <c r="T416">
        <v>2800</v>
      </c>
      <c r="U416" s="8">
        <v>7.2727272727272696E-2</v>
      </c>
    </row>
    <row r="417" spans="1:21" x14ac:dyDescent="0.25">
      <c r="A417">
        <v>332</v>
      </c>
      <c r="B417" t="s">
        <v>296</v>
      </c>
      <c r="C417">
        <v>1</v>
      </c>
      <c r="D417" t="s">
        <v>260</v>
      </c>
      <c r="E417" t="s">
        <v>301</v>
      </c>
      <c r="F417" t="s">
        <v>92</v>
      </c>
      <c r="G417">
        <v>40400</v>
      </c>
      <c r="H417">
        <v>31766.666669999999</v>
      </c>
      <c r="O417" t="s">
        <v>947</v>
      </c>
      <c r="P417" t="s">
        <v>947</v>
      </c>
      <c r="Q417">
        <v>31766.666666666664</v>
      </c>
      <c r="R417" s="9">
        <v>31766.666666666664</v>
      </c>
      <c r="S417">
        <v>40400</v>
      </c>
      <c r="T417">
        <v>8633.3333333333358</v>
      </c>
      <c r="U417" s="8">
        <v>0.27177334732423902</v>
      </c>
    </row>
    <row r="418" spans="1:21" x14ac:dyDescent="0.25">
      <c r="A418">
        <v>333</v>
      </c>
      <c r="B418" t="s">
        <v>337</v>
      </c>
      <c r="C418">
        <v>1</v>
      </c>
      <c r="D418" t="s">
        <v>338</v>
      </c>
      <c r="E418" t="s">
        <v>243</v>
      </c>
      <c r="F418" t="s">
        <v>87</v>
      </c>
      <c r="G418">
        <v>123152.925</v>
      </c>
      <c r="H418">
        <v>108474.0417</v>
      </c>
      <c r="O418" t="s">
        <v>947</v>
      </c>
      <c r="P418" t="s">
        <v>947</v>
      </c>
      <c r="Q418">
        <v>108474.041665</v>
      </c>
      <c r="R418" s="9">
        <v>108474.041665</v>
      </c>
      <c r="S418">
        <v>123152.925</v>
      </c>
      <c r="T418">
        <v>14678.883335000006</v>
      </c>
      <c r="U418" s="8">
        <v>0.135321622663722</v>
      </c>
    </row>
    <row r="419" spans="1:21" x14ac:dyDescent="0.25">
      <c r="A419">
        <v>334</v>
      </c>
      <c r="B419" t="s">
        <v>366</v>
      </c>
      <c r="C419">
        <v>1</v>
      </c>
      <c r="D419" t="s">
        <v>338</v>
      </c>
      <c r="E419" t="s">
        <v>94</v>
      </c>
      <c r="F419" t="s">
        <v>92</v>
      </c>
      <c r="G419">
        <v>28010</v>
      </c>
      <c r="H419">
        <v>27166.666669999999</v>
      </c>
      <c r="O419" t="s">
        <v>947</v>
      </c>
      <c r="P419" t="s">
        <v>947</v>
      </c>
      <c r="Q419">
        <v>27166.666666666668</v>
      </c>
      <c r="R419" s="9">
        <v>27166.666666666668</v>
      </c>
      <c r="S419">
        <v>28010</v>
      </c>
      <c r="T419">
        <v>843.33333333333212</v>
      </c>
      <c r="U419" s="8">
        <v>3.1042944785276E-2</v>
      </c>
    </row>
    <row r="420" spans="1:21" x14ac:dyDescent="0.25">
      <c r="A420">
        <v>334</v>
      </c>
      <c r="B420" t="s">
        <v>366</v>
      </c>
      <c r="C420">
        <v>1</v>
      </c>
      <c r="D420" t="s">
        <v>338</v>
      </c>
      <c r="E420" t="s">
        <v>384</v>
      </c>
      <c r="F420" t="s">
        <v>87</v>
      </c>
      <c r="G420">
        <v>108940.125</v>
      </c>
      <c r="H420">
        <v>108672.3556</v>
      </c>
      <c r="O420" t="s">
        <v>947</v>
      </c>
      <c r="P420" t="s">
        <v>947</v>
      </c>
      <c r="Q420">
        <v>108672.35555666668</v>
      </c>
      <c r="R420" s="9">
        <v>108672.35555666668</v>
      </c>
      <c r="S420">
        <v>108940.125</v>
      </c>
      <c r="T420">
        <v>267.76944333332358</v>
      </c>
      <c r="U420" s="8">
        <v>2.4640069865210202E-3</v>
      </c>
    </row>
    <row r="421" spans="1:21" x14ac:dyDescent="0.25">
      <c r="A421">
        <v>334</v>
      </c>
      <c r="B421" t="s">
        <v>366</v>
      </c>
      <c r="C421">
        <v>1</v>
      </c>
      <c r="D421" t="s">
        <v>260</v>
      </c>
      <c r="E421" t="s">
        <v>394</v>
      </c>
      <c r="F421" t="s">
        <v>125</v>
      </c>
      <c r="G421">
        <v>38000</v>
      </c>
      <c r="H421">
        <v>45025</v>
      </c>
      <c r="O421" t="s">
        <v>947</v>
      </c>
      <c r="P421" t="s">
        <v>947</v>
      </c>
      <c r="Q421">
        <v>45025</v>
      </c>
      <c r="R421" s="9">
        <v>45025</v>
      </c>
      <c r="S421">
        <v>38000</v>
      </c>
      <c r="T421">
        <v>-7025</v>
      </c>
      <c r="U421" s="8">
        <v>-0.15602443087173801</v>
      </c>
    </row>
    <row r="422" spans="1:21" x14ac:dyDescent="0.25">
      <c r="A422">
        <v>336</v>
      </c>
      <c r="B422" t="s">
        <v>400</v>
      </c>
      <c r="C422">
        <v>1</v>
      </c>
      <c r="D422" t="s">
        <v>260</v>
      </c>
      <c r="E422" t="s">
        <v>94</v>
      </c>
      <c r="F422" t="s">
        <v>92</v>
      </c>
      <c r="G422">
        <v>28520</v>
      </c>
      <c r="H422">
        <v>42320</v>
      </c>
      <c r="O422" t="s">
        <v>947</v>
      </c>
      <c r="P422" t="s">
        <v>947</v>
      </c>
      <c r="Q422">
        <v>42320</v>
      </c>
      <c r="R422" s="9">
        <v>42320</v>
      </c>
      <c r="S422">
        <v>28520</v>
      </c>
      <c r="T422">
        <v>-13800</v>
      </c>
      <c r="U422" s="8">
        <v>-0.32608695652173902</v>
      </c>
    </row>
    <row r="423" spans="1:21" x14ac:dyDescent="0.25">
      <c r="A423">
        <v>336</v>
      </c>
      <c r="B423" t="s">
        <v>400</v>
      </c>
      <c r="C423">
        <v>1</v>
      </c>
      <c r="D423" t="s">
        <v>260</v>
      </c>
      <c r="E423" t="s">
        <v>413</v>
      </c>
      <c r="F423" t="s">
        <v>87</v>
      </c>
      <c r="G423">
        <v>150860.2083</v>
      </c>
      <c r="H423">
        <v>131253.17920000001</v>
      </c>
      <c r="O423" t="s">
        <v>947</v>
      </c>
      <c r="P423" t="s">
        <v>947</v>
      </c>
      <c r="Q423">
        <v>131253.17914999998</v>
      </c>
      <c r="R423" s="9">
        <v>131253.17914999998</v>
      </c>
      <c r="S423">
        <v>150860.2083</v>
      </c>
      <c r="T423">
        <v>19607.029150000017</v>
      </c>
      <c r="U423" s="8">
        <v>0.149383270386103</v>
      </c>
    </row>
    <row r="424" spans="1:21" x14ac:dyDescent="0.25">
      <c r="A424">
        <v>338</v>
      </c>
      <c r="B424" t="s">
        <v>422</v>
      </c>
      <c r="C424">
        <v>1</v>
      </c>
      <c r="D424" t="s">
        <v>260</v>
      </c>
      <c r="E424" t="s">
        <v>94</v>
      </c>
      <c r="F424" t="s">
        <v>92</v>
      </c>
      <c r="G424">
        <v>22420</v>
      </c>
      <c r="H424">
        <v>26493.333330000001</v>
      </c>
      <c r="O424" t="s">
        <v>947</v>
      </c>
      <c r="P424" t="s">
        <v>947</v>
      </c>
      <c r="Q424">
        <v>26493.333333333332</v>
      </c>
      <c r="R424" s="9">
        <v>26493.333333333332</v>
      </c>
      <c r="S424">
        <v>22420</v>
      </c>
      <c r="T424">
        <v>-4073.3333333333321</v>
      </c>
      <c r="U424" s="8">
        <v>-0.153749370910921</v>
      </c>
    </row>
    <row r="425" spans="1:21" x14ac:dyDescent="0.25">
      <c r="A425">
        <v>338</v>
      </c>
      <c r="B425" t="s">
        <v>422</v>
      </c>
      <c r="C425">
        <v>1</v>
      </c>
      <c r="D425" t="s">
        <v>260</v>
      </c>
      <c r="E425" t="s">
        <v>441</v>
      </c>
      <c r="F425" t="s">
        <v>151</v>
      </c>
      <c r="G425">
        <v>102765</v>
      </c>
      <c r="H425">
        <v>116983.75</v>
      </c>
      <c r="O425" t="s">
        <v>947</v>
      </c>
      <c r="P425" t="s">
        <v>947</v>
      </c>
      <c r="Q425">
        <v>116983.75</v>
      </c>
      <c r="R425" s="9">
        <v>116983.75</v>
      </c>
      <c r="S425">
        <v>102765</v>
      </c>
      <c r="T425">
        <v>-14218.75</v>
      </c>
      <c r="U425" s="8">
        <v>-0.121544658980414</v>
      </c>
    </row>
    <row r="426" spans="1:21" x14ac:dyDescent="0.25">
      <c r="A426">
        <v>338</v>
      </c>
      <c r="B426" t="s">
        <v>422</v>
      </c>
      <c r="C426">
        <v>1</v>
      </c>
      <c r="D426" t="s">
        <v>260</v>
      </c>
      <c r="E426" t="s">
        <v>248</v>
      </c>
      <c r="F426" t="s">
        <v>80</v>
      </c>
      <c r="G426">
        <v>746640.52500000002</v>
      </c>
      <c r="H426">
        <v>758314.41500000004</v>
      </c>
      <c r="O426" t="s">
        <v>947</v>
      </c>
      <c r="P426" t="s">
        <v>947</v>
      </c>
      <c r="Q426">
        <v>758314.41500000004</v>
      </c>
      <c r="R426" s="9">
        <v>758314.41500000004</v>
      </c>
      <c r="S426">
        <v>746640.52500000002</v>
      </c>
      <c r="T426">
        <v>-11673.890000000014</v>
      </c>
      <c r="U426" s="8">
        <v>-1.5394524710439599E-2</v>
      </c>
    </row>
    <row r="427" spans="1:21" x14ac:dyDescent="0.25">
      <c r="A427">
        <v>338</v>
      </c>
      <c r="B427" t="s">
        <v>422</v>
      </c>
      <c r="C427">
        <v>1</v>
      </c>
      <c r="D427" t="s">
        <v>260</v>
      </c>
      <c r="E427" t="s">
        <v>248</v>
      </c>
      <c r="F427" t="s">
        <v>106</v>
      </c>
      <c r="G427">
        <v>5356.7</v>
      </c>
      <c r="H427">
        <v>4912.9341670000003</v>
      </c>
      <c r="O427" t="s">
        <v>947</v>
      </c>
      <c r="P427" t="s">
        <v>947</v>
      </c>
      <c r="Q427">
        <v>4912.9341666666669</v>
      </c>
      <c r="R427" s="9">
        <v>4912.9341666666669</v>
      </c>
      <c r="S427">
        <v>5356.7</v>
      </c>
      <c r="T427">
        <v>443.76583333333292</v>
      </c>
      <c r="U427" s="8">
        <v>9.0326028861571303E-2</v>
      </c>
    </row>
    <row r="428" spans="1:21" x14ac:dyDescent="0.25">
      <c r="A428">
        <v>338</v>
      </c>
      <c r="B428" t="s">
        <v>422</v>
      </c>
      <c r="C428">
        <v>1</v>
      </c>
      <c r="D428" t="s">
        <v>260</v>
      </c>
      <c r="E428" t="s">
        <v>248</v>
      </c>
      <c r="F428" t="s">
        <v>110</v>
      </c>
      <c r="G428">
        <v>8704</v>
      </c>
      <c r="H428">
        <v>14893</v>
      </c>
      <c r="O428" t="s">
        <v>947</v>
      </c>
      <c r="P428" t="s">
        <v>947</v>
      </c>
      <c r="Q428">
        <v>14893</v>
      </c>
      <c r="R428" s="9">
        <v>14893</v>
      </c>
      <c r="S428">
        <v>8704</v>
      </c>
      <c r="T428">
        <v>-6189</v>
      </c>
      <c r="U428" s="8">
        <v>-0.41556435909487699</v>
      </c>
    </row>
    <row r="429" spans="1:21" x14ac:dyDescent="0.25">
      <c r="A429">
        <v>340</v>
      </c>
      <c r="B429" t="s">
        <v>456</v>
      </c>
      <c r="C429">
        <v>1</v>
      </c>
      <c r="D429" t="s">
        <v>260</v>
      </c>
      <c r="E429" t="s">
        <v>167</v>
      </c>
      <c r="F429" t="s">
        <v>80</v>
      </c>
      <c r="G429">
        <v>613851.47239999997</v>
      </c>
      <c r="H429">
        <v>711043.51249999995</v>
      </c>
      <c r="O429" t="s">
        <v>947</v>
      </c>
      <c r="P429" t="s">
        <v>947</v>
      </c>
      <c r="Q429">
        <v>711043.51246666664</v>
      </c>
      <c r="R429" s="9">
        <v>711043.51246666664</v>
      </c>
      <c r="S429">
        <v>613851.47239999997</v>
      </c>
      <c r="T429">
        <v>-97192.040066666668</v>
      </c>
      <c r="U429" s="8">
        <v>-0.13668930010977801</v>
      </c>
    </row>
    <row r="430" spans="1:21" x14ac:dyDescent="0.25">
      <c r="A430">
        <v>340</v>
      </c>
      <c r="B430" t="s">
        <v>456</v>
      </c>
      <c r="C430">
        <v>1</v>
      </c>
      <c r="D430" t="s">
        <v>260</v>
      </c>
      <c r="E430" t="s">
        <v>167</v>
      </c>
      <c r="F430" t="s">
        <v>106</v>
      </c>
      <c r="G430">
        <v>7207.9125000000004</v>
      </c>
      <c r="H430">
        <v>5621.9091669999998</v>
      </c>
      <c r="O430" t="s">
        <v>947</v>
      </c>
      <c r="P430" t="s">
        <v>947</v>
      </c>
      <c r="Q430">
        <v>5621.9091666666673</v>
      </c>
      <c r="R430" s="9">
        <v>5621.9091666666673</v>
      </c>
      <c r="S430">
        <v>7207.9125000000004</v>
      </c>
      <c r="T430">
        <v>1586.0033333333331</v>
      </c>
      <c r="U430" s="8">
        <v>0.28211116300793998</v>
      </c>
    </row>
    <row r="431" spans="1:21" x14ac:dyDescent="0.25">
      <c r="A431">
        <v>340</v>
      </c>
      <c r="B431" t="s">
        <v>456</v>
      </c>
      <c r="C431">
        <v>1</v>
      </c>
      <c r="D431" t="s">
        <v>260</v>
      </c>
      <c r="E431" t="s">
        <v>167</v>
      </c>
      <c r="F431" t="s">
        <v>110</v>
      </c>
      <c r="G431">
        <v>20320</v>
      </c>
      <c r="H431">
        <v>16903.666669999999</v>
      </c>
      <c r="O431" t="s">
        <v>947</v>
      </c>
      <c r="P431" t="s">
        <v>947</v>
      </c>
      <c r="Q431">
        <v>16903.666666666668</v>
      </c>
      <c r="R431" s="9">
        <v>16903.666666666668</v>
      </c>
      <c r="S431">
        <v>20320</v>
      </c>
      <c r="T431">
        <v>3416.3333333333321</v>
      </c>
      <c r="U431" s="8">
        <v>0.202106051941393</v>
      </c>
    </row>
    <row r="432" spans="1:21" x14ac:dyDescent="0.25">
      <c r="A432">
        <v>340</v>
      </c>
      <c r="B432" t="s">
        <v>456</v>
      </c>
      <c r="C432">
        <v>1</v>
      </c>
      <c r="D432" t="s">
        <v>472</v>
      </c>
      <c r="E432" t="s">
        <v>289</v>
      </c>
      <c r="F432" t="s">
        <v>98</v>
      </c>
      <c r="G432">
        <v>56650</v>
      </c>
      <c r="H432">
        <v>36483.333330000001</v>
      </c>
      <c r="O432" t="s">
        <v>947</v>
      </c>
      <c r="P432" t="s">
        <v>947</v>
      </c>
      <c r="Q432">
        <v>36483.333333333328</v>
      </c>
      <c r="R432" s="9">
        <v>36483.333333333328</v>
      </c>
      <c r="S432">
        <v>56650</v>
      </c>
      <c r="T432">
        <v>20166.666666666672</v>
      </c>
      <c r="U432" s="8">
        <v>0.552763819095478</v>
      </c>
    </row>
    <row r="433" spans="1:21" x14ac:dyDescent="0.25">
      <c r="A433">
        <v>341</v>
      </c>
      <c r="B433" t="s">
        <v>481</v>
      </c>
      <c r="C433">
        <v>1</v>
      </c>
      <c r="D433" t="s">
        <v>472</v>
      </c>
      <c r="E433" t="s">
        <v>248</v>
      </c>
      <c r="F433" t="s">
        <v>80</v>
      </c>
      <c r="G433">
        <v>1025091.738</v>
      </c>
      <c r="H433">
        <v>791032.91899999999</v>
      </c>
      <c r="O433" t="s">
        <v>947</v>
      </c>
      <c r="P433" t="s">
        <v>947</v>
      </c>
      <c r="Q433">
        <v>791032.91916666669</v>
      </c>
      <c r="R433" s="9">
        <v>791032.91916666669</v>
      </c>
      <c r="S433">
        <v>1025091.738</v>
      </c>
      <c r="T433">
        <v>234058.81883333332</v>
      </c>
      <c r="U433" s="8">
        <v>0.29589011172873603</v>
      </c>
    </row>
    <row r="434" spans="1:21" x14ac:dyDescent="0.25">
      <c r="A434">
        <v>341</v>
      </c>
      <c r="B434" t="s">
        <v>481</v>
      </c>
      <c r="C434">
        <v>1</v>
      </c>
      <c r="D434" t="s">
        <v>472</v>
      </c>
      <c r="E434" t="s">
        <v>248</v>
      </c>
      <c r="F434" t="s">
        <v>106</v>
      </c>
      <c r="G434">
        <v>10327.4025</v>
      </c>
      <c r="H434">
        <v>10028.057500000001</v>
      </c>
      <c r="O434" t="s">
        <v>947</v>
      </c>
      <c r="P434" t="s">
        <v>947</v>
      </c>
      <c r="Q434">
        <v>10028.057500000001</v>
      </c>
      <c r="R434" s="9">
        <v>10028.057500000001</v>
      </c>
      <c r="S434">
        <v>10327.4025</v>
      </c>
      <c r="T434">
        <v>299.34499999999935</v>
      </c>
      <c r="U434" s="8">
        <v>2.9850746268656601E-2</v>
      </c>
    </row>
    <row r="435" spans="1:21" x14ac:dyDescent="0.25">
      <c r="A435">
        <v>341</v>
      </c>
      <c r="B435" t="s">
        <v>481</v>
      </c>
      <c r="C435">
        <v>1</v>
      </c>
      <c r="D435" t="s">
        <v>338</v>
      </c>
      <c r="E435" t="s">
        <v>248</v>
      </c>
      <c r="F435" t="s">
        <v>110</v>
      </c>
      <c r="G435">
        <v>18576</v>
      </c>
      <c r="H435">
        <v>16579.333330000001</v>
      </c>
      <c r="O435" t="s">
        <v>947</v>
      </c>
      <c r="P435" t="s">
        <v>947</v>
      </c>
      <c r="Q435">
        <v>16579.333333333332</v>
      </c>
      <c r="R435" s="9">
        <v>16579.333333333332</v>
      </c>
      <c r="S435">
        <v>18576</v>
      </c>
      <c r="T435">
        <v>1996.6666666666679</v>
      </c>
      <c r="U435" s="8">
        <v>0.12043105874783901</v>
      </c>
    </row>
    <row r="436" spans="1:21" x14ac:dyDescent="0.25">
      <c r="A436">
        <v>341</v>
      </c>
      <c r="B436" t="s">
        <v>481</v>
      </c>
      <c r="C436">
        <v>1</v>
      </c>
      <c r="D436" t="s">
        <v>338</v>
      </c>
      <c r="E436" t="s">
        <v>495</v>
      </c>
      <c r="F436" t="s">
        <v>87</v>
      </c>
      <c r="G436">
        <v>86910.833329999994</v>
      </c>
      <c r="H436">
        <v>91396.2</v>
      </c>
      <c r="O436" t="s">
        <v>947</v>
      </c>
      <c r="P436" t="s">
        <v>947</v>
      </c>
      <c r="Q436">
        <v>91396.2</v>
      </c>
      <c r="R436" s="9">
        <v>91396.2</v>
      </c>
      <c r="S436">
        <v>86910.833329999994</v>
      </c>
      <c r="T436">
        <v>-4485.3666700000031</v>
      </c>
      <c r="U436" s="8">
        <v>-4.9076073950558199E-2</v>
      </c>
    </row>
    <row r="437" spans="1:21" x14ac:dyDescent="0.25">
      <c r="A437">
        <v>342</v>
      </c>
      <c r="B437" t="s">
        <v>505</v>
      </c>
      <c r="C437">
        <v>1</v>
      </c>
      <c r="D437" t="s">
        <v>338</v>
      </c>
      <c r="E437" t="s">
        <v>512</v>
      </c>
      <c r="F437" t="s">
        <v>87</v>
      </c>
      <c r="G437">
        <v>132444.4333</v>
      </c>
      <c r="H437">
        <v>143791.27780000001</v>
      </c>
      <c r="O437" t="s">
        <v>947</v>
      </c>
      <c r="P437" t="s">
        <v>947</v>
      </c>
      <c r="Q437">
        <v>143791.27776666667</v>
      </c>
      <c r="R437" s="9">
        <v>143791.27776666667</v>
      </c>
      <c r="S437">
        <v>132444.4333</v>
      </c>
      <c r="T437">
        <v>-11346.844466666662</v>
      </c>
      <c r="U437" s="8">
        <v>-7.8911910672909105E-2</v>
      </c>
    </row>
    <row r="438" spans="1:21" x14ac:dyDescent="0.25">
      <c r="A438">
        <v>343</v>
      </c>
      <c r="B438" t="s">
        <v>514</v>
      </c>
      <c r="C438">
        <v>1</v>
      </c>
      <c r="D438" t="s">
        <v>338</v>
      </c>
      <c r="E438" t="s">
        <v>141</v>
      </c>
      <c r="F438" t="s">
        <v>92</v>
      </c>
      <c r="G438">
        <v>54390</v>
      </c>
      <c r="H438">
        <v>52585</v>
      </c>
      <c r="O438" t="s">
        <v>947</v>
      </c>
      <c r="P438" t="s">
        <v>947</v>
      </c>
      <c r="Q438">
        <v>52585</v>
      </c>
      <c r="R438" s="9">
        <v>52585</v>
      </c>
      <c r="S438">
        <v>54390</v>
      </c>
      <c r="T438">
        <v>1805</v>
      </c>
      <c r="U438" s="8">
        <v>3.4325377959494197E-2</v>
      </c>
    </row>
    <row r="439" spans="1:21" x14ac:dyDescent="0.25">
      <c r="A439">
        <v>344</v>
      </c>
      <c r="B439" t="s">
        <v>533</v>
      </c>
      <c r="C439">
        <v>1</v>
      </c>
      <c r="D439" t="s">
        <v>338</v>
      </c>
      <c r="E439" t="s">
        <v>413</v>
      </c>
      <c r="F439" t="s">
        <v>87</v>
      </c>
      <c r="G439">
        <v>161621.25</v>
      </c>
      <c r="H439">
        <v>138920.25</v>
      </c>
      <c r="O439" t="s">
        <v>947</v>
      </c>
      <c r="P439" t="s">
        <v>947</v>
      </c>
      <c r="Q439">
        <v>138920.25</v>
      </c>
      <c r="R439" s="9">
        <v>138920.25</v>
      </c>
      <c r="S439">
        <v>161621.25</v>
      </c>
      <c r="T439">
        <v>22701</v>
      </c>
      <c r="U439" s="8">
        <v>0.163410301953819</v>
      </c>
    </row>
    <row r="440" spans="1:21" x14ac:dyDescent="0.25">
      <c r="A440">
        <v>345</v>
      </c>
      <c r="B440" t="s">
        <v>538</v>
      </c>
      <c r="C440">
        <v>1</v>
      </c>
      <c r="D440" t="s">
        <v>338</v>
      </c>
      <c r="E440" t="s">
        <v>264</v>
      </c>
      <c r="F440" t="s">
        <v>92</v>
      </c>
      <c r="G440">
        <v>27240</v>
      </c>
      <c r="H440">
        <v>28613.333330000001</v>
      </c>
      <c r="O440" t="s">
        <v>947</v>
      </c>
      <c r="P440" t="s">
        <v>947</v>
      </c>
      <c r="Q440">
        <v>28613.333333333336</v>
      </c>
      <c r="R440" s="9">
        <v>28613.333333333336</v>
      </c>
      <c r="S440">
        <v>27240</v>
      </c>
      <c r="T440">
        <v>-1373.3333333333358</v>
      </c>
      <c r="U440" s="8">
        <v>-4.7996272134203197E-2</v>
      </c>
    </row>
    <row r="441" spans="1:21" x14ac:dyDescent="0.25">
      <c r="A441">
        <v>345</v>
      </c>
      <c r="B441" t="s">
        <v>538</v>
      </c>
      <c r="C441">
        <v>1</v>
      </c>
      <c r="D441" t="s">
        <v>338</v>
      </c>
      <c r="E441" t="s">
        <v>79</v>
      </c>
      <c r="F441" t="s">
        <v>106</v>
      </c>
      <c r="G441">
        <v>9350.5925000000007</v>
      </c>
      <c r="H441">
        <v>8098.07</v>
      </c>
      <c r="O441" t="s">
        <v>947</v>
      </c>
      <c r="P441" t="s">
        <v>947</v>
      </c>
      <c r="Q441">
        <v>8098.07</v>
      </c>
      <c r="R441" s="9">
        <v>8098.07</v>
      </c>
      <c r="S441">
        <v>9350.5925000000007</v>
      </c>
      <c r="T441">
        <v>1252.5225000000009</v>
      </c>
      <c r="U441" s="8">
        <v>0.154669260700389</v>
      </c>
    </row>
    <row r="442" spans="1:21" x14ac:dyDescent="0.25">
      <c r="A442">
        <v>345</v>
      </c>
      <c r="B442" t="s">
        <v>538</v>
      </c>
      <c r="C442">
        <v>1</v>
      </c>
      <c r="D442" t="s">
        <v>552</v>
      </c>
      <c r="E442" t="s">
        <v>79</v>
      </c>
      <c r="F442" t="s">
        <v>80</v>
      </c>
      <c r="G442">
        <v>895921.25</v>
      </c>
      <c r="H442">
        <v>775087.81499999994</v>
      </c>
      <c r="O442" t="s">
        <v>947</v>
      </c>
      <c r="P442" t="s">
        <v>947</v>
      </c>
      <c r="Q442">
        <v>775087.81499999994</v>
      </c>
      <c r="R442" s="9">
        <v>775087.81499999994</v>
      </c>
      <c r="S442">
        <v>895921.25</v>
      </c>
      <c r="T442">
        <v>120833.43500000006</v>
      </c>
      <c r="U442" s="8">
        <v>0.15589644510151399</v>
      </c>
    </row>
    <row r="443" spans="1:21" x14ac:dyDescent="0.25">
      <c r="A443">
        <v>347</v>
      </c>
      <c r="B443" t="s">
        <v>556</v>
      </c>
      <c r="C443">
        <v>1</v>
      </c>
      <c r="D443" t="s">
        <v>552</v>
      </c>
      <c r="E443" t="s">
        <v>79</v>
      </c>
      <c r="F443" t="s">
        <v>185</v>
      </c>
      <c r="G443">
        <v>13549.3</v>
      </c>
      <c r="H443">
        <v>16175.133330000001</v>
      </c>
      <c r="O443" t="s">
        <v>947</v>
      </c>
      <c r="P443" t="s">
        <v>947</v>
      </c>
      <c r="Q443">
        <v>16175.133333333333</v>
      </c>
      <c r="R443" s="9">
        <v>16175.133333333333</v>
      </c>
      <c r="S443">
        <v>13549.3</v>
      </c>
      <c r="T443">
        <v>-2625.8333333333339</v>
      </c>
      <c r="U443" s="8">
        <v>-0.162337662337662</v>
      </c>
    </row>
    <row r="444" spans="1:21" x14ac:dyDescent="0.25">
      <c r="A444">
        <v>347</v>
      </c>
      <c r="B444" t="s">
        <v>556</v>
      </c>
      <c r="C444">
        <v>1</v>
      </c>
      <c r="D444" t="s">
        <v>552</v>
      </c>
      <c r="E444" t="s">
        <v>203</v>
      </c>
      <c r="F444" t="s">
        <v>98</v>
      </c>
      <c r="G444">
        <v>34400</v>
      </c>
      <c r="H444">
        <v>30133.333330000001</v>
      </c>
      <c r="O444" t="s">
        <v>947</v>
      </c>
      <c r="P444" t="s">
        <v>947</v>
      </c>
      <c r="Q444">
        <v>30133.333333333332</v>
      </c>
      <c r="R444" s="9">
        <v>30133.333333333332</v>
      </c>
      <c r="S444">
        <v>34400</v>
      </c>
      <c r="T444">
        <v>4266.6666666666679</v>
      </c>
      <c r="U444" s="8">
        <v>0.14159292035398199</v>
      </c>
    </row>
    <row r="445" spans="1:21" x14ac:dyDescent="0.25">
      <c r="A445">
        <v>347</v>
      </c>
      <c r="B445" t="s">
        <v>556</v>
      </c>
      <c r="C445">
        <v>1</v>
      </c>
      <c r="D445" t="s">
        <v>552</v>
      </c>
      <c r="E445" t="s">
        <v>79</v>
      </c>
      <c r="F445" t="s">
        <v>110</v>
      </c>
      <c r="G445">
        <v>18288</v>
      </c>
      <c r="H445">
        <v>14816.666670000001</v>
      </c>
      <c r="O445" t="s">
        <v>947</v>
      </c>
      <c r="P445" t="s">
        <v>947</v>
      </c>
      <c r="Q445">
        <v>14816.666666666666</v>
      </c>
      <c r="R445" s="9">
        <v>14816.666666666666</v>
      </c>
      <c r="S445">
        <v>18288</v>
      </c>
      <c r="T445">
        <v>3471.3333333333339</v>
      </c>
      <c r="U445" s="8">
        <v>0.23428571428571399</v>
      </c>
    </row>
    <row r="446" spans="1:21" x14ac:dyDescent="0.25">
      <c r="A446">
        <v>347</v>
      </c>
      <c r="B446" t="s">
        <v>556</v>
      </c>
      <c r="C446">
        <v>1</v>
      </c>
      <c r="D446" t="s">
        <v>552</v>
      </c>
      <c r="E446" t="s">
        <v>79</v>
      </c>
      <c r="F446" t="s">
        <v>106</v>
      </c>
      <c r="G446">
        <v>8736.1474999999991</v>
      </c>
      <c r="H446">
        <v>7780.3441670000002</v>
      </c>
      <c r="O446" t="s">
        <v>947</v>
      </c>
      <c r="P446" t="s">
        <v>947</v>
      </c>
      <c r="Q446">
        <v>7780.3441666666668</v>
      </c>
      <c r="R446" s="9">
        <v>7780.3441666666668</v>
      </c>
      <c r="S446">
        <v>8736.1474999999991</v>
      </c>
      <c r="T446">
        <v>955.80333333333238</v>
      </c>
      <c r="U446" s="8">
        <v>0.122848464394195</v>
      </c>
    </row>
    <row r="447" spans="1:21" x14ac:dyDescent="0.25">
      <c r="A447">
        <v>347</v>
      </c>
      <c r="B447" t="s">
        <v>556</v>
      </c>
      <c r="C447">
        <v>1</v>
      </c>
      <c r="D447" t="s">
        <v>552</v>
      </c>
      <c r="E447" t="s">
        <v>79</v>
      </c>
      <c r="F447" t="s">
        <v>80</v>
      </c>
      <c r="G447">
        <v>805591.46250000002</v>
      </c>
      <c r="H447">
        <v>834064.01939999999</v>
      </c>
      <c r="O447" t="s">
        <v>947</v>
      </c>
      <c r="P447" t="s">
        <v>947</v>
      </c>
      <c r="Q447">
        <v>834064.01939999999</v>
      </c>
      <c r="R447" s="9">
        <v>834064.01939999999</v>
      </c>
      <c r="S447">
        <v>805591.46250000002</v>
      </c>
      <c r="T447">
        <v>-28472.556899999967</v>
      </c>
      <c r="U447" s="8">
        <v>-3.4137136044403701E-2</v>
      </c>
    </row>
    <row r="448" spans="1:21" x14ac:dyDescent="0.25">
      <c r="A448">
        <v>350</v>
      </c>
      <c r="B448" t="s">
        <v>584</v>
      </c>
      <c r="C448">
        <v>1</v>
      </c>
      <c r="D448" t="s">
        <v>552</v>
      </c>
      <c r="E448" t="s">
        <v>248</v>
      </c>
      <c r="F448" t="s">
        <v>80</v>
      </c>
      <c r="G448">
        <v>894716.16</v>
      </c>
      <c r="H448">
        <v>831311.73629999999</v>
      </c>
      <c r="O448" t="s">
        <v>947</v>
      </c>
      <c r="P448" t="s">
        <v>947</v>
      </c>
      <c r="Q448">
        <v>831311.73625000007</v>
      </c>
      <c r="R448" s="9">
        <v>831311.73625000007</v>
      </c>
      <c r="S448">
        <v>894716.16</v>
      </c>
      <c r="T448">
        <v>63404.423749999958</v>
      </c>
      <c r="U448" s="8">
        <v>7.6270333961618003E-2</v>
      </c>
    </row>
    <row r="449" spans="1:21" x14ac:dyDescent="0.25">
      <c r="A449">
        <v>350</v>
      </c>
      <c r="B449" t="s">
        <v>584</v>
      </c>
      <c r="C449">
        <v>1</v>
      </c>
      <c r="D449" t="s">
        <v>552</v>
      </c>
      <c r="E449" t="s">
        <v>495</v>
      </c>
      <c r="F449" t="s">
        <v>87</v>
      </c>
      <c r="G449">
        <v>109025.1167</v>
      </c>
      <c r="H449">
        <v>122096.4694</v>
      </c>
      <c r="O449" t="s">
        <v>947</v>
      </c>
      <c r="P449" t="s">
        <v>947</v>
      </c>
      <c r="Q449">
        <v>122096.46946666666</v>
      </c>
      <c r="R449" s="9">
        <v>122096.46946666666</v>
      </c>
      <c r="S449">
        <v>109025.1167</v>
      </c>
      <c r="T449">
        <v>-13071.352766666663</v>
      </c>
      <c r="U449" s="8">
        <v>-0.10705758179383899</v>
      </c>
    </row>
    <row r="450" spans="1:21" x14ac:dyDescent="0.25">
      <c r="A450">
        <v>350</v>
      </c>
      <c r="B450" t="s">
        <v>584</v>
      </c>
      <c r="C450">
        <v>1</v>
      </c>
      <c r="D450" t="s">
        <v>552</v>
      </c>
      <c r="E450" t="s">
        <v>528</v>
      </c>
      <c r="F450" t="s">
        <v>98</v>
      </c>
      <c r="G450">
        <v>30450</v>
      </c>
      <c r="H450">
        <v>23066.666669999999</v>
      </c>
      <c r="O450" t="s">
        <v>947</v>
      </c>
      <c r="P450" t="s">
        <v>947</v>
      </c>
      <c r="Q450">
        <v>23066.666666666668</v>
      </c>
      <c r="R450" s="9">
        <v>23066.666666666668</v>
      </c>
      <c r="S450">
        <v>30450</v>
      </c>
      <c r="T450">
        <v>7383.3333333333321</v>
      </c>
      <c r="U450" s="8">
        <v>0.32008670520231203</v>
      </c>
    </row>
    <row r="451" spans="1:21" x14ac:dyDescent="0.25">
      <c r="A451">
        <v>350</v>
      </c>
      <c r="B451" t="s">
        <v>584</v>
      </c>
      <c r="C451">
        <v>1</v>
      </c>
      <c r="D451" t="s">
        <v>552</v>
      </c>
      <c r="E451" t="s">
        <v>248</v>
      </c>
      <c r="F451" t="s">
        <v>106</v>
      </c>
      <c r="G451">
        <v>5750.5749999999998</v>
      </c>
      <c r="H451">
        <v>9449.0612500000007</v>
      </c>
      <c r="O451" t="s">
        <v>947</v>
      </c>
      <c r="P451" t="s">
        <v>947</v>
      </c>
      <c r="Q451">
        <v>9449.0612500000007</v>
      </c>
      <c r="R451" s="9">
        <v>9449.0612500000007</v>
      </c>
      <c r="S451">
        <v>5750.5749999999998</v>
      </c>
      <c r="T451">
        <v>-3698.4862500000008</v>
      </c>
      <c r="U451" s="8">
        <v>-0.39141308878699499</v>
      </c>
    </row>
    <row r="452" spans="1:21" x14ac:dyDescent="0.25">
      <c r="A452">
        <v>350</v>
      </c>
      <c r="B452" t="s">
        <v>584</v>
      </c>
      <c r="C452">
        <v>1</v>
      </c>
      <c r="D452" t="s">
        <v>552</v>
      </c>
      <c r="E452" t="s">
        <v>248</v>
      </c>
      <c r="F452" t="s">
        <v>110</v>
      </c>
      <c r="G452">
        <v>19908</v>
      </c>
      <c r="H452">
        <v>13794</v>
      </c>
      <c r="O452" t="s">
        <v>947</v>
      </c>
      <c r="P452" t="s">
        <v>947</v>
      </c>
      <c r="Q452">
        <v>13794</v>
      </c>
      <c r="R452" s="9">
        <v>13794</v>
      </c>
      <c r="S452">
        <v>19908</v>
      </c>
      <c r="T452">
        <v>6114</v>
      </c>
      <c r="U452" s="8">
        <v>0.44323618964767297</v>
      </c>
    </row>
    <row r="453" spans="1:21" x14ac:dyDescent="0.25">
      <c r="A453">
        <v>350</v>
      </c>
      <c r="B453" t="s">
        <v>584</v>
      </c>
      <c r="C453">
        <v>1</v>
      </c>
      <c r="D453" t="s">
        <v>552</v>
      </c>
      <c r="E453" t="s">
        <v>248</v>
      </c>
      <c r="F453" t="s">
        <v>185</v>
      </c>
      <c r="G453">
        <v>21348.025000000001</v>
      </c>
      <c r="H453">
        <v>20323.95</v>
      </c>
      <c r="O453" t="s">
        <v>947</v>
      </c>
      <c r="P453" t="s">
        <v>947</v>
      </c>
      <c r="Q453">
        <v>20323.95</v>
      </c>
      <c r="R453" s="9">
        <v>20323.95</v>
      </c>
      <c r="S453">
        <v>21348.025000000001</v>
      </c>
      <c r="T453">
        <v>1024.0750000000007</v>
      </c>
      <c r="U453" s="8">
        <v>5.0387596899224799E-2</v>
      </c>
    </row>
    <row r="454" spans="1:21" x14ac:dyDescent="0.25">
      <c r="A454">
        <v>356</v>
      </c>
      <c r="B454" t="s">
        <v>607</v>
      </c>
      <c r="C454">
        <v>1</v>
      </c>
      <c r="D454" t="s">
        <v>552</v>
      </c>
      <c r="E454" t="s">
        <v>221</v>
      </c>
      <c r="F454" t="s">
        <v>92</v>
      </c>
      <c r="G454">
        <v>52580</v>
      </c>
      <c r="H454">
        <v>65180</v>
      </c>
      <c r="O454" t="s">
        <v>947</v>
      </c>
      <c r="P454" t="s">
        <v>947</v>
      </c>
      <c r="Q454">
        <v>65180</v>
      </c>
      <c r="R454" s="9">
        <v>65180</v>
      </c>
      <c r="S454">
        <v>52580</v>
      </c>
      <c r="T454">
        <v>-12600</v>
      </c>
      <c r="U454" s="8">
        <v>-0.19331083154341799</v>
      </c>
    </row>
    <row r="455" spans="1:21" x14ac:dyDescent="0.25">
      <c r="A455">
        <v>356</v>
      </c>
      <c r="B455" t="s">
        <v>607</v>
      </c>
      <c r="C455">
        <v>1</v>
      </c>
      <c r="D455" t="s">
        <v>552</v>
      </c>
      <c r="E455" t="s">
        <v>413</v>
      </c>
      <c r="F455" t="s">
        <v>87</v>
      </c>
      <c r="G455">
        <v>112271.25</v>
      </c>
      <c r="H455">
        <v>116541.85279999999</v>
      </c>
      <c r="O455" t="s">
        <v>947</v>
      </c>
      <c r="P455" t="s">
        <v>947</v>
      </c>
      <c r="Q455">
        <v>116541.85279999999</v>
      </c>
      <c r="R455" s="9">
        <v>116541.85279999999</v>
      </c>
      <c r="S455">
        <v>112271.25</v>
      </c>
      <c r="T455">
        <v>-4270.6027999999933</v>
      </c>
      <c r="U455" s="8">
        <v>-3.66443702189021E-2</v>
      </c>
    </row>
    <row r="456" spans="1:21" x14ac:dyDescent="0.25">
      <c r="A456">
        <v>356</v>
      </c>
      <c r="B456" t="s">
        <v>607</v>
      </c>
      <c r="C456">
        <v>1</v>
      </c>
      <c r="D456" t="s">
        <v>552</v>
      </c>
      <c r="E456" t="s">
        <v>626</v>
      </c>
      <c r="F456" t="s">
        <v>80</v>
      </c>
      <c r="G456">
        <v>696940.44</v>
      </c>
      <c r="H456">
        <v>729332.05169999995</v>
      </c>
      <c r="O456" t="s">
        <v>947</v>
      </c>
      <c r="P456" t="s">
        <v>947</v>
      </c>
      <c r="Q456">
        <v>729332.05169999995</v>
      </c>
      <c r="R456" s="9">
        <v>729332.05169999995</v>
      </c>
      <c r="S456">
        <v>696940.44</v>
      </c>
      <c r="T456">
        <v>-32391.611700000009</v>
      </c>
      <c r="U456" s="8">
        <v>-4.4412708346628103E-2</v>
      </c>
    </row>
    <row r="457" spans="1:21" x14ac:dyDescent="0.25">
      <c r="A457">
        <v>358</v>
      </c>
      <c r="B457" t="s">
        <v>630</v>
      </c>
      <c r="C457">
        <v>1</v>
      </c>
      <c r="D457" t="s">
        <v>552</v>
      </c>
      <c r="E457" t="s">
        <v>181</v>
      </c>
      <c r="F457" t="s">
        <v>92</v>
      </c>
      <c r="G457">
        <v>31110</v>
      </c>
      <c r="H457">
        <v>29100</v>
      </c>
      <c r="O457" t="s">
        <v>947</v>
      </c>
      <c r="P457" t="s">
        <v>947</v>
      </c>
      <c r="Q457">
        <v>29100</v>
      </c>
      <c r="R457" s="9">
        <v>29100</v>
      </c>
      <c r="S457">
        <v>31110</v>
      </c>
      <c r="T457">
        <v>2010</v>
      </c>
      <c r="U457" s="8">
        <v>6.9072164948453599E-2</v>
      </c>
    </row>
    <row r="458" spans="1:21" x14ac:dyDescent="0.25">
      <c r="A458">
        <v>358</v>
      </c>
      <c r="B458" t="s">
        <v>630</v>
      </c>
      <c r="C458">
        <v>1</v>
      </c>
      <c r="D458" t="s">
        <v>552</v>
      </c>
      <c r="E458" t="s">
        <v>289</v>
      </c>
      <c r="F458" t="s">
        <v>98</v>
      </c>
      <c r="G458">
        <v>35000</v>
      </c>
      <c r="H458">
        <v>30216.666669999999</v>
      </c>
      <c r="O458" t="s">
        <v>947</v>
      </c>
      <c r="P458" t="s">
        <v>947</v>
      </c>
      <c r="Q458">
        <v>30216.666666666668</v>
      </c>
      <c r="R458" s="9">
        <v>30216.666666666668</v>
      </c>
      <c r="S458">
        <v>35000</v>
      </c>
      <c r="T458">
        <v>4783.3333333333321</v>
      </c>
      <c r="U458" s="8">
        <v>0.15830115830115801</v>
      </c>
    </row>
    <row r="459" spans="1:21" x14ac:dyDescent="0.25">
      <c r="A459">
        <v>358</v>
      </c>
      <c r="B459" t="s">
        <v>630</v>
      </c>
      <c r="C459">
        <v>1</v>
      </c>
      <c r="D459" t="s">
        <v>552</v>
      </c>
      <c r="E459" t="s">
        <v>495</v>
      </c>
      <c r="F459" t="s">
        <v>87</v>
      </c>
      <c r="G459">
        <v>109992.925</v>
      </c>
      <c r="H459">
        <v>109087.2611</v>
      </c>
      <c r="O459" t="s">
        <v>947</v>
      </c>
      <c r="P459" t="s">
        <v>947</v>
      </c>
      <c r="Q459">
        <v>109087.2611</v>
      </c>
      <c r="R459" s="9">
        <v>109087.2611</v>
      </c>
      <c r="S459">
        <v>109992.925</v>
      </c>
      <c r="T459">
        <v>905.66389999999956</v>
      </c>
      <c r="U459" s="8">
        <v>8.3021967080993998E-3</v>
      </c>
    </row>
    <row r="460" spans="1:21" x14ac:dyDescent="0.25">
      <c r="A460">
        <v>358</v>
      </c>
      <c r="B460" t="s">
        <v>630</v>
      </c>
      <c r="C460">
        <v>1</v>
      </c>
      <c r="D460" t="s">
        <v>552</v>
      </c>
      <c r="E460" t="s">
        <v>167</v>
      </c>
      <c r="F460" t="s">
        <v>80</v>
      </c>
      <c r="G460">
        <v>798722.24</v>
      </c>
      <c r="H460">
        <v>801505.22100000002</v>
      </c>
      <c r="O460" t="s">
        <v>947</v>
      </c>
      <c r="P460" t="s">
        <v>947</v>
      </c>
      <c r="Q460">
        <v>801505.2209666667</v>
      </c>
      <c r="R460" s="9">
        <v>801505.2209666667</v>
      </c>
      <c r="S460">
        <v>798722.24</v>
      </c>
      <c r="T460">
        <v>-2782.9809666667134</v>
      </c>
      <c r="U460" s="8">
        <v>-3.4721931858538099E-3</v>
      </c>
    </row>
    <row r="461" spans="1:21" x14ac:dyDescent="0.25">
      <c r="A461">
        <v>361</v>
      </c>
      <c r="B461" t="s">
        <v>647</v>
      </c>
      <c r="C461">
        <v>1</v>
      </c>
      <c r="D461" t="s">
        <v>552</v>
      </c>
      <c r="E461" t="s">
        <v>238</v>
      </c>
      <c r="F461" t="s">
        <v>98</v>
      </c>
      <c r="G461">
        <v>47100</v>
      </c>
      <c r="H461">
        <v>29333.333330000001</v>
      </c>
      <c r="O461" t="s">
        <v>947</v>
      </c>
      <c r="P461" t="s">
        <v>947</v>
      </c>
      <c r="Q461">
        <v>29333.333333333332</v>
      </c>
      <c r="R461" s="9">
        <v>29333.333333333332</v>
      </c>
      <c r="S461">
        <v>47100</v>
      </c>
      <c r="T461">
        <v>17766.666666666668</v>
      </c>
      <c r="U461" s="8">
        <v>0.60568181818181799</v>
      </c>
    </row>
    <row r="462" spans="1:21" x14ac:dyDescent="0.25">
      <c r="A462">
        <v>361</v>
      </c>
      <c r="B462" t="s">
        <v>647</v>
      </c>
      <c r="C462">
        <v>1</v>
      </c>
      <c r="D462" t="s">
        <v>552</v>
      </c>
      <c r="E462" t="s">
        <v>413</v>
      </c>
      <c r="F462" t="s">
        <v>87</v>
      </c>
      <c r="G462">
        <v>128682.8667</v>
      </c>
      <c r="H462">
        <v>128325.07919999999</v>
      </c>
      <c r="O462" t="s">
        <v>947</v>
      </c>
      <c r="P462" t="s">
        <v>947</v>
      </c>
      <c r="Q462">
        <v>128325.07920000001</v>
      </c>
      <c r="R462" s="9">
        <v>128325.07920000001</v>
      </c>
      <c r="S462">
        <v>128682.8667</v>
      </c>
      <c r="T462">
        <v>357.78749999999127</v>
      </c>
      <c r="U462" s="8">
        <v>2.7881338724316299E-3</v>
      </c>
    </row>
    <row r="463" spans="1:21" x14ac:dyDescent="0.25">
      <c r="A463">
        <v>362</v>
      </c>
      <c r="B463" t="s">
        <v>666</v>
      </c>
      <c r="C463">
        <v>1</v>
      </c>
      <c r="D463" t="s">
        <v>552</v>
      </c>
      <c r="E463" t="s">
        <v>289</v>
      </c>
      <c r="F463" t="s">
        <v>98</v>
      </c>
      <c r="G463">
        <v>28950</v>
      </c>
      <c r="H463">
        <v>27483.333330000001</v>
      </c>
      <c r="O463" t="s">
        <v>947</v>
      </c>
      <c r="P463" t="s">
        <v>947</v>
      </c>
      <c r="Q463">
        <v>27483.333333333332</v>
      </c>
      <c r="R463" s="9">
        <v>27483.333333333332</v>
      </c>
      <c r="S463">
        <v>28950</v>
      </c>
      <c r="T463">
        <v>1466.6666666666679</v>
      </c>
      <c r="U463" s="8">
        <v>5.3365676167374199E-2</v>
      </c>
    </row>
    <row r="464" spans="1:21" x14ac:dyDescent="0.25">
      <c r="A464">
        <v>363</v>
      </c>
      <c r="B464" t="s">
        <v>685</v>
      </c>
      <c r="C464">
        <v>1</v>
      </c>
      <c r="D464" t="s">
        <v>552</v>
      </c>
      <c r="E464" t="s">
        <v>316</v>
      </c>
      <c r="F464" t="s">
        <v>87</v>
      </c>
      <c r="G464">
        <v>84443.333329999994</v>
      </c>
      <c r="H464">
        <v>100280.1139</v>
      </c>
      <c r="O464" t="s">
        <v>947</v>
      </c>
      <c r="P464" t="s">
        <v>947</v>
      </c>
      <c r="Q464">
        <v>100280.11387666667</v>
      </c>
      <c r="R464" s="9">
        <v>100280.11387666667</v>
      </c>
      <c r="S464">
        <v>84443.333329999994</v>
      </c>
      <c r="T464">
        <v>-15836.780546666676</v>
      </c>
      <c r="U464" s="8">
        <v>-0.15792543441009799</v>
      </c>
    </row>
    <row r="465" spans="1:21" x14ac:dyDescent="0.25">
      <c r="A465">
        <v>364</v>
      </c>
      <c r="B465" t="s">
        <v>710</v>
      </c>
      <c r="C465">
        <v>1</v>
      </c>
      <c r="D465" t="s">
        <v>552</v>
      </c>
      <c r="E465" t="s">
        <v>238</v>
      </c>
      <c r="F465" t="s">
        <v>98</v>
      </c>
      <c r="G465">
        <v>36050</v>
      </c>
      <c r="H465">
        <v>31400</v>
      </c>
      <c r="O465" t="s">
        <v>947</v>
      </c>
      <c r="P465" t="s">
        <v>947</v>
      </c>
      <c r="Q465">
        <v>31400</v>
      </c>
      <c r="R465" s="9">
        <v>31400</v>
      </c>
      <c r="S465">
        <v>36050</v>
      </c>
      <c r="T465">
        <v>4650</v>
      </c>
      <c r="U465" s="8">
        <v>0.14808917197452201</v>
      </c>
    </row>
    <row r="466" spans="1:21" x14ac:dyDescent="0.25">
      <c r="A466">
        <v>364</v>
      </c>
      <c r="B466" t="s">
        <v>710</v>
      </c>
      <c r="C466">
        <v>1</v>
      </c>
      <c r="D466" t="s">
        <v>552</v>
      </c>
      <c r="E466" t="s">
        <v>413</v>
      </c>
      <c r="F466" t="s">
        <v>87</v>
      </c>
      <c r="G466">
        <v>135575.4167</v>
      </c>
      <c r="H466">
        <v>154258.96109999999</v>
      </c>
      <c r="O466" t="s">
        <v>947</v>
      </c>
      <c r="P466" t="s">
        <v>947</v>
      </c>
      <c r="Q466">
        <v>154258.96113333333</v>
      </c>
      <c r="R466" s="9">
        <v>154258.96113333333</v>
      </c>
      <c r="S466">
        <v>135575.4167</v>
      </c>
      <c r="T466">
        <v>-18683.544433333329</v>
      </c>
      <c r="U466" s="8">
        <v>-0.121118049130282</v>
      </c>
    </row>
    <row r="467" spans="1:21" x14ac:dyDescent="0.25">
      <c r="A467">
        <v>367</v>
      </c>
      <c r="B467" t="s">
        <v>733</v>
      </c>
      <c r="C467">
        <v>1</v>
      </c>
      <c r="D467" t="s">
        <v>179</v>
      </c>
      <c r="E467" t="s">
        <v>221</v>
      </c>
      <c r="F467" t="s">
        <v>92</v>
      </c>
      <c r="G467">
        <v>66560</v>
      </c>
      <c r="H467">
        <v>46565</v>
      </c>
      <c r="O467" t="s">
        <v>947</v>
      </c>
      <c r="P467" t="s">
        <v>947</v>
      </c>
      <c r="Q467">
        <v>46565</v>
      </c>
      <c r="R467" s="9">
        <v>46565</v>
      </c>
      <c r="S467">
        <v>66560</v>
      </c>
      <c r="T467">
        <v>19995</v>
      </c>
      <c r="U467" s="8">
        <v>0.42939976377107297</v>
      </c>
    </row>
    <row r="468" spans="1:21" x14ac:dyDescent="0.25">
      <c r="A468">
        <v>367</v>
      </c>
      <c r="B468" t="s">
        <v>733</v>
      </c>
      <c r="C468">
        <v>1</v>
      </c>
      <c r="D468" t="s">
        <v>179</v>
      </c>
      <c r="E468" t="s">
        <v>229</v>
      </c>
      <c r="F468" t="s">
        <v>151</v>
      </c>
      <c r="G468">
        <v>87425</v>
      </c>
      <c r="H468">
        <v>98085</v>
      </c>
      <c r="O468" t="s">
        <v>947</v>
      </c>
      <c r="P468" t="s">
        <v>947</v>
      </c>
      <c r="Q468">
        <v>98085</v>
      </c>
      <c r="R468" s="9">
        <v>98085</v>
      </c>
      <c r="S468">
        <v>87425</v>
      </c>
      <c r="T468">
        <v>-10660</v>
      </c>
      <c r="U468" s="8">
        <v>-0.10868124585818401</v>
      </c>
    </row>
    <row r="469" spans="1:21" x14ac:dyDescent="0.25">
      <c r="A469">
        <v>367</v>
      </c>
      <c r="B469" t="s">
        <v>733</v>
      </c>
      <c r="C469">
        <v>1</v>
      </c>
      <c r="D469" t="s">
        <v>179</v>
      </c>
      <c r="E469" t="s">
        <v>413</v>
      </c>
      <c r="F469" t="s">
        <v>87</v>
      </c>
      <c r="G469">
        <v>100671.2583</v>
      </c>
      <c r="H469">
        <v>97059.569440000007</v>
      </c>
      <c r="O469" t="s">
        <v>947</v>
      </c>
      <c r="P469" t="s">
        <v>947</v>
      </c>
      <c r="Q469">
        <v>97059.569433333338</v>
      </c>
      <c r="R469" s="9">
        <v>97059.569433333338</v>
      </c>
      <c r="S469">
        <v>100671.2583</v>
      </c>
      <c r="T469">
        <v>3611.6888666666637</v>
      </c>
      <c r="U469" s="8">
        <v>3.7211053868803697E-2</v>
      </c>
    </row>
    <row r="470" spans="1:21" x14ac:dyDescent="0.25">
      <c r="A470">
        <v>369</v>
      </c>
      <c r="B470" t="s">
        <v>768</v>
      </c>
      <c r="C470">
        <v>1</v>
      </c>
      <c r="D470" t="s">
        <v>179</v>
      </c>
      <c r="E470" t="s">
        <v>441</v>
      </c>
      <c r="F470" t="s">
        <v>151</v>
      </c>
      <c r="G470">
        <v>87009</v>
      </c>
      <c r="H470">
        <v>127887.5</v>
      </c>
      <c r="O470" t="s">
        <v>947</v>
      </c>
      <c r="P470" t="s">
        <v>947</v>
      </c>
      <c r="Q470">
        <v>127887.5</v>
      </c>
      <c r="R470" s="9">
        <v>127887.5</v>
      </c>
      <c r="S470">
        <v>87009</v>
      </c>
      <c r="T470">
        <v>-40878.5</v>
      </c>
      <c r="U470" s="8">
        <v>-0.31964421855146102</v>
      </c>
    </row>
    <row r="471" spans="1:21" x14ac:dyDescent="0.25">
      <c r="A471">
        <v>373</v>
      </c>
      <c r="B471" t="s">
        <v>796</v>
      </c>
      <c r="C471">
        <v>1</v>
      </c>
      <c r="D471" t="s">
        <v>260</v>
      </c>
      <c r="E471" t="s">
        <v>181</v>
      </c>
      <c r="F471" t="s">
        <v>92</v>
      </c>
      <c r="G471">
        <v>29290</v>
      </c>
      <c r="H471">
        <v>28400</v>
      </c>
      <c r="O471" t="s">
        <v>947</v>
      </c>
      <c r="P471" t="s">
        <v>947</v>
      </c>
      <c r="Q471">
        <v>28400</v>
      </c>
      <c r="R471" s="9">
        <v>28400</v>
      </c>
      <c r="S471">
        <v>29290</v>
      </c>
      <c r="T471">
        <v>890</v>
      </c>
      <c r="U471" s="8">
        <v>3.1338028169014098E-2</v>
      </c>
    </row>
    <row r="472" spans="1:21" x14ac:dyDescent="0.25">
      <c r="A472">
        <v>373</v>
      </c>
      <c r="B472" t="s">
        <v>796</v>
      </c>
      <c r="C472">
        <v>1</v>
      </c>
      <c r="D472" t="s">
        <v>260</v>
      </c>
      <c r="E472" t="s">
        <v>805</v>
      </c>
      <c r="F472" t="s">
        <v>151</v>
      </c>
      <c r="G472">
        <v>101796.5</v>
      </c>
      <c r="H472">
        <v>98628.833329999994</v>
      </c>
      <c r="O472" t="s">
        <v>947</v>
      </c>
      <c r="P472" t="s">
        <v>947</v>
      </c>
      <c r="Q472">
        <v>98628.833333333328</v>
      </c>
      <c r="R472" s="9">
        <v>98628.833333333328</v>
      </c>
      <c r="S472">
        <v>101796.5</v>
      </c>
      <c r="T472">
        <v>3167.6666666666715</v>
      </c>
      <c r="U472" s="8">
        <v>3.2117044880384901E-2</v>
      </c>
    </row>
    <row r="473" spans="1:21" x14ac:dyDescent="0.25">
      <c r="A473">
        <v>373</v>
      </c>
      <c r="B473" t="s">
        <v>796</v>
      </c>
      <c r="C473">
        <v>1</v>
      </c>
      <c r="D473" t="s">
        <v>260</v>
      </c>
      <c r="E473" t="s">
        <v>316</v>
      </c>
      <c r="F473" t="s">
        <v>87</v>
      </c>
      <c r="G473">
        <v>96575.208329999994</v>
      </c>
      <c r="H473">
        <v>127133.825</v>
      </c>
      <c r="O473" t="s">
        <v>947</v>
      </c>
      <c r="P473" t="s">
        <v>947</v>
      </c>
      <c r="Q473">
        <v>127133.82501</v>
      </c>
      <c r="R473" s="9">
        <v>127133.82501</v>
      </c>
      <c r="S473">
        <v>96575.208329999994</v>
      </c>
      <c r="T473">
        <v>-30558.616680000006</v>
      </c>
      <c r="U473" s="8">
        <v>-0.24036574591849499</v>
      </c>
    </row>
    <row r="474" spans="1:21" x14ac:dyDescent="0.25">
      <c r="A474">
        <v>373</v>
      </c>
      <c r="B474" t="s">
        <v>796</v>
      </c>
      <c r="C474">
        <v>1</v>
      </c>
      <c r="D474" t="s">
        <v>260</v>
      </c>
      <c r="E474" t="s">
        <v>680</v>
      </c>
      <c r="F474" t="s">
        <v>110</v>
      </c>
      <c r="G474">
        <v>9625</v>
      </c>
      <c r="H474">
        <v>12223</v>
      </c>
      <c r="O474" t="s">
        <v>947</v>
      </c>
      <c r="P474" t="s">
        <v>947</v>
      </c>
      <c r="Q474">
        <v>12223</v>
      </c>
      <c r="R474" s="9">
        <v>12223</v>
      </c>
      <c r="S474">
        <v>9625</v>
      </c>
      <c r="T474">
        <v>-2598</v>
      </c>
      <c r="U474" s="8">
        <v>-0.21255011044751701</v>
      </c>
    </row>
    <row r="475" spans="1:21" x14ac:dyDescent="0.25">
      <c r="A475">
        <v>373</v>
      </c>
      <c r="B475" t="s">
        <v>796</v>
      </c>
      <c r="C475">
        <v>1</v>
      </c>
      <c r="D475" t="s">
        <v>260</v>
      </c>
      <c r="E475" t="s">
        <v>680</v>
      </c>
      <c r="F475" t="s">
        <v>106</v>
      </c>
      <c r="G475">
        <v>11824.127500000001</v>
      </c>
      <c r="H475">
        <v>11025.874169999999</v>
      </c>
      <c r="O475" t="s">
        <v>947</v>
      </c>
      <c r="P475" t="s">
        <v>947</v>
      </c>
      <c r="Q475">
        <v>11025.874166666666</v>
      </c>
      <c r="R475" s="9">
        <v>11025.874166666666</v>
      </c>
      <c r="S475">
        <v>11824.127500000001</v>
      </c>
      <c r="T475">
        <v>798.25333333333401</v>
      </c>
      <c r="U475" s="8">
        <v>7.2398190045248903E-2</v>
      </c>
    </row>
    <row r="476" spans="1:21" x14ac:dyDescent="0.25">
      <c r="A476">
        <v>373</v>
      </c>
      <c r="B476" t="s">
        <v>796</v>
      </c>
      <c r="C476">
        <v>1</v>
      </c>
      <c r="D476" t="s">
        <v>260</v>
      </c>
      <c r="E476" t="s">
        <v>680</v>
      </c>
      <c r="F476" t="s">
        <v>80</v>
      </c>
      <c r="G476">
        <v>798377.58</v>
      </c>
      <c r="H476">
        <v>723920.4031</v>
      </c>
      <c r="O476" t="s">
        <v>947</v>
      </c>
      <c r="P476" t="s">
        <v>947</v>
      </c>
      <c r="Q476">
        <v>723920.4031</v>
      </c>
      <c r="R476" s="9">
        <v>723920.4031</v>
      </c>
      <c r="S476">
        <v>798377.58</v>
      </c>
      <c r="T476">
        <v>74457.176899999962</v>
      </c>
      <c r="U476" s="8">
        <v>0.102852712233495</v>
      </c>
    </row>
    <row r="477" spans="1:21" x14ac:dyDescent="0.25">
      <c r="A477">
        <v>375</v>
      </c>
      <c r="B477" t="s">
        <v>826</v>
      </c>
      <c r="C477">
        <v>1</v>
      </c>
      <c r="D477" t="s">
        <v>260</v>
      </c>
      <c r="E477" t="s">
        <v>301</v>
      </c>
      <c r="F477" t="s">
        <v>92</v>
      </c>
      <c r="G477">
        <v>36360</v>
      </c>
      <c r="H477">
        <v>33080</v>
      </c>
      <c r="O477" t="s">
        <v>947</v>
      </c>
      <c r="P477" t="s">
        <v>947</v>
      </c>
      <c r="Q477">
        <v>33080</v>
      </c>
      <c r="R477" s="9">
        <v>33080</v>
      </c>
      <c r="S477">
        <v>36360</v>
      </c>
      <c r="T477">
        <v>3280</v>
      </c>
      <c r="U477" s="8">
        <v>9.9153567110036298E-2</v>
      </c>
    </row>
    <row r="478" spans="1:21" x14ac:dyDescent="0.25">
      <c r="A478">
        <v>375</v>
      </c>
      <c r="B478" t="s">
        <v>826</v>
      </c>
      <c r="C478">
        <v>1</v>
      </c>
      <c r="D478" t="s">
        <v>260</v>
      </c>
      <c r="E478" t="s">
        <v>680</v>
      </c>
      <c r="F478" t="s">
        <v>80</v>
      </c>
      <c r="G478">
        <v>955820.34</v>
      </c>
      <c r="H478">
        <v>884250.97120000003</v>
      </c>
      <c r="O478" t="s">
        <v>947</v>
      </c>
      <c r="P478" t="s">
        <v>947</v>
      </c>
      <c r="Q478">
        <v>884250.9711666666</v>
      </c>
      <c r="R478" s="9">
        <v>884250.9711666666</v>
      </c>
      <c r="S478">
        <v>955820.34</v>
      </c>
      <c r="T478">
        <v>71569.36883333337</v>
      </c>
      <c r="U478" s="8">
        <v>8.0937845891088905E-2</v>
      </c>
    </row>
    <row r="479" spans="1:21" x14ac:dyDescent="0.25">
      <c r="A479">
        <v>375</v>
      </c>
      <c r="B479" t="s">
        <v>826</v>
      </c>
      <c r="C479">
        <v>1</v>
      </c>
      <c r="D479" t="s">
        <v>260</v>
      </c>
      <c r="E479" t="s">
        <v>680</v>
      </c>
      <c r="F479" t="s">
        <v>106</v>
      </c>
      <c r="G479">
        <v>8255.6200000000008</v>
      </c>
      <c r="H479">
        <v>6467.4274999999998</v>
      </c>
      <c r="O479" t="s">
        <v>947</v>
      </c>
      <c r="P479" t="s">
        <v>947</v>
      </c>
      <c r="Q479">
        <v>6467.4274999999998</v>
      </c>
      <c r="R479" s="9">
        <v>6467.4274999999998</v>
      </c>
      <c r="S479">
        <v>8255.6200000000008</v>
      </c>
      <c r="T479">
        <v>1788.192500000001</v>
      </c>
      <c r="U479" s="8">
        <v>0.27649208282582199</v>
      </c>
    </row>
    <row r="480" spans="1:21" x14ac:dyDescent="0.25">
      <c r="A480">
        <v>375</v>
      </c>
      <c r="B480" t="s">
        <v>826</v>
      </c>
      <c r="C480">
        <v>1</v>
      </c>
      <c r="D480" t="s">
        <v>260</v>
      </c>
      <c r="E480" t="s">
        <v>680</v>
      </c>
      <c r="F480" t="s">
        <v>110</v>
      </c>
      <c r="G480">
        <v>11592</v>
      </c>
      <c r="H480">
        <v>9930</v>
      </c>
      <c r="O480" t="s">
        <v>947</v>
      </c>
      <c r="P480" t="s">
        <v>947</v>
      </c>
      <c r="Q480">
        <v>9930</v>
      </c>
      <c r="R480" s="9">
        <v>9930</v>
      </c>
      <c r="S480">
        <v>11592</v>
      </c>
      <c r="T480">
        <v>1662</v>
      </c>
      <c r="U480" s="8">
        <v>0.16737160120845901</v>
      </c>
    </row>
    <row r="481" spans="1:21" x14ac:dyDescent="0.25">
      <c r="A481">
        <v>378</v>
      </c>
      <c r="B481" t="s">
        <v>854</v>
      </c>
      <c r="C481">
        <v>1</v>
      </c>
      <c r="D481" t="s">
        <v>179</v>
      </c>
      <c r="E481" t="s">
        <v>181</v>
      </c>
      <c r="F481" t="s">
        <v>92</v>
      </c>
      <c r="G481">
        <v>67530</v>
      </c>
      <c r="H481">
        <v>37666.666669999999</v>
      </c>
      <c r="O481" t="s">
        <v>947</v>
      </c>
      <c r="P481" t="s">
        <v>947</v>
      </c>
      <c r="Q481">
        <v>37666.666666666664</v>
      </c>
      <c r="R481" s="9">
        <v>37666.666666666664</v>
      </c>
      <c r="S481">
        <v>67530</v>
      </c>
      <c r="T481">
        <v>29863.333333333336</v>
      </c>
      <c r="U481" s="8">
        <v>0.79283185840708004</v>
      </c>
    </row>
    <row r="482" spans="1:21" x14ac:dyDescent="0.25">
      <c r="A482">
        <v>381</v>
      </c>
      <c r="B482" t="s">
        <v>887</v>
      </c>
      <c r="C482">
        <v>1</v>
      </c>
      <c r="D482" t="s">
        <v>179</v>
      </c>
      <c r="E482" t="s">
        <v>79</v>
      </c>
      <c r="F482" t="s">
        <v>80</v>
      </c>
      <c r="G482">
        <v>924169.75</v>
      </c>
      <c r="H482">
        <v>887785.07709999999</v>
      </c>
      <c r="O482" t="s">
        <v>947</v>
      </c>
      <c r="P482" t="s">
        <v>947</v>
      </c>
      <c r="Q482">
        <v>887785.07706666668</v>
      </c>
      <c r="R482" s="9">
        <v>887785.07706666668</v>
      </c>
      <c r="S482">
        <v>924169.75</v>
      </c>
      <c r="T482">
        <v>36384.672933333321</v>
      </c>
      <c r="U482" s="8">
        <v>4.0983650067144703E-2</v>
      </c>
    </row>
    <row r="483" spans="1:21" x14ac:dyDescent="0.25">
      <c r="A483">
        <v>381</v>
      </c>
      <c r="B483" t="s">
        <v>887</v>
      </c>
      <c r="C483">
        <v>1</v>
      </c>
      <c r="D483" t="s">
        <v>179</v>
      </c>
      <c r="E483" t="s">
        <v>79</v>
      </c>
      <c r="F483" t="s">
        <v>106</v>
      </c>
      <c r="G483">
        <v>9886.2625000000007</v>
      </c>
      <c r="H483">
        <v>7530.89</v>
      </c>
      <c r="O483" t="s">
        <v>947</v>
      </c>
      <c r="P483" t="s">
        <v>947</v>
      </c>
      <c r="Q483">
        <v>7530.8900000000012</v>
      </c>
      <c r="R483" s="9">
        <v>7530.8900000000012</v>
      </c>
      <c r="S483">
        <v>9886.2625000000007</v>
      </c>
      <c r="T483">
        <v>2355.3724999999995</v>
      </c>
      <c r="U483" s="8">
        <v>0.31276150627615001</v>
      </c>
    </row>
    <row r="484" spans="1:21" x14ac:dyDescent="0.25">
      <c r="A484">
        <v>381</v>
      </c>
      <c r="B484" t="s">
        <v>887</v>
      </c>
      <c r="C484">
        <v>1</v>
      </c>
      <c r="D484" t="s">
        <v>179</v>
      </c>
      <c r="E484" t="s">
        <v>79</v>
      </c>
      <c r="F484" t="s">
        <v>110</v>
      </c>
      <c r="G484">
        <v>7434</v>
      </c>
      <c r="H484">
        <v>12357</v>
      </c>
      <c r="O484" t="s">
        <v>947</v>
      </c>
      <c r="P484" t="s">
        <v>947</v>
      </c>
      <c r="Q484">
        <v>12357</v>
      </c>
      <c r="R484" s="9">
        <v>12357</v>
      </c>
      <c r="S484">
        <v>7434</v>
      </c>
      <c r="T484">
        <v>-4923</v>
      </c>
      <c r="U484" s="8">
        <v>-0.39839766933721799</v>
      </c>
    </row>
    <row r="485" spans="1:21" x14ac:dyDescent="0.25">
      <c r="A485">
        <v>381</v>
      </c>
      <c r="B485" t="s">
        <v>887</v>
      </c>
      <c r="C485">
        <v>1</v>
      </c>
      <c r="D485" t="s">
        <v>179</v>
      </c>
      <c r="E485" t="s">
        <v>909</v>
      </c>
      <c r="F485" t="s">
        <v>98</v>
      </c>
      <c r="G485">
        <v>19800</v>
      </c>
      <c r="H485">
        <v>35100</v>
      </c>
      <c r="O485" t="s">
        <v>947</v>
      </c>
      <c r="P485" t="s">
        <v>947</v>
      </c>
      <c r="Q485">
        <v>35100</v>
      </c>
      <c r="R485" s="9">
        <v>35100</v>
      </c>
      <c r="S485">
        <v>19800</v>
      </c>
      <c r="T485">
        <v>-15300</v>
      </c>
      <c r="U485" s="8">
        <v>-0.43589743589743601</v>
      </c>
    </row>
    <row r="486" spans="1:21" x14ac:dyDescent="0.25">
      <c r="A486">
        <v>383</v>
      </c>
      <c r="B486" t="s">
        <v>912</v>
      </c>
      <c r="C486">
        <v>1</v>
      </c>
      <c r="D486" t="s">
        <v>179</v>
      </c>
      <c r="E486" t="s">
        <v>221</v>
      </c>
      <c r="F486" t="s">
        <v>92</v>
      </c>
      <c r="G486">
        <v>26860</v>
      </c>
      <c r="H486">
        <v>29703.333330000001</v>
      </c>
      <c r="O486" t="s">
        <v>947</v>
      </c>
      <c r="P486" t="s">
        <v>947</v>
      </c>
      <c r="Q486">
        <v>29703.333333333332</v>
      </c>
      <c r="R486" s="9">
        <v>29703.333333333332</v>
      </c>
      <c r="S486">
        <v>26860</v>
      </c>
      <c r="T486">
        <v>-2843.3333333333321</v>
      </c>
      <c r="U486" s="8">
        <v>-9.57243855908428E-2</v>
      </c>
    </row>
    <row r="487" spans="1:21" x14ac:dyDescent="0.25">
      <c r="A487">
        <v>383</v>
      </c>
      <c r="B487" t="s">
        <v>912</v>
      </c>
      <c r="C487">
        <v>1</v>
      </c>
      <c r="D487" t="s">
        <v>179</v>
      </c>
      <c r="E487" t="s">
        <v>167</v>
      </c>
      <c r="F487" t="s">
        <v>80</v>
      </c>
      <c r="G487">
        <v>1004959.898</v>
      </c>
      <c r="H487">
        <v>874857.81169999996</v>
      </c>
      <c r="O487" t="s">
        <v>947</v>
      </c>
      <c r="P487" t="s">
        <v>947</v>
      </c>
      <c r="Q487">
        <v>874857.81183333334</v>
      </c>
      <c r="R487" s="9">
        <v>874857.81183333334</v>
      </c>
      <c r="S487">
        <v>1004959.898</v>
      </c>
      <c r="T487">
        <v>130102.0861666667</v>
      </c>
      <c r="U487" s="8">
        <v>0.148712264332449</v>
      </c>
    </row>
    <row r="488" spans="1:21" x14ac:dyDescent="0.25">
      <c r="A488">
        <v>383</v>
      </c>
      <c r="B488" t="s">
        <v>912</v>
      </c>
      <c r="C488">
        <v>1</v>
      </c>
      <c r="D488" t="s">
        <v>179</v>
      </c>
      <c r="E488" t="s">
        <v>167</v>
      </c>
      <c r="F488" t="s">
        <v>106</v>
      </c>
      <c r="G488">
        <v>11453.885</v>
      </c>
      <c r="H488">
        <v>9665.6924999999992</v>
      </c>
      <c r="O488" t="s">
        <v>947</v>
      </c>
      <c r="P488" t="s">
        <v>947</v>
      </c>
      <c r="Q488">
        <v>9665.6924999999992</v>
      </c>
      <c r="R488" s="9">
        <v>9665.6924999999992</v>
      </c>
      <c r="S488">
        <v>11453.885</v>
      </c>
      <c r="T488">
        <v>1788.192500000001</v>
      </c>
      <c r="U488" s="8">
        <v>0.18500407497962501</v>
      </c>
    </row>
    <row r="489" spans="1:21" x14ac:dyDescent="0.25">
      <c r="A489">
        <v>383</v>
      </c>
      <c r="B489" t="s">
        <v>912</v>
      </c>
      <c r="C489">
        <v>1</v>
      </c>
      <c r="D489" t="s">
        <v>179</v>
      </c>
      <c r="E489" t="s">
        <v>167</v>
      </c>
      <c r="F489" t="s">
        <v>110</v>
      </c>
      <c r="G489">
        <v>9828</v>
      </c>
      <c r="H489">
        <v>13940.666670000001</v>
      </c>
      <c r="O489" t="s">
        <v>947</v>
      </c>
      <c r="P489" t="s">
        <v>947</v>
      </c>
      <c r="Q489">
        <v>13940.666666666666</v>
      </c>
      <c r="R489" s="9">
        <v>13940.666666666666</v>
      </c>
      <c r="S489">
        <v>9828</v>
      </c>
      <c r="T489">
        <v>-4112.6666666666661</v>
      </c>
      <c r="U489" s="8">
        <v>-0.29501219453875999</v>
      </c>
    </row>
    <row r="490" spans="1:21" x14ac:dyDescent="0.25">
      <c r="A490">
        <v>383</v>
      </c>
      <c r="B490" t="s">
        <v>912</v>
      </c>
      <c r="C490">
        <v>1</v>
      </c>
      <c r="D490" t="s">
        <v>179</v>
      </c>
      <c r="E490" t="s">
        <v>243</v>
      </c>
      <c r="F490" t="s">
        <v>87</v>
      </c>
      <c r="G490">
        <v>126939.1667</v>
      </c>
      <c r="H490">
        <v>115215.8</v>
      </c>
      <c r="O490" t="s">
        <v>947</v>
      </c>
      <c r="P490" t="s">
        <v>947</v>
      </c>
      <c r="Q490">
        <v>115215.80002333333</v>
      </c>
      <c r="R490" s="9">
        <v>115215.80002333333</v>
      </c>
      <c r="S490">
        <v>126939.1667</v>
      </c>
      <c r="T490">
        <v>11723.366676666672</v>
      </c>
      <c r="U490" s="8">
        <v>0.101751380229903</v>
      </c>
    </row>
    <row r="491" spans="1:21" x14ac:dyDescent="0.25">
      <c r="A491">
        <v>318</v>
      </c>
      <c r="B491" t="s">
        <v>72</v>
      </c>
      <c r="C491">
        <v>1</v>
      </c>
      <c r="D491" t="s">
        <v>77</v>
      </c>
      <c r="E491" t="s">
        <v>79</v>
      </c>
      <c r="F491" t="s">
        <v>80</v>
      </c>
      <c r="G491">
        <v>960207.05279999995</v>
      </c>
      <c r="H491">
        <v>745866.46849999996</v>
      </c>
      <c r="I491">
        <v>1</v>
      </c>
      <c r="O491" t="s">
        <v>946</v>
      </c>
      <c r="P491" t="s">
        <v>946</v>
      </c>
      <c r="Q491">
        <v>745866.46846666664</v>
      </c>
      <c r="R491" s="9">
        <v>745866.46846666664</v>
      </c>
      <c r="S491">
        <v>960207.05279999995</v>
      </c>
      <c r="T491">
        <v>214340.5843333333</v>
      </c>
      <c r="U491" s="8">
        <v>0.28737125664593699</v>
      </c>
    </row>
    <row r="492" spans="1:21" x14ac:dyDescent="0.25">
      <c r="A492">
        <v>318</v>
      </c>
      <c r="B492" t="s">
        <v>72</v>
      </c>
      <c r="C492">
        <v>0</v>
      </c>
      <c r="D492" t="s">
        <v>77</v>
      </c>
      <c r="E492" t="s">
        <v>84</v>
      </c>
      <c r="F492" t="s">
        <v>80</v>
      </c>
      <c r="G492">
        <v>662457.18420000002</v>
      </c>
      <c r="I492">
        <v>1</v>
      </c>
      <c r="J492">
        <v>1</v>
      </c>
      <c r="O492" t="s">
        <v>948</v>
      </c>
      <c r="P492" t="s">
        <v>947</v>
      </c>
      <c r="Q492">
        <v>745866.46846666664</v>
      </c>
      <c r="R492" s="9"/>
      <c r="S492"/>
      <c r="T492"/>
      <c r="U492" s="8"/>
    </row>
    <row r="493" spans="1:21" x14ac:dyDescent="0.25">
      <c r="A493">
        <v>318</v>
      </c>
      <c r="B493" t="s">
        <v>72</v>
      </c>
      <c r="C493">
        <v>1</v>
      </c>
      <c r="D493" t="s">
        <v>77</v>
      </c>
      <c r="E493" t="s">
        <v>94</v>
      </c>
      <c r="F493" t="s">
        <v>92</v>
      </c>
      <c r="G493">
        <v>21040</v>
      </c>
      <c r="H493">
        <v>21656.666669999999</v>
      </c>
      <c r="I493">
        <v>1</v>
      </c>
      <c r="L493">
        <v>1</v>
      </c>
      <c r="O493" t="s">
        <v>949</v>
      </c>
      <c r="P493" t="s">
        <v>949</v>
      </c>
      <c r="Q493">
        <v>21656.666666666668</v>
      </c>
      <c r="R493" s="9">
        <v>21656.666666666668</v>
      </c>
      <c r="S493">
        <v>21040</v>
      </c>
      <c r="T493">
        <v>-616.66666666666788</v>
      </c>
      <c r="U493" s="8">
        <v>-2.84746806218255E-2</v>
      </c>
    </row>
    <row r="494" spans="1:21" x14ac:dyDescent="0.25">
      <c r="A494">
        <v>318</v>
      </c>
      <c r="B494" t="s">
        <v>72</v>
      </c>
      <c r="C494">
        <v>1</v>
      </c>
      <c r="D494" t="s">
        <v>77</v>
      </c>
      <c r="E494" t="s">
        <v>79</v>
      </c>
      <c r="F494" t="s">
        <v>106</v>
      </c>
      <c r="G494">
        <v>4805.2749999999996</v>
      </c>
      <c r="H494">
        <v>7050.3625000000002</v>
      </c>
      <c r="I494">
        <v>1</v>
      </c>
      <c r="O494" t="s">
        <v>950</v>
      </c>
      <c r="P494" t="s">
        <v>950</v>
      </c>
      <c r="Q494">
        <v>7050.3624999999993</v>
      </c>
      <c r="R494" s="9">
        <v>7050.3624999999993</v>
      </c>
      <c r="S494">
        <v>4805.2749999999996</v>
      </c>
      <c r="T494">
        <v>-2245.0874999999996</v>
      </c>
      <c r="U494" s="8">
        <v>-0.31843575418994402</v>
      </c>
    </row>
    <row r="495" spans="1:21" x14ac:dyDescent="0.25">
      <c r="A495">
        <v>318</v>
      </c>
      <c r="B495" t="s">
        <v>72</v>
      </c>
      <c r="C495">
        <v>0</v>
      </c>
      <c r="D495" t="s">
        <v>77</v>
      </c>
      <c r="E495" t="s">
        <v>84</v>
      </c>
      <c r="F495" t="s">
        <v>106</v>
      </c>
      <c r="G495">
        <v>10043.8125</v>
      </c>
      <c r="I495">
        <v>1</v>
      </c>
      <c r="J495">
        <v>1</v>
      </c>
      <c r="O495" t="s">
        <v>951</v>
      </c>
      <c r="P495" t="s">
        <v>947</v>
      </c>
      <c r="Q495">
        <v>7050.3624999999993</v>
      </c>
      <c r="R495" s="9"/>
      <c r="S495"/>
      <c r="T495"/>
      <c r="U495" s="8"/>
    </row>
    <row r="496" spans="1:21" x14ac:dyDescent="0.25">
      <c r="A496">
        <v>318</v>
      </c>
      <c r="B496" t="s">
        <v>72</v>
      </c>
      <c r="C496">
        <v>1</v>
      </c>
      <c r="D496" t="s">
        <v>77</v>
      </c>
      <c r="E496" t="s">
        <v>79</v>
      </c>
      <c r="F496" t="s">
        <v>110</v>
      </c>
      <c r="G496">
        <v>18176</v>
      </c>
      <c r="H496">
        <v>14980</v>
      </c>
      <c r="I496">
        <v>1</v>
      </c>
      <c r="O496" t="s">
        <v>952</v>
      </c>
      <c r="P496" t="s">
        <v>952</v>
      </c>
      <c r="Q496">
        <v>14980</v>
      </c>
      <c r="R496" s="9">
        <v>14980</v>
      </c>
      <c r="S496">
        <v>18176</v>
      </c>
      <c r="T496">
        <v>3196</v>
      </c>
      <c r="U496" s="8">
        <v>0.21335113484646201</v>
      </c>
    </row>
    <row r="497" spans="1:21" x14ac:dyDescent="0.25">
      <c r="A497">
        <v>318</v>
      </c>
      <c r="B497" t="s">
        <v>72</v>
      </c>
      <c r="C497">
        <v>0</v>
      </c>
      <c r="D497" t="s">
        <v>77</v>
      </c>
      <c r="E497" t="s">
        <v>84</v>
      </c>
      <c r="F497" t="s">
        <v>110</v>
      </c>
      <c r="G497">
        <v>14364</v>
      </c>
      <c r="I497">
        <v>1</v>
      </c>
      <c r="J497">
        <v>1</v>
      </c>
      <c r="O497" t="s">
        <v>953</v>
      </c>
      <c r="P497" t="s">
        <v>947</v>
      </c>
      <c r="Q497">
        <v>14980</v>
      </c>
      <c r="R497" s="9"/>
      <c r="S497"/>
      <c r="T497"/>
      <c r="U497" s="8"/>
    </row>
    <row r="498" spans="1:21" x14ac:dyDescent="0.25">
      <c r="A498">
        <v>323</v>
      </c>
      <c r="B498" t="s">
        <v>133</v>
      </c>
      <c r="C498">
        <v>0</v>
      </c>
      <c r="D498" t="s">
        <v>137</v>
      </c>
      <c r="E498" t="s">
        <v>84</v>
      </c>
      <c r="F498" t="s">
        <v>92</v>
      </c>
      <c r="G498">
        <v>24800</v>
      </c>
      <c r="I498">
        <v>1</v>
      </c>
      <c r="N498">
        <v>1</v>
      </c>
      <c r="O498" t="s">
        <v>954</v>
      </c>
      <c r="P498" t="s">
        <v>947</v>
      </c>
      <c r="Q498">
        <v>33935</v>
      </c>
      <c r="R498" s="9"/>
      <c r="S498"/>
      <c r="T498"/>
      <c r="U498" s="8"/>
    </row>
    <row r="499" spans="1:21" x14ac:dyDescent="0.25">
      <c r="A499">
        <v>323</v>
      </c>
      <c r="B499" t="s">
        <v>133</v>
      </c>
      <c r="C499">
        <v>1</v>
      </c>
      <c r="D499" t="s">
        <v>137</v>
      </c>
      <c r="E499" t="s">
        <v>158</v>
      </c>
      <c r="F499" t="s">
        <v>98</v>
      </c>
      <c r="G499">
        <v>49250</v>
      </c>
      <c r="H499">
        <v>32250</v>
      </c>
      <c r="I499">
        <v>1</v>
      </c>
      <c r="M499">
        <v>1</v>
      </c>
      <c r="O499" t="s">
        <v>955</v>
      </c>
      <c r="P499" t="s">
        <v>955</v>
      </c>
      <c r="Q499">
        <v>32250</v>
      </c>
      <c r="R499" s="9">
        <v>32250</v>
      </c>
      <c r="S499">
        <v>49250</v>
      </c>
      <c r="T499">
        <v>17000</v>
      </c>
      <c r="U499" s="8">
        <v>0.52713178294573604</v>
      </c>
    </row>
    <row r="500" spans="1:21" x14ac:dyDescent="0.25">
      <c r="A500">
        <v>323</v>
      </c>
      <c r="B500" t="s">
        <v>133</v>
      </c>
      <c r="C500">
        <v>0</v>
      </c>
      <c r="D500" t="s">
        <v>137</v>
      </c>
      <c r="E500" t="s">
        <v>84</v>
      </c>
      <c r="F500" t="s">
        <v>110</v>
      </c>
      <c r="G500">
        <v>8568</v>
      </c>
      <c r="I500">
        <v>1</v>
      </c>
      <c r="O500" t="s">
        <v>956</v>
      </c>
      <c r="P500" t="s">
        <v>947</v>
      </c>
      <c r="Q500">
        <v>9606</v>
      </c>
      <c r="R500" s="9"/>
      <c r="S500"/>
      <c r="T500"/>
      <c r="U500" s="8"/>
    </row>
    <row r="501" spans="1:21" x14ac:dyDescent="0.25">
      <c r="A501">
        <v>323</v>
      </c>
      <c r="B501" t="s">
        <v>133</v>
      </c>
      <c r="C501">
        <v>0</v>
      </c>
      <c r="D501" t="s">
        <v>137</v>
      </c>
      <c r="E501" t="s">
        <v>84</v>
      </c>
      <c r="F501" t="s">
        <v>110</v>
      </c>
      <c r="G501">
        <v>10000</v>
      </c>
      <c r="I501">
        <v>1</v>
      </c>
      <c r="J501">
        <v>1</v>
      </c>
      <c r="O501" t="s">
        <v>957</v>
      </c>
      <c r="P501" t="s">
        <v>947</v>
      </c>
      <c r="Q501">
        <v>9606</v>
      </c>
      <c r="R501" s="9"/>
      <c r="S501"/>
      <c r="T501"/>
      <c r="U501" s="8"/>
    </row>
    <row r="502" spans="1:21" x14ac:dyDescent="0.25">
      <c r="A502">
        <v>323</v>
      </c>
      <c r="B502" t="s">
        <v>133</v>
      </c>
      <c r="C502">
        <v>0</v>
      </c>
      <c r="D502" t="s">
        <v>137</v>
      </c>
      <c r="E502" t="s">
        <v>84</v>
      </c>
      <c r="F502" t="s">
        <v>106</v>
      </c>
      <c r="G502">
        <v>12958.487499999999</v>
      </c>
      <c r="I502">
        <v>1</v>
      </c>
      <c r="O502" t="s">
        <v>958</v>
      </c>
      <c r="P502" t="s">
        <v>947</v>
      </c>
      <c r="Q502">
        <v>9810.1133333333328</v>
      </c>
      <c r="R502" s="9"/>
      <c r="S502"/>
      <c r="T502"/>
      <c r="U502" s="8"/>
    </row>
    <row r="503" spans="1:21" x14ac:dyDescent="0.25">
      <c r="A503">
        <v>323</v>
      </c>
      <c r="B503" t="s">
        <v>133</v>
      </c>
      <c r="C503">
        <v>0</v>
      </c>
      <c r="D503" t="s">
        <v>137</v>
      </c>
      <c r="E503" t="s">
        <v>84</v>
      </c>
      <c r="F503" t="s">
        <v>106</v>
      </c>
      <c r="G503">
        <v>9271.8174999999992</v>
      </c>
      <c r="I503">
        <v>1</v>
      </c>
      <c r="J503">
        <v>1</v>
      </c>
      <c r="O503" t="s">
        <v>959</v>
      </c>
      <c r="P503" t="s">
        <v>947</v>
      </c>
      <c r="Q503">
        <v>9810.1133333333328</v>
      </c>
      <c r="R503" s="9"/>
      <c r="S503"/>
      <c r="T503"/>
      <c r="U503" s="8"/>
    </row>
    <row r="504" spans="1:21" x14ac:dyDescent="0.25">
      <c r="A504">
        <v>323</v>
      </c>
      <c r="B504" t="s">
        <v>133</v>
      </c>
      <c r="C504">
        <v>0</v>
      </c>
      <c r="D504" t="s">
        <v>137</v>
      </c>
      <c r="E504" t="s">
        <v>84</v>
      </c>
      <c r="F504" t="s">
        <v>80</v>
      </c>
      <c r="G504">
        <v>673878.4375</v>
      </c>
      <c r="I504">
        <v>1</v>
      </c>
      <c r="O504" t="s">
        <v>960</v>
      </c>
      <c r="P504" t="s">
        <v>947</v>
      </c>
      <c r="Q504">
        <v>649602.47703333327</v>
      </c>
      <c r="R504" s="9"/>
      <c r="S504"/>
      <c r="T504"/>
      <c r="U504" s="8"/>
    </row>
    <row r="505" spans="1:21" x14ac:dyDescent="0.25">
      <c r="A505">
        <v>323</v>
      </c>
      <c r="B505" t="s">
        <v>133</v>
      </c>
      <c r="C505">
        <v>0</v>
      </c>
      <c r="D505" t="s">
        <v>137</v>
      </c>
      <c r="E505" t="s">
        <v>84</v>
      </c>
      <c r="F505" t="s">
        <v>80</v>
      </c>
      <c r="G505">
        <v>589302.09279999998</v>
      </c>
      <c r="I505">
        <v>1</v>
      </c>
      <c r="J505">
        <v>1</v>
      </c>
      <c r="O505" t="s">
        <v>961</v>
      </c>
      <c r="P505" t="s">
        <v>947</v>
      </c>
      <c r="Q505">
        <v>649602.47703333327</v>
      </c>
      <c r="R505" s="9"/>
      <c r="S505"/>
      <c r="T505"/>
      <c r="U505" s="8"/>
    </row>
    <row r="506" spans="1:21" x14ac:dyDescent="0.25">
      <c r="A506">
        <v>326</v>
      </c>
      <c r="B506" t="s">
        <v>218</v>
      </c>
      <c r="C506">
        <v>0</v>
      </c>
      <c r="D506" t="s">
        <v>179</v>
      </c>
      <c r="E506" t="s">
        <v>84</v>
      </c>
      <c r="F506" t="s">
        <v>125</v>
      </c>
      <c r="G506">
        <v>8600</v>
      </c>
      <c r="I506">
        <v>1</v>
      </c>
      <c r="M506">
        <v>1</v>
      </c>
      <c r="O506" t="s">
        <v>963</v>
      </c>
      <c r="P506" t="s">
        <v>947</v>
      </c>
      <c r="Q506">
        <v>40166.666666666672</v>
      </c>
      <c r="R506" s="9"/>
      <c r="S506"/>
      <c r="T506"/>
      <c r="U506" s="8"/>
    </row>
    <row r="507" spans="1:21" x14ac:dyDescent="0.25">
      <c r="A507">
        <v>326</v>
      </c>
      <c r="B507" t="s">
        <v>218</v>
      </c>
      <c r="C507">
        <v>1</v>
      </c>
      <c r="D507" t="s">
        <v>179</v>
      </c>
      <c r="E507" t="s">
        <v>248</v>
      </c>
      <c r="F507" t="s">
        <v>110</v>
      </c>
      <c r="G507">
        <v>8928</v>
      </c>
      <c r="H507">
        <v>8766.3333330000005</v>
      </c>
      <c r="I507">
        <v>1</v>
      </c>
      <c r="J507">
        <v>1</v>
      </c>
      <c r="O507" t="s">
        <v>964</v>
      </c>
      <c r="P507" t="s">
        <v>964</v>
      </c>
      <c r="Q507">
        <v>8766.3333333333339</v>
      </c>
      <c r="R507" s="9">
        <v>8766.3333333333339</v>
      </c>
      <c r="S507">
        <v>8928</v>
      </c>
      <c r="T507">
        <v>161.66666666666606</v>
      </c>
      <c r="U507" s="8">
        <v>1.84417658466101E-2</v>
      </c>
    </row>
    <row r="508" spans="1:21" x14ac:dyDescent="0.25">
      <c r="A508">
        <v>326</v>
      </c>
      <c r="B508" t="s">
        <v>218</v>
      </c>
      <c r="C508">
        <v>0</v>
      </c>
      <c r="D508" t="s">
        <v>179</v>
      </c>
      <c r="E508" t="s">
        <v>84</v>
      </c>
      <c r="F508" t="s">
        <v>110</v>
      </c>
      <c r="G508">
        <v>10496</v>
      </c>
      <c r="I508">
        <v>1</v>
      </c>
      <c r="O508" t="s">
        <v>965</v>
      </c>
      <c r="P508" t="s">
        <v>947</v>
      </c>
      <c r="Q508">
        <v>8766.3333333333339</v>
      </c>
      <c r="R508" s="9"/>
      <c r="S508"/>
      <c r="T508"/>
      <c r="U508" s="8"/>
    </row>
    <row r="509" spans="1:21" x14ac:dyDescent="0.25">
      <c r="A509">
        <v>326</v>
      </c>
      <c r="B509" t="s">
        <v>218</v>
      </c>
      <c r="C509">
        <v>1</v>
      </c>
      <c r="D509" t="s">
        <v>179</v>
      </c>
      <c r="E509" t="s">
        <v>248</v>
      </c>
      <c r="F509" t="s">
        <v>106</v>
      </c>
      <c r="G509">
        <v>6664.3649999999998</v>
      </c>
      <c r="H509">
        <v>7291.9391670000005</v>
      </c>
      <c r="I509">
        <v>1</v>
      </c>
      <c r="J509">
        <v>1</v>
      </c>
      <c r="O509" t="s">
        <v>966</v>
      </c>
      <c r="P509" t="s">
        <v>966</v>
      </c>
      <c r="Q509">
        <v>7291.939166666667</v>
      </c>
      <c r="R509" s="9">
        <v>7291.939166666667</v>
      </c>
      <c r="S509">
        <v>6664.3649999999998</v>
      </c>
      <c r="T509">
        <v>-627.57416666666722</v>
      </c>
      <c r="U509" s="8">
        <v>-8.6064097947425394E-2</v>
      </c>
    </row>
    <row r="510" spans="1:21" x14ac:dyDescent="0.25">
      <c r="A510">
        <v>326</v>
      </c>
      <c r="B510" t="s">
        <v>218</v>
      </c>
      <c r="C510">
        <v>0</v>
      </c>
      <c r="D510" t="s">
        <v>179</v>
      </c>
      <c r="E510" t="s">
        <v>84</v>
      </c>
      <c r="F510" t="s">
        <v>106</v>
      </c>
      <c r="G510">
        <v>4726.5</v>
      </c>
      <c r="I510">
        <v>1</v>
      </c>
      <c r="O510" t="s">
        <v>967</v>
      </c>
      <c r="P510" t="s">
        <v>947</v>
      </c>
      <c r="Q510">
        <v>7291.939166666667</v>
      </c>
      <c r="R510" s="9"/>
      <c r="S510"/>
      <c r="T510"/>
      <c r="U510" s="8"/>
    </row>
    <row r="511" spans="1:21" x14ac:dyDescent="0.25">
      <c r="A511">
        <v>326</v>
      </c>
      <c r="B511" t="s">
        <v>218</v>
      </c>
      <c r="C511">
        <v>1</v>
      </c>
      <c r="D511" t="s">
        <v>179</v>
      </c>
      <c r="E511" t="s">
        <v>248</v>
      </c>
      <c r="F511" t="s">
        <v>80</v>
      </c>
      <c r="G511">
        <v>621332.42879999999</v>
      </c>
      <c r="H511">
        <v>656708.28960000002</v>
      </c>
      <c r="I511">
        <v>1</v>
      </c>
      <c r="J511">
        <v>1</v>
      </c>
      <c r="O511" t="s">
        <v>968</v>
      </c>
      <c r="P511" t="s">
        <v>968</v>
      </c>
      <c r="Q511">
        <v>656708.28960000002</v>
      </c>
      <c r="R511" s="9">
        <v>656708.28960000002</v>
      </c>
      <c r="S511">
        <v>621332.42879999999</v>
      </c>
      <c r="T511">
        <v>-35375.860800000024</v>
      </c>
      <c r="U511" s="8">
        <v>-5.3868454777002098E-2</v>
      </c>
    </row>
    <row r="512" spans="1:21" x14ac:dyDescent="0.25">
      <c r="A512">
        <v>326</v>
      </c>
      <c r="B512" t="s">
        <v>218</v>
      </c>
      <c r="C512">
        <v>0</v>
      </c>
      <c r="D512" t="s">
        <v>179</v>
      </c>
      <c r="E512" t="s">
        <v>84</v>
      </c>
      <c r="F512" t="s">
        <v>80</v>
      </c>
      <c r="G512">
        <v>646373.56000000006</v>
      </c>
      <c r="I512">
        <v>1</v>
      </c>
      <c r="O512" t="s">
        <v>969</v>
      </c>
      <c r="P512" t="s">
        <v>947</v>
      </c>
      <c r="Q512">
        <v>656708.28960000002</v>
      </c>
      <c r="R512" s="9"/>
      <c r="S512"/>
      <c r="T512"/>
      <c r="U512" s="8"/>
    </row>
    <row r="513" spans="1:21" x14ac:dyDescent="0.25">
      <c r="A513">
        <v>330</v>
      </c>
      <c r="B513" t="s">
        <v>257</v>
      </c>
      <c r="C513">
        <v>0</v>
      </c>
      <c r="D513" t="s">
        <v>260</v>
      </c>
      <c r="E513" t="s">
        <v>84</v>
      </c>
      <c r="F513" t="s">
        <v>92</v>
      </c>
      <c r="G513">
        <v>18410</v>
      </c>
      <c r="I513">
        <v>1</v>
      </c>
      <c r="J513">
        <v>1</v>
      </c>
      <c r="L513">
        <v>1</v>
      </c>
      <c r="M513">
        <v>1</v>
      </c>
      <c r="O513" t="s">
        <v>970</v>
      </c>
      <c r="P513" t="s">
        <v>947</v>
      </c>
      <c r="Q513">
        <v>36220</v>
      </c>
      <c r="R513" s="9"/>
      <c r="S513"/>
      <c r="T513"/>
      <c r="U513" s="8"/>
    </row>
    <row r="514" spans="1:21" x14ac:dyDescent="0.25">
      <c r="A514">
        <v>330</v>
      </c>
      <c r="B514" t="s">
        <v>257</v>
      </c>
      <c r="C514">
        <v>0</v>
      </c>
      <c r="D514" t="s">
        <v>260</v>
      </c>
      <c r="E514" t="s">
        <v>84</v>
      </c>
      <c r="F514" t="s">
        <v>80</v>
      </c>
      <c r="G514">
        <v>674709.73</v>
      </c>
      <c r="I514">
        <v>1</v>
      </c>
      <c r="O514" t="s">
        <v>972</v>
      </c>
      <c r="P514" t="s">
        <v>947</v>
      </c>
      <c r="Q514">
        <v>689735.13113333331</v>
      </c>
      <c r="R514" s="9"/>
      <c r="S514"/>
      <c r="T514"/>
      <c r="U514" s="8"/>
    </row>
    <row r="515" spans="1:21" x14ac:dyDescent="0.25">
      <c r="A515">
        <v>330</v>
      </c>
      <c r="B515" t="s">
        <v>257</v>
      </c>
      <c r="C515">
        <v>0</v>
      </c>
      <c r="D515" t="s">
        <v>260</v>
      </c>
      <c r="E515" t="s">
        <v>84</v>
      </c>
      <c r="F515" t="s">
        <v>106</v>
      </c>
      <c r="G515">
        <v>9027.6149999999998</v>
      </c>
      <c r="I515">
        <v>1</v>
      </c>
      <c r="O515" t="s">
        <v>973</v>
      </c>
      <c r="P515" t="s">
        <v>947</v>
      </c>
      <c r="Q515">
        <v>5600.9025000000001</v>
      </c>
      <c r="R515" s="9"/>
      <c r="S515"/>
      <c r="T515"/>
      <c r="U515" s="8"/>
    </row>
    <row r="516" spans="1:21" x14ac:dyDescent="0.25">
      <c r="A516">
        <v>330</v>
      </c>
      <c r="B516" t="s">
        <v>257</v>
      </c>
      <c r="C516">
        <v>0</v>
      </c>
      <c r="D516" t="s">
        <v>260</v>
      </c>
      <c r="E516" t="s">
        <v>84</v>
      </c>
      <c r="F516" t="s">
        <v>110</v>
      </c>
      <c r="G516">
        <v>1488</v>
      </c>
      <c r="I516">
        <v>1</v>
      </c>
      <c r="O516" t="s">
        <v>974</v>
      </c>
      <c r="P516" t="s">
        <v>947</v>
      </c>
      <c r="Q516">
        <v>5023.3333333333339</v>
      </c>
      <c r="R516" s="9"/>
      <c r="S516"/>
      <c r="T516"/>
      <c r="U516" s="8"/>
    </row>
    <row r="517" spans="1:21" x14ac:dyDescent="0.25">
      <c r="A517">
        <v>332</v>
      </c>
      <c r="B517" t="s">
        <v>296</v>
      </c>
      <c r="C517">
        <v>1</v>
      </c>
      <c r="D517" t="s">
        <v>260</v>
      </c>
      <c r="E517" t="s">
        <v>79</v>
      </c>
      <c r="F517" t="s">
        <v>80</v>
      </c>
      <c r="G517">
        <v>746158.29760000005</v>
      </c>
      <c r="H517">
        <v>827429.73419999995</v>
      </c>
      <c r="I517">
        <v>1</v>
      </c>
      <c r="O517" t="s">
        <v>975</v>
      </c>
      <c r="P517" t="s">
        <v>975</v>
      </c>
      <c r="Q517">
        <v>827429.73420000006</v>
      </c>
      <c r="R517" s="9">
        <v>827429.73420000006</v>
      </c>
      <c r="S517">
        <v>746158.29760000005</v>
      </c>
      <c r="T517">
        <v>-81271.436600000015</v>
      </c>
      <c r="U517" s="8">
        <v>-9.8221556756813003E-2</v>
      </c>
    </row>
    <row r="518" spans="1:21" x14ac:dyDescent="0.25">
      <c r="A518">
        <v>332</v>
      </c>
      <c r="B518" t="s">
        <v>296</v>
      </c>
      <c r="C518">
        <v>0</v>
      </c>
      <c r="D518" t="s">
        <v>260</v>
      </c>
      <c r="E518" t="s">
        <v>84</v>
      </c>
      <c r="F518" t="s">
        <v>80</v>
      </c>
      <c r="G518">
        <v>931821.875</v>
      </c>
      <c r="I518">
        <v>1</v>
      </c>
      <c r="J518">
        <v>1</v>
      </c>
      <c r="O518" t="s">
        <v>976</v>
      </c>
      <c r="P518" t="s">
        <v>947</v>
      </c>
      <c r="Q518">
        <v>827429.73420000006</v>
      </c>
      <c r="R518" s="9"/>
      <c r="S518"/>
      <c r="T518"/>
      <c r="U518" s="8"/>
    </row>
    <row r="519" spans="1:21" x14ac:dyDescent="0.25">
      <c r="A519">
        <v>332</v>
      </c>
      <c r="B519" t="s">
        <v>296</v>
      </c>
      <c r="C519">
        <v>1</v>
      </c>
      <c r="D519" t="s">
        <v>260</v>
      </c>
      <c r="E519" t="s">
        <v>79</v>
      </c>
      <c r="F519" t="s">
        <v>106</v>
      </c>
      <c r="G519">
        <v>5537.8824999999997</v>
      </c>
      <c r="H519">
        <v>7782.97</v>
      </c>
      <c r="I519">
        <v>1</v>
      </c>
      <c r="O519" t="s">
        <v>977</v>
      </c>
      <c r="P519" t="s">
        <v>977</v>
      </c>
      <c r="Q519">
        <v>7782.9699999999993</v>
      </c>
      <c r="R519" s="9">
        <v>7782.9699999999993</v>
      </c>
      <c r="S519">
        <v>5537.8824999999997</v>
      </c>
      <c r="T519">
        <v>-2245.0874999999996</v>
      </c>
      <c r="U519" s="8">
        <v>-0.28846153846153799</v>
      </c>
    </row>
    <row r="520" spans="1:21" x14ac:dyDescent="0.25">
      <c r="A520">
        <v>332</v>
      </c>
      <c r="B520" t="s">
        <v>296</v>
      </c>
      <c r="C520">
        <v>0</v>
      </c>
      <c r="D520" t="s">
        <v>260</v>
      </c>
      <c r="E520" t="s">
        <v>84</v>
      </c>
      <c r="F520" t="s">
        <v>106</v>
      </c>
      <c r="G520">
        <v>5939.6350000000002</v>
      </c>
      <c r="I520">
        <v>1</v>
      </c>
      <c r="J520">
        <v>1</v>
      </c>
      <c r="O520" t="s">
        <v>978</v>
      </c>
      <c r="P520" t="s">
        <v>947</v>
      </c>
      <c r="Q520">
        <v>7782.9699999999993</v>
      </c>
      <c r="R520" s="9"/>
      <c r="S520"/>
      <c r="T520"/>
      <c r="U520" s="8"/>
    </row>
    <row r="521" spans="1:21" x14ac:dyDescent="0.25">
      <c r="A521">
        <v>332</v>
      </c>
      <c r="B521" t="s">
        <v>296</v>
      </c>
      <c r="C521">
        <v>1</v>
      </c>
      <c r="D521" t="s">
        <v>260</v>
      </c>
      <c r="E521" t="s">
        <v>79</v>
      </c>
      <c r="F521" t="s">
        <v>110</v>
      </c>
      <c r="G521">
        <v>11214</v>
      </c>
      <c r="H521">
        <v>11750</v>
      </c>
      <c r="I521">
        <v>1</v>
      </c>
      <c r="O521" t="s">
        <v>979</v>
      </c>
      <c r="P521" t="s">
        <v>979</v>
      </c>
      <c r="Q521">
        <v>11750</v>
      </c>
      <c r="R521" s="9">
        <v>11750</v>
      </c>
      <c r="S521">
        <v>11214</v>
      </c>
      <c r="T521">
        <v>-536</v>
      </c>
      <c r="U521" s="8">
        <v>-4.5617021276595802E-2</v>
      </c>
    </row>
    <row r="522" spans="1:21" x14ac:dyDescent="0.25">
      <c r="A522">
        <v>332</v>
      </c>
      <c r="B522" t="s">
        <v>296</v>
      </c>
      <c r="C522">
        <v>0</v>
      </c>
      <c r="D522" t="s">
        <v>260</v>
      </c>
      <c r="E522" t="s">
        <v>84</v>
      </c>
      <c r="F522" t="s">
        <v>110</v>
      </c>
      <c r="G522">
        <v>17286</v>
      </c>
      <c r="I522">
        <v>1</v>
      </c>
      <c r="J522">
        <v>1</v>
      </c>
      <c r="O522" t="s">
        <v>980</v>
      </c>
      <c r="P522" t="s">
        <v>947</v>
      </c>
      <c r="Q522">
        <v>11750</v>
      </c>
      <c r="R522" s="9"/>
      <c r="S522"/>
      <c r="T522"/>
      <c r="U522" s="8"/>
    </row>
    <row r="523" spans="1:21" x14ac:dyDescent="0.25">
      <c r="A523">
        <v>332</v>
      </c>
      <c r="B523" t="s">
        <v>296</v>
      </c>
      <c r="C523">
        <v>1</v>
      </c>
      <c r="D523" t="s">
        <v>260</v>
      </c>
      <c r="E523" t="s">
        <v>79</v>
      </c>
      <c r="F523" t="s">
        <v>185</v>
      </c>
      <c r="G523">
        <v>18827.224999999999</v>
      </c>
      <c r="H523">
        <v>18144.508330000001</v>
      </c>
      <c r="I523">
        <v>1</v>
      </c>
      <c r="O523" t="s">
        <v>981</v>
      </c>
      <c r="P523" t="s">
        <v>981</v>
      </c>
      <c r="Q523">
        <v>18144.508333333331</v>
      </c>
      <c r="R523" s="9">
        <v>18144.508333333331</v>
      </c>
      <c r="S523">
        <v>18827.224999999999</v>
      </c>
      <c r="T523">
        <v>682.71666666666715</v>
      </c>
      <c r="U523" s="8">
        <v>3.7626628075253299E-2</v>
      </c>
    </row>
    <row r="524" spans="1:21" x14ac:dyDescent="0.25">
      <c r="A524">
        <v>332</v>
      </c>
      <c r="B524" t="s">
        <v>296</v>
      </c>
      <c r="C524">
        <v>0</v>
      </c>
      <c r="D524" t="s">
        <v>260</v>
      </c>
      <c r="E524" t="s">
        <v>84</v>
      </c>
      <c r="F524" t="s">
        <v>185</v>
      </c>
      <c r="G524">
        <v>18354.575000000001</v>
      </c>
      <c r="I524">
        <v>1</v>
      </c>
      <c r="J524">
        <v>1</v>
      </c>
      <c r="O524" t="s">
        <v>982</v>
      </c>
      <c r="P524" t="s">
        <v>947</v>
      </c>
      <c r="Q524">
        <v>18144.508333333331</v>
      </c>
      <c r="R524" s="9"/>
      <c r="S524"/>
      <c r="T524"/>
      <c r="U524" s="8"/>
    </row>
    <row r="525" spans="1:21" x14ac:dyDescent="0.25">
      <c r="A525">
        <v>333</v>
      </c>
      <c r="B525" t="s">
        <v>337</v>
      </c>
      <c r="C525">
        <v>0</v>
      </c>
      <c r="D525" t="s">
        <v>338</v>
      </c>
      <c r="E525" t="s">
        <v>84</v>
      </c>
      <c r="F525" t="s">
        <v>92</v>
      </c>
      <c r="G525">
        <v>20890</v>
      </c>
      <c r="I525">
        <v>1</v>
      </c>
      <c r="N525">
        <v>1</v>
      </c>
      <c r="O525" t="s">
        <v>983</v>
      </c>
      <c r="P525" t="s">
        <v>947</v>
      </c>
      <c r="Q525">
        <v>31286.666666666668</v>
      </c>
      <c r="R525" s="9"/>
      <c r="S525"/>
      <c r="T525"/>
      <c r="U525" s="8"/>
    </row>
    <row r="526" spans="1:21" x14ac:dyDescent="0.25">
      <c r="A526">
        <v>333</v>
      </c>
      <c r="B526" t="s">
        <v>337</v>
      </c>
      <c r="C526">
        <v>0</v>
      </c>
      <c r="D526" t="s">
        <v>338</v>
      </c>
      <c r="E526" t="s">
        <v>84</v>
      </c>
      <c r="F526" t="s">
        <v>80</v>
      </c>
      <c r="G526">
        <v>850434.76089999999</v>
      </c>
      <c r="I526">
        <v>1</v>
      </c>
      <c r="O526" t="s">
        <v>984</v>
      </c>
      <c r="P526" t="s">
        <v>947</v>
      </c>
      <c r="Q526">
        <v>837017.14029999997</v>
      </c>
      <c r="R526" s="9"/>
      <c r="S526"/>
      <c r="T526"/>
      <c r="U526" s="8"/>
    </row>
    <row r="527" spans="1:21" x14ac:dyDescent="0.25">
      <c r="A527">
        <v>333</v>
      </c>
      <c r="B527" t="s">
        <v>337</v>
      </c>
      <c r="C527">
        <v>1</v>
      </c>
      <c r="D527" t="s">
        <v>338</v>
      </c>
      <c r="E527" t="s">
        <v>248</v>
      </c>
      <c r="F527" t="s">
        <v>80</v>
      </c>
      <c r="G527">
        <v>799298.01</v>
      </c>
      <c r="H527">
        <v>837017.14029999997</v>
      </c>
      <c r="I527">
        <v>1</v>
      </c>
      <c r="J527">
        <v>1</v>
      </c>
      <c r="O527" t="s">
        <v>985</v>
      </c>
      <c r="P527" t="s">
        <v>985</v>
      </c>
      <c r="Q527">
        <v>837017.14029999997</v>
      </c>
      <c r="R527" s="9">
        <v>837017.14029999997</v>
      </c>
      <c r="S527">
        <v>799298.01</v>
      </c>
      <c r="T527">
        <v>-37719.130299999961</v>
      </c>
      <c r="U527" s="8">
        <v>-4.5063748977088897E-2</v>
      </c>
    </row>
    <row r="528" spans="1:21" x14ac:dyDescent="0.25">
      <c r="A528">
        <v>333</v>
      </c>
      <c r="B528" t="s">
        <v>337</v>
      </c>
      <c r="C528">
        <v>0</v>
      </c>
      <c r="D528" t="s">
        <v>338</v>
      </c>
      <c r="E528" t="s">
        <v>84</v>
      </c>
      <c r="F528" t="s">
        <v>106</v>
      </c>
      <c r="G528">
        <v>8783.4125000000004</v>
      </c>
      <c r="I528">
        <v>1</v>
      </c>
      <c r="O528" t="s">
        <v>986</v>
      </c>
      <c r="P528" t="s">
        <v>947</v>
      </c>
      <c r="Q528">
        <v>7549.2708333333339</v>
      </c>
      <c r="R528" s="9"/>
      <c r="S528"/>
      <c r="T528"/>
      <c r="U528" s="8"/>
    </row>
    <row r="529" spans="1:21" x14ac:dyDescent="0.25">
      <c r="A529">
        <v>333</v>
      </c>
      <c r="B529" t="s">
        <v>337</v>
      </c>
      <c r="C529">
        <v>1</v>
      </c>
      <c r="D529" t="s">
        <v>338</v>
      </c>
      <c r="E529" t="s">
        <v>248</v>
      </c>
      <c r="F529" t="s">
        <v>106</v>
      </c>
      <c r="G529">
        <v>4017.5250000000001</v>
      </c>
      <c r="H529">
        <v>7549.2708329999996</v>
      </c>
      <c r="I529">
        <v>1</v>
      </c>
      <c r="J529">
        <v>1</v>
      </c>
      <c r="O529" t="s">
        <v>987</v>
      </c>
      <c r="P529" t="s">
        <v>987</v>
      </c>
      <c r="Q529">
        <v>7549.2708333333339</v>
      </c>
      <c r="R529" s="9">
        <v>7549.2708333333339</v>
      </c>
      <c r="S529">
        <v>4017.5250000000001</v>
      </c>
      <c r="T529">
        <v>-3531.7458333333338</v>
      </c>
      <c r="U529" s="8">
        <v>-0.467826086956522</v>
      </c>
    </row>
    <row r="530" spans="1:21" x14ac:dyDescent="0.25">
      <c r="A530">
        <v>333</v>
      </c>
      <c r="B530" t="s">
        <v>337</v>
      </c>
      <c r="C530">
        <v>0</v>
      </c>
      <c r="D530" t="s">
        <v>338</v>
      </c>
      <c r="E530" t="s">
        <v>84</v>
      </c>
      <c r="F530" t="s">
        <v>110</v>
      </c>
      <c r="G530">
        <v>11844</v>
      </c>
      <c r="I530">
        <v>1</v>
      </c>
      <c r="O530" t="s">
        <v>988</v>
      </c>
      <c r="P530" t="s">
        <v>947</v>
      </c>
      <c r="Q530">
        <v>12020</v>
      </c>
      <c r="R530" s="9"/>
      <c r="S530"/>
      <c r="T530"/>
      <c r="U530" s="8"/>
    </row>
    <row r="531" spans="1:21" x14ac:dyDescent="0.25">
      <c r="A531">
        <v>333</v>
      </c>
      <c r="B531" t="s">
        <v>337</v>
      </c>
      <c r="C531">
        <v>1</v>
      </c>
      <c r="D531" t="s">
        <v>338</v>
      </c>
      <c r="E531" t="s">
        <v>248</v>
      </c>
      <c r="F531" t="s">
        <v>110</v>
      </c>
      <c r="G531">
        <v>13208</v>
      </c>
      <c r="H531">
        <v>12020</v>
      </c>
      <c r="I531">
        <v>1</v>
      </c>
      <c r="J531">
        <v>1</v>
      </c>
      <c r="O531" t="s">
        <v>989</v>
      </c>
      <c r="P531" t="s">
        <v>989</v>
      </c>
      <c r="Q531">
        <v>12020</v>
      </c>
      <c r="R531" s="9">
        <v>12020</v>
      </c>
      <c r="S531">
        <v>13208</v>
      </c>
      <c r="T531">
        <v>1188</v>
      </c>
      <c r="U531" s="8">
        <v>9.8835274542429297E-2</v>
      </c>
    </row>
    <row r="532" spans="1:21" x14ac:dyDescent="0.25">
      <c r="A532">
        <v>333</v>
      </c>
      <c r="B532" t="s">
        <v>337</v>
      </c>
      <c r="C532">
        <v>0</v>
      </c>
      <c r="D532" t="s">
        <v>338</v>
      </c>
      <c r="E532" t="s">
        <v>84</v>
      </c>
      <c r="F532" t="s">
        <v>185</v>
      </c>
      <c r="G532">
        <v>20166.400000000001</v>
      </c>
      <c r="I532">
        <v>1</v>
      </c>
      <c r="O532" t="s">
        <v>990</v>
      </c>
      <c r="P532" t="s">
        <v>947</v>
      </c>
      <c r="Q532">
        <v>16726.558333333334</v>
      </c>
      <c r="R532" s="9"/>
      <c r="S532"/>
      <c r="T532"/>
      <c r="U532" s="8"/>
    </row>
    <row r="533" spans="1:21" x14ac:dyDescent="0.25">
      <c r="A533">
        <v>333</v>
      </c>
      <c r="B533" t="s">
        <v>337</v>
      </c>
      <c r="C533">
        <v>1</v>
      </c>
      <c r="D533" t="s">
        <v>338</v>
      </c>
      <c r="E533" t="s">
        <v>248</v>
      </c>
      <c r="F533" t="s">
        <v>185</v>
      </c>
      <c r="G533">
        <v>17409.275000000001</v>
      </c>
      <c r="H533">
        <v>16726.55833</v>
      </c>
      <c r="I533">
        <v>1</v>
      </c>
      <c r="J533">
        <v>1</v>
      </c>
      <c r="O533" t="s">
        <v>991</v>
      </c>
      <c r="P533" t="s">
        <v>991</v>
      </c>
      <c r="Q533">
        <v>16726.558333333334</v>
      </c>
      <c r="R533" s="9">
        <v>16726.558333333334</v>
      </c>
      <c r="S533">
        <v>17409.275000000001</v>
      </c>
      <c r="T533">
        <v>682.71666666666715</v>
      </c>
      <c r="U533" s="8">
        <v>4.0816326530612297E-2</v>
      </c>
    </row>
    <row r="534" spans="1:21" x14ac:dyDescent="0.25">
      <c r="A534">
        <v>340</v>
      </c>
      <c r="B534" t="s">
        <v>456</v>
      </c>
      <c r="C534">
        <v>0</v>
      </c>
      <c r="D534" t="s">
        <v>260</v>
      </c>
      <c r="E534" t="s">
        <v>84</v>
      </c>
      <c r="F534" t="s">
        <v>92</v>
      </c>
      <c r="G534">
        <v>24500</v>
      </c>
      <c r="I534">
        <v>1</v>
      </c>
      <c r="J534">
        <v>1</v>
      </c>
      <c r="K534">
        <v>1</v>
      </c>
      <c r="N534">
        <v>1</v>
      </c>
      <c r="O534" t="s">
        <v>962</v>
      </c>
      <c r="P534" t="s">
        <v>947</v>
      </c>
      <c r="Q534">
        <v>25766.666666666668</v>
      </c>
      <c r="R534" s="9"/>
      <c r="S534"/>
      <c r="T534"/>
      <c r="U534" s="8"/>
    </row>
    <row r="535" spans="1:21" x14ac:dyDescent="0.25">
      <c r="A535">
        <v>340</v>
      </c>
      <c r="B535" t="s">
        <v>456</v>
      </c>
      <c r="C535">
        <v>1</v>
      </c>
      <c r="D535" t="s">
        <v>260</v>
      </c>
      <c r="E535" t="s">
        <v>181</v>
      </c>
      <c r="F535" t="s">
        <v>92</v>
      </c>
      <c r="G535">
        <v>20690</v>
      </c>
      <c r="H535">
        <v>25766.666669999999</v>
      </c>
      <c r="I535">
        <v>1</v>
      </c>
      <c r="M535">
        <v>1</v>
      </c>
      <c r="N535">
        <v>1</v>
      </c>
      <c r="O535" t="s">
        <v>992</v>
      </c>
      <c r="P535" t="s">
        <v>992</v>
      </c>
      <c r="Q535">
        <v>25766.666666666668</v>
      </c>
      <c r="R535" s="9">
        <v>25766.666666666668</v>
      </c>
      <c r="S535">
        <v>20690</v>
      </c>
      <c r="T535">
        <v>-5076.6666666666679</v>
      </c>
      <c r="U535" s="8">
        <v>-0.19702457956015501</v>
      </c>
    </row>
    <row r="536" spans="1:21" x14ac:dyDescent="0.25">
      <c r="A536">
        <v>350</v>
      </c>
      <c r="B536" t="s">
        <v>584</v>
      </c>
      <c r="C536">
        <v>1</v>
      </c>
      <c r="D536" t="s">
        <v>552</v>
      </c>
      <c r="E536" t="s">
        <v>141</v>
      </c>
      <c r="F536" t="s">
        <v>92</v>
      </c>
      <c r="G536">
        <v>30170</v>
      </c>
      <c r="H536">
        <v>38485</v>
      </c>
      <c r="I536">
        <v>1</v>
      </c>
      <c r="O536" t="s">
        <v>993</v>
      </c>
      <c r="P536" t="s">
        <v>993</v>
      </c>
      <c r="Q536">
        <v>38485</v>
      </c>
      <c r="R536" s="9">
        <v>38485</v>
      </c>
      <c r="S536">
        <v>30170</v>
      </c>
      <c r="T536">
        <v>-8315</v>
      </c>
      <c r="U536" s="8">
        <v>-0.216058204495258</v>
      </c>
    </row>
    <row r="537" spans="1:21" x14ac:dyDescent="0.25">
      <c r="A537">
        <v>361</v>
      </c>
      <c r="B537" t="s">
        <v>647</v>
      </c>
      <c r="C537">
        <v>1</v>
      </c>
      <c r="D537" t="s">
        <v>552</v>
      </c>
      <c r="E537" t="s">
        <v>301</v>
      </c>
      <c r="F537" t="s">
        <v>92</v>
      </c>
      <c r="G537">
        <v>58490</v>
      </c>
      <c r="H537">
        <v>48485</v>
      </c>
      <c r="I537">
        <v>1</v>
      </c>
      <c r="L537">
        <v>1</v>
      </c>
      <c r="M537">
        <v>1</v>
      </c>
      <c r="O537" t="s">
        <v>994</v>
      </c>
      <c r="P537" t="s">
        <v>994</v>
      </c>
      <c r="Q537">
        <v>48485</v>
      </c>
      <c r="R537" s="9">
        <v>48485</v>
      </c>
      <c r="S537">
        <v>58490</v>
      </c>
      <c r="T537">
        <v>10005</v>
      </c>
      <c r="U537" s="8">
        <v>0.20635248014849999</v>
      </c>
    </row>
    <row r="538" spans="1:21" x14ac:dyDescent="0.25">
      <c r="A538">
        <v>362</v>
      </c>
      <c r="B538" t="s">
        <v>666</v>
      </c>
      <c r="C538">
        <v>1</v>
      </c>
      <c r="D538" t="s">
        <v>552</v>
      </c>
      <c r="E538" t="s">
        <v>221</v>
      </c>
      <c r="F538" t="s">
        <v>92</v>
      </c>
      <c r="G538">
        <v>55620</v>
      </c>
      <c r="H538">
        <v>40866.666669999999</v>
      </c>
      <c r="I538">
        <v>1</v>
      </c>
      <c r="L538">
        <v>1</v>
      </c>
      <c r="O538" t="s">
        <v>995</v>
      </c>
      <c r="P538" t="s">
        <v>995</v>
      </c>
      <c r="Q538">
        <v>40866.666666666664</v>
      </c>
      <c r="R538" s="9">
        <v>40866.666666666664</v>
      </c>
      <c r="S538">
        <v>55620</v>
      </c>
      <c r="T538">
        <v>14753.333333333336</v>
      </c>
      <c r="U538" s="8">
        <v>0.36101141924959201</v>
      </c>
    </row>
    <row r="539" spans="1:21" x14ac:dyDescent="0.25">
      <c r="A539">
        <v>363</v>
      </c>
      <c r="B539" t="s">
        <v>685</v>
      </c>
      <c r="C539">
        <v>1</v>
      </c>
      <c r="D539" t="s">
        <v>552</v>
      </c>
      <c r="E539" t="s">
        <v>140</v>
      </c>
      <c r="F539" t="s">
        <v>92</v>
      </c>
      <c r="G539">
        <v>39180</v>
      </c>
      <c r="H539">
        <v>39333.333330000001</v>
      </c>
      <c r="I539">
        <v>1</v>
      </c>
      <c r="O539" t="s">
        <v>996</v>
      </c>
      <c r="P539" t="s">
        <v>996</v>
      </c>
      <c r="Q539">
        <v>39333.333333333336</v>
      </c>
      <c r="R539" s="9">
        <v>39333.333333333336</v>
      </c>
      <c r="S539">
        <v>39180</v>
      </c>
      <c r="T539">
        <v>-153.33333333333576</v>
      </c>
      <c r="U539" s="8">
        <v>-3.8983050847458201E-3</v>
      </c>
    </row>
    <row r="540" spans="1:21" x14ac:dyDescent="0.25">
      <c r="A540">
        <v>363</v>
      </c>
      <c r="B540" t="s">
        <v>685</v>
      </c>
      <c r="C540">
        <v>0</v>
      </c>
      <c r="D540" t="s">
        <v>552</v>
      </c>
      <c r="E540" t="s">
        <v>84</v>
      </c>
      <c r="F540" t="s">
        <v>92</v>
      </c>
      <c r="G540">
        <v>41010</v>
      </c>
      <c r="I540">
        <v>1</v>
      </c>
      <c r="J540">
        <v>1</v>
      </c>
      <c r="K540">
        <v>1</v>
      </c>
      <c r="L540">
        <v>1</v>
      </c>
      <c r="M540">
        <v>1</v>
      </c>
      <c r="N540">
        <v>1</v>
      </c>
      <c r="O540" t="s">
        <v>997</v>
      </c>
      <c r="P540" t="s">
        <v>947</v>
      </c>
      <c r="Q540">
        <v>39333.333333333336</v>
      </c>
      <c r="R540" s="9"/>
      <c r="S540"/>
      <c r="T540"/>
      <c r="U540" s="8"/>
    </row>
    <row r="541" spans="1:21" x14ac:dyDescent="0.25">
      <c r="A541">
        <v>363</v>
      </c>
      <c r="B541" t="s">
        <v>685</v>
      </c>
      <c r="C541">
        <v>0</v>
      </c>
      <c r="D541" t="s">
        <v>552</v>
      </c>
      <c r="E541" t="s">
        <v>84</v>
      </c>
      <c r="F541" t="s">
        <v>80</v>
      </c>
      <c r="G541">
        <v>672271.32420000003</v>
      </c>
      <c r="I541">
        <v>1</v>
      </c>
      <c r="O541" t="s">
        <v>998</v>
      </c>
      <c r="P541" t="s">
        <v>947</v>
      </c>
      <c r="Q541">
        <v>747040.61526666663</v>
      </c>
      <c r="R541" s="9"/>
      <c r="S541"/>
      <c r="T541"/>
      <c r="U541" s="8"/>
    </row>
    <row r="542" spans="1:21" x14ac:dyDescent="0.25">
      <c r="A542">
        <v>363</v>
      </c>
      <c r="B542" t="s">
        <v>685</v>
      </c>
      <c r="C542">
        <v>0</v>
      </c>
      <c r="D542" t="s">
        <v>552</v>
      </c>
      <c r="E542" t="s">
        <v>84</v>
      </c>
      <c r="F542" t="s">
        <v>106</v>
      </c>
      <c r="G542">
        <v>8948.84</v>
      </c>
      <c r="I542">
        <v>1</v>
      </c>
      <c r="O542" t="s">
        <v>999</v>
      </c>
      <c r="P542" t="s">
        <v>947</v>
      </c>
      <c r="Q542">
        <v>10621.495833333334</v>
      </c>
      <c r="R542" s="9"/>
      <c r="S542"/>
      <c r="T542"/>
      <c r="U542" s="8"/>
    </row>
    <row r="543" spans="1:21" x14ac:dyDescent="0.25">
      <c r="A543">
        <v>363</v>
      </c>
      <c r="B543" t="s">
        <v>685</v>
      </c>
      <c r="C543">
        <v>0</v>
      </c>
      <c r="D543" t="s">
        <v>552</v>
      </c>
      <c r="E543" t="s">
        <v>84</v>
      </c>
      <c r="F543" t="s">
        <v>110</v>
      </c>
      <c r="G543">
        <v>14880</v>
      </c>
      <c r="I543">
        <v>1</v>
      </c>
      <c r="O543" t="s">
        <v>1000</v>
      </c>
      <c r="P543" t="s">
        <v>947</v>
      </c>
      <c r="Q543">
        <v>11143.333333333334</v>
      </c>
      <c r="R543" s="9"/>
      <c r="S543"/>
      <c r="T543"/>
      <c r="U543" s="8"/>
    </row>
    <row r="544" spans="1:21" x14ac:dyDescent="0.25">
      <c r="A544">
        <v>367</v>
      </c>
      <c r="B544" t="s">
        <v>733</v>
      </c>
      <c r="C544">
        <v>0</v>
      </c>
      <c r="D544" t="s">
        <v>179</v>
      </c>
      <c r="E544" t="s">
        <v>84</v>
      </c>
      <c r="F544" t="s">
        <v>114</v>
      </c>
      <c r="G544">
        <v>23200</v>
      </c>
      <c r="I544">
        <v>1</v>
      </c>
      <c r="O544" t="s">
        <v>1001</v>
      </c>
      <c r="P544" t="s">
        <v>947</v>
      </c>
      <c r="Q544">
        <v>31316.666666666664</v>
      </c>
      <c r="R544" s="9"/>
      <c r="S544"/>
      <c r="T544"/>
      <c r="U544" s="8"/>
    </row>
    <row r="545" spans="1:21" x14ac:dyDescent="0.25">
      <c r="A545">
        <v>367</v>
      </c>
      <c r="B545" t="s">
        <v>733</v>
      </c>
      <c r="C545">
        <v>0</v>
      </c>
      <c r="D545" t="s">
        <v>179</v>
      </c>
      <c r="E545" t="s">
        <v>84</v>
      </c>
      <c r="F545" t="s">
        <v>121</v>
      </c>
      <c r="G545">
        <v>170725.97829999999</v>
      </c>
      <c r="I545">
        <v>1</v>
      </c>
      <c r="O545" t="s">
        <v>1002</v>
      </c>
      <c r="P545" t="s">
        <v>947</v>
      </c>
      <c r="Q545">
        <v>182920.4215</v>
      </c>
      <c r="R545" s="9"/>
      <c r="S545"/>
      <c r="T545"/>
      <c r="U545" s="8"/>
    </row>
    <row r="546" spans="1:21" x14ac:dyDescent="0.25">
      <c r="A546">
        <v>369</v>
      </c>
      <c r="B546" t="s">
        <v>768</v>
      </c>
      <c r="C546">
        <v>0</v>
      </c>
      <c r="D546" t="s">
        <v>179</v>
      </c>
      <c r="E546" t="s">
        <v>84</v>
      </c>
      <c r="F546" t="s">
        <v>121</v>
      </c>
      <c r="G546">
        <v>157061.66399999999</v>
      </c>
      <c r="I546">
        <v>1</v>
      </c>
      <c r="O546" t="s">
        <v>1003</v>
      </c>
      <c r="P546" t="s">
        <v>947</v>
      </c>
      <c r="Q546">
        <v>151042.9981</v>
      </c>
      <c r="R546" s="9"/>
      <c r="S546"/>
      <c r="T546"/>
      <c r="U546" s="8"/>
    </row>
    <row r="547" spans="1:21" x14ac:dyDescent="0.25">
      <c r="A547">
        <v>369</v>
      </c>
      <c r="B547" t="s">
        <v>768</v>
      </c>
      <c r="C547">
        <v>0</v>
      </c>
      <c r="D547" t="s">
        <v>179</v>
      </c>
      <c r="E547" t="s">
        <v>84</v>
      </c>
      <c r="F547" t="s">
        <v>114</v>
      </c>
      <c r="G547">
        <v>46600</v>
      </c>
      <c r="I547">
        <v>1</v>
      </c>
      <c r="O547" t="s">
        <v>1004</v>
      </c>
      <c r="P547" t="s">
        <v>947</v>
      </c>
      <c r="Q547">
        <v>46475</v>
      </c>
      <c r="R547" s="9"/>
      <c r="S547"/>
      <c r="T547"/>
      <c r="U547" s="8"/>
    </row>
    <row r="548" spans="1:21" x14ac:dyDescent="0.25">
      <c r="A548">
        <v>375</v>
      </c>
      <c r="B548" t="s">
        <v>826</v>
      </c>
      <c r="C548">
        <v>0</v>
      </c>
      <c r="D548" t="s">
        <v>260</v>
      </c>
      <c r="E548" t="s">
        <v>84</v>
      </c>
      <c r="F548" t="s">
        <v>92</v>
      </c>
      <c r="G548">
        <v>18740</v>
      </c>
      <c r="I548">
        <v>1</v>
      </c>
      <c r="J548">
        <v>1</v>
      </c>
      <c r="L548">
        <v>1</v>
      </c>
      <c r="O548" t="s">
        <v>1005</v>
      </c>
      <c r="P548" t="s">
        <v>947</v>
      </c>
      <c r="Q548">
        <v>33080</v>
      </c>
      <c r="R548" s="9"/>
      <c r="S548"/>
      <c r="T548"/>
      <c r="U548" s="8"/>
    </row>
    <row r="549" spans="1:21" x14ac:dyDescent="0.25">
      <c r="A549">
        <v>375</v>
      </c>
      <c r="B549" t="s">
        <v>826</v>
      </c>
      <c r="C549">
        <v>1</v>
      </c>
      <c r="D549" t="s">
        <v>260</v>
      </c>
      <c r="E549" t="s">
        <v>267</v>
      </c>
      <c r="F549" t="s">
        <v>121</v>
      </c>
      <c r="G549">
        <v>187823.6317</v>
      </c>
      <c r="H549">
        <v>151739.2697</v>
      </c>
      <c r="I549">
        <v>1</v>
      </c>
      <c r="O549" t="s">
        <v>1006</v>
      </c>
      <c r="P549" t="s">
        <v>1006</v>
      </c>
      <c r="Q549">
        <v>151739.2697</v>
      </c>
      <c r="R549" s="9">
        <v>151739.2697</v>
      </c>
      <c r="S549">
        <v>187823.6317</v>
      </c>
      <c r="T549">
        <v>36084.361999999994</v>
      </c>
      <c r="U549" s="8">
        <v>0.23780503274690501</v>
      </c>
    </row>
    <row r="550" spans="1:21" x14ac:dyDescent="0.25">
      <c r="A550">
        <v>375</v>
      </c>
      <c r="B550" t="s">
        <v>826</v>
      </c>
      <c r="C550">
        <v>1</v>
      </c>
      <c r="D550" t="s">
        <v>260</v>
      </c>
      <c r="E550" t="s">
        <v>267</v>
      </c>
      <c r="F550" t="s">
        <v>114</v>
      </c>
      <c r="G550">
        <v>12500</v>
      </c>
      <c r="H550">
        <v>26250</v>
      </c>
      <c r="I550">
        <v>1</v>
      </c>
      <c r="O550" t="s">
        <v>971</v>
      </c>
      <c r="P550" t="s">
        <v>971</v>
      </c>
      <c r="Q550">
        <v>26250</v>
      </c>
      <c r="R550" s="9">
        <v>26250</v>
      </c>
      <c r="S550">
        <v>12500</v>
      </c>
      <c r="T550">
        <v>-13750</v>
      </c>
      <c r="U550" s="8">
        <v>-0.52380952380952395</v>
      </c>
    </row>
    <row r="551" spans="1:21" x14ac:dyDescent="0.25">
      <c r="A551">
        <v>381</v>
      </c>
      <c r="B551" t="s">
        <v>887</v>
      </c>
      <c r="C551">
        <v>0</v>
      </c>
      <c r="D551" t="s">
        <v>179</v>
      </c>
      <c r="E551" t="s">
        <v>84</v>
      </c>
      <c r="F551" t="s">
        <v>92</v>
      </c>
      <c r="G551">
        <v>61340</v>
      </c>
      <c r="I551">
        <v>1</v>
      </c>
      <c r="L551">
        <v>1</v>
      </c>
      <c r="O551" t="s">
        <v>1007</v>
      </c>
      <c r="P551" t="s">
        <v>947</v>
      </c>
      <c r="Q551">
        <v>39090</v>
      </c>
      <c r="R551" s="9"/>
      <c r="S551"/>
      <c r="T551"/>
      <c r="U551" s="8"/>
    </row>
    <row r="552" spans="1:21" x14ac:dyDescent="0.25">
      <c r="A552">
        <v>383</v>
      </c>
      <c r="B552" t="s">
        <v>912</v>
      </c>
      <c r="C552">
        <v>0</v>
      </c>
      <c r="D552" t="s">
        <v>179</v>
      </c>
      <c r="E552" t="s">
        <v>84</v>
      </c>
      <c r="F552" t="s">
        <v>121</v>
      </c>
      <c r="G552">
        <v>145023.28080000001</v>
      </c>
      <c r="I552">
        <v>1</v>
      </c>
      <c r="O552" t="s">
        <v>1008</v>
      </c>
      <c r="P552" t="s">
        <v>947</v>
      </c>
      <c r="Q552">
        <v>128176.29536666667</v>
      </c>
      <c r="R552" s="9"/>
      <c r="S552"/>
      <c r="T552"/>
      <c r="U552" s="8"/>
    </row>
    <row r="553" spans="1:21" x14ac:dyDescent="0.25">
      <c r="A553">
        <v>383</v>
      </c>
      <c r="B553" t="s">
        <v>912</v>
      </c>
      <c r="C553">
        <v>0</v>
      </c>
      <c r="D553" t="s">
        <v>179</v>
      </c>
      <c r="E553" t="s">
        <v>84</v>
      </c>
      <c r="F553" t="s">
        <v>114</v>
      </c>
      <c r="G553">
        <v>31950</v>
      </c>
      <c r="I553">
        <v>1</v>
      </c>
      <c r="O553" t="s">
        <v>1009</v>
      </c>
      <c r="P553" t="s">
        <v>947</v>
      </c>
      <c r="Q553">
        <v>30533.333333333332</v>
      </c>
      <c r="R553" s="9"/>
      <c r="S553"/>
      <c r="T553"/>
      <c r="U553" s="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FBFA-D35F-4C8C-8E8B-1BCE27069B83}">
  <sheetPr codeName="Sheet15"/>
  <dimension ref="A1:C250"/>
  <sheetViews>
    <sheetView topLeftCell="D1" workbookViewId="0">
      <selection activeCell="K31" sqref="K31"/>
    </sheetView>
  </sheetViews>
  <sheetFormatPr defaultRowHeight="15" x14ac:dyDescent="0.25"/>
  <cols>
    <col min="1" max="1" width="23.85546875" bestFit="1" customWidth="1"/>
    <col min="2" max="2" width="17.85546875" style="7" bestFit="1" customWidth="1"/>
    <col min="3" max="3" width="19.85546875" style="7" bestFit="1" customWidth="1"/>
    <col min="4" max="4" width="23.42578125" bestFit="1" customWidth="1"/>
    <col min="5" max="5" width="19.7109375" bestFit="1" customWidth="1"/>
    <col min="6" max="7" width="10" bestFit="1" customWidth="1"/>
    <col min="8" max="8" width="8" bestFit="1" customWidth="1"/>
    <col min="9" max="11" width="12" bestFit="1" customWidth="1"/>
    <col min="12" max="12" width="8" bestFit="1" customWidth="1"/>
    <col min="13" max="15" width="12" bestFit="1" customWidth="1"/>
    <col min="16" max="16" width="8" bestFit="1" customWidth="1"/>
    <col min="17" max="17" width="11" bestFit="1" customWidth="1"/>
    <col min="18" max="19" width="8" bestFit="1" customWidth="1"/>
    <col min="20" max="20" width="12" bestFit="1" customWidth="1"/>
    <col min="21" max="21" width="5" bestFit="1" customWidth="1"/>
    <col min="22" max="22" width="11" bestFit="1" customWidth="1"/>
    <col min="23" max="23" width="5" bestFit="1" customWidth="1"/>
    <col min="24" max="24" width="10" bestFit="1" customWidth="1"/>
    <col min="25" max="25" width="12" bestFit="1" customWidth="1"/>
    <col min="26" max="26" width="5" bestFit="1" customWidth="1"/>
    <col min="27" max="27" width="11" bestFit="1" customWidth="1"/>
    <col min="28" max="34" width="12" bestFit="1" customWidth="1"/>
    <col min="35" max="40" width="6" bestFit="1" customWidth="1"/>
    <col min="41" max="42" width="12" bestFit="1" customWidth="1"/>
    <col min="43" max="44" width="6" bestFit="1" customWidth="1"/>
    <col min="45" max="45" width="12" bestFit="1" customWidth="1"/>
    <col min="46" max="46" width="6" bestFit="1" customWidth="1"/>
    <col min="47" max="51" width="12" bestFit="1" customWidth="1"/>
    <col min="52" max="52" width="8" bestFit="1" customWidth="1"/>
    <col min="53" max="53" width="6" bestFit="1" customWidth="1"/>
    <col min="54" max="55" width="12" bestFit="1" customWidth="1"/>
    <col min="56" max="56" width="10" bestFit="1" customWidth="1"/>
    <col min="57" max="57" width="9" bestFit="1" customWidth="1"/>
    <col min="58" max="58" width="6" bestFit="1" customWidth="1"/>
    <col min="59" max="60" width="12" bestFit="1" customWidth="1"/>
    <col min="61" max="61" width="6" bestFit="1" customWidth="1"/>
    <col min="62" max="64" width="12" bestFit="1" customWidth="1"/>
    <col min="65" max="66" width="6" bestFit="1" customWidth="1"/>
    <col min="67" max="70" width="12" bestFit="1" customWidth="1"/>
    <col min="71" max="71" width="6" bestFit="1" customWidth="1"/>
    <col min="72" max="73" width="12" bestFit="1" customWidth="1"/>
    <col min="74" max="74" width="6" bestFit="1" customWidth="1"/>
    <col min="75" max="80" width="12" bestFit="1" customWidth="1"/>
    <col min="81" max="82" width="6" bestFit="1" customWidth="1"/>
    <col min="83" max="85" width="12" bestFit="1" customWidth="1"/>
    <col min="86" max="86" width="6" bestFit="1" customWidth="1"/>
    <col min="87" max="87" width="12" bestFit="1" customWidth="1"/>
    <col min="88" max="93" width="6" bestFit="1" customWidth="1"/>
    <col min="94" max="94" width="12" bestFit="1" customWidth="1"/>
    <col min="95" max="96" width="6" bestFit="1" customWidth="1"/>
    <col min="97" max="104" width="12" bestFit="1" customWidth="1"/>
    <col min="105" max="108" width="6" bestFit="1" customWidth="1"/>
    <col min="109" max="109" width="12" bestFit="1" customWidth="1"/>
    <col min="110" max="110" width="6" bestFit="1" customWidth="1"/>
    <col min="111" max="111" width="8" bestFit="1" customWidth="1"/>
    <col min="112" max="112" width="6" bestFit="1" customWidth="1"/>
    <col min="113" max="113" width="12" bestFit="1" customWidth="1"/>
    <col min="114" max="114" width="6" bestFit="1" customWidth="1"/>
    <col min="115" max="116" width="12" bestFit="1" customWidth="1"/>
    <col min="117" max="121" width="6" bestFit="1" customWidth="1"/>
    <col min="122" max="122" width="12" bestFit="1" customWidth="1"/>
    <col min="123" max="128" width="6" bestFit="1" customWidth="1"/>
    <col min="129" max="129" width="12" bestFit="1" customWidth="1"/>
    <col min="130" max="130" width="11" bestFit="1" customWidth="1"/>
    <col min="131" max="131" width="8" bestFit="1" customWidth="1"/>
    <col min="132" max="135" width="12" bestFit="1" customWidth="1"/>
    <col min="136" max="136" width="6" bestFit="1" customWidth="1"/>
    <col min="137" max="139" width="12" bestFit="1" customWidth="1"/>
    <col min="140" max="140" width="10" bestFit="1" customWidth="1"/>
    <col min="141" max="148" width="12" bestFit="1" customWidth="1"/>
    <col min="149" max="149" width="9" bestFit="1" customWidth="1"/>
    <col min="150" max="150" width="12" bestFit="1" customWidth="1"/>
    <col min="151" max="151" width="10" bestFit="1" customWidth="1"/>
    <col min="152" max="153" width="12" bestFit="1" customWidth="1"/>
    <col min="154" max="154" width="11" bestFit="1" customWidth="1"/>
    <col min="155" max="155" width="12" bestFit="1" customWidth="1"/>
    <col min="156" max="156" width="9" bestFit="1" customWidth="1"/>
    <col min="157" max="161" width="12" bestFit="1" customWidth="1"/>
    <col min="162" max="162" width="10" bestFit="1" customWidth="1"/>
    <col min="163" max="173" width="12" bestFit="1" customWidth="1"/>
    <col min="174" max="174" width="11" bestFit="1" customWidth="1"/>
    <col min="175" max="184" width="12" bestFit="1" customWidth="1"/>
    <col min="185" max="186" width="11" bestFit="1" customWidth="1"/>
    <col min="187" max="188" width="12" bestFit="1" customWidth="1"/>
    <col min="189" max="189" width="11" bestFit="1" customWidth="1"/>
    <col min="190" max="198" width="12" bestFit="1" customWidth="1"/>
    <col min="199" max="199" width="10" bestFit="1" customWidth="1"/>
    <col min="200" max="202" width="12" bestFit="1" customWidth="1"/>
    <col min="203" max="203" width="11.28515625" bestFit="1" customWidth="1"/>
    <col min="204" max="204" width="12" bestFit="1" customWidth="1"/>
    <col min="205" max="205" width="10" bestFit="1" customWidth="1"/>
    <col min="206" max="206" width="12" bestFit="1" customWidth="1"/>
    <col min="207" max="208" width="10" bestFit="1" customWidth="1"/>
    <col min="209" max="209" width="8" bestFit="1" customWidth="1"/>
    <col min="210" max="212" width="12" bestFit="1" customWidth="1"/>
    <col min="213" max="213" width="8" bestFit="1" customWidth="1"/>
    <col min="214" max="216" width="12" bestFit="1" customWidth="1"/>
    <col min="217" max="217" width="8" bestFit="1" customWidth="1"/>
    <col min="218" max="218" width="11" bestFit="1" customWidth="1"/>
    <col min="219" max="220" width="8" bestFit="1" customWidth="1"/>
    <col min="221" max="221" width="12" bestFit="1" customWidth="1"/>
    <col min="222" max="222" width="5" bestFit="1" customWidth="1"/>
    <col min="223" max="223" width="11" bestFit="1" customWidth="1"/>
    <col min="224" max="224" width="5" bestFit="1" customWidth="1"/>
    <col min="225" max="225" width="10" bestFit="1" customWidth="1"/>
    <col min="226" max="226" width="12" bestFit="1" customWidth="1"/>
    <col min="227" max="227" width="5" bestFit="1" customWidth="1"/>
    <col min="228" max="228" width="11" bestFit="1" customWidth="1"/>
    <col min="229" max="235" width="12" bestFit="1" customWidth="1"/>
    <col min="236" max="241" width="6" bestFit="1" customWidth="1"/>
    <col min="242" max="243" width="12" bestFit="1" customWidth="1"/>
    <col min="244" max="245" width="6" bestFit="1" customWidth="1"/>
    <col min="246" max="246" width="12" bestFit="1" customWidth="1"/>
    <col min="247" max="247" width="6" bestFit="1" customWidth="1"/>
    <col min="248" max="252" width="12" bestFit="1" customWidth="1"/>
    <col min="253" max="253" width="8" bestFit="1" customWidth="1"/>
    <col min="254" max="254" width="6" bestFit="1" customWidth="1"/>
    <col min="255" max="256" width="12" bestFit="1" customWidth="1"/>
    <col min="257" max="257" width="10" bestFit="1" customWidth="1"/>
    <col min="258" max="258" width="9" bestFit="1" customWidth="1"/>
    <col min="259" max="259" width="6" bestFit="1" customWidth="1"/>
    <col min="260" max="261" width="12" bestFit="1" customWidth="1"/>
    <col min="262" max="262" width="6" bestFit="1" customWidth="1"/>
    <col min="263" max="265" width="12" bestFit="1" customWidth="1"/>
    <col min="266" max="267" width="6" bestFit="1" customWidth="1"/>
    <col min="268" max="271" width="12" bestFit="1" customWidth="1"/>
    <col min="272" max="272" width="6" bestFit="1" customWidth="1"/>
    <col min="273" max="274" width="12" bestFit="1" customWidth="1"/>
    <col min="275" max="275" width="6" bestFit="1" customWidth="1"/>
    <col min="276" max="281" width="12" bestFit="1" customWidth="1"/>
    <col min="282" max="283" width="6" bestFit="1" customWidth="1"/>
    <col min="284" max="286" width="12" bestFit="1" customWidth="1"/>
    <col min="287" max="287" width="6" bestFit="1" customWidth="1"/>
    <col min="288" max="288" width="12" bestFit="1" customWidth="1"/>
    <col min="289" max="294" width="6" bestFit="1" customWidth="1"/>
    <col min="295" max="295" width="12" bestFit="1" customWidth="1"/>
    <col min="296" max="297" width="6" bestFit="1" customWidth="1"/>
    <col min="298" max="305" width="12" bestFit="1" customWidth="1"/>
    <col min="306" max="309" width="6" bestFit="1" customWidth="1"/>
    <col min="310" max="310" width="12" bestFit="1" customWidth="1"/>
    <col min="311" max="311" width="6" bestFit="1" customWidth="1"/>
    <col min="312" max="312" width="8" bestFit="1" customWidth="1"/>
    <col min="313" max="313" width="6" bestFit="1" customWidth="1"/>
    <col min="314" max="314" width="12" bestFit="1" customWidth="1"/>
    <col min="315" max="315" width="6" bestFit="1" customWidth="1"/>
    <col min="316" max="317" width="12" bestFit="1" customWidth="1"/>
    <col min="318" max="322" width="6" bestFit="1" customWidth="1"/>
    <col min="323" max="323" width="12" bestFit="1" customWidth="1"/>
    <col min="324" max="329" width="6" bestFit="1" customWidth="1"/>
    <col min="330" max="330" width="12" bestFit="1" customWidth="1"/>
    <col min="331" max="331" width="11" bestFit="1" customWidth="1"/>
    <col min="332" max="332" width="8" bestFit="1" customWidth="1"/>
    <col min="333" max="336" width="12" bestFit="1" customWidth="1"/>
    <col min="337" max="337" width="6" bestFit="1" customWidth="1"/>
    <col min="338" max="340" width="12" bestFit="1" customWidth="1"/>
    <col min="341" max="341" width="10" bestFit="1" customWidth="1"/>
    <col min="342" max="349" width="12" bestFit="1" customWidth="1"/>
    <col min="350" max="350" width="9" bestFit="1" customWidth="1"/>
    <col min="351" max="351" width="12" bestFit="1" customWidth="1"/>
    <col min="352" max="352" width="10" bestFit="1" customWidth="1"/>
    <col min="353" max="354" width="12" bestFit="1" customWidth="1"/>
    <col min="355" max="355" width="11" bestFit="1" customWidth="1"/>
    <col min="356" max="356" width="12" bestFit="1" customWidth="1"/>
    <col min="357" max="357" width="9" bestFit="1" customWidth="1"/>
    <col min="358" max="362" width="12" bestFit="1" customWidth="1"/>
    <col min="363" max="363" width="10" bestFit="1" customWidth="1"/>
    <col min="364" max="374" width="12" bestFit="1" customWidth="1"/>
    <col min="375" max="375" width="11" bestFit="1" customWidth="1"/>
    <col min="376" max="385" width="12" bestFit="1" customWidth="1"/>
    <col min="386" max="387" width="11" bestFit="1" customWidth="1"/>
    <col min="388" max="389" width="12" bestFit="1" customWidth="1"/>
    <col min="390" max="390" width="11" bestFit="1" customWidth="1"/>
    <col min="391" max="399" width="12" bestFit="1" customWidth="1"/>
    <col min="400" max="400" width="10" bestFit="1" customWidth="1"/>
    <col min="401" max="403" width="12" bestFit="1" customWidth="1"/>
    <col min="404" max="404" width="21.85546875" bestFit="1" customWidth="1"/>
    <col min="405" max="405" width="24.7109375" bestFit="1" customWidth="1"/>
  </cols>
  <sheetData>
    <row r="1" spans="1:3" x14ac:dyDescent="0.25">
      <c r="A1" s="2" t="s">
        <v>941</v>
      </c>
      <c r="B1" t="s">
        <v>1015</v>
      </c>
      <c r="C1"/>
    </row>
    <row r="2" spans="1:3" x14ac:dyDescent="0.25">
      <c r="A2" s="3" t="s">
        <v>260</v>
      </c>
      <c r="B2">
        <v>0.18105420197886199</v>
      </c>
      <c r="C2"/>
    </row>
    <row r="3" spans="1:3" x14ac:dyDescent="0.25">
      <c r="A3" s="4" t="s">
        <v>87</v>
      </c>
      <c r="B3">
        <v>0.18105420197886199</v>
      </c>
      <c r="C3"/>
    </row>
    <row r="4" spans="1:3" x14ac:dyDescent="0.25">
      <c r="A4" s="4" t="s">
        <v>80</v>
      </c>
      <c r="B4">
        <v>-0.13668930010977801</v>
      </c>
      <c r="C4"/>
    </row>
    <row r="5" spans="1:3" x14ac:dyDescent="0.25">
      <c r="A5" s="3" t="s">
        <v>338</v>
      </c>
      <c r="B5">
        <v>0.163410301953819</v>
      </c>
      <c r="C5"/>
    </row>
    <row r="6" spans="1:3" x14ac:dyDescent="0.25">
      <c r="A6" s="4" t="s">
        <v>87</v>
      </c>
      <c r="B6">
        <v>0.163410301953819</v>
      </c>
      <c r="C6"/>
    </row>
    <row r="7" spans="1:3" x14ac:dyDescent="0.25">
      <c r="A7" s="3" t="s">
        <v>552</v>
      </c>
      <c r="B7">
        <v>0.177822940440091</v>
      </c>
      <c r="C7"/>
    </row>
    <row r="8" spans="1:3" x14ac:dyDescent="0.25">
      <c r="A8" s="4" t="s">
        <v>87</v>
      </c>
      <c r="B8">
        <v>8.3021967080993998E-3</v>
      </c>
      <c r="C8"/>
    </row>
    <row r="9" spans="1:3" x14ac:dyDescent="0.25">
      <c r="A9" s="4" t="s">
        <v>80</v>
      </c>
      <c r="B9">
        <v>0.177822940440091</v>
      </c>
      <c r="C9"/>
    </row>
    <row r="10" spans="1:3" x14ac:dyDescent="0.25">
      <c r="A10" s="3" t="s">
        <v>472</v>
      </c>
      <c r="B10">
        <v>0.29589011172873603</v>
      </c>
      <c r="C10"/>
    </row>
    <row r="11" spans="1:3" x14ac:dyDescent="0.25">
      <c r="A11" s="4" t="s">
        <v>87</v>
      </c>
      <c r="B11"/>
      <c r="C11"/>
    </row>
    <row r="12" spans="1:3" x14ac:dyDescent="0.25">
      <c r="A12" s="4" t="s">
        <v>80</v>
      </c>
      <c r="B12">
        <v>0.29589011172873603</v>
      </c>
      <c r="C12"/>
    </row>
    <row r="13" spans="1:3" x14ac:dyDescent="0.25">
      <c r="A13" s="3" t="s">
        <v>179</v>
      </c>
      <c r="B13">
        <v>0.148712264332449</v>
      </c>
      <c r="C13"/>
    </row>
    <row r="14" spans="1:3" x14ac:dyDescent="0.25">
      <c r="A14" s="4" t="s">
        <v>87</v>
      </c>
      <c r="B14">
        <v>0.101751380229903</v>
      </c>
      <c r="C14"/>
    </row>
    <row r="15" spans="1:3" x14ac:dyDescent="0.25">
      <c r="A15" s="4" t="s">
        <v>80</v>
      </c>
      <c r="B15">
        <v>0.148712264332449</v>
      </c>
      <c r="C15"/>
    </row>
    <row r="16" spans="1:3" x14ac:dyDescent="0.25">
      <c r="A16" s="3" t="s">
        <v>942</v>
      </c>
      <c r="B16">
        <v>0.29589011172873603</v>
      </c>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ht="14.25" customHeight="1"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FEC4-AC46-4713-AF5B-9C1B4583B261}">
  <sheetPr codeName="Sheet16"/>
  <dimension ref="N31"/>
  <sheetViews>
    <sheetView workbookViewId="0">
      <selection activeCell="O25" sqref="O25"/>
    </sheetView>
  </sheetViews>
  <sheetFormatPr defaultRowHeight="15" x14ac:dyDescent="0.25"/>
  <sheetData>
    <row r="31" spans="14:14" x14ac:dyDescent="0.25">
      <c r="N31" t="s">
        <v>1017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490E-CA33-441C-9FD4-EA6E431D2275}">
  <sheetPr codeName="Sheet17"/>
  <dimension ref="A1:T25"/>
  <sheetViews>
    <sheetView topLeftCell="B1" workbookViewId="0">
      <selection activeCell="H4" sqref="H4:K22"/>
    </sheetView>
  </sheetViews>
  <sheetFormatPr defaultRowHeight="15" x14ac:dyDescent="0.25"/>
  <cols>
    <col min="1" max="1" width="28.5703125" bestFit="1" customWidth="1"/>
    <col min="2" max="2" width="27" bestFit="1" customWidth="1"/>
    <col min="3" max="3" width="6.85546875" bestFit="1" customWidth="1"/>
    <col min="4" max="4" width="11.140625" bestFit="1" customWidth="1"/>
    <col min="8" max="8" width="15.42578125" customWidth="1"/>
    <col min="9" max="10" width="13.42578125" customWidth="1"/>
  </cols>
  <sheetData>
    <row r="1" spans="1:20" x14ac:dyDescent="0.25">
      <c r="A1" s="48" t="s">
        <v>1020</v>
      </c>
      <c r="B1" s="48"/>
      <c r="C1" s="48"/>
      <c r="D1" s="48"/>
      <c r="J1" t="s">
        <v>1141</v>
      </c>
    </row>
    <row r="2" spans="1:20" x14ac:dyDescent="0.25">
      <c r="A2" s="48"/>
      <c r="B2" s="48"/>
      <c r="C2" s="48"/>
      <c r="D2" s="48"/>
      <c r="H2" t="s">
        <v>1123</v>
      </c>
    </row>
    <row r="3" spans="1:20" ht="16.5" x14ac:dyDescent="0.3">
      <c r="A3" s="10"/>
      <c r="B3" s="10"/>
      <c r="C3" s="10"/>
      <c r="D3" s="10"/>
      <c r="N3" t="s">
        <v>1140</v>
      </c>
      <c r="O3" t="s">
        <v>1140</v>
      </c>
      <c r="P3" t="s">
        <v>1140</v>
      </c>
      <c r="Q3" t="s">
        <v>1140</v>
      </c>
      <c r="R3" t="s">
        <v>1140</v>
      </c>
    </row>
    <row r="4" spans="1:20" ht="16.5" x14ac:dyDescent="0.3">
      <c r="A4" s="11" t="s">
        <v>1022</v>
      </c>
      <c r="B4" s="11" t="s">
        <v>1023</v>
      </c>
      <c r="C4" s="11" t="s">
        <v>1024</v>
      </c>
      <c r="D4" s="11" t="s">
        <v>1025</v>
      </c>
      <c r="H4" t="s">
        <v>1022</v>
      </c>
      <c r="I4" t="s">
        <v>1023</v>
      </c>
      <c r="J4" t="s">
        <v>1024</v>
      </c>
      <c r="K4" t="s">
        <v>1025</v>
      </c>
      <c r="P4">
        <v>3000</v>
      </c>
      <c r="R4">
        <v>16000</v>
      </c>
      <c r="T4">
        <v>1500</v>
      </c>
    </row>
    <row r="5" spans="1:20" ht="16.5" x14ac:dyDescent="0.3">
      <c r="A5" s="10" t="s">
        <v>1031</v>
      </c>
      <c r="B5" s="10" t="s">
        <v>1032</v>
      </c>
      <c r="C5" s="10">
        <v>50</v>
      </c>
      <c r="D5" s="10" t="s">
        <v>1033</v>
      </c>
      <c r="H5" t="s">
        <v>1125</v>
      </c>
      <c r="I5" s="13" t="s">
        <v>1128</v>
      </c>
      <c r="J5">
        <v>300</v>
      </c>
      <c r="K5" t="s">
        <v>1142</v>
      </c>
      <c r="N5">
        <v>4000</v>
      </c>
      <c r="P5" s="13" t="s">
        <v>1128</v>
      </c>
      <c r="R5" s="12"/>
      <c r="T5" s="13" t="s">
        <v>1134</v>
      </c>
    </row>
    <row r="6" spans="1:20" ht="16.5" x14ac:dyDescent="0.3">
      <c r="A6" s="10" t="s">
        <v>1039</v>
      </c>
      <c r="B6" s="10" t="s">
        <v>1032</v>
      </c>
      <c r="C6" s="10">
        <v>50</v>
      </c>
      <c r="D6" s="10" t="s">
        <v>1033</v>
      </c>
      <c r="H6" t="s">
        <v>1125</v>
      </c>
      <c r="I6" s="13" t="s">
        <v>1129</v>
      </c>
      <c r="J6">
        <v>1000</v>
      </c>
      <c r="K6" t="s">
        <v>1142</v>
      </c>
      <c r="N6" s="13" t="s">
        <v>1125</v>
      </c>
      <c r="P6" s="13" t="s">
        <v>1129</v>
      </c>
      <c r="R6" s="12"/>
      <c r="T6" s="13" t="s">
        <v>1135</v>
      </c>
    </row>
    <row r="7" spans="1:20" ht="16.5" x14ac:dyDescent="0.3">
      <c r="A7" s="10" t="s">
        <v>1043</v>
      </c>
      <c r="B7" s="10" t="s">
        <v>1032</v>
      </c>
      <c r="C7" s="10">
        <v>50</v>
      </c>
      <c r="D7" s="10" t="s">
        <v>1033</v>
      </c>
      <c r="H7" s="14" t="s">
        <v>1124</v>
      </c>
      <c r="I7" s="14" t="s">
        <v>1130</v>
      </c>
      <c r="J7">
        <v>8000</v>
      </c>
      <c r="K7" s="14" t="s">
        <v>1143</v>
      </c>
      <c r="P7">
        <v>1000</v>
      </c>
      <c r="R7" s="12"/>
      <c r="T7">
        <v>500</v>
      </c>
    </row>
    <row r="8" spans="1:20" ht="16.5" x14ac:dyDescent="0.3">
      <c r="A8" s="10" t="s">
        <v>1047</v>
      </c>
      <c r="B8" s="10" t="s">
        <v>1032</v>
      </c>
      <c r="C8" s="10">
        <v>20</v>
      </c>
      <c r="D8" s="10" t="s">
        <v>1033</v>
      </c>
      <c r="H8" s="14" t="s">
        <v>1124</v>
      </c>
      <c r="I8" s="14" t="s">
        <v>1131</v>
      </c>
      <c r="J8">
        <v>2000</v>
      </c>
      <c r="K8" s="14" t="s">
        <v>1143</v>
      </c>
      <c r="N8">
        <v>10000</v>
      </c>
      <c r="P8">
        <v>8000</v>
      </c>
      <c r="R8" s="12"/>
      <c r="T8">
        <v>3000</v>
      </c>
    </row>
    <row r="9" spans="1:20" ht="16.5" x14ac:dyDescent="0.3">
      <c r="A9" s="10" t="s">
        <v>1032</v>
      </c>
      <c r="B9" s="10" t="s">
        <v>1051</v>
      </c>
      <c r="C9" s="10">
        <v>170</v>
      </c>
      <c r="D9" s="10" t="s">
        <v>1033</v>
      </c>
      <c r="H9" s="15" t="s">
        <v>1127</v>
      </c>
      <c r="I9" s="15" t="s">
        <v>1132</v>
      </c>
      <c r="J9">
        <v>1500</v>
      </c>
      <c r="K9" s="15" t="s">
        <v>1144</v>
      </c>
      <c r="N9" s="14" t="s">
        <v>1124</v>
      </c>
      <c r="P9" s="14" t="s">
        <v>1130</v>
      </c>
      <c r="R9" s="12" t="s">
        <v>1126</v>
      </c>
      <c r="T9" s="14" t="s">
        <v>1136</v>
      </c>
    </row>
    <row r="10" spans="1:20" ht="16.5" x14ac:dyDescent="0.3">
      <c r="A10" s="10" t="s">
        <v>1056</v>
      </c>
      <c r="B10" s="10" t="s">
        <v>1057</v>
      </c>
      <c r="C10" s="10">
        <v>80</v>
      </c>
      <c r="D10" s="10" t="s">
        <v>1033</v>
      </c>
      <c r="H10" s="15" t="s">
        <v>1127</v>
      </c>
      <c r="I10" s="15" t="s">
        <v>1133</v>
      </c>
      <c r="J10">
        <v>500</v>
      </c>
      <c r="K10" s="15" t="s">
        <v>1144</v>
      </c>
      <c r="P10" s="14" t="s">
        <v>1131</v>
      </c>
      <c r="R10" s="12"/>
      <c r="T10" s="14" t="s">
        <v>1137</v>
      </c>
    </row>
    <row r="11" spans="1:20" ht="16.5" x14ac:dyDescent="0.3">
      <c r="A11" s="10" t="s">
        <v>1061</v>
      </c>
      <c r="B11" s="10" t="s">
        <v>1057</v>
      </c>
      <c r="C11" s="10">
        <v>50</v>
      </c>
      <c r="D11" s="10" t="s">
        <v>1033</v>
      </c>
      <c r="H11" s="13" t="s">
        <v>1128</v>
      </c>
      <c r="I11" t="s">
        <v>1126</v>
      </c>
      <c r="J11">
        <v>200</v>
      </c>
      <c r="K11" t="s">
        <v>1142</v>
      </c>
      <c r="P11">
        <v>2000</v>
      </c>
      <c r="R11" s="12"/>
      <c r="T11">
        <v>1000</v>
      </c>
    </row>
    <row r="12" spans="1:20" ht="16.5" x14ac:dyDescent="0.3">
      <c r="A12" s="10" t="s">
        <v>1066</v>
      </c>
      <c r="B12" s="10" t="s">
        <v>1057</v>
      </c>
      <c r="C12" s="10">
        <v>30</v>
      </c>
      <c r="D12" s="10" t="s">
        <v>1033</v>
      </c>
      <c r="H12" s="13" t="s">
        <v>1129</v>
      </c>
      <c r="I12" t="s">
        <v>1126</v>
      </c>
      <c r="J12">
        <v>1000</v>
      </c>
      <c r="K12" t="s">
        <v>1142</v>
      </c>
      <c r="N12">
        <v>2000</v>
      </c>
      <c r="P12">
        <v>1500</v>
      </c>
      <c r="R12" s="12"/>
      <c r="T12">
        <v>800</v>
      </c>
    </row>
    <row r="13" spans="1:20" ht="16.5" x14ac:dyDescent="0.3">
      <c r="A13" s="10" t="s">
        <v>1057</v>
      </c>
      <c r="B13" s="10" t="s">
        <v>1051</v>
      </c>
      <c r="C13" s="10">
        <v>160</v>
      </c>
      <c r="D13" s="10" t="s">
        <v>1033</v>
      </c>
      <c r="H13" s="14" t="s">
        <v>1130</v>
      </c>
      <c r="I13" t="s">
        <v>1126</v>
      </c>
      <c r="J13">
        <v>8000</v>
      </c>
      <c r="K13" s="14" t="s">
        <v>1143</v>
      </c>
      <c r="N13" s="15" t="s">
        <v>1127</v>
      </c>
      <c r="P13" s="15" t="s">
        <v>1132</v>
      </c>
      <c r="R13" s="12"/>
      <c r="T13" s="15" t="s">
        <v>1138</v>
      </c>
    </row>
    <row r="14" spans="1:20" ht="16.5" x14ac:dyDescent="0.3">
      <c r="A14" s="10" t="s">
        <v>1051</v>
      </c>
      <c r="B14" s="10" t="s">
        <v>1073</v>
      </c>
      <c r="C14" s="10">
        <v>270</v>
      </c>
      <c r="D14" s="10" t="s">
        <v>1074</v>
      </c>
      <c r="H14" s="14" t="s">
        <v>1131</v>
      </c>
      <c r="I14" t="s">
        <v>1126</v>
      </c>
      <c r="J14">
        <v>2000</v>
      </c>
      <c r="K14" s="14" t="s">
        <v>1143</v>
      </c>
      <c r="P14" s="15" t="s">
        <v>1133</v>
      </c>
      <c r="R14" s="12"/>
      <c r="T14" s="15" t="s">
        <v>1139</v>
      </c>
    </row>
    <row r="15" spans="1:20" ht="16.5" x14ac:dyDescent="0.3">
      <c r="A15" s="10" t="s">
        <v>1073</v>
      </c>
      <c r="B15" s="10" t="s">
        <v>1078</v>
      </c>
      <c r="C15" s="10">
        <v>160</v>
      </c>
      <c r="D15" s="10" t="s">
        <v>1064</v>
      </c>
      <c r="H15" s="15" t="s">
        <v>1132</v>
      </c>
      <c r="I15" t="s">
        <v>1126</v>
      </c>
      <c r="J15">
        <v>1500</v>
      </c>
      <c r="K15" s="15" t="s">
        <v>1144</v>
      </c>
      <c r="P15">
        <v>500</v>
      </c>
      <c r="T15">
        <v>200</v>
      </c>
    </row>
    <row r="16" spans="1:20" ht="16.5" x14ac:dyDescent="0.3">
      <c r="A16" s="10" t="s">
        <v>1078</v>
      </c>
      <c r="B16" s="10" t="s">
        <v>1084</v>
      </c>
      <c r="C16" s="10">
        <v>60</v>
      </c>
      <c r="D16" s="10" t="s">
        <v>1064</v>
      </c>
      <c r="H16" s="15" t="s">
        <v>1133</v>
      </c>
      <c r="I16" t="s">
        <v>1126</v>
      </c>
      <c r="J16">
        <v>500</v>
      </c>
      <c r="K16" s="15" t="s">
        <v>1144</v>
      </c>
    </row>
    <row r="17" spans="1:11" ht="16.5" x14ac:dyDescent="0.3">
      <c r="A17" s="10" t="s">
        <v>1078</v>
      </c>
      <c r="B17" s="10" t="s">
        <v>1088</v>
      </c>
      <c r="C17" s="10">
        <v>50</v>
      </c>
      <c r="D17" s="10" t="s">
        <v>1064</v>
      </c>
      <c r="H17" t="s">
        <v>1126</v>
      </c>
      <c r="I17" s="13" t="s">
        <v>1134</v>
      </c>
      <c r="J17">
        <v>1500</v>
      </c>
      <c r="K17" t="s">
        <v>1142</v>
      </c>
    </row>
    <row r="18" spans="1:11" ht="16.5" x14ac:dyDescent="0.3">
      <c r="A18" s="10" t="s">
        <v>1078</v>
      </c>
      <c r="B18" s="10" t="s">
        <v>1092</v>
      </c>
      <c r="C18" s="10">
        <v>40</v>
      </c>
      <c r="D18" s="10" t="s">
        <v>1064</v>
      </c>
      <c r="H18" t="s">
        <v>1126</v>
      </c>
      <c r="I18" s="13" t="s">
        <v>1135</v>
      </c>
      <c r="J18">
        <v>500</v>
      </c>
      <c r="K18" t="s">
        <v>1142</v>
      </c>
    </row>
    <row r="19" spans="1:11" ht="16.5" x14ac:dyDescent="0.3">
      <c r="A19" s="10" t="s">
        <v>1078</v>
      </c>
      <c r="B19" s="10" t="s">
        <v>1096</v>
      </c>
      <c r="C19" s="10">
        <v>10</v>
      </c>
      <c r="D19" s="10" t="s">
        <v>1064</v>
      </c>
      <c r="H19" t="s">
        <v>1126</v>
      </c>
      <c r="I19" s="14" t="s">
        <v>1136</v>
      </c>
      <c r="J19">
        <v>3000</v>
      </c>
      <c r="K19" s="14" t="s">
        <v>1143</v>
      </c>
    </row>
    <row r="20" spans="1:11" ht="16.5" x14ac:dyDescent="0.3">
      <c r="A20" s="10" t="s">
        <v>1073</v>
      </c>
      <c r="B20" s="10" t="s">
        <v>1100</v>
      </c>
      <c r="C20" s="10">
        <v>110</v>
      </c>
      <c r="D20" s="10" t="s">
        <v>1064</v>
      </c>
      <c r="H20" t="s">
        <v>1126</v>
      </c>
      <c r="I20" s="14" t="s">
        <v>1137</v>
      </c>
      <c r="J20">
        <v>1000</v>
      </c>
      <c r="K20" s="14" t="s">
        <v>1143</v>
      </c>
    </row>
    <row r="21" spans="1:11" ht="16.5" x14ac:dyDescent="0.3">
      <c r="A21" s="10" t="s">
        <v>1100</v>
      </c>
      <c r="B21" s="10" t="s">
        <v>1103</v>
      </c>
      <c r="C21" s="10">
        <v>80</v>
      </c>
      <c r="D21" s="10" t="s">
        <v>1064</v>
      </c>
      <c r="H21" t="s">
        <v>1126</v>
      </c>
      <c r="I21" s="15" t="s">
        <v>1138</v>
      </c>
      <c r="J21">
        <v>800</v>
      </c>
      <c r="K21" s="15" t="s">
        <v>1144</v>
      </c>
    </row>
    <row r="22" spans="1:11" ht="16.5" x14ac:dyDescent="0.3">
      <c r="A22" s="10" t="s">
        <v>1100</v>
      </c>
      <c r="B22" s="10" t="s">
        <v>1107</v>
      </c>
      <c r="C22" s="10">
        <v>30</v>
      </c>
      <c r="D22" s="10" t="s">
        <v>1064</v>
      </c>
      <c r="H22" t="s">
        <v>1126</v>
      </c>
      <c r="I22" s="15" t="s">
        <v>1139</v>
      </c>
      <c r="J22">
        <v>200</v>
      </c>
      <c r="K22" s="15" t="s">
        <v>1144</v>
      </c>
    </row>
    <row r="23" spans="1:11" ht="16.5" x14ac:dyDescent="0.3">
      <c r="A23" s="10" t="s">
        <v>1051</v>
      </c>
      <c r="B23" s="10" t="s">
        <v>1110</v>
      </c>
      <c r="C23" s="10">
        <v>60</v>
      </c>
      <c r="D23" s="10" t="s">
        <v>1111</v>
      </c>
    </row>
    <row r="25" spans="1:11" ht="16.5" x14ac:dyDescent="0.3">
      <c r="B25" s="10" t="s">
        <v>1122</v>
      </c>
    </row>
  </sheetData>
  <mergeCells count="1">
    <mergeCell ref="A1:D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908-10AF-4B9F-BC9D-7EE8210E8A63}">
  <sheetPr codeName="Sheet19"/>
  <dimension ref="A1:D19"/>
  <sheetViews>
    <sheetView workbookViewId="0">
      <selection sqref="A1:D19"/>
    </sheetView>
  </sheetViews>
  <sheetFormatPr defaultRowHeight="15" x14ac:dyDescent="0.25"/>
  <sheetData>
    <row r="1" spans="1:4" x14ac:dyDescent="0.25">
      <c r="A1" t="s">
        <v>1022</v>
      </c>
      <c r="B1" t="s">
        <v>1023</v>
      </c>
      <c r="C1" t="s">
        <v>1024</v>
      </c>
      <c r="D1" t="s">
        <v>1025</v>
      </c>
    </row>
    <row r="2" spans="1:4" x14ac:dyDescent="0.25">
      <c r="A2" t="s">
        <v>1125</v>
      </c>
      <c r="B2" s="13" t="s">
        <v>1128</v>
      </c>
      <c r="C2">
        <v>300</v>
      </c>
      <c r="D2" t="s">
        <v>1142</v>
      </c>
    </row>
    <row r="3" spans="1:4" x14ac:dyDescent="0.25">
      <c r="A3" t="s">
        <v>1125</v>
      </c>
      <c r="B3" s="13" t="s">
        <v>1129</v>
      </c>
      <c r="C3">
        <v>1000</v>
      </c>
      <c r="D3" t="s">
        <v>1142</v>
      </c>
    </row>
    <row r="4" spans="1:4" x14ac:dyDescent="0.25">
      <c r="A4" s="14" t="s">
        <v>1124</v>
      </c>
      <c r="B4" s="14" t="s">
        <v>1130</v>
      </c>
      <c r="C4">
        <v>8000</v>
      </c>
      <c r="D4" s="14" t="s">
        <v>1143</v>
      </c>
    </row>
    <row r="5" spans="1:4" x14ac:dyDescent="0.25">
      <c r="A5" s="14" t="s">
        <v>1124</v>
      </c>
      <c r="B5" s="14" t="s">
        <v>1131</v>
      </c>
      <c r="C5">
        <v>2000</v>
      </c>
      <c r="D5" s="14" t="s">
        <v>1143</v>
      </c>
    </row>
    <row r="6" spans="1:4" x14ac:dyDescent="0.25">
      <c r="A6" s="15" t="s">
        <v>1127</v>
      </c>
      <c r="B6" s="15" t="s">
        <v>1132</v>
      </c>
      <c r="C6">
        <v>1500</v>
      </c>
      <c r="D6" s="15" t="s">
        <v>1144</v>
      </c>
    </row>
    <row r="7" spans="1:4" x14ac:dyDescent="0.25">
      <c r="A7" s="15" t="s">
        <v>1127</v>
      </c>
      <c r="B7" s="15" t="s">
        <v>1133</v>
      </c>
      <c r="C7">
        <v>500</v>
      </c>
      <c r="D7" s="15" t="s">
        <v>1144</v>
      </c>
    </row>
    <row r="8" spans="1:4" x14ac:dyDescent="0.25">
      <c r="A8" s="13" t="s">
        <v>1128</v>
      </c>
      <c r="B8" t="s">
        <v>1126</v>
      </c>
      <c r="C8">
        <v>200</v>
      </c>
      <c r="D8" t="s">
        <v>1142</v>
      </c>
    </row>
    <row r="9" spans="1:4" x14ac:dyDescent="0.25">
      <c r="A9" s="13" t="s">
        <v>1129</v>
      </c>
      <c r="B9" t="s">
        <v>1126</v>
      </c>
      <c r="C9">
        <v>1000</v>
      </c>
      <c r="D9" t="s">
        <v>1142</v>
      </c>
    </row>
    <row r="10" spans="1:4" x14ac:dyDescent="0.25">
      <c r="A10" s="14" t="s">
        <v>1130</v>
      </c>
      <c r="B10" t="s">
        <v>1126</v>
      </c>
      <c r="C10">
        <v>8000</v>
      </c>
      <c r="D10" s="14" t="s">
        <v>1143</v>
      </c>
    </row>
    <row r="11" spans="1:4" x14ac:dyDescent="0.25">
      <c r="A11" s="14" t="s">
        <v>1131</v>
      </c>
      <c r="B11" t="s">
        <v>1126</v>
      </c>
      <c r="C11">
        <v>2000</v>
      </c>
      <c r="D11" s="14" t="s">
        <v>1143</v>
      </c>
    </row>
    <row r="12" spans="1:4" x14ac:dyDescent="0.25">
      <c r="A12" s="15" t="s">
        <v>1132</v>
      </c>
      <c r="B12" t="s">
        <v>1126</v>
      </c>
      <c r="C12">
        <v>1500</v>
      </c>
      <c r="D12" s="15" t="s">
        <v>1144</v>
      </c>
    </row>
    <row r="13" spans="1:4" x14ac:dyDescent="0.25">
      <c r="A13" s="15" t="s">
        <v>1133</v>
      </c>
      <c r="B13" t="s">
        <v>1126</v>
      </c>
      <c r="C13">
        <v>500</v>
      </c>
      <c r="D13" s="15" t="s">
        <v>1144</v>
      </c>
    </row>
    <row r="14" spans="1:4" x14ac:dyDescent="0.25">
      <c r="A14" t="s">
        <v>1126</v>
      </c>
      <c r="B14" s="13" t="s">
        <v>1134</v>
      </c>
      <c r="C14">
        <v>1500</v>
      </c>
      <c r="D14" t="s">
        <v>1142</v>
      </c>
    </row>
    <row r="15" spans="1:4" x14ac:dyDescent="0.25">
      <c r="A15" t="s">
        <v>1126</v>
      </c>
      <c r="B15" s="13" t="s">
        <v>1135</v>
      </c>
      <c r="C15">
        <v>500</v>
      </c>
      <c r="D15" t="s">
        <v>1142</v>
      </c>
    </row>
    <row r="16" spans="1:4" x14ac:dyDescent="0.25">
      <c r="A16" t="s">
        <v>1126</v>
      </c>
      <c r="B16" s="14" t="s">
        <v>1136</v>
      </c>
      <c r="C16">
        <v>3000</v>
      </c>
      <c r="D16" s="14" t="s">
        <v>1143</v>
      </c>
    </row>
    <row r="17" spans="1:4" x14ac:dyDescent="0.25">
      <c r="A17" t="s">
        <v>1126</v>
      </c>
      <c r="B17" s="14" t="s">
        <v>1137</v>
      </c>
      <c r="C17">
        <v>1000</v>
      </c>
      <c r="D17" s="14" t="s">
        <v>1143</v>
      </c>
    </row>
    <row r="18" spans="1:4" x14ac:dyDescent="0.25">
      <c r="A18" t="s">
        <v>1126</v>
      </c>
      <c r="B18" s="15" t="s">
        <v>1138</v>
      </c>
      <c r="C18">
        <v>800</v>
      </c>
      <c r="D18" s="15" t="s">
        <v>1144</v>
      </c>
    </row>
    <row r="19" spans="1:4" x14ac:dyDescent="0.25">
      <c r="A19" t="s">
        <v>1126</v>
      </c>
      <c r="B19" s="15" t="s">
        <v>1139</v>
      </c>
      <c r="C19">
        <v>200</v>
      </c>
      <c r="D19" s="15" t="s">
        <v>1144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E133-C9EC-43C4-905E-05BFBEED83A2}">
  <sheetPr codeName="Sheet18"/>
  <dimension ref="B3:T31"/>
  <sheetViews>
    <sheetView zoomScaleNormal="100" workbookViewId="0">
      <selection activeCell="U37" sqref="U37"/>
    </sheetView>
  </sheetViews>
  <sheetFormatPr defaultColWidth="9.140625" defaultRowHeight="16.5" x14ac:dyDescent="0.3"/>
  <cols>
    <col min="1" max="1" width="4.5703125" style="10" customWidth="1"/>
    <col min="2" max="2" width="23.7109375" style="10" customWidth="1"/>
    <col min="3" max="3" width="16.42578125" style="10" bestFit="1" customWidth="1"/>
    <col min="4" max="4" width="6.85546875" style="10" bestFit="1" customWidth="1"/>
    <col min="5" max="5" width="7.7109375" style="10" bestFit="1" customWidth="1"/>
    <col min="6" max="6" width="9.140625" style="10"/>
    <col min="7" max="7" width="23.7109375" style="10" customWidth="1"/>
    <col min="8" max="8" width="21.140625" style="10" customWidth="1"/>
    <col min="9" max="9" width="6.85546875" style="10" bestFit="1" customWidth="1"/>
    <col min="10" max="10" width="7.7109375" style="10" bestFit="1" customWidth="1"/>
    <col min="11" max="11" width="9.140625" style="10"/>
    <col min="12" max="12" width="32.140625" style="10" customWidth="1"/>
    <col min="13" max="13" width="27" style="10" bestFit="1" customWidth="1"/>
    <col min="14" max="14" width="9.140625" style="10"/>
    <col min="15" max="15" width="13.140625" style="10" customWidth="1"/>
    <col min="16" max="16" width="9.140625" style="10"/>
    <col min="17" max="17" width="14" style="10" bestFit="1" customWidth="1"/>
    <col min="18" max="18" width="24.28515625" style="10" bestFit="1" customWidth="1"/>
    <col min="19" max="19" width="9.140625" style="10"/>
    <col min="20" max="20" width="22.140625" style="10" bestFit="1" customWidth="1"/>
    <col min="21" max="16384" width="9.140625" style="10"/>
  </cols>
  <sheetData>
    <row r="3" spans="2:20" x14ac:dyDescent="0.3">
      <c r="B3" s="48" t="s">
        <v>1018</v>
      </c>
      <c r="C3" s="48"/>
      <c r="D3" s="48"/>
      <c r="E3" s="48"/>
      <c r="G3" s="48" t="s">
        <v>1019</v>
      </c>
      <c r="H3" s="48"/>
      <c r="I3" s="48"/>
      <c r="J3" s="48"/>
      <c r="L3" s="48" t="s">
        <v>1020</v>
      </c>
      <c r="M3" s="48"/>
      <c r="N3" s="48"/>
      <c r="O3" s="48"/>
      <c r="Q3" s="48" t="s">
        <v>1021</v>
      </c>
      <c r="R3" s="48"/>
      <c r="S3" s="48"/>
      <c r="T3" s="48"/>
    </row>
    <row r="4" spans="2:20" x14ac:dyDescent="0.3">
      <c r="B4" s="48"/>
      <c r="C4" s="48"/>
      <c r="D4" s="48"/>
      <c r="E4" s="48"/>
      <c r="G4" s="48"/>
      <c r="H4" s="48"/>
      <c r="I4" s="48"/>
      <c r="J4" s="48"/>
      <c r="L4" s="48"/>
      <c r="M4" s="48"/>
      <c r="N4" s="48"/>
      <c r="O4" s="48"/>
      <c r="Q4" s="48"/>
      <c r="R4" s="48"/>
      <c r="S4" s="48"/>
      <c r="T4" s="48"/>
    </row>
    <row r="6" spans="2:20" x14ac:dyDescent="0.3">
      <c r="B6" s="11" t="s">
        <v>1022</v>
      </c>
      <c r="C6" s="11" t="s">
        <v>1023</v>
      </c>
      <c r="D6" s="11" t="s">
        <v>1024</v>
      </c>
      <c r="E6" s="11" t="s">
        <v>1025</v>
      </c>
      <c r="G6" s="11" t="s">
        <v>1022</v>
      </c>
      <c r="H6" s="11" t="s">
        <v>1023</v>
      </c>
      <c r="I6" s="11" t="s">
        <v>1024</v>
      </c>
      <c r="J6" s="11" t="s">
        <v>1025</v>
      </c>
      <c r="L6" s="11" t="s">
        <v>1022</v>
      </c>
      <c r="M6" s="11" t="s">
        <v>1023</v>
      </c>
      <c r="N6" s="11" t="s">
        <v>1024</v>
      </c>
      <c r="O6" s="11" t="s">
        <v>1025</v>
      </c>
      <c r="Q6" s="11" t="s">
        <v>1022</v>
      </c>
      <c r="R6" s="11" t="s">
        <v>1023</v>
      </c>
      <c r="S6" s="11" t="s">
        <v>1024</v>
      </c>
      <c r="T6" s="11" t="s">
        <v>1025</v>
      </c>
    </row>
    <row r="7" spans="2:20" x14ac:dyDescent="0.3">
      <c r="B7" s="10" t="s">
        <v>1026</v>
      </c>
      <c r="C7" s="10" t="s">
        <v>1027</v>
      </c>
      <c r="D7" s="10">
        <v>205.5</v>
      </c>
      <c r="E7" s="10" t="s">
        <v>1028</v>
      </c>
      <c r="G7" s="10" t="s">
        <v>1029</v>
      </c>
      <c r="H7" s="10" t="s">
        <v>1030</v>
      </c>
      <c r="I7" s="10">
        <v>730.8</v>
      </c>
      <c r="J7" s="10" t="s">
        <v>1028</v>
      </c>
      <c r="L7" s="10" t="s">
        <v>1031</v>
      </c>
      <c r="M7" s="10" t="s">
        <v>1032</v>
      </c>
      <c r="N7" s="10">
        <v>50</v>
      </c>
      <c r="O7" s="10" t="s">
        <v>1033</v>
      </c>
      <c r="Q7" s="10" t="s">
        <v>1034</v>
      </c>
      <c r="R7" s="10" t="s">
        <v>1035</v>
      </c>
      <c r="S7" s="10">
        <v>42</v>
      </c>
      <c r="T7" s="10" t="s">
        <v>1036</v>
      </c>
    </row>
    <row r="8" spans="2:20" x14ac:dyDescent="0.3">
      <c r="B8" s="10" t="s">
        <v>1037</v>
      </c>
      <c r="C8" s="10" t="s">
        <v>1027</v>
      </c>
      <c r="D8" s="10">
        <v>40.200000000000003</v>
      </c>
      <c r="E8" s="10" t="s">
        <v>1028</v>
      </c>
      <c r="G8" s="10" t="s">
        <v>1038</v>
      </c>
      <c r="H8" s="10" t="s">
        <v>1030</v>
      </c>
      <c r="I8" s="10">
        <v>171.8</v>
      </c>
      <c r="J8" s="10" t="s">
        <v>1028</v>
      </c>
      <c r="L8" s="10" t="s">
        <v>1039</v>
      </c>
      <c r="M8" s="10" t="s">
        <v>1032</v>
      </c>
      <c r="N8" s="10">
        <v>50</v>
      </c>
      <c r="O8" s="10" t="s">
        <v>1033</v>
      </c>
      <c r="Q8" s="10" t="s">
        <v>1034</v>
      </c>
      <c r="R8" s="10" t="s">
        <v>1040</v>
      </c>
      <c r="S8" s="10">
        <v>41</v>
      </c>
      <c r="T8" s="10" t="s">
        <v>1036</v>
      </c>
    </row>
    <row r="9" spans="2:20" x14ac:dyDescent="0.3">
      <c r="B9" s="10" t="s">
        <v>1041</v>
      </c>
      <c r="C9" s="10" t="s">
        <v>1027</v>
      </c>
      <c r="D9" s="10">
        <v>29.3</v>
      </c>
      <c r="E9" s="10" t="s">
        <v>1028</v>
      </c>
      <c r="G9" s="10" t="s">
        <v>1042</v>
      </c>
      <c r="H9" s="10" t="s">
        <v>1030</v>
      </c>
      <c r="I9" s="10">
        <v>115.4</v>
      </c>
      <c r="J9" s="10" t="s">
        <v>1028</v>
      </c>
      <c r="L9" s="10" t="s">
        <v>1043</v>
      </c>
      <c r="M9" s="10" t="s">
        <v>1032</v>
      </c>
      <c r="N9" s="10">
        <v>50</v>
      </c>
      <c r="O9" s="10" t="s">
        <v>1033</v>
      </c>
      <c r="Q9" s="10" t="s">
        <v>1034</v>
      </c>
      <c r="R9" s="10" t="s">
        <v>1044</v>
      </c>
      <c r="S9" s="10">
        <v>44</v>
      </c>
      <c r="T9" s="10" t="s">
        <v>1036</v>
      </c>
    </row>
    <row r="10" spans="2:20" x14ac:dyDescent="0.3">
      <c r="B10" s="10" t="s">
        <v>1045</v>
      </c>
      <c r="C10" s="10" t="s">
        <v>1027</v>
      </c>
      <c r="D10" s="10">
        <v>41.2</v>
      </c>
      <c r="E10" s="10" t="s">
        <v>1028</v>
      </c>
      <c r="G10" s="10" t="s">
        <v>1046</v>
      </c>
      <c r="H10" s="10" t="s">
        <v>1030</v>
      </c>
      <c r="I10" s="10">
        <v>104.3</v>
      </c>
      <c r="J10" s="10" t="s">
        <v>1028</v>
      </c>
      <c r="L10" s="10" t="s">
        <v>1047</v>
      </c>
      <c r="M10" s="10" t="s">
        <v>1032</v>
      </c>
      <c r="N10" s="10">
        <v>20</v>
      </c>
      <c r="O10" s="10" t="s">
        <v>1033</v>
      </c>
      <c r="Q10" s="10" t="s">
        <v>1034</v>
      </c>
      <c r="R10" s="10" t="s">
        <v>1048</v>
      </c>
      <c r="S10" s="10">
        <v>27</v>
      </c>
      <c r="T10" s="10" t="s">
        <v>1036</v>
      </c>
    </row>
    <row r="11" spans="2:20" x14ac:dyDescent="0.3">
      <c r="B11" s="10" t="s">
        <v>1027</v>
      </c>
      <c r="C11" s="10" t="s">
        <v>1049</v>
      </c>
      <c r="D11" s="10">
        <v>316.2</v>
      </c>
      <c r="E11" s="10" t="s">
        <v>1028</v>
      </c>
      <c r="G11" s="10" t="s">
        <v>1050</v>
      </c>
      <c r="H11" s="10" t="s">
        <v>1030</v>
      </c>
      <c r="I11" s="10">
        <v>96.1</v>
      </c>
      <c r="J11" s="10" t="s">
        <v>1028</v>
      </c>
      <c r="L11" s="10" t="s">
        <v>1032</v>
      </c>
      <c r="M11" s="10" t="s">
        <v>1051</v>
      </c>
      <c r="N11" s="10">
        <v>170</v>
      </c>
      <c r="O11" s="10" t="s">
        <v>1033</v>
      </c>
      <c r="Q11" s="10" t="s">
        <v>1035</v>
      </c>
      <c r="R11" s="10" t="s">
        <v>1052</v>
      </c>
      <c r="S11" s="10">
        <v>28</v>
      </c>
      <c r="T11" s="10" t="s">
        <v>1053</v>
      </c>
    </row>
    <row r="12" spans="2:20" x14ac:dyDescent="0.3">
      <c r="B12" s="10" t="s">
        <v>1054</v>
      </c>
      <c r="C12" s="10" t="s">
        <v>1049</v>
      </c>
      <c r="D12" s="10">
        <v>78.400000000000006</v>
      </c>
      <c r="E12" s="10" t="s">
        <v>1028</v>
      </c>
      <c r="G12" s="10" t="s">
        <v>1055</v>
      </c>
      <c r="H12" s="10" t="s">
        <v>1030</v>
      </c>
      <c r="I12" s="10">
        <v>69.8</v>
      </c>
      <c r="J12" s="10" t="s">
        <v>1028</v>
      </c>
      <c r="L12" s="10" t="s">
        <v>1056</v>
      </c>
      <c r="M12" s="10" t="s">
        <v>1057</v>
      </c>
      <c r="N12" s="10">
        <v>80</v>
      </c>
      <c r="O12" s="10" t="s">
        <v>1033</v>
      </c>
      <c r="Q12" s="10" t="s">
        <v>1035</v>
      </c>
      <c r="R12" s="10" t="s">
        <v>1058</v>
      </c>
      <c r="S12" s="10">
        <v>10</v>
      </c>
      <c r="T12" s="10" t="s">
        <v>1053</v>
      </c>
    </row>
    <row r="13" spans="2:20" x14ac:dyDescent="0.3">
      <c r="B13" s="10" t="s">
        <v>1049</v>
      </c>
      <c r="C13" s="10" t="s">
        <v>1059</v>
      </c>
      <c r="D13" s="10">
        <v>171</v>
      </c>
      <c r="E13" s="10" t="s">
        <v>1033</v>
      </c>
      <c r="G13" s="10" t="s">
        <v>1060</v>
      </c>
      <c r="H13" s="10" t="s">
        <v>1030</v>
      </c>
      <c r="I13" s="10">
        <v>62.5</v>
      </c>
      <c r="J13" s="10" t="s">
        <v>1028</v>
      </c>
      <c r="L13" s="10" t="s">
        <v>1061</v>
      </c>
      <c r="M13" s="10" t="s">
        <v>1057</v>
      </c>
      <c r="N13" s="10">
        <v>50</v>
      </c>
      <c r="O13" s="10" t="s">
        <v>1033</v>
      </c>
      <c r="Q13" s="10" t="s">
        <v>1035</v>
      </c>
      <c r="R13" s="10" t="s">
        <v>1062</v>
      </c>
      <c r="S13" s="10">
        <v>4</v>
      </c>
      <c r="T13" s="10" t="s">
        <v>1053</v>
      </c>
    </row>
    <row r="14" spans="2:20" x14ac:dyDescent="0.3">
      <c r="B14" s="10" t="s">
        <v>1049</v>
      </c>
      <c r="C14" s="10" t="s">
        <v>1063</v>
      </c>
      <c r="D14" s="10">
        <v>223.6</v>
      </c>
      <c r="E14" s="10" t="s">
        <v>1064</v>
      </c>
      <c r="G14" s="10" t="s">
        <v>1065</v>
      </c>
      <c r="H14" s="10" t="s">
        <v>1030</v>
      </c>
      <c r="I14" s="10">
        <v>48.8</v>
      </c>
      <c r="J14" s="10" t="s">
        <v>1028</v>
      </c>
      <c r="L14" s="10" t="s">
        <v>1066</v>
      </c>
      <c r="M14" s="10" t="s">
        <v>1057</v>
      </c>
      <c r="N14" s="10">
        <v>30</v>
      </c>
      <c r="O14" s="10" t="s">
        <v>1033</v>
      </c>
      <c r="Q14" s="10" t="s">
        <v>1040</v>
      </c>
      <c r="R14" s="10" t="s">
        <v>1067</v>
      </c>
      <c r="S14" s="10">
        <v>18</v>
      </c>
      <c r="T14" s="10" t="s">
        <v>1068</v>
      </c>
    </row>
    <row r="15" spans="2:20" x14ac:dyDescent="0.3">
      <c r="B15" s="10" t="s">
        <v>1059</v>
      </c>
      <c r="C15" s="10" t="s">
        <v>1069</v>
      </c>
      <c r="D15" s="10">
        <v>119.6</v>
      </c>
      <c r="E15" s="10" t="s">
        <v>1033</v>
      </c>
      <c r="G15" s="10" t="s">
        <v>1030</v>
      </c>
      <c r="H15" s="10" t="s">
        <v>1059</v>
      </c>
      <c r="I15" s="10">
        <v>577.4</v>
      </c>
      <c r="J15" s="10" t="s">
        <v>1033</v>
      </c>
      <c r="L15" s="10" t="s">
        <v>1057</v>
      </c>
      <c r="M15" s="10" t="s">
        <v>1051</v>
      </c>
      <c r="N15" s="10">
        <v>160</v>
      </c>
      <c r="O15" s="10" t="s">
        <v>1033</v>
      </c>
      <c r="Q15" s="10" t="s">
        <v>1040</v>
      </c>
      <c r="R15" s="10" t="s">
        <v>1070</v>
      </c>
      <c r="S15" s="10">
        <v>12</v>
      </c>
      <c r="T15" s="10" t="s">
        <v>1068</v>
      </c>
    </row>
    <row r="16" spans="2:20" x14ac:dyDescent="0.3">
      <c r="B16" s="10" t="s">
        <v>1059</v>
      </c>
      <c r="C16" s="10" t="s">
        <v>1071</v>
      </c>
      <c r="D16" s="10">
        <v>51.4</v>
      </c>
      <c r="E16" s="10" t="s">
        <v>1064</v>
      </c>
      <c r="G16" s="10" t="s">
        <v>1030</v>
      </c>
      <c r="H16" s="10" t="s">
        <v>1072</v>
      </c>
      <c r="I16" s="10">
        <v>822.1</v>
      </c>
      <c r="J16" s="10" t="s">
        <v>1064</v>
      </c>
      <c r="L16" s="10" t="s">
        <v>1051</v>
      </c>
      <c r="M16" s="10" t="s">
        <v>1073</v>
      </c>
      <c r="N16" s="10">
        <v>270</v>
      </c>
      <c r="O16" s="10" t="s">
        <v>1074</v>
      </c>
      <c r="Q16" s="10" t="s">
        <v>1040</v>
      </c>
      <c r="R16" s="10" t="s">
        <v>1075</v>
      </c>
      <c r="S16" s="10">
        <v>11</v>
      </c>
      <c r="T16" s="10" t="s">
        <v>1068</v>
      </c>
    </row>
    <row r="17" spans="2:20" x14ac:dyDescent="0.3">
      <c r="B17" s="10" t="s">
        <v>1069</v>
      </c>
      <c r="C17" s="10" t="s">
        <v>1076</v>
      </c>
      <c r="D17" s="10">
        <v>99.8</v>
      </c>
      <c r="E17" s="10" t="s">
        <v>1033</v>
      </c>
      <c r="G17" s="10" t="s">
        <v>1059</v>
      </c>
      <c r="H17" s="10" t="s">
        <v>1077</v>
      </c>
      <c r="I17" s="10">
        <v>105.9</v>
      </c>
      <c r="J17" s="10" t="s">
        <v>1033</v>
      </c>
      <c r="L17" s="10" t="s">
        <v>1073</v>
      </c>
      <c r="M17" s="10" t="s">
        <v>1078</v>
      </c>
      <c r="N17" s="10">
        <v>160</v>
      </c>
      <c r="O17" s="10" t="s">
        <v>1064</v>
      </c>
      <c r="Q17" s="10" t="s">
        <v>1044</v>
      </c>
      <c r="R17" s="10" t="s">
        <v>1079</v>
      </c>
      <c r="S17" s="10">
        <v>19</v>
      </c>
      <c r="T17" s="10" t="s">
        <v>1080</v>
      </c>
    </row>
    <row r="18" spans="2:20" x14ac:dyDescent="0.3">
      <c r="B18" s="10" t="s">
        <v>1069</v>
      </c>
      <c r="C18" s="10" t="s">
        <v>1081</v>
      </c>
      <c r="D18" s="10">
        <v>19.3</v>
      </c>
      <c r="E18" s="10" t="s">
        <v>1064</v>
      </c>
      <c r="G18" s="10" t="s">
        <v>1082</v>
      </c>
      <c r="H18" s="10" t="s">
        <v>1083</v>
      </c>
      <c r="I18" s="10">
        <v>71.7</v>
      </c>
      <c r="J18" s="10" t="s">
        <v>1033</v>
      </c>
      <c r="L18" s="10" t="s">
        <v>1078</v>
      </c>
      <c r="M18" s="10" t="s">
        <v>1084</v>
      </c>
      <c r="N18" s="10">
        <v>60</v>
      </c>
      <c r="O18" s="10" t="s">
        <v>1064</v>
      </c>
      <c r="Q18" s="10" t="s">
        <v>1044</v>
      </c>
      <c r="R18" s="10" t="s">
        <v>1085</v>
      </c>
      <c r="S18" s="10">
        <v>15</v>
      </c>
      <c r="T18" s="10" t="s">
        <v>1080</v>
      </c>
    </row>
    <row r="19" spans="2:20" x14ac:dyDescent="0.3">
      <c r="B19" s="10" t="s">
        <v>1063</v>
      </c>
      <c r="C19" s="10" t="s">
        <v>1086</v>
      </c>
      <c r="D19" s="10">
        <v>201.5</v>
      </c>
      <c r="E19" s="10" t="s">
        <v>1064</v>
      </c>
      <c r="G19" s="10" t="s">
        <v>1082</v>
      </c>
      <c r="H19" s="10" t="s">
        <v>1087</v>
      </c>
      <c r="I19" s="10">
        <v>34.1</v>
      </c>
      <c r="J19" s="10" t="s">
        <v>1064</v>
      </c>
      <c r="L19" s="10" t="s">
        <v>1078</v>
      </c>
      <c r="M19" s="10" t="s">
        <v>1088</v>
      </c>
      <c r="N19" s="10">
        <v>50</v>
      </c>
      <c r="O19" s="10" t="s">
        <v>1064</v>
      </c>
      <c r="Q19" s="10" t="s">
        <v>1044</v>
      </c>
      <c r="R19" s="10" t="s">
        <v>1089</v>
      </c>
      <c r="S19" s="10">
        <v>4</v>
      </c>
      <c r="T19" s="10" t="s">
        <v>1080</v>
      </c>
    </row>
    <row r="20" spans="2:20" x14ac:dyDescent="0.3">
      <c r="B20" s="10" t="s">
        <v>1063</v>
      </c>
      <c r="C20" s="10" t="s">
        <v>1090</v>
      </c>
      <c r="D20" s="10">
        <v>22.1</v>
      </c>
      <c r="E20" s="10" t="s">
        <v>1064</v>
      </c>
      <c r="G20" s="10" t="s">
        <v>1082</v>
      </c>
      <c r="H20" s="10" t="s">
        <v>1091</v>
      </c>
      <c r="I20" s="10">
        <v>6.1</v>
      </c>
      <c r="J20" s="10" t="s">
        <v>1064</v>
      </c>
      <c r="L20" s="10" t="s">
        <v>1078</v>
      </c>
      <c r="M20" s="10" t="s">
        <v>1092</v>
      </c>
      <c r="N20" s="10">
        <v>40</v>
      </c>
      <c r="O20" s="10" t="s">
        <v>1064</v>
      </c>
      <c r="Q20" s="10" t="s">
        <v>1044</v>
      </c>
      <c r="R20" s="10" t="s">
        <v>1093</v>
      </c>
      <c r="S20" s="10">
        <v>3</v>
      </c>
      <c r="T20" s="10" t="s">
        <v>1080</v>
      </c>
    </row>
    <row r="21" spans="2:20" x14ac:dyDescent="0.3">
      <c r="B21" s="10" t="s">
        <v>1071</v>
      </c>
      <c r="C21" s="10" t="s">
        <v>1094</v>
      </c>
      <c r="D21" s="10">
        <v>26.3</v>
      </c>
      <c r="E21" s="10" t="s">
        <v>1064</v>
      </c>
      <c r="G21" s="10" t="s">
        <v>1059</v>
      </c>
      <c r="H21" s="10" t="s">
        <v>1095</v>
      </c>
      <c r="I21" s="10">
        <v>131.4</v>
      </c>
      <c r="J21" s="10" t="s">
        <v>1064</v>
      </c>
      <c r="L21" s="10" t="s">
        <v>1078</v>
      </c>
      <c r="M21" s="10" t="s">
        <v>1096</v>
      </c>
      <c r="N21" s="10">
        <v>10</v>
      </c>
      <c r="O21" s="10" t="s">
        <v>1064</v>
      </c>
      <c r="Q21" s="10" t="s">
        <v>1044</v>
      </c>
      <c r="R21" s="10" t="s">
        <v>1097</v>
      </c>
      <c r="S21" s="10">
        <v>2</v>
      </c>
      <c r="T21" s="10" t="s">
        <v>1080</v>
      </c>
    </row>
    <row r="22" spans="2:20" x14ac:dyDescent="0.3">
      <c r="B22" s="10" t="s">
        <v>1071</v>
      </c>
      <c r="C22" s="10" t="s">
        <v>1098</v>
      </c>
      <c r="D22" s="10">
        <v>25.1</v>
      </c>
      <c r="E22" s="10" t="s">
        <v>1064</v>
      </c>
      <c r="G22" s="10" t="s">
        <v>1059</v>
      </c>
      <c r="H22" s="10" t="s">
        <v>1099</v>
      </c>
      <c r="I22" s="10">
        <v>340.1</v>
      </c>
      <c r="J22" s="10" t="s">
        <v>1064</v>
      </c>
      <c r="L22" s="10" t="s">
        <v>1073</v>
      </c>
      <c r="M22" s="10" t="s">
        <v>1100</v>
      </c>
      <c r="N22" s="10">
        <v>110</v>
      </c>
      <c r="O22" s="10" t="s">
        <v>1064</v>
      </c>
      <c r="Q22" s="10" t="s">
        <v>1044</v>
      </c>
      <c r="R22" s="10" t="s">
        <v>1101</v>
      </c>
      <c r="S22" s="10">
        <v>1</v>
      </c>
      <c r="T22" s="10" t="s">
        <v>1080</v>
      </c>
    </row>
    <row r="23" spans="2:20" x14ac:dyDescent="0.3">
      <c r="G23" s="10" t="s">
        <v>1095</v>
      </c>
      <c r="H23" s="10" t="s">
        <v>1102</v>
      </c>
      <c r="I23" s="10">
        <v>7.3</v>
      </c>
      <c r="J23" s="10" t="s">
        <v>1064</v>
      </c>
      <c r="L23" s="10" t="s">
        <v>1100</v>
      </c>
      <c r="M23" s="10" t="s">
        <v>1103</v>
      </c>
      <c r="N23" s="10">
        <v>80</v>
      </c>
      <c r="O23" s="10" t="s">
        <v>1064</v>
      </c>
      <c r="Q23" s="10" t="s">
        <v>1048</v>
      </c>
      <c r="R23" s="10" t="s">
        <v>1104</v>
      </c>
      <c r="S23" s="10">
        <v>9</v>
      </c>
      <c r="T23" s="10" t="s">
        <v>1105</v>
      </c>
    </row>
    <row r="24" spans="2:20" x14ac:dyDescent="0.3">
      <c r="G24" s="10" t="s">
        <v>1095</v>
      </c>
      <c r="H24" s="10" t="s">
        <v>1106</v>
      </c>
      <c r="I24" s="10">
        <v>10.3</v>
      </c>
      <c r="J24" s="10" t="s">
        <v>1064</v>
      </c>
      <c r="L24" s="10" t="s">
        <v>1100</v>
      </c>
      <c r="M24" s="10" t="s">
        <v>1107</v>
      </c>
      <c r="N24" s="10">
        <v>30</v>
      </c>
      <c r="O24" s="10" t="s">
        <v>1064</v>
      </c>
      <c r="Q24" s="10" t="s">
        <v>1048</v>
      </c>
      <c r="R24" s="10" t="s">
        <v>1108</v>
      </c>
      <c r="S24" s="10">
        <v>6</v>
      </c>
      <c r="T24" s="10" t="s">
        <v>1105</v>
      </c>
    </row>
    <row r="25" spans="2:20" x14ac:dyDescent="0.3">
      <c r="G25" s="10" t="s">
        <v>1095</v>
      </c>
      <c r="H25" s="10" t="s">
        <v>1109</v>
      </c>
      <c r="I25" s="10">
        <v>113.8</v>
      </c>
      <c r="J25" s="10" t="s">
        <v>1064</v>
      </c>
      <c r="L25" s="10" t="s">
        <v>1051</v>
      </c>
      <c r="M25" s="10" t="s">
        <v>1110</v>
      </c>
      <c r="N25" s="10">
        <v>60</v>
      </c>
      <c r="O25" s="10" t="s">
        <v>1111</v>
      </c>
      <c r="Q25" s="10" t="s">
        <v>1048</v>
      </c>
      <c r="R25" s="10" t="s">
        <v>1112</v>
      </c>
      <c r="S25" s="10">
        <v>4</v>
      </c>
      <c r="T25" s="10" t="s">
        <v>1105</v>
      </c>
    </row>
    <row r="26" spans="2:20" x14ac:dyDescent="0.3">
      <c r="G26" s="10" t="s">
        <v>1077</v>
      </c>
      <c r="H26" s="10" t="s">
        <v>1082</v>
      </c>
      <c r="I26" s="10">
        <v>105.9</v>
      </c>
      <c r="J26" s="10" t="s">
        <v>1033</v>
      </c>
      <c r="Q26" s="10" t="s">
        <v>1048</v>
      </c>
      <c r="R26" s="10" t="s">
        <v>1113</v>
      </c>
      <c r="S26" s="10">
        <v>3</v>
      </c>
      <c r="T26" s="10" t="s">
        <v>1105</v>
      </c>
    </row>
    <row r="27" spans="2:20" x14ac:dyDescent="0.3">
      <c r="G27" s="10" t="s">
        <v>1099</v>
      </c>
      <c r="H27" s="10" t="s">
        <v>1114</v>
      </c>
      <c r="I27" s="10">
        <v>93.1</v>
      </c>
      <c r="J27" s="10" t="s">
        <v>1064</v>
      </c>
      <c r="Q27" s="10" t="s">
        <v>1048</v>
      </c>
      <c r="R27" s="10" t="s">
        <v>1115</v>
      </c>
      <c r="S27" s="10">
        <v>2</v>
      </c>
      <c r="T27" s="10" t="s">
        <v>1105</v>
      </c>
    </row>
    <row r="28" spans="2:20" x14ac:dyDescent="0.3">
      <c r="G28" s="10" t="s">
        <v>1099</v>
      </c>
      <c r="H28" s="10" t="s">
        <v>1116</v>
      </c>
      <c r="I28" s="10">
        <v>116.6</v>
      </c>
      <c r="J28" s="10" t="s">
        <v>1064</v>
      </c>
      <c r="Q28" s="10" t="s">
        <v>1048</v>
      </c>
      <c r="R28" s="10" t="s">
        <v>1117</v>
      </c>
      <c r="S28" s="10">
        <v>2</v>
      </c>
      <c r="T28" s="10" t="s">
        <v>1105</v>
      </c>
    </row>
    <row r="29" spans="2:20" x14ac:dyDescent="0.3">
      <c r="G29" s="10" t="s">
        <v>1099</v>
      </c>
      <c r="H29" s="10" t="s">
        <v>1118</v>
      </c>
      <c r="I29" s="10">
        <v>84.5</v>
      </c>
      <c r="J29" s="10" t="s">
        <v>1064</v>
      </c>
      <c r="Q29" s="10" t="s">
        <v>1048</v>
      </c>
      <c r="R29" s="10" t="s">
        <v>1119</v>
      </c>
      <c r="S29" s="10">
        <v>1</v>
      </c>
      <c r="T29" s="10" t="s">
        <v>1105</v>
      </c>
    </row>
    <row r="30" spans="2:20" x14ac:dyDescent="0.3">
      <c r="G30" s="10" t="s">
        <v>1099</v>
      </c>
      <c r="H30" s="10" t="s">
        <v>1120</v>
      </c>
      <c r="I30" s="10">
        <v>5.9</v>
      </c>
      <c r="J30" s="10" t="s">
        <v>1064</v>
      </c>
    </row>
    <row r="31" spans="2:20" x14ac:dyDescent="0.3">
      <c r="G31" s="10" t="s">
        <v>1099</v>
      </c>
      <c r="H31" s="10" t="s">
        <v>1121</v>
      </c>
      <c r="I31" s="10">
        <v>39.9</v>
      </c>
      <c r="J31" s="10" t="s">
        <v>1064</v>
      </c>
    </row>
  </sheetData>
  <mergeCells count="4">
    <mergeCell ref="B3:E4"/>
    <mergeCell ref="G3:J4"/>
    <mergeCell ref="L3:O4"/>
    <mergeCell ref="Q3:T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9D958C-A794-401D-94EA-F186698FFE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ChartsDataSheet</vt:lpstr>
      <vt:lpstr>For SanKey Base</vt:lpstr>
      <vt:lpstr>Wmoen Creatives</vt:lpstr>
      <vt:lpstr>RevWomCreat</vt:lpstr>
      <vt:lpstr>New Sankey</vt:lpstr>
      <vt:lpstr>Sheet8</vt:lpstr>
      <vt:lpstr>Sheet10</vt:lpstr>
      <vt:lpstr>RevWomCreat (2)</vt:lpstr>
      <vt:lpstr>Sheet9</vt:lpstr>
      <vt:lpstr>BeverageData</vt:lpstr>
      <vt:lpstr>AvgBidPrice LUT</vt:lpstr>
      <vt:lpstr>Phase per Agency (2)</vt:lpstr>
      <vt:lpstr>Sheet1</vt:lpstr>
      <vt:lpstr>Sheet3</vt:lpstr>
      <vt:lpstr>Sheet4</vt:lpstr>
      <vt:lpstr>Sheet5</vt:lpstr>
      <vt:lpstr>Sheet6</vt:lpstr>
      <vt:lpstr>Take Me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 Rosenbloom PERSONAL</dc:creator>
  <cp:lastModifiedBy>Danny Rosenbloom PERSONAL</cp:lastModifiedBy>
  <dcterms:created xsi:type="dcterms:W3CDTF">2026-05-11T20:53:00Z</dcterms:created>
  <dcterms:modified xsi:type="dcterms:W3CDTF">2026-05-20T17:24:19Z</dcterms:modified>
</cp:coreProperties>
</file>